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ulrike_imac_air/projects/DataScienceProjects/tech_layoffs/tech_layoffs_csv/"/>
    </mc:Choice>
  </mc:AlternateContent>
  <xr:revisionPtr revIDLastSave="0" documentId="8_{90835E00-7D55-1F47-8395-B8832C4E9799}" xr6:coauthVersionLast="47" xr6:coauthVersionMax="47" xr10:uidLastSave="{00000000-0000-0000-0000-000000000000}"/>
  <bookViews>
    <workbookView xWindow="100" yWindow="800" windowWidth="28460" windowHeight="22880" xr2:uid="{00000000-000D-0000-FFFF-FFFF00000000}"/>
  </bookViews>
  <sheets>
    <sheet name="TechLayoffsTracker" sheetId="2" r:id="rId1"/>
    <sheet name="layoffs_location" sheetId="6" r:id="rId2"/>
    <sheet name="companies" sheetId="7" r:id="rId3"/>
  </sheets>
  <externalReferences>
    <externalReference r:id="rId4"/>
  </externalReferences>
  <definedNames>
    <definedName name="_xlnm._FilterDatabase" localSheetId="1" hidden="1">layoffs_location!$A$1:$G$261</definedName>
    <definedName name="_xlnm._FilterDatabase" localSheetId="0" hidden="1">TechLayoffsTracker!$A$2414:$R$2624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15" i="2" l="1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414" i="2"/>
  <c r="G241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414" i="2"/>
  <c r="F2413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414" i="2"/>
  <c r="E2413" i="2"/>
  <c r="E2412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414" i="2"/>
  <c r="D241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61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48" i="2"/>
  <c r="Q2599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8" i="2"/>
  <c r="Q2619" i="2"/>
  <c r="Q2620" i="2"/>
  <c r="Q2621" i="2"/>
  <c r="Q2622" i="2"/>
  <c r="Q2623" i="2"/>
  <c r="Q2624" i="2"/>
  <c r="Q2414" i="2"/>
  <c r="K2264" i="2"/>
  <c r="L2264" i="2" s="1"/>
  <c r="K2261" i="2"/>
  <c r="L2261" i="2" s="1"/>
  <c r="K2270" i="2"/>
  <c r="L2270" i="2" s="1"/>
  <c r="K2276" i="2"/>
  <c r="L2276" i="2" s="1"/>
  <c r="K2277" i="2"/>
  <c r="L2277" i="2" s="1"/>
  <c r="K2286" i="2"/>
  <c r="K2288" i="2"/>
  <c r="K2294" i="2"/>
  <c r="K2319" i="2"/>
  <c r="L2319" i="2" s="1"/>
  <c r="K2324" i="2"/>
  <c r="L2324" i="2" s="1"/>
  <c r="K2331" i="2"/>
  <c r="L2331" i="2" s="1"/>
  <c r="K2342" i="2"/>
  <c r="L2342" i="2" s="1"/>
  <c r="K2344" i="2"/>
  <c r="L2344" i="2" s="1"/>
  <c r="K2345" i="2"/>
  <c r="L2345" i="2" s="1"/>
  <c r="K2352" i="2"/>
  <c r="L2352" i="2" s="1"/>
  <c r="K2354" i="2"/>
  <c r="L2354" i="2" s="1"/>
  <c r="K2360" i="2"/>
  <c r="L2360" i="2" s="1"/>
  <c r="K2362" i="2"/>
  <c r="L2362" i="2" s="1"/>
  <c r="K2364" i="2"/>
  <c r="L2364" i="2" s="1"/>
  <c r="K2369" i="2"/>
  <c r="L2369" i="2" s="1"/>
  <c r="K2375" i="2"/>
  <c r="L2375" i="2" s="1"/>
  <c r="K2380" i="2"/>
  <c r="L2380" i="2" s="1"/>
  <c r="K2400" i="2"/>
  <c r="L2400" i="2" s="1"/>
  <c r="K2399" i="2"/>
  <c r="L2399" i="2" s="1"/>
  <c r="K2403" i="2"/>
  <c r="L2403" i="2" s="1"/>
  <c r="K2406" i="2"/>
  <c r="L2406" i="2" s="1"/>
  <c r="K2405" i="2"/>
  <c r="L2405" i="2" s="1"/>
  <c r="K2404" i="2"/>
  <c r="L2404" i="2" s="1"/>
  <c r="K2413" i="2"/>
  <c r="L2413" i="2" s="1"/>
  <c r="L2082" i="2"/>
  <c r="L1664" i="2"/>
  <c r="L1665" i="2"/>
  <c r="K2248" i="2"/>
  <c r="L2248" i="2" s="1"/>
  <c r="K2246" i="2"/>
  <c r="L2246" i="2" s="1"/>
  <c r="K2244" i="2"/>
  <c r="L2244" i="2" s="1"/>
  <c r="K2245" i="2"/>
  <c r="L2245" i="2" s="1"/>
  <c r="K2247" i="2"/>
  <c r="L2247" i="2" s="1"/>
  <c r="K2239" i="2"/>
  <c r="L2239" i="2" s="1"/>
  <c r="K2237" i="2"/>
  <c r="L2237" i="2" s="1"/>
  <c r="K2235" i="2"/>
  <c r="L2235" i="2" s="1"/>
  <c r="K2234" i="2"/>
  <c r="L2234" i="2" s="1"/>
  <c r="K2217" i="2"/>
  <c r="L2217" i="2" s="1"/>
  <c r="K2232" i="2"/>
  <c r="L2232" i="2" s="1"/>
  <c r="K2223" i="2"/>
  <c r="L2223" i="2" s="1"/>
  <c r="K2221" i="2"/>
  <c r="L2221" i="2" s="1"/>
  <c r="K2220" i="2"/>
  <c r="L2220" i="2" s="1"/>
  <c r="L2218" i="2"/>
  <c r="K2227" i="2"/>
  <c r="L2227" i="2" s="1"/>
  <c r="K2224" i="2"/>
  <c r="L2224" i="2" s="1"/>
  <c r="K2222" i="2"/>
  <c r="L2222" i="2" s="1"/>
  <c r="K2216" i="2"/>
  <c r="L2216" i="2" s="1"/>
  <c r="K2215" i="2"/>
  <c r="L2215" i="2" s="1"/>
  <c r="K2212" i="2"/>
  <c r="L2212" i="2" s="1"/>
  <c r="K2211" i="2"/>
  <c r="L2211" i="2" s="1"/>
  <c r="L2210" i="2"/>
  <c r="K2208" i="2"/>
  <c r="L2208" i="2" s="1"/>
  <c r="K2189" i="2"/>
  <c r="L2189" i="2" s="1"/>
  <c r="L2205" i="2"/>
  <c r="K2196" i="2"/>
  <c r="L2196" i="2" s="1"/>
  <c r="K2193" i="2"/>
  <c r="L2193" i="2" s="1"/>
  <c r="K2199" i="2"/>
  <c r="L2199" i="2" s="1"/>
  <c r="K2201" i="2"/>
  <c r="L2201" i="2" s="1"/>
  <c r="L2190" i="2"/>
  <c r="L2188" i="2"/>
  <c r="L2187" i="2"/>
  <c r="K2185" i="2"/>
  <c r="L2185" i="2" s="1"/>
  <c r="K2183" i="2"/>
  <c r="L2183" i="2" s="1"/>
  <c r="L2182" i="2"/>
  <c r="L2169" i="2"/>
  <c r="L2160" i="2"/>
  <c r="L2148" i="2"/>
  <c r="L2144" i="2"/>
  <c r="L2110" i="2"/>
  <c r="L2095" i="2"/>
  <c r="L2093" i="2"/>
  <c r="K2084" i="2"/>
  <c r="L2084" i="2" s="1"/>
  <c r="K2091" i="2"/>
  <c r="L2091" i="2" s="1"/>
  <c r="K2090" i="2"/>
  <c r="L2090" i="2" s="1"/>
  <c r="K2098" i="2"/>
  <c r="L2098" i="2" s="1"/>
  <c r="K2100" i="2"/>
  <c r="L2100" i="2" s="1"/>
  <c r="K2103" i="2"/>
  <c r="L2103" i="2" s="1"/>
  <c r="K2104" i="2"/>
  <c r="L2104" i="2" s="1"/>
  <c r="K2109" i="2"/>
  <c r="L2109" i="2" s="1"/>
  <c r="K2111" i="2"/>
  <c r="L2111" i="2" s="1"/>
  <c r="K2115" i="2"/>
  <c r="L2115" i="2" s="1"/>
  <c r="K2114" i="2"/>
  <c r="L2114" i="2" s="1"/>
  <c r="K2113" i="2"/>
  <c r="L2113" i="2" s="1"/>
  <c r="K2124" i="2"/>
  <c r="L2124" i="2" s="1"/>
  <c r="K2123" i="2"/>
  <c r="L2123" i="2" s="1"/>
  <c r="K2121" i="2"/>
  <c r="L2121" i="2" s="1"/>
  <c r="K2119" i="2"/>
  <c r="L2119" i="2" s="1"/>
  <c r="K2125" i="2"/>
  <c r="L2125" i="2" s="1"/>
  <c r="K2130" i="2"/>
  <c r="L2130" i="2" s="1"/>
  <c r="K2127" i="2"/>
  <c r="L2127" i="2" s="1"/>
  <c r="K2132" i="2"/>
  <c r="L2132" i="2" s="1"/>
  <c r="K2135" i="2"/>
  <c r="L2135" i="2" s="1"/>
  <c r="K2139" i="2"/>
  <c r="L2139" i="2" s="1"/>
  <c r="K2140" i="2"/>
  <c r="L2140" i="2" s="1"/>
  <c r="K2142" i="2"/>
  <c r="L2142" i="2" s="1"/>
  <c r="K2145" i="2"/>
  <c r="L2145" i="2" s="1"/>
  <c r="K2147" i="2"/>
  <c r="L2147" i="2" s="1"/>
  <c r="K2155" i="2"/>
  <c r="L2155" i="2" s="1"/>
  <c r="K2154" i="2"/>
  <c r="L2154" i="2" s="1"/>
  <c r="K2158" i="2"/>
  <c r="L2158" i="2" s="1"/>
  <c r="K2163" i="2"/>
  <c r="L2163" i="2" s="1"/>
  <c r="K2164" i="2"/>
  <c r="L2164" i="2" s="1"/>
  <c r="K2168" i="2"/>
  <c r="L2168" i="2" s="1"/>
  <c r="K2170" i="2"/>
  <c r="L2170" i="2" s="1"/>
  <c r="K2172" i="2"/>
  <c r="L2172" i="2" s="1"/>
  <c r="K2174" i="2"/>
  <c r="L2174" i="2" s="1"/>
  <c r="K2173" i="2"/>
  <c r="L2173" i="2" s="1"/>
  <c r="K2175" i="2"/>
  <c r="L2175" i="2" s="1"/>
  <c r="K2180" i="2"/>
  <c r="L2180" i="2" s="1"/>
  <c r="K2159" i="2"/>
  <c r="L2159" i="2" s="1"/>
  <c r="K1822" i="2"/>
  <c r="L1822" i="2" s="1"/>
  <c r="K2081" i="2"/>
  <c r="L2081" i="2" s="1"/>
  <c r="K2080" i="2"/>
  <c r="L2080" i="2" s="1"/>
  <c r="K2079" i="2"/>
  <c r="L2079" i="2" s="1"/>
  <c r="K2077" i="2"/>
  <c r="L2077" i="2" s="1"/>
  <c r="K2071" i="2"/>
  <c r="L2071" i="2" s="1"/>
  <c r="K2072" i="2"/>
  <c r="L2072" i="2" s="1"/>
  <c r="K2074" i="2"/>
  <c r="L2074" i="2" s="1"/>
  <c r="K2069" i="2"/>
  <c r="L2069" i="2" s="1"/>
  <c r="K2068" i="2"/>
  <c r="L2068" i="2" s="1"/>
  <c r="K2066" i="2"/>
  <c r="L2066" i="2" s="1"/>
  <c r="K2067" i="2"/>
  <c r="L2067" i="2" s="1"/>
  <c r="K2064" i="2"/>
  <c r="L2064" i="2" s="1"/>
  <c r="K2061" i="2"/>
  <c r="L2061" i="2" s="1"/>
  <c r="K2060" i="2"/>
  <c r="L2060" i="2" s="1"/>
  <c r="K2057" i="2"/>
  <c r="L2057" i="2" s="1"/>
  <c r="K2052" i="2"/>
  <c r="L2052" i="2" s="1"/>
  <c r="K2051" i="2"/>
  <c r="L2051" i="2" s="1"/>
  <c r="K2049" i="2"/>
  <c r="L2049" i="2" s="1"/>
  <c r="K2046" i="2"/>
  <c r="L2046" i="2" s="1"/>
  <c r="K2041" i="2"/>
  <c r="L2041" i="2" s="1"/>
  <c r="K2042" i="2"/>
  <c r="L2042" i="2" s="1"/>
  <c r="K2043" i="2"/>
  <c r="L2043" i="2" s="1"/>
  <c r="K2045" i="2"/>
  <c r="L2045" i="2" s="1"/>
  <c r="K2038" i="2"/>
  <c r="L2038" i="2" s="1"/>
  <c r="K2039" i="2"/>
  <c r="L2039" i="2" s="1"/>
  <c r="K2034" i="2"/>
  <c r="L2034" i="2" s="1"/>
  <c r="K2037" i="2"/>
  <c r="L2037" i="2" s="1"/>
  <c r="K2028" i="2"/>
  <c r="L2028" i="2" s="1"/>
  <c r="K2029" i="2"/>
  <c r="L2029" i="2" s="1"/>
  <c r="K2030" i="2"/>
  <c r="L2030" i="2" s="1"/>
  <c r="K2031" i="2"/>
  <c r="L2031" i="2" s="1"/>
  <c r="K2033" i="2"/>
  <c r="L2033" i="2" s="1"/>
  <c r="K2025" i="2"/>
  <c r="L2025" i="2" s="1"/>
  <c r="K2024" i="2"/>
  <c r="L2024" i="2" s="1"/>
  <c r="K2023" i="2"/>
  <c r="L2023" i="2" s="1"/>
  <c r="K2022" i="2"/>
  <c r="L2022" i="2" s="1"/>
  <c r="K2020" i="2"/>
  <c r="L2020" i="2" s="1"/>
  <c r="K2021" i="2"/>
  <c r="L2021" i="2" s="1"/>
  <c r="K2016" i="2"/>
  <c r="L2016" i="2" s="1"/>
  <c r="K2017" i="2"/>
  <c r="L2017" i="2" s="1"/>
  <c r="K2018" i="2"/>
  <c r="L2018" i="2" s="1"/>
  <c r="K2012" i="2"/>
  <c r="L2012" i="2" s="1"/>
  <c r="K2013" i="2"/>
  <c r="L2013" i="2" s="1"/>
  <c r="K2009" i="2"/>
  <c r="L2009" i="2" s="1"/>
  <c r="L2002" i="2"/>
  <c r="L2000" i="2"/>
  <c r="K1997" i="2"/>
  <c r="L1997" i="2" s="1"/>
  <c r="L1998" i="2"/>
  <c r="K1993" i="2"/>
  <c r="L1993" i="2" s="1"/>
  <c r="L1994" i="2"/>
  <c r="L1992" i="2"/>
  <c r="K1990" i="2"/>
  <c r="L1990" i="2" s="1"/>
  <c r="K1987" i="2"/>
  <c r="L1987" i="2" s="1"/>
  <c r="K1988" i="2"/>
  <c r="L1988" i="2" s="1"/>
  <c r="L1989" i="2"/>
  <c r="K1984" i="2"/>
  <c r="L1984" i="2" s="1"/>
  <c r="K1751" i="2"/>
  <c r="K1776" i="2"/>
  <c r="K1976" i="2" l="1"/>
  <c r="L1976" i="2" s="1"/>
  <c r="K1981" i="2"/>
  <c r="L1981" i="2" s="1"/>
  <c r="K1975" i="2"/>
  <c r="L1975" i="2" s="1"/>
  <c r="K1970" i="2"/>
  <c r="L1970" i="2" s="1"/>
  <c r="L1966" i="2"/>
  <c r="L1962" i="2"/>
  <c r="L1963" i="2"/>
  <c r="K1960" i="2"/>
  <c r="L1960" i="2" s="1"/>
  <c r="K1958" i="2"/>
  <c r="L1958" i="2" s="1"/>
  <c r="L1959" i="2"/>
  <c r="K1955" i="2"/>
  <c r="L1955" i="2" s="1"/>
  <c r="K1957" i="2"/>
  <c r="L1957" i="2" s="1"/>
  <c r="K1951" i="2"/>
  <c r="L1951" i="2" s="1"/>
  <c r="K1950" i="2"/>
  <c r="L1950" i="2" s="1"/>
  <c r="K1949" i="2"/>
  <c r="L1949" i="2" s="1"/>
  <c r="K1946" i="2"/>
  <c r="L1946" i="2" s="1"/>
  <c r="L1942" i="2"/>
  <c r="L1943" i="2"/>
  <c r="K1941" i="2"/>
  <c r="L1941" i="2" s="1"/>
  <c r="L1940" i="2"/>
  <c r="K1938" i="2"/>
  <c r="L1938" i="2" s="1"/>
  <c r="L1939" i="2"/>
  <c r="K1935" i="2"/>
  <c r="L1935" i="2" s="1"/>
  <c r="K1931" i="2"/>
  <c r="L1931" i="2" s="1"/>
  <c r="K1926" i="2"/>
  <c r="L1926" i="2" s="1"/>
  <c r="L1930" i="2"/>
  <c r="K1924" i="2"/>
  <c r="L1924" i="2" s="1"/>
  <c r="L1922" i="2"/>
  <c r="L1923" i="2"/>
  <c r="L1920" i="2"/>
  <c r="K1916" i="2"/>
  <c r="L1916" i="2" s="1"/>
  <c r="K1913" i="2"/>
  <c r="L1913" i="2" s="1"/>
  <c r="K1910" i="2"/>
  <c r="L1910" i="2" s="1"/>
  <c r="L1911" i="2"/>
  <c r="K1908" i="2"/>
  <c r="L1908" i="2" s="1"/>
  <c r="K1906" i="2"/>
  <c r="L1906" i="2" s="1"/>
  <c r="K1904" i="2"/>
  <c r="L1904" i="2" s="1"/>
  <c r="K1901" i="2"/>
  <c r="L1901" i="2" s="1"/>
  <c r="K1903" i="2"/>
  <c r="L1903" i="2" s="1"/>
  <c r="K1899" i="2"/>
  <c r="L1899" i="2" s="1"/>
  <c r="K1893" i="2"/>
  <c r="L1893" i="2" s="1"/>
  <c r="K1894" i="2"/>
  <c r="L1894" i="2" s="1"/>
  <c r="L1892" i="2"/>
  <c r="K1887" i="2"/>
  <c r="L1887" i="2" s="1"/>
  <c r="K1888" i="2"/>
  <c r="L1888" i="2" s="1"/>
  <c r="K1884" i="2"/>
  <c r="L1884" i="2" s="1"/>
  <c r="K1876" i="2"/>
  <c r="L1876" i="2" s="1"/>
  <c r="K1877" i="2"/>
  <c r="L1877" i="2" s="1"/>
  <c r="K1875" i="2"/>
  <c r="L1875" i="2" s="1"/>
  <c r="K1872" i="2"/>
  <c r="L1872" i="2" s="1"/>
  <c r="K1873" i="2"/>
  <c r="L1873" i="2" s="1"/>
  <c r="L1871" i="2"/>
  <c r="K1865" i="2"/>
  <c r="L1865" i="2" s="1"/>
  <c r="K1867" i="2"/>
  <c r="L1867" i="2" s="1"/>
  <c r="K1864" i="2"/>
  <c r="L1864" i="2" s="1"/>
  <c r="K1862" i="2"/>
  <c r="L1862" i="2" s="1"/>
  <c r="K1858" i="2"/>
  <c r="L1858" i="2" s="1"/>
  <c r="K1852" i="2"/>
  <c r="L1852" i="2" s="1"/>
  <c r="K1848" i="2"/>
  <c r="L1848" i="2" s="1"/>
  <c r="K1839" i="2"/>
  <c r="L1839" i="2" s="1"/>
  <c r="K1836" i="2"/>
  <c r="L1836" i="2" s="1"/>
  <c r="K1837" i="2"/>
  <c r="L1837" i="2" s="1"/>
  <c r="K1830" i="2"/>
  <c r="L1830" i="2" s="1"/>
  <c r="L1834" i="2"/>
  <c r="K1821" i="2"/>
  <c r="L1821" i="2" s="1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K1861" i="2" l="1"/>
  <c r="L1861" i="2" s="1"/>
  <c r="K1817" i="2"/>
  <c r="L1817" i="2" s="1"/>
  <c r="L1808" i="2"/>
  <c r="L1803" i="2"/>
  <c r="K1792" i="2"/>
  <c r="L1792" i="2" s="1"/>
  <c r="L1776" i="2"/>
  <c r="L1751" i="2"/>
  <c r="K1725" i="2"/>
  <c r="L1725" i="2" s="1"/>
  <c r="L1723" i="2"/>
  <c r="K1709" i="2"/>
  <c r="L1709" i="2" s="1"/>
  <c r="K1707" i="2"/>
  <c r="L1707" i="2" s="1"/>
  <c r="K1705" i="2"/>
  <c r="L1705" i="2" s="1"/>
  <c r="K1697" i="2"/>
  <c r="L1697" i="2" s="1"/>
  <c r="K1689" i="2"/>
  <c r="L1689" i="2" s="1"/>
  <c r="K1685" i="2"/>
  <c r="L1685" i="2" s="1"/>
  <c r="K1681" i="2"/>
  <c r="L1681" i="2" s="1"/>
  <c r="K1680" i="2"/>
  <c r="L1680" i="2" s="1"/>
  <c r="K1679" i="2"/>
  <c r="L1679" i="2" s="1"/>
  <c r="L1678" i="2"/>
  <c r="L1672" i="2"/>
  <c r="K1661" i="2"/>
  <c r="L1661" i="2" s="1"/>
  <c r="L1663" i="2"/>
  <c r="L1658" i="2"/>
  <c r="L1659" i="2"/>
  <c r="K1863" i="2"/>
  <c r="L1863" i="2" s="1"/>
  <c r="K1656" i="2"/>
  <c r="L1656" i="2" s="1"/>
  <c r="K1669" i="2"/>
  <c r="L1669" i="2" s="1"/>
  <c r="K1675" i="2"/>
  <c r="L1675" i="2" s="1"/>
  <c r="K1676" i="2"/>
  <c r="L1676" i="2" s="1"/>
  <c r="K1677" i="2"/>
  <c r="L1677" i="2" s="1"/>
  <c r="K1688" i="2"/>
  <c r="L1688" i="2" s="1"/>
  <c r="K1693" i="2"/>
  <c r="L1693" i="2" s="1"/>
  <c r="K1692" i="2"/>
  <c r="L1692" i="2" s="1"/>
  <c r="K1696" i="2"/>
  <c r="L1696" i="2" s="1"/>
  <c r="K1695" i="2"/>
  <c r="L1695" i="2" s="1"/>
  <c r="K1694" i="2"/>
  <c r="L1694" i="2" s="1"/>
  <c r="L1701" i="2"/>
  <c r="K1699" i="2"/>
  <c r="L1699" i="2" s="1"/>
  <c r="K1702" i="2"/>
  <c r="L1702" i="2" s="1"/>
  <c r="K1703" i="2"/>
  <c r="L1703" i="2" s="1"/>
  <c r="K1706" i="2"/>
  <c r="L1706" i="2" s="1"/>
  <c r="L1710" i="2"/>
  <c r="K1714" i="2"/>
  <c r="L1714" i="2" s="1"/>
  <c r="K1713" i="2"/>
  <c r="L1713" i="2" s="1"/>
  <c r="K1720" i="2"/>
  <c r="L1720" i="2" s="1"/>
  <c r="K1722" i="2"/>
  <c r="L1722" i="2" s="1"/>
  <c r="K1726" i="2"/>
  <c r="L1726" i="2" s="1"/>
  <c r="K1730" i="2"/>
  <c r="L1730" i="2" s="1"/>
  <c r="L1729" i="2"/>
  <c r="L1734" i="2"/>
  <c r="K1732" i="2"/>
  <c r="L1732" i="2" s="1"/>
  <c r="K1737" i="2"/>
  <c r="L1737" i="2" s="1"/>
  <c r="K1740" i="2"/>
  <c r="L1740" i="2" s="1"/>
  <c r="K1742" i="2"/>
  <c r="L1742" i="2" s="1"/>
  <c r="K1741" i="2"/>
  <c r="L1741" i="2" s="1"/>
  <c r="K1743" i="2"/>
  <c r="L1743" i="2" s="1"/>
  <c r="L1747" i="2"/>
  <c r="K1750" i="2"/>
  <c r="L1750" i="2" s="1"/>
  <c r="K1749" i="2"/>
  <c r="L1749" i="2" s="1"/>
  <c r="K1752" i="2"/>
  <c r="L1752" i="2" s="1"/>
  <c r="K1755" i="2"/>
  <c r="L1755" i="2" s="1"/>
  <c r="K1757" i="2"/>
  <c r="L1757" i="2" s="1"/>
  <c r="K1764" i="2"/>
  <c r="L1764" i="2" s="1"/>
  <c r="L1768" i="2"/>
  <c r="K1772" i="2"/>
  <c r="L1772" i="2" s="1"/>
  <c r="K1774" i="2"/>
  <c r="L1774" i="2" s="1"/>
  <c r="K1775" i="2"/>
  <c r="L1775" i="2" s="1"/>
  <c r="K1777" i="2"/>
  <c r="L1777" i="2" s="1"/>
  <c r="K1778" i="2"/>
  <c r="L1778" i="2" s="1"/>
  <c r="K1782" i="2"/>
  <c r="L1782" i="2" s="1"/>
  <c r="K1784" i="2"/>
  <c r="L1784" i="2" s="1"/>
  <c r="K1794" i="2"/>
  <c r="L1794" i="2" s="1"/>
  <c r="K1793" i="2"/>
  <c r="L1793" i="2" s="1"/>
  <c r="K1800" i="2"/>
  <c r="L1800" i="2" s="1"/>
  <c r="K1807" i="2"/>
  <c r="L1807" i="2" s="1"/>
  <c r="K1813" i="2"/>
  <c r="L1813" i="2" s="1"/>
  <c r="K1815" i="2"/>
  <c r="L1815" i="2" s="1"/>
  <c r="L1816" i="2"/>
  <c r="L1814" i="2"/>
  <c r="K1819" i="2"/>
  <c r="L1819" i="2" s="1"/>
  <c r="K1818" i="2"/>
  <c r="L1818" i="2" s="1"/>
  <c r="K1824" i="2"/>
  <c r="L1824" i="2" s="1"/>
  <c r="K1829" i="2"/>
  <c r="L1829" i="2" s="1"/>
  <c r="K1827" i="2"/>
  <c r="L1827" i="2" s="1"/>
  <c r="K1835" i="2"/>
  <c r="L1835" i="2" s="1"/>
  <c r="K1842" i="2"/>
  <c r="L1842" i="2" s="1"/>
  <c r="K1847" i="2"/>
  <c r="L1847" i="2" s="1"/>
  <c r="K1846" i="2"/>
  <c r="L1846" i="2" s="1"/>
  <c r="K1851" i="2"/>
  <c r="L1851" i="2" s="1"/>
  <c r="K1856" i="2"/>
  <c r="L1856" i="2" s="1"/>
  <c r="K1857" i="2"/>
  <c r="L1857" i="2" s="1"/>
</calcChain>
</file>

<file path=xl/sharedStrings.xml><?xml version="1.0" encoding="utf-8"?>
<sst xmlns="http://schemas.openxmlformats.org/spreadsheetml/2006/main" count="15527" uniqueCount="4765">
  <si>
    <t>Company</t>
  </si>
  <si>
    <t>Location_HQ</t>
  </si>
  <si>
    <t>Country</t>
  </si>
  <si>
    <t>Continent</t>
  </si>
  <si>
    <t>Laid_Off</t>
  </si>
  <si>
    <t>Date_layoffs</t>
  </si>
  <si>
    <t>Percentage</t>
  </si>
  <si>
    <t>Company_Size_before_Layoffs</t>
  </si>
  <si>
    <t>Company_Size_after_layoffs</t>
  </si>
  <si>
    <t>Industry</t>
  </si>
  <si>
    <t>Stage</t>
  </si>
  <si>
    <t>Year</t>
  </si>
  <si>
    <t>ShareChat</t>
  </si>
  <si>
    <t>Bengaluru</t>
  </si>
  <si>
    <t>India</t>
  </si>
  <si>
    <t>Asia</t>
  </si>
  <si>
    <t>Consumer</t>
  </si>
  <si>
    <t>Series H</t>
  </si>
  <si>
    <t>InSightec</t>
  </si>
  <si>
    <t>Haifa</t>
  </si>
  <si>
    <t>Israel</t>
  </si>
  <si>
    <t>Healthcare</t>
  </si>
  <si>
    <t>Unknown</t>
  </si>
  <si>
    <t>Enphase Energy</t>
  </si>
  <si>
    <t>San Francisco Bay Area</t>
  </si>
  <si>
    <t>USA</t>
  </si>
  <si>
    <t>North America</t>
  </si>
  <si>
    <t>Energy</t>
  </si>
  <si>
    <t>Post-IPO</t>
  </si>
  <si>
    <t>Udaan</t>
  </si>
  <si>
    <t>Retail</t>
  </si>
  <si>
    <t>Cruise</t>
  </si>
  <si>
    <t>Transportation</t>
  </si>
  <si>
    <t>Acquired</t>
  </si>
  <si>
    <t>Bolt</t>
  </si>
  <si>
    <t>Finance</t>
  </si>
  <si>
    <t>Series E</t>
  </si>
  <si>
    <t>Invitae</t>
  </si>
  <si>
    <t>Etsy</t>
  </si>
  <si>
    <t>New York City</t>
  </si>
  <si>
    <t>Chipper Cash</t>
  </si>
  <si>
    <t>Series C</t>
  </si>
  <si>
    <t>Zulily</t>
  </si>
  <si>
    <t>Seattle</t>
  </si>
  <si>
    <t>ZestMoney</t>
  </si>
  <si>
    <t>Navan</t>
  </si>
  <si>
    <t>Incredibuild</t>
  </si>
  <si>
    <t>Tel Aviv</t>
  </si>
  <si>
    <t>Product</t>
  </si>
  <si>
    <t>Series B</t>
  </si>
  <si>
    <t>Spotify</t>
  </si>
  <si>
    <t>Stockholm</t>
  </si>
  <si>
    <t>Sweden</t>
  </si>
  <si>
    <t>Europe</t>
  </si>
  <si>
    <t>Media</t>
  </si>
  <si>
    <t>Loco</t>
  </si>
  <si>
    <t>Mumbai</t>
  </si>
  <si>
    <t>Zepz</t>
  </si>
  <si>
    <t>London</t>
  </si>
  <si>
    <t>Unity</t>
  </si>
  <si>
    <t>Other</t>
  </si>
  <si>
    <t>Dataminr</t>
  </si>
  <si>
    <t>AI</t>
  </si>
  <si>
    <t>Series F</t>
  </si>
  <si>
    <t>Our Next Energy</t>
  </si>
  <si>
    <t>Detroit</t>
  </si>
  <si>
    <t>Physics Wallah</t>
  </si>
  <si>
    <t>Noida</t>
  </si>
  <si>
    <t>Education</t>
  </si>
  <si>
    <t>Series A</t>
  </si>
  <si>
    <t>TripAdvisor</t>
  </si>
  <si>
    <t>Boston</t>
  </si>
  <si>
    <t>Travel</t>
  </si>
  <si>
    <t>Viasat</t>
  </si>
  <si>
    <t>San Diego</t>
  </si>
  <si>
    <t>Beyond Meat</t>
  </si>
  <si>
    <t>Los Angeles</t>
  </si>
  <si>
    <t>Food</t>
  </si>
  <si>
    <t>Splunk</t>
  </si>
  <si>
    <t>Data</t>
  </si>
  <si>
    <t>Faire</t>
  </si>
  <si>
    <t>Series G</t>
  </si>
  <si>
    <t>Sana Benefits</t>
  </si>
  <si>
    <t>Austin</t>
  </si>
  <si>
    <t>HR</t>
  </si>
  <si>
    <t>Hippo Insurance</t>
  </si>
  <si>
    <t>SiFive</t>
  </si>
  <si>
    <t>Hardware</t>
  </si>
  <si>
    <t>Nomad Health</t>
  </si>
  <si>
    <t>Convoy</t>
  </si>
  <si>
    <t>Logistics</t>
  </si>
  <si>
    <t>Bullhorn</t>
  </si>
  <si>
    <t>Sales</t>
  </si>
  <si>
    <t>StellarAlgo</t>
  </si>
  <si>
    <t>Calgary</t>
  </si>
  <si>
    <t>Canada</t>
  </si>
  <si>
    <t>ManoMano</t>
  </si>
  <si>
    <t>Paris</t>
  </si>
  <si>
    <t>France</t>
  </si>
  <si>
    <t>Amsterdam</t>
  </si>
  <si>
    <t>Netherlands</t>
  </si>
  <si>
    <t>LinkedIn</t>
  </si>
  <si>
    <t>C2FO</t>
  </si>
  <si>
    <t>Kansas City</t>
  </si>
  <si>
    <t>Lending Club</t>
  </si>
  <si>
    <t>MariaDB</t>
  </si>
  <si>
    <t>Deepgram</t>
  </si>
  <si>
    <t>Carbon Health</t>
  </si>
  <si>
    <t>Series D</t>
  </si>
  <si>
    <t>InvestCloud</t>
  </si>
  <si>
    <t>SchoolMint</t>
  </si>
  <si>
    <t>Arrival</t>
  </si>
  <si>
    <t>Qualtrics</t>
  </si>
  <si>
    <t>Salt Lake City</t>
  </si>
  <si>
    <t>Hopper</t>
  </si>
  <si>
    <t>Montreal</t>
  </si>
  <si>
    <t>Chainalysis</t>
  </si>
  <si>
    <t>Crypto</t>
  </si>
  <si>
    <t>Synapse</t>
  </si>
  <si>
    <t>Chia Network</t>
  </si>
  <si>
    <t>Cowbell</t>
  </si>
  <si>
    <t>Raleigh</t>
  </si>
  <si>
    <t>Fi.Money</t>
  </si>
  <si>
    <t>Dunzo</t>
  </si>
  <si>
    <t>Flexe</t>
  </si>
  <si>
    <t>Lucid Software</t>
  </si>
  <si>
    <t>7shifts</t>
  </si>
  <si>
    <t>Saskatoon</t>
  </si>
  <si>
    <t>Airtable</t>
  </si>
  <si>
    <t>VideoAmp</t>
  </si>
  <si>
    <t>Marketing</t>
  </si>
  <si>
    <t>Evolve</t>
  </si>
  <si>
    <t>Denver</t>
  </si>
  <si>
    <t>Paper</t>
  </si>
  <si>
    <t>Homeday</t>
  </si>
  <si>
    <t>Berlin</t>
  </si>
  <si>
    <t>Germany</t>
  </si>
  <si>
    <t>Real Estate</t>
  </si>
  <si>
    <t>At-Bay</t>
  </si>
  <si>
    <t>Security</t>
  </si>
  <si>
    <t>Chargebee</t>
  </si>
  <si>
    <t>Grabango</t>
  </si>
  <si>
    <t>Drift</t>
  </si>
  <si>
    <t>Roku</t>
  </si>
  <si>
    <t>Absci</t>
  </si>
  <si>
    <t>Portland</t>
  </si>
  <si>
    <t>Hodinkee</t>
  </si>
  <si>
    <t>Seed</t>
  </si>
  <si>
    <t>Nexar</t>
  </si>
  <si>
    <t>Omuni</t>
  </si>
  <si>
    <t>Kenko Health</t>
  </si>
  <si>
    <t>Huma</t>
  </si>
  <si>
    <t>Zeplin</t>
  </si>
  <si>
    <t>Zebra Technologies</t>
  </si>
  <si>
    <t>Chicago</t>
  </si>
  <si>
    <t>Manufacturing</t>
  </si>
  <si>
    <t>Captiv8</t>
  </si>
  <si>
    <t>Atlas</t>
  </si>
  <si>
    <t>Veriff</t>
  </si>
  <si>
    <t>Tallinn</t>
  </si>
  <si>
    <t>Estonia</t>
  </si>
  <si>
    <t>BlackLine</t>
  </si>
  <si>
    <t>Getir</t>
  </si>
  <si>
    <t>Twiga</t>
  </si>
  <si>
    <t>Nairobi</t>
  </si>
  <si>
    <t>Kenya</t>
  </si>
  <si>
    <t>Africa</t>
  </si>
  <si>
    <t>AppFolio</t>
  </si>
  <si>
    <t>Santa Barbara</t>
  </si>
  <si>
    <t>StreamElements</t>
  </si>
  <si>
    <t>SecureWorks</t>
  </si>
  <si>
    <t>Atlanta</t>
  </si>
  <si>
    <t>Blend</t>
  </si>
  <si>
    <t>Dealtale</t>
  </si>
  <si>
    <t>Thoughtworks</t>
  </si>
  <si>
    <t>Rapid7</t>
  </si>
  <si>
    <t>Doximity</t>
  </si>
  <si>
    <t>23andMe</t>
  </si>
  <si>
    <t>Top Hat</t>
  </si>
  <si>
    <t>Toronto</t>
  </si>
  <si>
    <t>Discord</t>
  </si>
  <si>
    <t>Spinny</t>
  </si>
  <si>
    <t>Gurugram</t>
  </si>
  <si>
    <t>Tekion</t>
  </si>
  <si>
    <t>BetterUp</t>
  </si>
  <si>
    <t>Augury</t>
  </si>
  <si>
    <t>Gupy</t>
  </si>
  <si>
    <t>Sao Paulo</t>
  </si>
  <si>
    <t>Brazil</t>
  </si>
  <si>
    <t>South America</t>
  </si>
  <si>
    <t>Vesttoo</t>
  </si>
  <si>
    <t>Planet</t>
  </si>
  <si>
    <t>Aerospace</t>
  </si>
  <si>
    <t>Archipelago</t>
  </si>
  <si>
    <t>Fable</t>
  </si>
  <si>
    <t>Kape Technologies</t>
  </si>
  <si>
    <t>Eroad</t>
  </si>
  <si>
    <t>Auckland</t>
  </si>
  <si>
    <t>New Zealand</t>
  </si>
  <si>
    <t>Australia</t>
  </si>
  <si>
    <t>Milkbasket</t>
  </si>
  <si>
    <t>Wish</t>
  </si>
  <si>
    <t>Point</t>
  </si>
  <si>
    <t>Verbit</t>
  </si>
  <si>
    <t>Copia</t>
  </si>
  <si>
    <t>Figure</t>
  </si>
  <si>
    <t>Calendly</t>
  </si>
  <si>
    <t>Deep Instict</t>
  </si>
  <si>
    <t>AgentSync</t>
  </si>
  <si>
    <t>Inspirato</t>
  </si>
  <si>
    <t>Tilia</t>
  </si>
  <si>
    <t>Sarcos</t>
  </si>
  <si>
    <t>PayScale</t>
  </si>
  <si>
    <t>AudioCodes</t>
  </si>
  <si>
    <t>Deepwatch</t>
  </si>
  <si>
    <t>Tampa Bay</t>
  </si>
  <si>
    <t>DeepVerge</t>
  </si>
  <si>
    <t>Dublin</t>
  </si>
  <si>
    <t>Ireland</t>
  </si>
  <si>
    <t>Freightos</t>
  </si>
  <si>
    <t>Miami</t>
  </si>
  <si>
    <t>WayCool</t>
  </si>
  <si>
    <t>Chennai</t>
  </si>
  <si>
    <t>Matterport</t>
  </si>
  <si>
    <t>Sisense</t>
  </si>
  <si>
    <t>FrontRow</t>
  </si>
  <si>
    <t>FNZ</t>
  </si>
  <si>
    <t>Perfect Day</t>
  </si>
  <si>
    <t>TytoCare</t>
  </si>
  <si>
    <t>Highsnobiety</t>
  </si>
  <si>
    <t>Zip</t>
  </si>
  <si>
    <t>Sydney</t>
  </si>
  <si>
    <t>Headspace</t>
  </si>
  <si>
    <t>Artsy</t>
  </si>
  <si>
    <t>Torii</t>
  </si>
  <si>
    <t>Ra'anana</t>
  </si>
  <si>
    <t>ClickUp</t>
  </si>
  <si>
    <t>Plex</t>
  </si>
  <si>
    <t>New Relic</t>
  </si>
  <si>
    <t>Infrastructure</t>
  </si>
  <si>
    <t>Robinhood</t>
  </si>
  <si>
    <t>Uber</t>
  </si>
  <si>
    <t>Ritual</t>
  </si>
  <si>
    <t>Grab</t>
  </si>
  <si>
    <t>Singapore</t>
  </si>
  <si>
    <t>Chingari</t>
  </si>
  <si>
    <t>Mojocare</t>
  </si>
  <si>
    <t>Pilot</t>
  </si>
  <si>
    <t>CareRev</t>
  </si>
  <si>
    <t>Bitwise</t>
  </si>
  <si>
    <t>Sonos</t>
  </si>
  <si>
    <t>TrueCar</t>
  </si>
  <si>
    <t>Olo</t>
  </si>
  <si>
    <t>Grubhub</t>
  </si>
  <si>
    <t>GoCardless</t>
  </si>
  <si>
    <t>Pendo</t>
  </si>
  <si>
    <t>Chegg</t>
  </si>
  <si>
    <t>TaxBit</t>
  </si>
  <si>
    <t>Trybe</t>
  </si>
  <si>
    <t>Expel</t>
  </si>
  <si>
    <t>Washington DC</t>
  </si>
  <si>
    <t>Cityblock Health</t>
  </si>
  <si>
    <t>Highspot</t>
  </si>
  <si>
    <t>Edgio</t>
  </si>
  <si>
    <t>Phoenix</t>
  </si>
  <si>
    <t>Reddit</t>
  </si>
  <si>
    <t>Linktree</t>
  </si>
  <si>
    <t>Melbourne</t>
  </si>
  <si>
    <t>Dragos</t>
  </si>
  <si>
    <t>Baltimore</t>
  </si>
  <si>
    <t>ZoomInfo</t>
  </si>
  <si>
    <t>Vancouver</t>
  </si>
  <si>
    <t>Outbrain</t>
  </si>
  <si>
    <t>Zendesk</t>
  </si>
  <si>
    <t>Support</t>
  </si>
  <si>
    <t>ZipRecruiter</t>
  </si>
  <si>
    <t>Vendr</t>
  </si>
  <si>
    <t>Mux</t>
  </si>
  <si>
    <t>Away</t>
  </si>
  <si>
    <t>Taxfix</t>
  </si>
  <si>
    <t>Project44</t>
  </si>
  <si>
    <t>Airmeet</t>
  </si>
  <si>
    <t>Guild</t>
  </si>
  <si>
    <t>Flink</t>
  </si>
  <si>
    <t>Western Digital</t>
  </si>
  <si>
    <t>Kfar Saba</t>
  </si>
  <si>
    <t>Pie Insurance</t>
  </si>
  <si>
    <t>Stash</t>
  </si>
  <si>
    <t>Lemonade</t>
  </si>
  <si>
    <t>Nuro</t>
  </si>
  <si>
    <t>Happay</t>
  </si>
  <si>
    <t>Cornershop</t>
  </si>
  <si>
    <t>Santiago</t>
  </si>
  <si>
    <t>Chile</t>
  </si>
  <si>
    <t>Redbubble</t>
  </si>
  <si>
    <t>Similarweb</t>
  </si>
  <si>
    <t>Stack Overflow</t>
  </si>
  <si>
    <t>Akamai</t>
  </si>
  <si>
    <t>Sonatype</t>
  </si>
  <si>
    <t>Twist Bioscience</t>
  </si>
  <si>
    <t>Meesho</t>
  </si>
  <si>
    <t>Shopify</t>
  </si>
  <si>
    <t>Ottawa</t>
  </si>
  <si>
    <t>Sabre</t>
  </si>
  <si>
    <t>Dallas</t>
  </si>
  <si>
    <t>Autograph</t>
  </si>
  <si>
    <t>Earnix</t>
  </si>
  <si>
    <t>Karma</t>
  </si>
  <si>
    <t>Upwork</t>
  </si>
  <si>
    <t>Brightcove</t>
  </si>
  <si>
    <t>Healthy.io</t>
  </si>
  <si>
    <t>TheSkimm</t>
  </si>
  <si>
    <t>Bishop Fox</t>
  </si>
  <si>
    <t>Zoomo</t>
  </si>
  <si>
    <t>Cue Health</t>
  </si>
  <si>
    <t>N26</t>
  </si>
  <si>
    <t>Dropbox</t>
  </si>
  <si>
    <t>Alteryx</t>
  </si>
  <si>
    <t>Vroom</t>
  </si>
  <si>
    <t>Greenhouse</t>
  </si>
  <si>
    <t>Megaport</t>
  </si>
  <si>
    <t>Brisbane</t>
  </si>
  <si>
    <t>Airtasker</t>
  </si>
  <si>
    <t>Chief</t>
  </si>
  <si>
    <t>Tickertape</t>
  </si>
  <si>
    <t>Teampay</t>
  </si>
  <si>
    <t>Rapid</t>
  </si>
  <si>
    <t>BigPanda</t>
  </si>
  <si>
    <t>Lyft</t>
  </si>
  <si>
    <t>Benchling</t>
  </si>
  <si>
    <t>BuzzFeed</t>
  </si>
  <si>
    <t>Koo</t>
  </si>
  <si>
    <t>Gloat</t>
  </si>
  <si>
    <t>WalkMe</t>
  </si>
  <si>
    <t>Opendoor</t>
  </si>
  <si>
    <t>Culture Amp</t>
  </si>
  <si>
    <t>TRM Labs</t>
  </si>
  <si>
    <t>Clearcover</t>
  </si>
  <si>
    <t>Ynsect</t>
  </si>
  <si>
    <t>Drip Capital</t>
  </si>
  <si>
    <t>Astronomer</t>
  </si>
  <si>
    <t>Cincinnati</t>
  </si>
  <si>
    <t>Milkrun</t>
  </si>
  <si>
    <t>Redfin</t>
  </si>
  <si>
    <t>Permutive</t>
  </si>
  <si>
    <t>Examedi</t>
  </si>
  <si>
    <t>Flock Freight</t>
  </si>
  <si>
    <t>Nori</t>
  </si>
  <si>
    <t>Simpl</t>
  </si>
  <si>
    <t>Pear Therapeutics</t>
  </si>
  <si>
    <t>Amplitude</t>
  </si>
  <si>
    <t>Talent.com</t>
  </si>
  <si>
    <t>Boost</t>
  </si>
  <si>
    <t>View</t>
  </si>
  <si>
    <t>Guideline</t>
  </si>
  <si>
    <t>Textio</t>
  </si>
  <si>
    <t>Domestika</t>
  </si>
  <si>
    <t>Madrid</t>
  </si>
  <si>
    <t>Spain</t>
  </si>
  <si>
    <t>FanClash</t>
  </si>
  <si>
    <t>Loop</t>
  </si>
  <si>
    <t>Crossbeam</t>
  </si>
  <si>
    <t>Philadelphia</t>
  </si>
  <si>
    <t>Electronic Arts</t>
  </si>
  <si>
    <t>iCAD</t>
  </si>
  <si>
    <t>Nashua</t>
  </si>
  <si>
    <t>Lucid Motors</t>
  </si>
  <si>
    <t>AEye</t>
  </si>
  <si>
    <t>Slite</t>
  </si>
  <si>
    <t>Indeed</t>
  </si>
  <si>
    <t>Glassdoor</t>
  </si>
  <si>
    <t>Wejo</t>
  </si>
  <si>
    <t>Chester</t>
  </si>
  <si>
    <t>Workhuman</t>
  </si>
  <si>
    <t>FreshBooks</t>
  </si>
  <si>
    <t>Smallcase</t>
  </si>
  <si>
    <t>Amazon</t>
  </si>
  <si>
    <t>Livspace</t>
  </si>
  <si>
    <t>Symend</t>
  </si>
  <si>
    <t>Freshworks</t>
  </si>
  <si>
    <t>Course Hero</t>
  </si>
  <si>
    <t>Leafly</t>
  </si>
  <si>
    <t>Dukaan</t>
  </si>
  <si>
    <t>Boxed</t>
  </si>
  <si>
    <t>TradeWindow</t>
  </si>
  <si>
    <t>Meta</t>
  </si>
  <si>
    <t>Fetch</t>
  </si>
  <si>
    <t>Madison</t>
  </si>
  <si>
    <t>Anchorage Digital</t>
  </si>
  <si>
    <t>Avidbots</t>
  </si>
  <si>
    <t>Kitchener</t>
  </si>
  <si>
    <t>Kaleidoscope</t>
  </si>
  <si>
    <t>Minneapolis</t>
  </si>
  <si>
    <t>Xero</t>
  </si>
  <si>
    <t>Wellington</t>
  </si>
  <si>
    <t>Gopuff</t>
  </si>
  <si>
    <t>Wattpad</t>
  </si>
  <si>
    <t>Pristyn Care</t>
  </si>
  <si>
    <t>Zwift</t>
  </si>
  <si>
    <t>Fitness</t>
  </si>
  <si>
    <t>Atlassian</t>
  </si>
  <si>
    <t>SiriusXM</t>
  </si>
  <si>
    <t>Loft</t>
  </si>
  <si>
    <t>Embark Trucks</t>
  </si>
  <si>
    <t>Zscaler</t>
  </si>
  <si>
    <t>Fittr</t>
  </si>
  <si>
    <t>Pune</t>
  </si>
  <si>
    <t>CNET</t>
  </si>
  <si>
    <t>iFood</t>
  </si>
  <si>
    <t>Waymo</t>
  </si>
  <si>
    <t>PayFit</t>
  </si>
  <si>
    <t>Sonder</t>
  </si>
  <si>
    <t>Eventbrite</t>
  </si>
  <si>
    <t>Cerebral</t>
  </si>
  <si>
    <t>Amount</t>
  </si>
  <si>
    <t>Palantir</t>
  </si>
  <si>
    <t>Outreach</t>
  </si>
  <si>
    <t>Stytch</t>
  </si>
  <si>
    <t>Twitter</t>
  </si>
  <si>
    <t>Ericsson</t>
  </si>
  <si>
    <t>OneFootball</t>
  </si>
  <si>
    <t>Green Labs</t>
  </si>
  <si>
    <t>Seoul</t>
  </si>
  <si>
    <t>South Korea</t>
  </si>
  <si>
    <t>Polygon</t>
  </si>
  <si>
    <t>Basis Technologies</t>
  </si>
  <si>
    <t>MyGate</t>
  </si>
  <si>
    <t>Fireblocks</t>
  </si>
  <si>
    <t>Kinde</t>
  </si>
  <si>
    <t>Micron</t>
  </si>
  <si>
    <t>Boise</t>
  </si>
  <si>
    <t>DocuSign</t>
  </si>
  <si>
    <t>Pico Interactive</t>
  </si>
  <si>
    <t>The RealReal</t>
  </si>
  <si>
    <t>Smartsheet</t>
  </si>
  <si>
    <t>Wix</t>
  </si>
  <si>
    <t>ServiceTitan</t>
  </si>
  <si>
    <t>Neon</t>
  </si>
  <si>
    <t>DigitalOcean</t>
  </si>
  <si>
    <t>Sprinklr</t>
  </si>
  <si>
    <t>Dropp</t>
  </si>
  <si>
    <t>Twilio</t>
  </si>
  <si>
    <t>Electric</t>
  </si>
  <si>
    <t>iRobot</t>
  </si>
  <si>
    <t>Moladin</t>
  </si>
  <si>
    <t>Jakarta</t>
  </si>
  <si>
    <t>Indonesia</t>
  </si>
  <si>
    <t>TripleLift</t>
  </si>
  <si>
    <t>Titan Medical</t>
  </si>
  <si>
    <t>Yahoo</t>
  </si>
  <si>
    <t>Deliveroo</t>
  </si>
  <si>
    <t>Olive AI</t>
  </si>
  <si>
    <t>Columbus</t>
  </si>
  <si>
    <t>Oportun</t>
  </si>
  <si>
    <t>GitLab</t>
  </si>
  <si>
    <t>REE Automotive</t>
  </si>
  <si>
    <t>GoDaddy</t>
  </si>
  <si>
    <t>Affirm</t>
  </si>
  <si>
    <t>Gusto</t>
  </si>
  <si>
    <t>Gong</t>
  </si>
  <si>
    <t>Beam Benefits</t>
  </si>
  <si>
    <t>Equitybee</t>
  </si>
  <si>
    <t>Zoom</t>
  </si>
  <si>
    <t>eBay</t>
  </si>
  <si>
    <t>Salesloft</t>
  </si>
  <si>
    <t>Openpay</t>
  </si>
  <si>
    <t>LearnUpon</t>
  </si>
  <si>
    <t>Loggi</t>
  </si>
  <si>
    <t>Pocket Aces</t>
  </si>
  <si>
    <t>Lightico</t>
  </si>
  <si>
    <t>Eightfold AI</t>
  </si>
  <si>
    <t>Protocol Labs</t>
  </si>
  <si>
    <t>Okta</t>
  </si>
  <si>
    <t>Miro</t>
  </si>
  <si>
    <t>DraftKings</t>
  </si>
  <si>
    <t>Workato</t>
  </si>
  <si>
    <t>Wheel</t>
  </si>
  <si>
    <t>Exterro</t>
  </si>
  <si>
    <t>Legal</t>
  </si>
  <si>
    <t>PayPal</t>
  </si>
  <si>
    <t>Workday</t>
  </si>
  <si>
    <t>HubSpot</t>
  </si>
  <si>
    <t>Upstart</t>
  </si>
  <si>
    <t>Software AG</t>
  </si>
  <si>
    <t>Tilting Point</t>
  </si>
  <si>
    <t>AU10TIX</t>
  </si>
  <si>
    <t>Glovo</t>
  </si>
  <si>
    <t>Barcelona</t>
  </si>
  <si>
    <t>Delivery Hero</t>
  </si>
  <si>
    <t>Impossible Foods</t>
  </si>
  <si>
    <t>Chrono24</t>
  </si>
  <si>
    <t>Karlsruhe</t>
  </si>
  <si>
    <t>DealShare</t>
  </si>
  <si>
    <t>Matrixport</t>
  </si>
  <si>
    <t>Shakepay</t>
  </si>
  <si>
    <t>#Paid</t>
  </si>
  <si>
    <t>SAP</t>
  </si>
  <si>
    <t>Walldorf</t>
  </si>
  <si>
    <t>Confluent</t>
  </si>
  <si>
    <t>Glisser</t>
  </si>
  <si>
    <t>Luno</t>
  </si>
  <si>
    <t>Guardant Health</t>
  </si>
  <si>
    <t>SirionLabs</t>
  </si>
  <si>
    <t>Tier Mobility</t>
  </si>
  <si>
    <t>Vacasa</t>
  </si>
  <si>
    <t>Innovaccer</t>
  </si>
  <si>
    <t>PartnerStack</t>
  </si>
  <si>
    <t>Gitpod</t>
  </si>
  <si>
    <t>Kiel</t>
  </si>
  <si>
    <t>Uber Freight</t>
  </si>
  <si>
    <t>Innovid</t>
  </si>
  <si>
    <t>Ermetic</t>
  </si>
  <si>
    <t>Namogoo</t>
  </si>
  <si>
    <t>Google</t>
  </si>
  <si>
    <t>Wayfair</t>
  </si>
  <si>
    <t>Swiggy</t>
  </si>
  <si>
    <t>MediBuddy</t>
  </si>
  <si>
    <t>Vox Media</t>
  </si>
  <si>
    <t>Enjoei</t>
  </si>
  <si>
    <t>Citrine Informatics</t>
  </si>
  <si>
    <t>Hubilo</t>
  </si>
  <si>
    <t>Saks.com</t>
  </si>
  <si>
    <t>CS Disco</t>
  </si>
  <si>
    <t>Microsoft</t>
  </si>
  <si>
    <t>Sophos</t>
  </si>
  <si>
    <t>Oxford</t>
  </si>
  <si>
    <t>Teladoc Health</t>
  </si>
  <si>
    <t>8x8</t>
  </si>
  <si>
    <t>Pagaya</t>
  </si>
  <si>
    <t>Benevity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</si>
  <si>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</si>
  <si>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</si>
  <si>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</si>
  <si>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</si>
  <si>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</si>
  <si>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</si>
  <si>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</si>
  <si>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</si>
  <si>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Lightspeed Company</t>
  </si>
  <si>
    <t>Britishvolt</t>
  </si>
  <si>
    <t>Exotel</t>
  </si>
  <si>
    <t>Unico</t>
  </si>
  <si>
    <t>American Robotics</t>
  </si>
  <si>
    <t>ClearCo</t>
  </si>
  <si>
    <t>Snappy</t>
  </si>
  <si>
    <t>BharatAgri</t>
  </si>
  <si>
    <t>SmartNews</t>
  </si>
  <si>
    <t>Tokyo</t>
  </si>
  <si>
    <t>Japan</t>
  </si>
  <si>
    <t>Pier</t>
  </si>
  <si>
    <t>Blockchain.com</t>
  </si>
  <si>
    <t>Lattice</t>
  </si>
  <si>
    <t>Greenlight</t>
  </si>
  <si>
    <t>Akili Labs</t>
  </si>
  <si>
    <t>Flexport</t>
  </si>
  <si>
    <t>Tipalti</t>
  </si>
  <si>
    <t>Jumio</t>
  </si>
  <si>
    <t>Coinbase</t>
  </si>
  <si>
    <t>ConsenSys</t>
  </si>
  <si>
    <t>ForeScout</t>
  </si>
  <si>
    <t>Thinkific</t>
  </si>
  <si>
    <t>Parler</t>
  </si>
  <si>
    <t>Nashville</t>
  </si>
  <si>
    <t>GoBolt</t>
  </si>
  <si>
    <t>Cart.com</t>
  </si>
  <si>
    <t>Fate Therapeutics</t>
  </si>
  <si>
    <t>Minute Media</t>
  </si>
  <si>
    <t>Series I</t>
  </si>
  <si>
    <t>Huobi</t>
  </si>
  <si>
    <t>China</t>
  </si>
  <si>
    <t>Bounce</t>
  </si>
  <si>
    <t>SoundHound</t>
  </si>
  <si>
    <t>Socure</t>
  </si>
  <si>
    <t>Reno</t>
  </si>
  <si>
    <t>Moglix</t>
  </si>
  <si>
    <t>Everlane</t>
  </si>
  <si>
    <t>Pecan AI</t>
  </si>
  <si>
    <t>Personetics</t>
  </si>
  <si>
    <t>Twine Solutions</t>
  </si>
  <si>
    <t>UpScalio</t>
  </si>
  <si>
    <t>Kaltura</t>
  </si>
  <si>
    <t>Uniphore</t>
  </si>
  <si>
    <t>Back Market</t>
  </si>
  <si>
    <t>TuSimple</t>
  </si>
  <si>
    <t>Chope</t>
  </si>
  <si>
    <t>Briza</t>
  </si>
  <si>
    <t>Homebot</t>
  </si>
  <si>
    <t>Tomorrow</t>
  </si>
  <si>
    <t>Hamburg</t>
  </si>
  <si>
    <t>Revelate</t>
  </si>
  <si>
    <t>BigCommerce</t>
  </si>
  <si>
    <t>LeafLink</t>
  </si>
  <si>
    <t>Workmotion</t>
  </si>
  <si>
    <t>JD.ID</t>
  </si>
  <si>
    <t>ChowNow</t>
  </si>
  <si>
    <t>Thumbtack</t>
  </si>
  <si>
    <t>Komodo Health</t>
  </si>
  <si>
    <t>Pluralsight</t>
  </si>
  <si>
    <t>Outschool</t>
  </si>
  <si>
    <t>Xentral</t>
  </si>
  <si>
    <t>Munich</t>
  </si>
  <si>
    <t>Alice</t>
  </si>
  <si>
    <t>Primer</t>
  </si>
  <si>
    <t>Glints</t>
  </si>
  <si>
    <t>Buser</t>
  </si>
  <si>
    <t>Otonomo</t>
  </si>
  <si>
    <t>TechTarget</t>
  </si>
  <si>
    <t>CyCognito</t>
  </si>
  <si>
    <t>Armis</t>
  </si>
  <si>
    <t>Plaid</t>
  </si>
  <si>
    <t>Motive</t>
  </si>
  <si>
    <t>Relativity</t>
  </si>
  <si>
    <t>Voi</t>
  </si>
  <si>
    <t>Integral Ad Science</t>
  </si>
  <si>
    <t>Houzz</t>
  </si>
  <si>
    <t>Grover</t>
  </si>
  <si>
    <t>Lev</t>
  </si>
  <si>
    <t>Lithic</t>
  </si>
  <si>
    <t>Doma</t>
  </si>
  <si>
    <t>Perimeter 81</t>
  </si>
  <si>
    <t>Bridgit</t>
  </si>
  <si>
    <t>Waterloo</t>
  </si>
  <si>
    <t>Construction</t>
  </si>
  <si>
    <t>Aqua Security</t>
  </si>
  <si>
    <t>DataRails</t>
  </si>
  <si>
    <t>Polly</t>
  </si>
  <si>
    <t>Burlington</t>
  </si>
  <si>
    <t>Carousell</t>
  </si>
  <si>
    <t>Bizzabo</t>
  </si>
  <si>
    <t>Netlify</t>
  </si>
  <si>
    <t>Springbig</t>
  </si>
  <si>
    <t>DoorDash</t>
  </si>
  <si>
    <t>Kraken</t>
  </si>
  <si>
    <t>Happy Money</t>
  </si>
  <si>
    <t>Ula</t>
  </si>
  <si>
    <t>Wonder</t>
  </si>
  <si>
    <t>Grin</t>
  </si>
  <si>
    <t>Sacramento</t>
  </si>
  <si>
    <t>Ualá</t>
  </si>
  <si>
    <t>Buenos Aires</t>
  </si>
  <si>
    <t>Argentina</t>
  </si>
  <si>
    <t>Teachmint</t>
  </si>
  <si>
    <t>Thread</t>
  </si>
  <si>
    <t>Lyst</t>
  </si>
  <si>
    <t>CoinJar</t>
  </si>
  <si>
    <t>Infarm</t>
  </si>
  <si>
    <t>Wildlife Studios</t>
  </si>
  <si>
    <t>ApplyBoard</t>
  </si>
  <si>
    <t>Ajaib</t>
  </si>
  <si>
    <t>Candy Digital</t>
  </si>
  <si>
    <t>ResearchGate</t>
  </si>
  <si>
    <t>VerSe Innovation</t>
  </si>
  <si>
    <t>Series J</t>
  </si>
  <si>
    <t>Carwow</t>
  </si>
  <si>
    <t>Vendease</t>
  </si>
  <si>
    <t>Lagos</t>
  </si>
  <si>
    <t>Nigeria</t>
  </si>
  <si>
    <t>Lemon</t>
  </si>
  <si>
    <t>Quidax</t>
  </si>
  <si>
    <t>SIRCLO</t>
  </si>
  <si>
    <t>Trax</t>
  </si>
  <si>
    <t>Jumia</t>
  </si>
  <si>
    <t>Kitopi</t>
  </si>
  <si>
    <t>Dubai</t>
  </si>
  <si>
    <t>United Arabian Emirates</t>
  </si>
  <si>
    <t>Zomato</t>
  </si>
  <si>
    <t>Carvana</t>
  </si>
  <si>
    <t>Synthego</t>
  </si>
  <si>
    <t>Juni</t>
  </si>
  <si>
    <t>Gothenburg</t>
  </si>
  <si>
    <t>Capitolis</t>
  </si>
  <si>
    <t>TealBook</t>
  </si>
  <si>
    <t>Koho</t>
  </si>
  <si>
    <t>&amp;Open</t>
  </si>
  <si>
    <t>Cisco</t>
  </si>
  <si>
    <t>Wayflyer</t>
  </si>
  <si>
    <t>Salsify</t>
  </si>
  <si>
    <t>Lokalise</t>
  </si>
  <si>
    <t>Dover</t>
  </si>
  <si>
    <t>Yotpo</t>
  </si>
  <si>
    <t>UiPath</t>
  </si>
  <si>
    <t>Asana</t>
  </si>
  <si>
    <t>OwnBackup</t>
  </si>
  <si>
    <t>Deliveroo Australia</t>
  </si>
  <si>
    <t>Jimdo</t>
  </si>
  <si>
    <t>CaptivateIQ</t>
  </si>
  <si>
    <t>Illumina</t>
  </si>
  <si>
    <t>iFit</t>
  </si>
  <si>
    <t>Logan</t>
  </si>
  <si>
    <t>Ribbon</t>
  </si>
  <si>
    <t>Pipedrive</t>
  </si>
  <si>
    <t>Intercom</t>
  </si>
  <si>
    <t>Cloudinary</t>
  </si>
  <si>
    <t>Veev</t>
  </si>
  <si>
    <t>Forto</t>
  </si>
  <si>
    <t>GoTo Group</t>
  </si>
  <si>
    <t>Juul</t>
  </si>
  <si>
    <t>InfluxData</t>
  </si>
  <si>
    <t>Ocavu</t>
  </si>
  <si>
    <t>Lehi</t>
  </si>
  <si>
    <t>Flyhomes</t>
  </si>
  <si>
    <t>AvantStay</t>
  </si>
  <si>
    <t>Root Insurance</t>
  </si>
  <si>
    <t>Liftoff</t>
  </si>
  <si>
    <t>Plum</t>
  </si>
  <si>
    <t>Kabam</t>
  </si>
  <si>
    <t>Unacademy</t>
  </si>
  <si>
    <t>Dock</t>
  </si>
  <si>
    <t>Varonis</t>
  </si>
  <si>
    <t>Planetly</t>
  </si>
  <si>
    <t>KoinWorks</t>
  </si>
  <si>
    <t>Exodus</t>
  </si>
  <si>
    <t>Nebraska City</t>
  </si>
  <si>
    <t>Stripe</t>
  </si>
  <si>
    <t>Pleo</t>
  </si>
  <si>
    <t>Copenhagen</t>
  </si>
  <si>
    <t>Denmark</t>
  </si>
  <si>
    <t>Shippo</t>
  </si>
  <si>
    <t>Chime</t>
  </si>
  <si>
    <t>Dapper Labs</t>
  </si>
  <si>
    <t>Checkmarx</t>
  </si>
  <si>
    <t>Smava</t>
  </si>
  <si>
    <t>Iron Ox</t>
  </si>
  <si>
    <t>Gem</t>
  </si>
  <si>
    <t>Oda</t>
  </si>
  <si>
    <t>Oslo</t>
  </si>
  <si>
    <t>Norway</t>
  </si>
  <si>
    <t>Kry</t>
  </si>
  <si>
    <t>EquityZen</t>
  </si>
  <si>
    <t>Fifth Season</t>
  </si>
  <si>
    <t>Pittsburgh</t>
  </si>
  <si>
    <t>RenoRun</t>
  </si>
  <si>
    <t>Recharge</t>
  </si>
  <si>
    <t>MindBody</t>
  </si>
  <si>
    <t>San Luis Obispo</t>
  </si>
  <si>
    <t>Zillow</t>
  </si>
  <si>
    <t>Cybereason</t>
  </si>
  <si>
    <t>Argo AI</t>
  </si>
  <si>
    <t>Fundbox</t>
  </si>
  <si>
    <t>Embroker</t>
  </si>
  <si>
    <t>Vee</t>
  </si>
  <si>
    <t>Snyk</t>
  </si>
  <si>
    <t>OrCam</t>
  </si>
  <si>
    <t>Jerusalem</t>
  </si>
  <si>
    <t>Antidote Health</t>
  </si>
  <si>
    <t>Khoros</t>
  </si>
  <si>
    <t>Elinvar</t>
  </si>
  <si>
    <t>Synapsica</t>
  </si>
  <si>
    <t>New Delhi</t>
  </si>
  <si>
    <t>Hotmart</t>
  </si>
  <si>
    <t>Belo Horizonte</t>
  </si>
  <si>
    <t>Zeus Living</t>
  </si>
  <si>
    <t>Loom</t>
  </si>
  <si>
    <t>AtoB</t>
  </si>
  <si>
    <t>InfoSum</t>
  </si>
  <si>
    <t>Flipboard</t>
  </si>
  <si>
    <t>Playdots</t>
  </si>
  <si>
    <t>Byju's</t>
  </si>
  <si>
    <t>6sense</t>
  </si>
  <si>
    <t>Noom</t>
  </si>
  <si>
    <t>Brex</t>
  </si>
  <si>
    <t>Pacaso</t>
  </si>
  <si>
    <t>Udacity</t>
  </si>
  <si>
    <t>Linkfire</t>
  </si>
  <si>
    <t>Momentive</t>
  </si>
  <si>
    <t>Pavilion Data</t>
  </si>
  <si>
    <t>Redesign Health</t>
  </si>
  <si>
    <t>BioMarin</t>
  </si>
  <si>
    <t>Crypto.com</t>
  </si>
  <si>
    <t>Peloton</t>
  </si>
  <si>
    <t>Built In</t>
  </si>
  <si>
    <t>Homie</t>
  </si>
  <si>
    <t>Spin</t>
  </si>
  <si>
    <t>Divvy Homes</t>
  </si>
  <si>
    <t>Moss</t>
  </si>
  <si>
    <t>Foxtrot</t>
  </si>
  <si>
    <t>Truiloo</t>
  </si>
  <si>
    <t>NYDIG</t>
  </si>
  <si>
    <t>Kitty Hawk</t>
  </si>
  <si>
    <t>Compass</t>
  </si>
  <si>
    <t>Ada</t>
  </si>
  <si>
    <t>Vesalius Therapeutics</t>
  </si>
  <si>
    <t>Clear</t>
  </si>
  <si>
    <t>TrueLayer</t>
  </si>
  <si>
    <t>LivePerson</t>
  </si>
  <si>
    <t>Acast</t>
  </si>
  <si>
    <t>WorkRamp</t>
  </si>
  <si>
    <t>Pitch</t>
  </si>
  <si>
    <t>Rubius</t>
  </si>
  <si>
    <t>Checkout.com</t>
  </si>
  <si>
    <t>Taboola</t>
  </si>
  <si>
    <t>Patreon</t>
  </si>
  <si>
    <t>Compete</t>
  </si>
  <si>
    <t>Pomelo Fashion</t>
  </si>
  <si>
    <t>Bangkok</t>
  </si>
  <si>
    <t>Thailand</t>
  </si>
  <si>
    <t>Simple Feast</t>
  </si>
  <si>
    <t>Demandbase</t>
  </si>
  <si>
    <t>Brave Care</t>
  </si>
  <si>
    <t>Lawgeex</t>
  </si>
  <si>
    <t>Kuda</t>
  </si>
  <si>
    <t>2TM</t>
  </si>
  <si>
    <t>Urban Sports Club</t>
  </si>
  <si>
    <t>Snap</t>
  </si>
  <si>
    <t>GoodRx</t>
  </si>
  <si>
    <t>TCR2</t>
  </si>
  <si>
    <t>Apartment List</t>
  </si>
  <si>
    <t>Immersive Labs</t>
  </si>
  <si>
    <t>Bristol</t>
  </si>
  <si>
    <t>54gene</t>
  </si>
  <si>
    <t>Argyle</t>
  </si>
  <si>
    <t>Reali</t>
  </si>
  <si>
    <t>Packable</t>
  </si>
  <si>
    <t>Q4</t>
  </si>
  <si>
    <t>Skedulo</t>
  </si>
  <si>
    <t>Plato</t>
  </si>
  <si>
    <t>DataRobot</t>
  </si>
  <si>
    <t>NSO</t>
  </si>
  <si>
    <t>Tufin</t>
  </si>
  <si>
    <t>Amperity</t>
  </si>
  <si>
    <t>Malwarebytes</t>
  </si>
  <si>
    <t>AlayaCare</t>
  </si>
  <si>
    <t>Pliops</t>
  </si>
  <si>
    <t>Woven</t>
  </si>
  <si>
    <t>Indianapolis</t>
  </si>
  <si>
    <t>Sema4</t>
  </si>
  <si>
    <t>Stamford</t>
  </si>
  <si>
    <t>ContraFect</t>
  </si>
  <si>
    <t>Truepill</t>
  </si>
  <si>
    <t>Calm</t>
  </si>
  <si>
    <t>FourKites</t>
  </si>
  <si>
    <t>Marketforce</t>
  </si>
  <si>
    <t>GoHealth</t>
  </si>
  <si>
    <t>Nutanix</t>
  </si>
  <si>
    <t>Quanterix</t>
  </si>
  <si>
    <t>MadeiraMadeira</t>
  </si>
  <si>
    <t>Curitiba</t>
  </si>
  <si>
    <t>Shogun</t>
  </si>
  <si>
    <t>Groupon</t>
  </si>
  <si>
    <t>Perion</t>
  </si>
  <si>
    <t>Mejuri</t>
  </si>
  <si>
    <t>Uberflip</t>
  </si>
  <si>
    <t>Jam City</t>
  </si>
  <si>
    <t>10X Genomics</t>
  </si>
  <si>
    <t>LEAD</t>
  </si>
  <si>
    <t>On Deck</t>
  </si>
  <si>
    <t>Unbounce</t>
  </si>
  <si>
    <t>Latch</t>
  </si>
  <si>
    <t>Nylas</t>
  </si>
  <si>
    <t>Sendy</t>
  </si>
  <si>
    <t>Stedi</t>
  </si>
  <si>
    <t>Glossier</t>
  </si>
  <si>
    <t>Hash</t>
  </si>
  <si>
    <t>Metigy</t>
  </si>
  <si>
    <t>Clearco</t>
  </si>
  <si>
    <t>Quantcast</t>
  </si>
  <si>
    <t>Career Karma</t>
  </si>
  <si>
    <t>Metromile</t>
  </si>
  <si>
    <t>Rivian</t>
  </si>
  <si>
    <t>Coinsquare</t>
  </si>
  <si>
    <t>Skai</t>
  </si>
  <si>
    <t>Fiverr</t>
  </si>
  <si>
    <t>InDebted</t>
  </si>
  <si>
    <t>Immutable</t>
  </si>
  <si>
    <t>Soluto</t>
  </si>
  <si>
    <t>Eucalyptus</t>
  </si>
  <si>
    <t>Quanto</t>
  </si>
  <si>
    <t>Clarify Health</t>
  </si>
  <si>
    <t>WHOOP</t>
  </si>
  <si>
    <t>Rad Power Bikes</t>
  </si>
  <si>
    <t>Lunchbox</t>
  </si>
  <si>
    <t>RealSelf</t>
  </si>
  <si>
    <t>Introhive</t>
  </si>
  <si>
    <t>Ferdericton</t>
  </si>
  <si>
    <t>Zencity</t>
  </si>
  <si>
    <t>Forma.ai</t>
  </si>
  <si>
    <t>Gemini</t>
  </si>
  <si>
    <t>Lusha</t>
  </si>
  <si>
    <t>Bright Money</t>
  </si>
  <si>
    <t>Heroes</t>
  </si>
  <si>
    <t>Zego</t>
  </si>
  <si>
    <t>The Mom Project</t>
  </si>
  <si>
    <t>Unstoppable Do.</t>
  </si>
  <si>
    <t>Kiavi</t>
  </si>
  <si>
    <t>Wave</t>
  </si>
  <si>
    <t>Dakar</t>
  </si>
  <si>
    <t>Senegal</t>
  </si>
  <si>
    <t>Tonal</t>
  </si>
  <si>
    <t>Fabric</t>
  </si>
  <si>
    <t>Bryter</t>
  </si>
  <si>
    <t>Involves</t>
  </si>
  <si>
    <t>Florianopolis</t>
  </si>
  <si>
    <t>Hopin</t>
  </si>
  <si>
    <t>SundaySky</t>
  </si>
  <si>
    <t>Butler Hospitality</t>
  </si>
  <si>
    <t>Calibrate</t>
  </si>
  <si>
    <t>Next Insurance</t>
  </si>
  <si>
    <t>Emotive</t>
  </si>
  <si>
    <t>Remote</t>
  </si>
  <si>
    <t>Anodot</t>
  </si>
  <si>
    <t>SQream</t>
  </si>
  <si>
    <t>eToro</t>
  </si>
  <si>
    <t>Bullish</t>
  </si>
  <si>
    <t>Hong Kong</t>
  </si>
  <si>
    <t>Transmit Security</t>
  </si>
  <si>
    <t>Thimble</t>
  </si>
  <si>
    <t>Syte</t>
  </si>
  <si>
    <t>Lightricks</t>
  </si>
  <si>
    <t>Sendle</t>
  </si>
  <si>
    <t>Lendis</t>
  </si>
  <si>
    <t>Celsius</t>
  </si>
  <si>
    <t>WanderJaunt</t>
  </si>
  <si>
    <t>Canoo</t>
  </si>
  <si>
    <t>Teleport</t>
  </si>
  <si>
    <t>Enjoy</t>
  </si>
  <si>
    <t>Crejo.Fun</t>
  </si>
  <si>
    <t>Stash Financial</t>
  </si>
  <si>
    <t>Nate</t>
  </si>
  <si>
    <t>Stream</t>
  </si>
  <si>
    <t>Finleap Connect</t>
  </si>
  <si>
    <t>Abra</t>
  </si>
  <si>
    <t>Niantic</t>
  </si>
  <si>
    <t>Qumulo</t>
  </si>
  <si>
    <t>Clutch</t>
  </si>
  <si>
    <t>Oye Rickshaw</t>
  </si>
  <si>
    <t>Rows</t>
  </si>
  <si>
    <t>Baton</t>
  </si>
  <si>
    <t>Substack</t>
  </si>
  <si>
    <t>StockX</t>
  </si>
  <si>
    <t>Sidecar Health</t>
  </si>
  <si>
    <t>Vezeeta</t>
  </si>
  <si>
    <t>Bright Machines</t>
  </si>
  <si>
    <t>HealthMatch</t>
  </si>
  <si>
    <t>AppLovin</t>
  </si>
  <si>
    <t>Banxa</t>
  </si>
  <si>
    <t>SafeGraph</t>
  </si>
  <si>
    <t>Bitpanda</t>
  </si>
  <si>
    <t>Vienna</t>
  </si>
  <si>
    <t>Austria</t>
  </si>
  <si>
    <t>Sunday</t>
  </si>
  <si>
    <t>Bestow</t>
  </si>
  <si>
    <t>Ethos Life</t>
  </si>
  <si>
    <t>Netflix</t>
  </si>
  <si>
    <t>Aura</t>
  </si>
  <si>
    <t>Pipl</t>
  </si>
  <si>
    <t>Spokane</t>
  </si>
  <si>
    <t>Vouch</t>
  </si>
  <si>
    <t>Voyage SMS</t>
  </si>
  <si>
    <t>MasterClass</t>
  </si>
  <si>
    <t>IronNet</t>
  </si>
  <si>
    <t>Superpedestrian</t>
  </si>
  <si>
    <t>Ebanx</t>
  </si>
  <si>
    <t>Community</t>
  </si>
  <si>
    <t>Sourcegraph</t>
  </si>
  <si>
    <t>SummerBio</t>
  </si>
  <si>
    <t>Aqgromalin</t>
  </si>
  <si>
    <t>Bonsai</t>
  </si>
  <si>
    <t>Brighte</t>
  </si>
  <si>
    <t>CityMall</t>
  </si>
  <si>
    <t>BitOasis</t>
  </si>
  <si>
    <t>Finite State</t>
  </si>
  <si>
    <t>JOKR</t>
  </si>
  <si>
    <t>Zumper</t>
  </si>
  <si>
    <t>Swappie</t>
  </si>
  <si>
    <t>Helsinki</t>
  </si>
  <si>
    <t>Finland</t>
  </si>
  <si>
    <t>Wealthsimple</t>
  </si>
  <si>
    <t>Weee!</t>
  </si>
  <si>
    <t>Notarize</t>
  </si>
  <si>
    <t>Tonkean</t>
  </si>
  <si>
    <t>OpenWeb</t>
  </si>
  <si>
    <t>Swyft</t>
  </si>
  <si>
    <t>Sami</t>
  </si>
  <si>
    <t>Breathe</t>
  </si>
  <si>
    <t>TIFIN</t>
  </si>
  <si>
    <t>BlockFi</t>
  </si>
  <si>
    <t>Wave Sports and Entertainment</t>
  </si>
  <si>
    <t>Studio</t>
  </si>
  <si>
    <t>FarEye</t>
  </si>
  <si>
    <t>Berlin Brands Group</t>
  </si>
  <si>
    <t>Sanar</t>
  </si>
  <si>
    <t>Freetrade</t>
  </si>
  <si>
    <t>Albert</t>
  </si>
  <si>
    <t>OneTrust</t>
  </si>
  <si>
    <t>Stitch Fix</t>
  </si>
  <si>
    <t>Hologram</t>
  </si>
  <si>
    <t>Boozt</t>
  </si>
  <si>
    <t>Malmö</t>
  </si>
  <si>
    <t>The Grommet</t>
  </si>
  <si>
    <t>Stashaway</t>
  </si>
  <si>
    <t>Preply</t>
  </si>
  <si>
    <t>iPrice Group</t>
  </si>
  <si>
    <t>Kuala Lumpur</t>
  </si>
  <si>
    <t>Malaysia</t>
  </si>
  <si>
    <t>Cazoo</t>
  </si>
  <si>
    <t>Rupeek</t>
  </si>
  <si>
    <t>Bird</t>
  </si>
  <si>
    <t>Dutchie</t>
  </si>
  <si>
    <t>Bend</t>
  </si>
  <si>
    <t>Superhuman</t>
  </si>
  <si>
    <t>Food52</t>
  </si>
  <si>
    <t>PolicyGenius</t>
  </si>
  <si>
    <t>Yojak</t>
  </si>
  <si>
    <t>Stord</t>
  </si>
  <si>
    <t>Gather</t>
  </si>
  <si>
    <t>IRL</t>
  </si>
  <si>
    <t>Udayy</t>
  </si>
  <si>
    <t>Curve</t>
  </si>
  <si>
    <t>Impala</t>
  </si>
  <si>
    <t>Tomo</t>
  </si>
  <si>
    <t>BookClub</t>
  </si>
  <si>
    <t>SWVL</t>
  </si>
  <si>
    <t>Mobile Premier League</t>
  </si>
  <si>
    <t>SumUp</t>
  </si>
  <si>
    <t>Uncapped</t>
  </si>
  <si>
    <t>VTEX</t>
  </si>
  <si>
    <t>Bitso</t>
  </si>
  <si>
    <t>Mexico City</t>
  </si>
  <si>
    <t>Mexico</t>
  </si>
  <si>
    <t>Lacework</t>
  </si>
  <si>
    <t>Kontist</t>
  </si>
  <si>
    <t>Nuri</t>
  </si>
  <si>
    <t>Coterie Insurance</t>
  </si>
  <si>
    <t>Gorillas</t>
  </si>
  <si>
    <t>Klarna</t>
  </si>
  <si>
    <t>Buenbit</t>
  </si>
  <si>
    <t>BeyondMinds</t>
  </si>
  <si>
    <t>Airtime</t>
  </si>
  <si>
    <t>MFine</t>
  </si>
  <si>
    <t>Outside</t>
  </si>
  <si>
    <t>Skillz</t>
  </si>
  <si>
    <t>Cars24</t>
  </si>
  <si>
    <t>Vedantu</t>
  </si>
  <si>
    <t>Picsart</t>
  </si>
  <si>
    <t>Zak</t>
  </si>
  <si>
    <t>AliExpress Russia</t>
  </si>
  <si>
    <t>Moscow</t>
  </si>
  <si>
    <t>Russia</t>
  </si>
  <si>
    <t>Pollen</t>
  </si>
  <si>
    <t>Meero</t>
  </si>
  <si>
    <t>Reef</t>
  </si>
  <si>
    <t>Mural</t>
  </si>
  <si>
    <t>SEND</t>
  </si>
  <si>
    <t>Cameo</t>
  </si>
  <si>
    <t>Mainstreet</t>
  </si>
  <si>
    <t>Avo</t>
  </si>
  <si>
    <t>Xiaohongshu</t>
  </si>
  <si>
    <t>Shanghai</t>
  </si>
  <si>
    <t>Facily</t>
  </si>
  <si>
    <t>QuintoAndar</t>
  </si>
  <si>
    <t>Ahead</t>
  </si>
  <si>
    <t>Legible</t>
  </si>
  <si>
    <t>Rasa</t>
  </si>
  <si>
    <t>Storytel</t>
  </si>
  <si>
    <t>Trell</t>
  </si>
  <si>
    <t>Knock</t>
  </si>
  <si>
    <t>Better.com</t>
  </si>
  <si>
    <t>Adaptive Biotechnology</t>
  </si>
  <si>
    <t>Hyperscience</t>
  </si>
  <si>
    <t>Virgin Hyperloop</t>
  </si>
  <si>
    <t>Liv Up</t>
  </si>
  <si>
    <t>Daily Harvest</t>
  </si>
  <si>
    <t>Rhino</t>
  </si>
  <si>
    <t>BitTitan</t>
  </si>
  <si>
    <t>Treehouse</t>
  </si>
  <si>
    <t>Flockjay</t>
  </si>
  <si>
    <t>Katerra</t>
  </si>
  <si>
    <t>Quandoo</t>
  </si>
  <si>
    <t>Hubba</t>
  </si>
  <si>
    <t>Postmates</t>
  </si>
  <si>
    <t>Pocketmath</t>
  </si>
  <si>
    <t>Breather</t>
  </si>
  <si>
    <t>Aya</t>
  </si>
  <si>
    <t>Bridge Connector</t>
  </si>
  <si>
    <t>Worksmith</t>
  </si>
  <si>
    <t>Knotel</t>
  </si>
  <si>
    <t>GetYourGuide</t>
  </si>
  <si>
    <t>Alto Pharmacy</t>
  </si>
  <si>
    <t>NS8</t>
  </si>
  <si>
    <t>Las Vegas</t>
  </si>
  <si>
    <t>Waze</t>
  </si>
  <si>
    <t>GoBear</t>
  </si>
  <si>
    <t>MakeMyTrip</t>
  </si>
  <si>
    <t>Docly</t>
  </si>
  <si>
    <t>Mozilla</t>
  </si>
  <si>
    <t>Eatsy</t>
  </si>
  <si>
    <t>Thriver</t>
  </si>
  <si>
    <t>Procore</t>
  </si>
  <si>
    <t>Zeitgold</t>
  </si>
  <si>
    <t>Checkr</t>
  </si>
  <si>
    <t>Lighter Capital</t>
  </si>
  <si>
    <t>Optimizely</t>
  </si>
  <si>
    <t>Skyscanner</t>
  </si>
  <si>
    <t>Edinburgh</t>
  </si>
  <si>
    <t>Zilingo</t>
  </si>
  <si>
    <t>G2</t>
  </si>
  <si>
    <t>Gojek</t>
  </si>
  <si>
    <t>ScaleFactor</t>
  </si>
  <si>
    <t>Dark</t>
  </si>
  <si>
    <t>Intuit</t>
  </si>
  <si>
    <t>Navi</t>
  </si>
  <si>
    <t>PaisaBazaar</t>
  </si>
  <si>
    <t>Redox</t>
  </si>
  <si>
    <t>SynapseFI</t>
  </si>
  <si>
    <t>Branch</t>
  </si>
  <si>
    <t>The Athletic</t>
  </si>
  <si>
    <t>Lastline</t>
  </si>
  <si>
    <t>Builder</t>
  </si>
  <si>
    <t>Monzo</t>
  </si>
  <si>
    <t>SpotHero</t>
  </si>
  <si>
    <t>Credit Sesame</t>
  </si>
  <si>
    <t>Descartes Labs</t>
  </si>
  <si>
    <t>Santa Fe</t>
  </si>
  <si>
    <t>CrowdStreet</t>
  </si>
  <si>
    <t>Loftium</t>
  </si>
  <si>
    <t>BookMyShow</t>
  </si>
  <si>
    <t>The Sill</t>
  </si>
  <si>
    <t>Instructure</t>
  </si>
  <si>
    <t>Bluprint</t>
  </si>
  <si>
    <t>Cvent</t>
  </si>
  <si>
    <t>PickYourTrail</t>
  </si>
  <si>
    <t>Glitch</t>
  </si>
  <si>
    <t>Ola</t>
  </si>
  <si>
    <t>Samsara</t>
  </si>
  <si>
    <t>Stay Alfred</t>
  </si>
  <si>
    <t>SoFi</t>
  </si>
  <si>
    <t>WeWork</t>
  </si>
  <si>
    <t>Lendingkart</t>
  </si>
  <si>
    <t>Ahmedabad</t>
  </si>
  <si>
    <t>Ridecell</t>
  </si>
  <si>
    <t>Deliv</t>
  </si>
  <si>
    <t>Mercos</t>
  </si>
  <si>
    <t>Joinville</t>
  </si>
  <si>
    <t>Kickstarter</t>
  </si>
  <si>
    <t>Mixpanel</t>
  </si>
  <si>
    <t>Hireology</t>
  </si>
  <si>
    <t>Revolut</t>
  </si>
  <si>
    <t>Cadre</t>
  </si>
  <si>
    <t>Jump</t>
  </si>
  <si>
    <t>Numbrs</t>
  </si>
  <si>
    <t>Zurich</t>
  </si>
  <si>
    <t>Switzerland</t>
  </si>
  <si>
    <t>Flywire</t>
  </si>
  <si>
    <t>Tally</t>
  </si>
  <si>
    <t>Rubicon Project</t>
  </si>
  <si>
    <t>Segment</t>
  </si>
  <si>
    <t>Airbnb</t>
  </si>
  <si>
    <t>Andela</t>
  </si>
  <si>
    <t>Workable</t>
  </si>
  <si>
    <t>CureFit</t>
  </si>
  <si>
    <t>Careem</t>
  </si>
  <si>
    <t>Oriente</t>
  </si>
  <si>
    <t>Element AI</t>
  </si>
  <si>
    <t>Deputy</t>
  </si>
  <si>
    <t>Loopio</t>
  </si>
  <si>
    <t>Namely</t>
  </si>
  <si>
    <t>Culture Trip</t>
  </si>
  <si>
    <t>Sandbox VR</t>
  </si>
  <si>
    <t>Kayak / OpenTable</t>
  </si>
  <si>
    <t>Lime</t>
  </si>
  <si>
    <t>App Annie</t>
  </si>
  <si>
    <t>OpenX</t>
  </si>
  <si>
    <t>PayJoy</t>
  </si>
  <si>
    <t>Shipsi</t>
  </si>
  <si>
    <t>Automation Anything</t>
  </si>
  <si>
    <t>JetClosing</t>
  </si>
  <si>
    <t>Submittable</t>
  </si>
  <si>
    <t>Missoula</t>
  </si>
  <si>
    <t>Divergent 3D</t>
  </si>
  <si>
    <t>Ada Support</t>
  </si>
  <si>
    <t>UPshow</t>
  </si>
  <si>
    <t>Horizn Studios</t>
  </si>
  <si>
    <t>Welkin Health</t>
  </si>
  <si>
    <t>Jiobit</t>
  </si>
  <si>
    <t>TutorMundi</t>
  </si>
  <si>
    <t>Zenefits</t>
  </si>
  <si>
    <t>Oscar Health</t>
  </si>
  <si>
    <t>Magic Leap</t>
  </si>
  <si>
    <t>When I Work</t>
  </si>
  <si>
    <t>Ike</t>
  </si>
  <si>
    <t>Casper</t>
  </si>
  <si>
    <t>Freshbooks</t>
  </si>
  <si>
    <t>Bringg</t>
  </si>
  <si>
    <t>Klook</t>
  </si>
  <si>
    <t>GumGum</t>
  </si>
  <si>
    <t>Kueski</t>
  </si>
  <si>
    <t>Guadalajara</t>
  </si>
  <si>
    <t>Movidesk</t>
  </si>
  <si>
    <t>Blumenau</t>
  </si>
  <si>
    <t>Forward</t>
  </si>
  <si>
    <t>ContaAzul</t>
  </si>
  <si>
    <t>Sweetgreen</t>
  </si>
  <si>
    <t>People.ai</t>
  </si>
  <si>
    <t>Tor</t>
  </si>
  <si>
    <t>CarGurus</t>
  </si>
  <si>
    <t>Funding Societies</t>
  </si>
  <si>
    <t>CleverTap</t>
  </si>
  <si>
    <t>GoPro</t>
  </si>
  <si>
    <t>Shop101</t>
  </si>
  <si>
    <t>Zume</t>
  </si>
  <si>
    <t>Carta</t>
  </si>
  <si>
    <t>Parsable</t>
  </si>
  <si>
    <t>Kodiak Robotics</t>
  </si>
  <si>
    <t>TouchBistro</t>
  </si>
  <si>
    <t>Envoy</t>
  </si>
  <si>
    <t>VSCO</t>
  </si>
  <si>
    <t>Zoox</t>
  </si>
  <si>
    <t>EasyPost</t>
  </si>
  <si>
    <t>Clearbanc</t>
  </si>
  <si>
    <t>Frontdesk</t>
  </si>
  <si>
    <t>Milwaukee</t>
  </si>
  <si>
    <t>NuoDB</t>
  </si>
  <si>
    <t>Rhumbix</t>
  </si>
  <si>
    <t>Atsu</t>
  </si>
  <si>
    <t>Yelp</t>
  </si>
  <si>
    <t>Omie</t>
  </si>
  <si>
    <t>Domo</t>
  </si>
  <si>
    <t>Clinc</t>
  </si>
  <si>
    <t>Ann Arbor</t>
  </si>
  <si>
    <t>Code42</t>
  </si>
  <si>
    <t>LoopMe</t>
  </si>
  <si>
    <t>Scoop</t>
  </si>
  <si>
    <t>Unison</t>
  </si>
  <si>
    <t>Lever</t>
  </si>
  <si>
    <t>Unbabel</t>
  </si>
  <si>
    <t>Lisbon</t>
  </si>
  <si>
    <t>Portugal</t>
  </si>
  <si>
    <t>Button</t>
  </si>
  <si>
    <t>Eden / Managed …</t>
  </si>
  <si>
    <t>Kenoby</t>
  </si>
  <si>
    <t>GetNinjas</t>
  </si>
  <si>
    <t>Spyce</t>
  </si>
  <si>
    <t>Toast</t>
  </si>
  <si>
    <t>ezCater</t>
  </si>
  <si>
    <t>Sage Therapeutics</t>
  </si>
  <si>
    <t>Branch Metrics</t>
  </si>
  <si>
    <t>Ibotta</t>
  </si>
  <si>
    <t>MediaMath</t>
  </si>
  <si>
    <t>Group Nine Media</t>
  </si>
  <si>
    <t>Rock Content</t>
  </si>
  <si>
    <t>BounceX</t>
  </si>
  <si>
    <t>Wordstream</t>
  </si>
  <si>
    <t>Cogito</t>
  </si>
  <si>
    <t>BusBud</t>
  </si>
  <si>
    <t>Borrowell</t>
  </si>
  <si>
    <t>PerkSpot</t>
  </si>
  <si>
    <t>Astra</t>
  </si>
  <si>
    <t>Iflix</t>
  </si>
  <si>
    <t>Gympass</t>
  </si>
  <si>
    <t>Sojern</t>
  </si>
  <si>
    <t>Minted</t>
  </si>
  <si>
    <t>Arrive Logistics</t>
  </si>
  <si>
    <t>Jetty</t>
  </si>
  <si>
    <t>D2iQ</t>
  </si>
  <si>
    <t>Bustle Digital Group</t>
  </si>
  <si>
    <t>Opencare</t>
  </si>
  <si>
    <t>ClassPass</t>
  </si>
  <si>
    <t>eGym</t>
  </si>
  <si>
    <t>Industrious</t>
  </si>
  <si>
    <t>1stdibs</t>
  </si>
  <si>
    <t>ThirdLove</t>
  </si>
  <si>
    <t>The Predictive Investment</t>
  </si>
  <si>
    <t>Jobcase</t>
  </si>
  <si>
    <t>Dynamic Signal</t>
  </si>
  <si>
    <t>Sauce Labs</t>
  </si>
  <si>
    <t>Coding Dojo</t>
  </si>
  <si>
    <t>Instamojo</t>
  </si>
  <si>
    <t>Synergysuite</t>
  </si>
  <si>
    <t>PatientPop</t>
  </si>
  <si>
    <t>Showpad</t>
  </si>
  <si>
    <t>Earnin</t>
  </si>
  <si>
    <t>Wonolo</t>
  </si>
  <si>
    <t>Acko</t>
  </si>
  <si>
    <t>Crayon</t>
  </si>
  <si>
    <t>Sensibill</t>
  </si>
  <si>
    <t>Usermind</t>
  </si>
  <si>
    <t>Incredible Health</t>
  </si>
  <si>
    <t>KeepTruckin</t>
  </si>
  <si>
    <t>AdRoll</t>
  </si>
  <si>
    <t>Rover</t>
  </si>
  <si>
    <t>Turo</t>
  </si>
  <si>
    <t>uShip</t>
  </si>
  <si>
    <t>Zenoti</t>
  </si>
  <si>
    <t>DialSource</t>
  </si>
  <si>
    <t>RigUp</t>
  </si>
  <si>
    <t>FabHotels</t>
  </si>
  <si>
    <t>Hibob</t>
  </si>
  <si>
    <t>PeerStreet</t>
  </si>
  <si>
    <t>Maven</t>
  </si>
  <si>
    <t>Loftsmart</t>
  </si>
  <si>
    <t>Iris Nova</t>
  </si>
  <si>
    <t>Amplero</t>
  </si>
  <si>
    <t>TravelTriangle</t>
  </si>
  <si>
    <t>OneWeb</t>
  </si>
  <si>
    <t>HOOQ</t>
  </si>
  <si>
    <t>Blueground</t>
  </si>
  <si>
    <t>Getaround</t>
  </si>
  <si>
    <t>Zipcar</t>
  </si>
  <si>
    <t>Mogo</t>
  </si>
  <si>
    <t>Bench</t>
  </si>
  <si>
    <t>Bevi</t>
  </si>
  <si>
    <t>B8ta</t>
  </si>
  <si>
    <t>Puppet</t>
  </si>
  <si>
    <t>Ecobee</t>
  </si>
  <si>
    <t>Peerspace</t>
  </si>
  <si>
    <t>GoSpotCheck</t>
  </si>
  <si>
    <t>Consider.co</t>
  </si>
  <si>
    <t>TripActions</t>
  </si>
  <si>
    <t>OutboundEngine</t>
  </si>
  <si>
    <t>Wonderschool</t>
  </si>
  <si>
    <t>Overtime</t>
  </si>
  <si>
    <t>Jama</t>
  </si>
  <si>
    <t>Foodsby</t>
  </si>
  <si>
    <t>Convene</t>
  </si>
  <si>
    <t>The Guild</t>
  </si>
  <si>
    <t>GrayMeta</t>
  </si>
  <si>
    <t>Triplebyte</t>
  </si>
  <si>
    <t>Ladder Life</t>
  </si>
  <si>
    <t>Flywheel Sports</t>
  </si>
  <si>
    <t>CTO.ai</t>
  </si>
  <si>
    <t>Remote Year</t>
  </si>
  <si>
    <t>Flytedesk</t>
  </si>
  <si>
    <t>Help.com</t>
  </si>
  <si>
    <t>HopSkipDrive</t>
  </si>
  <si>
    <t>Panda Squad</t>
  </si>
  <si>
    <t>Tamara Mellon</t>
  </si>
  <si>
    <t>Fresno</t>
  </si>
  <si>
    <t>Walnut</t>
  </si>
  <si>
    <t>Camarillo</t>
  </si>
  <si>
    <t>Fremont</t>
  </si>
  <si>
    <t>Yavne</t>
  </si>
  <si>
    <t>Xi'an</t>
  </si>
  <si>
    <t>Lithuania</t>
  </si>
  <si>
    <t>Krakow</t>
  </si>
  <si>
    <t>Poland</t>
  </si>
  <si>
    <t>Manchester</t>
  </si>
  <si>
    <t>Nashik</t>
  </si>
  <si>
    <t>Espoo</t>
  </si>
  <si>
    <t>Fort Collins</t>
  </si>
  <si>
    <t>Salisbury</t>
  </si>
  <si>
    <t>Cayman Islands</t>
  </si>
  <si>
    <t>Brno</t>
  </si>
  <si>
    <t>Czech Republic</t>
  </si>
  <si>
    <t>Karachi</t>
  </si>
  <si>
    <t>Pakistan</t>
  </si>
  <si>
    <t>Memphis</t>
  </si>
  <si>
    <t>Corvallis</t>
  </si>
  <si>
    <t>Norwalk</t>
  </si>
  <si>
    <t>Charleston</t>
  </si>
  <si>
    <t>Analog Devices</t>
  </si>
  <si>
    <t>Lodz</t>
  </si>
  <si>
    <t>Verily</t>
  </si>
  <si>
    <t>Vilnius</t>
  </si>
  <si>
    <t>Zuora</t>
  </si>
  <si>
    <t>Palmetto Clean Technology</t>
  </si>
  <si>
    <t>Small Robot Computer</t>
  </si>
  <si>
    <t>Stability AI</t>
  </si>
  <si>
    <t>UK</t>
  </si>
  <si>
    <t>Toshiba</t>
  </si>
  <si>
    <t>McKinsey &amp; Co</t>
  </si>
  <si>
    <t>New York</t>
  </si>
  <si>
    <t>Business Consulting and Services</t>
  </si>
  <si>
    <t>Pax8</t>
  </si>
  <si>
    <t>Greenwood Village</t>
  </si>
  <si>
    <t>KeokeN</t>
  </si>
  <si>
    <t>Hoofddorp</t>
  </si>
  <si>
    <t>Kwalee</t>
  </si>
  <si>
    <t>Leamington Spa</t>
  </si>
  <si>
    <t>Apple</t>
  </si>
  <si>
    <t>California</t>
  </si>
  <si>
    <t>San Francisco</t>
  </si>
  <si>
    <t>Identiq</t>
  </si>
  <si>
    <t>Scaler</t>
  </si>
  <si>
    <t>Take-Two</t>
  </si>
  <si>
    <t>Entertainment Providers</t>
  </si>
  <si>
    <t>TikTok</t>
  </si>
  <si>
    <t>RiseUp</t>
  </si>
  <si>
    <t>Fintech</t>
  </si>
  <si>
    <t>Lentra</t>
  </si>
  <si>
    <t>Tome</t>
  </si>
  <si>
    <t>HealthifyMe</t>
  </si>
  <si>
    <t>Freenome</t>
  </si>
  <si>
    <t>Zoe</t>
  </si>
  <si>
    <t>Hinge Health</t>
  </si>
  <si>
    <t>CoRover</t>
  </si>
  <si>
    <t>Good Glamm Group</t>
  </si>
  <si>
    <t>EXL</t>
  </si>
  <si>
    <t>Criteo</t>
  </si>
  <si>
    <t>Tesla</t>
  </si>
  <si>
    <t>Motor Vehicle Manufacturing</t>
  </si>
  <si>
    <t>Phononic</t>
  </si>
  <si>
    <t>Durham</t>
  </si>
  <si>
    <t>SunPower</t>
  </si>
  <si>
    <t>Heureka Group</t>
  </si>
  <si>
    <t>Prague</t>
  </si>
  <si>
    <t>Lightspeed Commerce</t>
  </si>
  <si>
    <t>Post.</t>
  </si>
  <si>
    <t>Social posting site</t>
  </si>
  <si>
    <t>Yuga Labs</t>
  </si>
  <si>
    <t>Coral Gables</t>
  </si>
  <si>
    <t>Software Development</t>
  </si>
  <si>
    <t>A2Mac1 LLC</t>
  </si>
  <si>
    <t>Belleville</t>
  </si>
  <si>
    <t>ConnectWise</t>
  </si>
  <si>
    <t>Tampa</t>
  </si>
  <si>
    <t>Data.ai</t>
  </si>
  <si>
    <t>Bolt.Earth</t>
  </si>
  <si>
    <t>Ghost Autonomy</t>
  </si>
  <si>
    <t>Mountain View</t>
  </si>
  <si>
    <t>Kaseya</t>
  </si>
  <si>
    <t>True Anomaly</t>
  </si>
  <si>
    <t>Bell</t>
  </si>
  <si>
    <t>Telecommunications</t>
  </si>
  <si>
    <t>Expedia</t>
  </si>
  <si>
    <t>Agilent Technologies</t>
  </si>
  <si>
    <t>Santa Clara</t>
  </si>
  <si>
    <t>Biotechnology Research</t>
  </si>
  <si>
    <t>Sumo Group</t>
  </si>
  <si>
    <t>Sheffield</t>
  </si>
  <si>
    <t>ByteDance</t>
  </si>
  <si>
    <t>MoonPay</t>
  </si>
  <si>
    <t>Running Tide</t>
  </si>
  <si>
    <t>Environmental Services</t>
  </si>
  <si>
    <t>Flutterwave</t>
  </si>
  <si>
    <t>Bluevine</t>
  </si>
  <si>
    <t>Rapyd</t>
  </si>
  <si>
    <t>Paytm</t>
  </si>
  <si>
    <t>Unit</t>
  </si>
  <si>
    <t>Paxos</t>
  </si>
  <si>
    <t>Ginkgo Bioworks</t>
  </si>
  <si>
    <t>Care/of</t>
  </si>
  <si>
    <t>Satellogic</t>
  </si>
  <si>
    <t>Montevideo</t>
  </si>
  <si>
    <t>Uruquay</t>
  </si>
  <si>
    <t>Moovit</t>
  </si>
  <si>
    <t>Ness Ziona</t>
  </si>
  <si>
    <t>Yext</t>
  </si>
  <si>
    <t>Cypress.io</t>
  </si>
  <si>
    <t>Emma Sleep</t>
  </si>
  <si>
    <t>Kissflow</t>
  </si>
  <si>
    <t>SaaS</t>
  </si>
  <si>
    <t>Semiconductors</t>
  </si>
  <si>
    <t>ReshaMandi</t>
  </si>
  <si>
    <t>Menlo Park</t>
  </si>
  <si>
    <t>Lionbridge</t>
  </si>
  <si>
    <t>Waltham</t>
  </si>
  <si>
    <t>Translation and Localization</t>
  </si>
  <si>
    <t>Octopus Ventures</t>
  </si>
  <si>
    <t>VRChat</t>
  </si>
  <si>
    <t>Exscientia</t>
  </si>
  <si>
    <t>Singularity 6</t>
  </si>
  <si>
    <t>Phoenix Labs</t>
  </si>
  <si>
    <t>Mighty Kingdom</t>
  </si>
  <si>
    <t>Adelaide</t>
  </si>
  <si>
    <t>Apeks</t>
  </si>
  <si>
    <t>E-sport</t>
  </si>
  <si>
    <t>Enovix</t>
  </si>
  <si>
    <t>Atmosphere</t>
  </si>
  <si>
    <t>Tropic</t>
  </si>
  <si>
    <t>Wefox</t>
  </si>
  <si>
    <t>Gaming</t>
  </si>
  <si>
    <t>Brilliant</t>
  </si>
  <si>
    <t>Hospitality</t>
  </si>
  <si>
    <t>Joonko</t>
  </si>
  <si>
    <t>Assurance</t>
  </si>
  <si>
    <t>Insurance</t>
  </si>
  <si>
    <t>Sproutt</t>
  </si>
  <si>
    <t>Hartford</t>
  </si>
  <si>
    <t>Foursquare</t>
  </si>
  <si>
    <t>SeekOut</t>
  </si>
  <si>
    <t>Replit</t>
  </si>
  <si>
    <t>Fisker</t>
  </si>
  <si>
    <t>Motional</t>
  </si>
  <si>
    <t>Palo Alto</t>
  </si>
  <si>
    <t>Luminar</t>
  </si>
  <si>
    <t>Orlando</t>
  </si>
  <si>
    <t>Warsaw</t>
  </si>
  <si>
    <t>Moxion Power</t>
  </si>
  <si>
    <t>e-commerce</t>
  </si>
  <si>
    <t>BeReal</t>
  </si>
  <si>
    <t>Trade Republic</t>
  </si>
  <si>
    <t>Wex</t>
  </si>
  <si>
    <t>Stackpath</t>
  </si>
  <si>
    <t>FlightStats</t>
  </si>
  <si>
    <t>ICANN</t>
  </si>
  <si>
    <t>Karhoo</t>
  </si>
  <si>
    <t>Mainvest</t>
  </si>
  <si>
    <t>Arkane Studios</t>
  </si>
  <si>
    <t>Frankfurt am Main</t>
  </si>
  <si>
    <t>Ghent</t>
  </si>
  <si>
    <r>
      <rPr>
        <sz val="11"/>
        <color theme="1"/>
        <rFont val="Calibri"/>
        <family val="2"/>
        <scheme val="minor"/>
      </rPr>
      <t>Acquired</t>
    </r>
  </si>
  <si>
    <r>
      <rPr>
        <sz val="11"/>
        <color theme="1"/>
        <rFont val="Calibri"/>
        <family val="2"/>
        <scheme val="minor"/>
      </rPr>
      <t>Post-IPO</t>
    </r>
  </si>
  <si>
    <r>
      <rPr>
        <sz val="11"/>
        <color theme="1"/>
        <rFont val="Calibri"/>
        <family val="2"/>
        <scheme val="minor"/>
      </rPr>
      <t>Series B</t>
    </r>
  </si>
  <si>
    <r>
      <rPr>
        <sz val="11"/>
        <color theme="1"/>
        <rFont val="Calibri"/>
        <family val="2"/>
        <scheme val="minor"/>
      </rPr>
      <t>Series C</t>
    </r>
  </si>
  <si>
    <r>
      <rPr>
        <sz val="11"/>
        <color theme="1"/>
        <rFont val="Calibri"/>
        <family val="2"/>
        <scheme val="minor"/>
      </rPr>
      <t>Series A</t>
    </r>
  </si>
  <si>
    <r>
      <rPr>
        <sz val="11"/>
        <color theme="1"/>
        <rFont val="Calibri"/>
        <family val="2"/>
        <scheme val="minor"/>
      </rPr>
      <t>Series D</t>
    </r>
  </si>
  <si>
    <r>
      <rPr>
        <sz val="11"/>
        <color theme="1"/>
        <rFont val="Calibri"/>
        <family val="2"/>
        <scheme val="minor"/>
      </rPr>
      <t>Series G</t>
    </r>
  </si>
  <si>
    <r>
      <rPr>
        <sz val="11"/>
        <color theme="1"/>
        <rFont val="Calibri"/>
        <family val="2"/>
        <scheme val="minor"/>
      </rPr>
      <t>Series E</t>
    </r>
  </si>
  <si>
    <r>
      <rPr>
        <sz val="11"/>
        <color theme="1"/>
        <rFont val="Calibri"/>
        <family val="2"/>
        <scheme val="minor"/>
      </rPr>
      <t>Seed</t>
    </r>
  </si>
  <si>
    <r>
      <rPr>
        <sz val="11"/>
        <color theme="1"/>
        <rFont val="Calibri"/>
        <family val="2"/>
        <scheme val="minor"/>
      </rPr>
      <t>Unknown</t>
    </r>
  </si>
  <si>
    <t>888</t>
  </si>
  <si>
    <t>2U</t>
  </si>
  <si>
    <t>7Shifts</t>
  </si>
  <si>
    <t>98point6</t>
  </si>
  <si>
    <t>Agility Robotics</t>
  </si>
  <si>
    <t>Akili Interactive</t>
  </si>
  <si>
    <t>Aleph Farms</t>
  </si>
  <si>
    <t>ALI Technologies</t>
  </si>
  <si>
    <t>Aptiv</t>
  </si>
  <si>
    <t>Arm Holdings</t>
  </si>
  <si>
    <t>Artifact</t>
  </si>
  <si>
    <t>Astrate Medical</t>
  </si>
  <si>
    <t>Auctane</t>
  </si>
  <si>
    <t>Audible</t>
  </si>
  <si>
    <t>Aurora</t>
  </si>
  <si>
    <t>Aurora Solar</t>
  </si>
  <si>
    <t>Bakkt</t>
  </si>
  <si>
    <t>BenchSci</t>
  </si>
  <si>
    <t>BillGO</t>
  </si>
  <si>
    <t>BlissClub</t>
  </si>
  <si>
    <t>Block</t>
  </si>
  <si>
    <t>Blueboard</t>
  </si>
  <si>
    <t>Bumble</t>
  </si>
  <si>
    <t>Business Insider</t>
  </si>
  <si>
    <t>Cabify</t>
  </si>
  <si>
    <t>Cake Bikes</t>
  </si>
  <si>
    <t>Certinia</t>
  </si>
  <si>
    <t>ChargePoint</t>
  </si>
  <si>
    <t>CircleCI</t>
  </si>
  <si>
    <t>Citrix</t>
  </si>
  <si>
    <t>Cloudflare</t>
  </si>
  <si>
    <t>CodeSee</t>
  </si>
  <si>
    <t>ComplYant</t>
  </si>
  <si>
    <t>Cova</t>
  </si>
  <si>
    <t>Curalie</t>
  </si>
  <si>
    <t>Curbio</t>
  </si>
  <si>
    <t>Cure.fit</t>
  </si>
  <si>
    <t>Daraz</t>
  </si>
  <si>
    <t>Dastgyr</t>
  </si>
  <si>
    <t>Deadspin</t>
  </si>
  <si>
    <t>Dell</t>
  </si>
  <si>
    <t>Desktop Metal</t>
  </si>
  <si>
    <t>Dextrous Robotics</t>
  </si>
  <si>
    <t>DispatchHealth</t>
  </si>
  <si>
    <t>Drizly</t>
  </si>
  <si>
    <t>EVBox</t>
  </si>
  <si>
    <t>Everybuddy</t>
  </si>
  <si>
    <t>Farfetch</t>
  </si>
  <si>
    <t>Fashinza</t>
  </si>
  <si>
    <t>Finder</t>
  </si>
  <si>
    <t>First Mode</t>
  </si>
  <si>
    <t>Fission</t>
  </si>
  <si>
    <t>Flex</t>
  </si>
  <si>
    <t>Flipkart</t>
  </si>
  <si>
    <t>ForgeRock</t>
  </si>
  <si>
    <t>Form Energy</t>
  </si>
  <si>
    <t>FreshDirect</t>
  </si>
  <si>
    <t>FullStory</t>
  </si>
  <si>
    <t>Funding Circle</t>
  </si>
  <si>
    <t>Glowforge</t>
  </si>
  <si>
    <t>GoStudent</t>
  </si>
  <si>
    <t>GoTo</t>
  </si>
  <si>
    <t>GrabCAD</t>
  </si>
  <si>
    <t>Grammarly</t>
  </si>
  <si>
    <t>Gro Intelligence</t>
  </si>
  <si>
    <t>Here</t>
  </si>
  <si>
    <t>Humane</t>
  </si>
  <si>
    <t>Hyperloop One</t>
  </si>
  <si>
    <t>IAC</t>
  </si>
  <si>
    <t>IBM</t>
  </si>
  <si>
    <t>Impact.com</t>
  </si>
  <si>
    <t>Impinj</t>
  </si>
  <si>
    <t>Indigo</t>
  </si>
  <si>
    <t>Inmobi</t>
  </si>
  <si>
    <t>Innoviz</t>
  </si>
  <si>
    <t>Inscribe</t>
  </si>
  <si>
    <t>Instacart</t>
  </si>
  <si>
    <t>Instagram</t>
  </si>
  <si>
    <t>Intel</t>
  </si>
  <si>
    <t>InVision</t>
  </si>
  <si>
    <t>Jamf</t>
  </si>
  <si>
    <t>Jasper Health</t>
  </si>
  <si>
    <t>Jellysmack</t>
  </si>
  <si>
    <t>Journera</t>
  </si>
  <si>
    <t>Jungle Scout</t>
  </si>
  <si>
    <t>Kandji</t>
  </si>
  <si>
    <t>Kaspien</t>
  </si>
  <si>
    <t>Kevin</t>
  </si>
  <si>
    <t>Kinaxis</t>
  </si>
  <si>
    <t>Kiwi.com</t>
  </si>
  <si>
    <t>KnownOrigin</t>
  </si>
  <si>
    <t>Ladenzeile</t>
  </si>
  <si>
    <t>Lazada Group</t>
  </si>
  <si>
    <t>Ledger Investing</t>
  </si>
  <si>
    <t>Lendio</t>
  </si>
  <si>
    <t>Licious</t>
  </si>
  <si>
    <t>LiveVox</t>
  </si>
  <si>
    <t>Longi</t>
  </si>
  <si>
    <t>May Mobility</t>
  </si>
  <si>
    <t>Meati</t>
  </si>
  <si>
    <t>Medtronic</t>
  </si>
  <si>
    <t>Meetup</t>
  </si>
  <si>
    <t>Melio</t>
  </si>
  <si>
    <t>MeridianLink</t>
  </si>
  <si>
    <t>MessageBird</t>
  </si>
  <si>
    <t>Morning Consult</t>
  </si>
  <si>
    <t>Muvin</t>
  </si>
  <si>
    <t>MVPindex</t>
  </si>
  <si>
    <t>Nevro</t>
  </si>
  <si>
    <t>New Work SE</t>
  </si>
  <si>
    <t>Niche</t>
  </si>
  <si>
    <t>Ninja Van</t>
  </si>
  <si>
    <t>NuScale Power</t>
  </si>
  <si>
    <t>Orbotech</t>
  </si>
  <si>
    <t>Orca Security</t>
  </si>
  <si>
    <t>Osso VR</t>
  </si>
  <si>
    <t>Otovo</t>
  </si>
  <si>
    <t>OutSystems</t>
  </si>
  <si>
    <t>Personio</t>
  </si>
  <si>
    <t>Phantom Auto</t>
  </si>
  <si>
    <t>PlanetScale</t>
  </si>
  <si>
    <t>Playtika</t>
  </si>
  <si>
    <t>Popcore</t>
  </si>
  <si>
    <t>PrepLadder</t>
  </si>
  <si>
    <t>Priceline</t>
  </si>
  <si>
    <t>Productboard</t>
  </si>
  <si>
    <t>Project Ronin</t>
  </si>
  <si>
    <t>Proofpoint</t>
  </si>
  <si>
    <t>PropertyGuru</t>
  </si>
  <si>
    <t>Pure Storage</t>
  </si>
  <si>
    <t>Ranger Insurance</t>
  </si>
  <si>
    <t>RealPage</t>
  </si>
  <si>
    <t>Rent the Runway</t>
  </si>
  <si>
    <t>Revel</t>
  </si>
  <si>
    <t>Rezi</t>
  </si>
  <si>
    <t>Riskified</t>
  </si>
  <si>
    <t>Salesforce</t>
  </si>
  <si>
    <t>SCiFi Foods</t>
  </si>
  <si>
    <t>Seedr</t>
  </si>
  <si>
    <t>ShopBack</t>
  </si>
  <si>
    <t>Sight Diagnostics</t>
  </si>
  <si>
    <t>Silo</t>
  </si>
  <si>
    <t>Sirplus</t>
  </si>
  <si>
    <t>SmileDirectClub</t>
  </si>
  <si>
    <t>SolarEdge</t>
  </si>
  <si>
    <t>Solarisbank</t>
  </si>
  <si>
    <t>SonderMind</t>
  </si>
  <si>
    <t>Sony Interactive</t>
  </si>
  <si>
    <t>Sorare</t>
  </si>
  <si>
    <t>Stellar Pizza</t>
  </si>
  <si>
    <t>Strake</t>
  </si>
  <si>
    <t>Sunfolding</t>
  </si>
  <si>
    <t>Synctera</t>
  </si>
  <si>
    <t>Tails.com</t>
  </si>
  <si>
    <t>TechCrunch</t>
  </si>
  <si>
    <t>Tenable</t>
  </si>
  <si>
    <t>The Messenger</t>
  </si>
  <si>
    <t>Thepeer</t>
  </si>
  <si>
    <t>Thinx</t>
  </si>
  <si>
    <t>Thursday</t>
  </si>
  <si>
    <t>TomTom</t>
  </si>
  <si>
    <t>Tonik</t>
  </si>
  <si>
    <t>Totango</t>
  </si>
  <si>
    <t>Treasure Financial</t>
  </si>
  <si>
    <t>Treasury Prime</t>
  </si>
  <si>
    <t>Trend Micro</t>
  </si>
  <si>
    <t>Trendsales</t>
  </si>
  <si>
    <t>Trigo</t>
  </si>
  <si>
    <t>Turnitin</t>
  </si>
  <si>
    <t>Twig</t>
  </si>
  <si>
    <t>Twitch</t>
  </si>
  <si>
    <t>Veeam</t>
  </si>
  <si>
    <t>Veho</t>
  </si>
  <si>
    <t>Vice Media</t>
  </si>
  <si>
    <t>Vipps</t>
  </si>
  <si>
    <t>Vivian Health</t>
  </si>
  <si>
    <t>Wint Wealth</t>
  </si>
  <si>
    <t>Wisense</t>
  </si>
  <si>
    <t>Workfellow</t>
  </si>
  <si>
    <t>Xendit</t>
  </si>
  <si>
    <t>Xerox</t>
  </si>
  <si>
    <t>YouTube</t>
  </si>
  <si>
    <t>Yummly</t>
  </si>
  <si>
    <t>Belgium</t>
  </si>
  <si>
    <t>Community Gaming</t>
  </si>
  <si>
    <t>MiSan Francisco Bay Areaits Market</t>
  </si>
  <si>
    <t>SaleSan Francisco Bay Areaorce</t>
  </si>
  <si>
    <t>TranSan Francisco Bay Areaix</t>
  </si>
  <si>
    <t>WeTranSan Francisco Bay Areaer</t>
  </si>
  <si>
    <t>NanoString Technology</t>
  </si>
  <si>
    <t>Repertoire Immunity</t>
  </si>
  <si>
    <t>Take-Two Interactive</t>
  </si>
  <si>
    <t>The Good Glamour</t>
  </si>
  <si>
    <t>Appliances</t>
  </si>
  <si>
    <t>San Jose</t>
  </si>
  <si>
    <t>Money_Raised_in__mil</t>
  </si>
  <si>
    <t>Private Equity</t>
  </si>
  <si>
    <t>Subsidiary</t>
  </si>
  <si>
    <t>CI Gaming</t>
  </si>
  <si>
    <t>Epic Gaming</t>
  </si>
  <si>
    <t>Galvanic Gaming</t>
  </si>
  <si>
    <t>Riot Gaming</t>
  </si>
  <si>
    <t>IT Services</t>
  </si>
  <si>
    <t>cloud</t>
  </si>
  <si>
    <t>Pleasanton</t>
  </si>
  <si>
    <t>Campbell</t>
  </si>
  <si>
    <t>Milpitas</t>
  </si>
  <si>
    <t>Region</t>
  </si>
  <si>
    <t>Cupertino</t>
  </si>
  <si>
    <t>Alameda</t>
  </si>
  <si>
    <t>Redwood City</t>
  </si>
  <si>
    <t>San Rafael</t>
  </si>
  <si>
    <t>Buy.com</t>
  </si>
  <si>
    <t>San Mateo</t>
  </si>
  <si>
    <t>North Bethesda</t>
  </si>
  <si>
    <t>Huntington Beach</t>
  </si>
  <si>
    <t>Berkeley</t>
  </si>
  <si>
    <t>San Bruno</t>
  </si>
  <si>
    <t>Burlingame</t>
  </si>
  <si>
    <t>Gilroy</t>
  </si>
  <si>
    <t>Sunnyvale</t>
  </si>
  <si>
    <t>Newark</t>
  </si>
  <si>
    <t>Richmond</t>
  </si>
  <si>
    <t>Los Gatos</t>
  </si>
  <si>
    <t>San Carlos</t>
  </si>
  <si>
    <t>San Leandro</t>
  </si>
  <si>
    <t>Oakland</t>
  </si>
  <si>
    <t>Agoura Hills</t>
  </si>
  <si>
    <t>Trove Recommerce</t>
  </si>
  <si>
    <t>Hayward</t>
  </si>
  <si>
    <t>Forster City</t>
  </si>
  <si>
    <t>State</t>
  </si>
  <si>
    <t>location_HQ</t>
  </si>
  <si>
    <t>latitude</t>
  </si>
  <si>
    <t>longitude</t>
  </si>
  <si>
    <t xml:space="preserve">	37,910076</t>
  </si>
  <si>
    <t>Cedar Falls</t>
  </si>
  <si>
    <t>Foster City</t>
  </si>
  <si>
    <t>Linz</t>
  </si>
  <si>
    <t>Beijing</t>
  </si>
  <si>
    <t>Winnipeg</t>
  </si>
  <si>
    <t>San Ramon</t>
  </si>
  <si>
    <t>Walnut Creek</t>
  </si>
  <si>
    <t>Holmdel</t>
  </si>
  <si>
    <t>Islamabad</t>
  </si>
  <si>
    <r>
      <rPr>
        <sz val="11"/>
        <color rgb="FF111111"/>
        <rFont val="Calibri"/>
        <family val="2"/>
        <scheme val="minor"/>
      </rPr>
      <t>Northvolt</t>
    </r>
  </si>
  <si>
    <r>
      <rPr>
        <sz val="11"/>
        <color rgb="FF111111"/>
        <rFont val="Calibri"/>
        <family val="2"/>
        <scheme val="minor"/>
      </rPr>
      <t>Drata</t>
    </r>
  </si>
  <si>
    <r>
      <rPr>
        <sz val="11"/>
        <color rgb="FF111111"/>
        <rFont val="Calibri"/>
        <family val="2"/>
        <scheme val="minor"/>
      </rPr>
      <t>Moov</t>
    </r>
  </si>
  <si>
    <r>
      <rPr>
        <sz val="10.5"/>
        <color rgb="FF111111"/>
        <rFont val="Calibri"/>
        <family val="2"/>
        <scheme val="minor"/>
      </rPr>
      <t>Freight</t>
    </r>
    <r>
      <rPr>
        <sz val="11"/>
        <color rgb="FF111111"/>
        <rFont val="Calibri"/>
        <family val="2"/>
        <scheme val="minor"/>
      </rPr>
      <t>W</t>
    </r>
    <r>
      <rPr>
        <sz val="10.5"/>
        <color rgb="FF111111"/>
        <rFont val="Calibri"/>
        <family val="2"/>
        <scheme val="minor"/>
      </rPr>
      <t>aves</t>
    </r>
  </si>
  <si>
    <r>
      <rPr>
        <sz val="11"/>
        <color rgb="FF111111"/>
        <rFont val="Calibri"/>
        <family val="2"/>
        <scheme val="minor"/>
      </rPr>
      <t>F5</t>
    </r>
  </si>
  <si>
    <r>
      <rPr>
        <sz val="11"/>
        <color rgb="FF111111"/>
        <rFont val="Calibri"/>
        <family val="2"/>
        <scheme val="minor"/>
      </rPr>
      <t>Olo</t>
    </r>
  </si>
  <si>
    <r>
      <rPr>
        <sz val="11"/>
        <color rgb="FF111111"/>
        <rFont val="Calibri"/>
        <family val="2"/>
        <scheme val="minor"/>
      </rPr>
      <t>Healthy.io</t>
    </r>
  </si>
  <si>
    <r>
      <rPr>
        <sz val="11"/>
        <color rgb="FF111111"/>
        <rFont val="Calibri"/>
        <family val="2"/>
        <scheme val="minor"/>
      </rPr>
      <t>Reverb</t>
    </r>
  </si>
  <si>
    <r>
      <rPr>
        <sz val="11"/>
        <color rgb="FF111111"/>
        <rFont val="Calibri"/>
        <family val="2"/>
        <scheme val="minor"/>
      </rPr>
      <t>Luminar</t>
    </r>
  </si>
  <si>
    <r>
      <rPr>
        <sz val="11"/>
        <color rgb="FF111111"/>
        <rFont val="Calibri"/>
        <family val="2"/>
        <scheme val="minor"/>
      </rPr>
      <t>Notable Labs</t>
    </r>
  </si>
  <si>
    <r>
      <rPr>
        <sz val="10.5"/>
        <color rgb="FF111111"/>
        <rFont val="Calibri"/>
        <family val="2"/>
        <scheme val="minor"/>
      </rPr>
      <t>Car</t>
    </r>
    <r>
      <rPr>
        <sz val="11"/>
        <color rgb="FF111111"/>
        <rFont val="Calibri"/>
        <family val="2"/>
        <scheme val="minor"/>
      </rPr>
      <t>T</t>
    </r>
    <r>
      <rPr>
        <sz val="10.5"/>
        <color rgb="FF111111"/>
        <rFont val="Calibri"/>
        <family val="2"/>
        <scheme val="minor"/>
      </rPr>
      <t>rawler</t>
    </r>
  </si>
  <si>
    <r>
      <rPr>
        <sz val="11"/>
        <color rgb="FF111111"/>
        <rFont val="Calibri"/>
        <family val="2"/>
        <scheme val="minor"/>
      </rPr>
      <t>ApplyBoard</t>
    </r>
  </si>
  <si>
    <r>
      <rPr>
        <sz val="11"/>
        <color rgb="FF111111"/>
        <rFont val="Calibri"/>
        <family val="2"/>
        <scheme val="minor"/>
      </rPr>
      <t>Aakash</t>
    </r>
  </si>
  <si>
    <r>
      <rPr>
        <sz val="11"/>
        <color rgb="FF111111"/>
        <rFont val="Calibri"/>
        <family val="2"/>
        <scheme val="minor"/>
      </rPr>
      <t>IBM</t>
    </r>
  </si>
  <si>
    <r>
      <rPr>
        <sz val="11"/>
        <color rgb="FF111111"/>
        <rFont val="Calibri"/>
        <family val="2"/>
        <scheme val="minor"/>
      </rPr>
      <t>Runtastic</t>
    </r>
  </si>
  <si>
    <r>
      <rPr>
        <sz val="11"/>
        <color rgb="FF111111"/>
        <rFont val="Calibri"/>
        <family val="2"/>
        <scheme val="minor"/>
      </rPr>
      <t>Microsoft</t>
    </r>
  </si>
  <si>
    <r>
      <rPr>
        <sz val="11"/>
        <color rgb="FF111111"/>
        <rFont val="Calibri"/>
        <family val="2"/>
        <scheme val="minor"/>
      </rPr>
      <t>Amperity</t>
    </r>
  </si>
  <si>
    <r>
      <rPr>
        <sz val="11"/>
        <color rgb="FF111111"/>
        <rFont val="Calibri"/>
        <family val="2"/>
        <scheme val="minor"/>
      </rPr>
      <t>U</t>
    </r>
    <r>
      <rPr>
        <sz val="10.5"/>
        <color rgb="FF111111"/>
        <rFont val="Calibri"/>
        <family val="2"/>
        <scheme val="minor"/>
      </rPr>
      <t>demy</t>
    </r>
  </si>
  <si>
    <r>
      <rPr>
        <sz val="11"/>
        <color rgb="FF111111"/>
        <rFont val="Calibri"/>
        <family val="2"/>
        <scheme val="minor"/>
      </rPr>
      <t>Mobileye</t>
    </r>
  </si>
  <si>
    <r>
      <rPr>
        <sz val="11"/>
        <color rgb="FF111111"/>
        <rFont val="Calibri"/>
        <family val="2"/>
        <scheme val="minor"/>
      </rPr>
      <t>InsurStaq.ai</t>
    </r>
  </si>
  <si>
    <r>
      <rPr>
        <sz val="11"/>
        <color rgb="FF111111"/>
        <rFont val="Calibri"/>
        <family val="2"/>
        <scheme val="minor"/>
      </rPr>
      <t>Nori</t>
    </r>
  </si>
  <si>
    <r>
      <rPr>
        <sz val="11"/>
        <color rgb="FF111111"/>
        <rFont val="Calibri"/>
        <family val="2"/>
        <scheme val="minor"/>
      </rPr>
      <t>W</t>
    </r>
    <r>
      <rPr>
        <sz val="10.5"/>
        <color rgb="FF111111"/>
        <rFont val="Calibri"/>
        <family val="2"/>
        <scheme val="minor"/>
      </rPr>
      <t>e</t>
    </r>
    <r>
      <rPr>
        <sz val="11"/>
        <color rgb="FF111111"/>
        <rFont val="Calibri"/>
        <family val="2"/>
        <scheme val="minor"/>
      </rPr>
      <t>T</t>
    </r>
    <r>
      <rPr>
        <sz val="10.5"/>
        <color rgb="FF111111"/>
        <rFont val="Calibri"/>
        <family val="2"/>
        <scheme val="minor"/>
      </rPr>
      <t>ransfer</t>
    </r>
  </si>
  <si>
    <r>
      <rPr>
        <sz val="11"/>
        <color rgb="FF111111"/>
        <rFont val="Calibri"/>
        <family val="2"/>
        <scheme val="minor"/>
      </rPr>
      <t>Goop</t>
    </r>
  </si>
  <si>
    <r>
      <rPr>
        <sz val="11"/>
        <color rgb="FF111111"/>
        <rFont val="Calibri"/>
        <family val="2"/>
        <scheme val="minor"/>
      </rPr>
      <t>Motif Foodworks</t>
    </r>
  </si>
  <si>
    <r>
      <rPr>
        <sz val="11"/>
        <color rgb="FF111111"/>
        <rFont val="Calibri"/>
        <family val="2"/>
        <scheme val="minor"/>
      </rPr>
      <t>ChargePoint</t>
    </r>
  </si>
  <si>
    <r>
      <rPr>
        <sz val="11"/>
        <color rgb="FF111111"/>
        <rFont val="Calibri"/>
        <family val="2"/>
        <scheme val="minor"/>
      </rPr>
      <t>Fly.io</t>
    </r>
  </si>
  <si>
    <r>
      <rPr>
        <sz val="11"/>
        <color rgb="FF111111"/>
        <rFont val="Calibri"/>
        <family val="2"/>
        <scheme val="minor"/>
      </rPr>
      <t>Lyft</t>
    </r>
  </si>
  <si>
    <r>
      <rPr>
        <sz val="11"/>
        <color rgb="FF111111"/>
        <rFont val="Calibri"/>
        <family val="2"/>
        <scheme val="minor"/>
      </rPr>
      <t>ABL</t>
    </r>
  </si>
  <si>
    <r>
      <rPr>
        <sz val="11"/>
        <color rgb="FF111111"/>
        <rFont val="Calibri"/>
        <family val="2"/>
        <scheme val="minor"/>
      </rPr>
      <t>Matter Labs</t>
    </r>
  </si>
  <si>
    <r>
      <rPr>
        <sz val="11"/>
        <color rgb="FF111111"/>
        <rFont val="Calibri"/>
        <family val="2"/>
        <scheme val="minor"/>
      </rPr>
      <t>Dozee</t>
    </r>
  </si>
  <si>
    <r>
      <rPr>
        <sz val="11"/>
        <color rgb="FF111111"/>
        <rFont val="Calibri"/>
        <family val="2"/>
        <scheme val="minor"/>
      </rPr>
      <t>Dunzo</t>
    </r>
  </si>
  <si>
    <r>
      <rPr>
        <sz val="11"/>
        <color rgb="FF111111"/>
        <rFont val="Calibri"/>
        <family val="2"/>
        <scheme val="minor"/>
      </rPr>
      <t>Character.ai</t>
    </r>
  </si>
  <si>
    <r>
      <rPr>
        <sz val="11"/>
        <color rgb="FF111111"/>
        <rFont val="Calibri"/>
        <family val="2"/>
        <scheme val="minor"/>
      </rPr>
      <t>Brave</t>
    </r>
  </si>
  <si>
    <r>
      <rPr>
        <sz val="11"/>
        <color rgb="FF111111"/>
        <rFont val="Calibri"/>
        <family val="2"/>
        <scheme val="minor"/>
      </rPr>
      <t>Apple</t>
    </r>
  </si>
  <si>
    <r>
      <rPr>
        <sz val="11"/>
        <color rgb="FF111111"/>
        <rFont val="Calibri"/>
        <family val="2"/>
        <scheme val="minor"/>
      </rPr>
      <t>T</t>
    </r>
    <r>
      <rPr>
        <sz val="10.5"/>
        <color rgb="FF111111"/>
        <rFont val="Calibri"/>
        <family val="2"/>
        <scheme val="minor"/>
      </rPr>
      <t>ome Biosciences</t>
    </r>
  </si>
  <si>
    <r>
      <rPr>
        <sz val="11"/>
        <color rgb="FF111111"/>
        <rFont val="Calibri"/>
        <family val="2"/>
        <scheme val="minor"/>
      </rPr>
      <t>V</t>
    </r>
    <r>
      <rPr>
        <sz val="10.5"/>
        <color rgb="FF111111"/>
        <rFont val="Calibri"/>
        <family val="2"/>
        <scheme val="minor"/>
      </rPr>
      <t>elo3D</t>
    </r>
  </si>
  <si>
    <r>
      <rPr>
        <sz val="11"/>
        <color rgb="FF111111"/>
        <rFont val="Calibri"/>
        <family val="2"/>
        <scheme val="minor"/>
      </rPr>
      <t>Kenko Health</t>
    </r>
  </si>
  <si>
    <r>
      <rPr>
        <sz val="11"/>
        <color rgb="FF111111"/>
        <rFont val="Calibri"/>
        <family val="2"/>
        <scheme val="minor"/>
      </rPr>
      <t>Received</t>
    </r>
  </si>
  <si>
    <r>
      <rPr>
        <sz val="11"/>
        <color rgb="FF111111"/>
        <rFont val="Calibri"/>
        <family val="2"/>
        <scheme val="minor"/>
      </rPr>
      <t>Sandvine</t>
    </r>
  </si>
  <si>
    <r>
      <rPr>
        <sz val="11"/>
        <color rgb="FF111111"/>
        <rFont val="Calibri"/>
        <family val="2"/>
        <scheme val="minor"/>
      </rPr>
      <t>Redfin</t>
    </r>
  </si>
  <si>
    <r>
      <rPr>
        <sz val="11"/>
        <color rgb="FF111111"/>
        <rFont val="Calibri"/>
        <family val="2"/>
        <scheme val="minor"/>
      </rPr>
      <t>Kaiyo</t>
    </r>
  </si>
  <si>
    <r>
      <rPr>
        <sz val="11"/>
        <color rgb="FF111111"/>
        <rFont val="Calibri"/>
        <family val="2"/>
        <scheme val="minor"/>
      </rPr>
      <t>Skip the Dishes</t>
    </r>
  </si>
  <si>
    <r>
      <rPr>
        <sz val="11"/>
        <color rgb="FF111111"/>
        <rFont val="Calibri"/>
        <family val="2"/>
        <scheme val="minor"/>
      </rPr>
      <t>Five9</t>
    </r>
  </si>
  <si>
    <r>
      <rPr>
        <sz val="11"/>
        <color rgb="FF111111"/>
        <rFont val="Calibri"/>
        <family val="2"/>
        <scheme val="minor"/>
      </rPr>
      <t>ReshaMandi</t>
    </r>
  </si>
  <si>
    <r>
      <rPr>
        <sz val="11"/>
        <color rgb="FF111111"/>
        <rFont val="Calibri"/>
        <family val="2"/>
        <scheme val="minor"/>
      </rPr>
      <t>GoPro</t>
    </r>
  </si>
  <si>
    <r>
      <rPr>
        <sz val="11"/>
        <color rgb="FF111111"/>
        <rFont val="Calibri"/>
        <family val="2"/>
        <scheme val="minor"/>
      </rPr>
      <t>Localize</t>
    </r>
  </si>
  <si>
    <r>
      <rPr>
        <sz val="11"/>
        <color rgb="FF111111"/>
        <rFont val="Calibri"/>
        <family val="2"/>
        <scheme val="minor"/>
      </rPr>
      <t>Paper</t>
    </r>
  </si>
  <si>
    <r>
      <rPr>
        <sz val="11"/>
        <color rgb="FF111111"/>
        <rFont val="Calibri"/>
        <family val="2"/>
        <scheme val="minor"/>
      </rPr>
      <t>Retention.com</t>
    </r>
  </si>
  <si>
    <r>
      <rPr>
        <sz val="11"/>
        <color rgb="FF111111"/>
        <rFont val="Calibri"/>
        <family val="2"/>
        <scheme val="minor"/>
      </rPr>
      <t>Loop</t>
    </r>
  </si>
  <si>
    <r>
      <rPr>
        <sz val="11"/>
        <color rgb="FF111111"/>
        <rFont val="Calibri"/>
        <family val="2"/>
        <scheme val="minor"/>
      </rPr>
      <t>Regrow Ag</t>
    </r>
  </si>
  <si>
    <r>
      <rPr>
        <sz val="11"/>
        <color rgb="FF111111"/>
        <rFont val="Calibri"/>
        <family val="2"/>
        <scheme val="minor"/>
      </rPr>
      <t>AppLovin</t>
    </r>
  </si>
  <si>
    <r>
      <rPr>
        <sz val="11"/>
        <color rgb="FF111111"/>
        <rFont val="Calibri"/>
        <family val="2"/>
        <scheme val="minor"/>
      </rPr>
      <t>Inuitive</t>
    </r>
  </si>
  <si>
    <r>
      <rPr>
        <sz val="11"/>
        <color rgb="FF111111"/>
        <rFont val="Calibri"/>
        <family val="2"/>
        <scheme val="minor"/>
      </rPr>
      <t>Formlabs</t>
    </r>
  </si>
  <si>
    <r>
      <rPr>
        <sz val="11"/>
        <color rgb="FF111111"/>
        <rFont val="Calibri"/>
        <family val="2"/>
        <scheme val="minor"/>
      </rPr>
      <t>Mister Spex</t>
    </r>
  </si>
  <si>
    <r>
      <rPr>
        <sz val="11"/>
        <color rgb="FF111111"/>
        <rFont val="Calibri"/>
        <family val="2"/>
        <scheme val="minor"/>
      </rPr>
      <t>PacketFabric</t>
    </r>
  </si>
  <si>
    <r>
      <rPr>
        <sz val="11"/>
        <color rgb="FF111111"/>
        <rFont val="Calibri"/>
        <family val="2"/>
        <scheme val="minor"/>
      </rPr>
      <t>Sampler</t>
    </r>
  </si>
  <si>
    <r>
      <rPr>
        <sz val="11"/>
        <color rgb="FF111111"/>
        <rFont val="Calibri"/>
        <family val="2"/>
        <scheme val="minor"/>
      </rPr>
      <t>Sonos</t>
    </r>
  </si>
  <si>
    <r>
      <rPr>
        <sz val="11"/>
        <color rgb="FF111111"/>
        <rFont val="Calibri"/>
        <family val="2"/>
        <scheme val="minor"/>
      </rPr>
      <t>Grail</t>
    </r>
  </si>
  <si>
    <r>
      <rPr>
        <sz val="10.5"/>
        <color rgb="FF111111"/>
        <rFont val="Calibri"/>
        <family val="2"/>
        <scheme val="minor"/>
      </rPr>
      <t>Day</t>
    </r>
    <r>
      <rPr>
        <sz val="11"/>
        <color rgb="FF111111"/>
        <rFont val="Calibri"/>
        <family val="2"/>
        <scheme val="minor"/>
      </rPr>
      <t>T</t>
    </r>
    <r>
      <rPr>
        <sz val="10.5"/>
        <color rgb="FF111111"/>
        <rFont val="Calibri"/>
        <family val="2"/>
        <scheme val="minor"/>
      </rPr>
      <t>wo</t>
    </r>
  </si>
  <si>
    <r>
      <rPr>
        <sz val="11"/>
        <color rgb="FF111111"/>
        <rFont val="Calibri"/>
        <family val="2"/>
        <scheme val="minor"/>
      </rPr>
      <t>Quizac</t>
    </r>
  </si>
  <si>
    <r>
      <rPr>
        <sz val="11"/>
        <color rgb="FF111111"/>
        <rFont val="Calibri"/>
        <family val="2"/>
        <scheme val="minor"/>
      </rPr>
      <t>T</t>
    </r>
    <r>
      <rPr>
        <sz val="10.5"/>
        <color rgb="FF111111"/>
        <rFont val="Calibri"/>
        <family val="2"/>
        <scheme val="minor"/>
      </rPr>
      <t>ally</t>
    </r>
  </si>
  <si>
    <r>
      <rPr>
        <sz val="11"/>
        <color rgb="FF111111"/>
        <rFont val="Calibri"/>
        <family val="2"/>
        <scheme val="minor"/>
      </rPr>
      <t>Cisco</t>
    </r>
  </si>
  <si>
    <r>
      <rPr>
        <sz val="11"/>
        <color rgb="FF111111"/>
        <rFont val="Calibri"/>
        <family val="2"/>
        <scheme val="minor"/>
      </rPr>
      <t>Branch.io</t>
    </r>
  </si>
  <si>
    <r>
      <rPr>
        <sz val="11"/>
        <color rgb="FF111111"/>
        <rFont val="Calibri"/>
        <family val="2"/>
        <scheme val="minor"/>
      </rPr>
      <t>iCIMS</t>
    </r>
  </si>
  <si>
    <r>
      <rPr>
        <sz val="11"/>
        <color rgb="FF111111"/>
        <rFont val="Calibri"/>
        <family val="2"/>
        <scheme val="minor"/>
      </rPr>
      <t>Ready Robotics</t>
    </r>
  </si>
  <si>
    <r>
      <rPr>
        <sz val="11"/>
        <color rgb="FF111111"/>
        <rFont val="Calibri"/>
        <family val="2"/>
        <scheme val="minor"/>
      </rPr>
      <t>Fastly</t>
    </r>
  </si>
  <si>
    <r>
      <rPr>
        <sz val="11"/>
        <color rgb="FF111111"/>
        <rFont val="Calibri"/>
        <family val="2"/>
        <scheme val="minor"/>
      </rPr>
      <t>Eventbrite</t>
    </r>
  </si>
  <si>
    <r>
      <rPr>
        <sz val="10.5"/>
        <color rgb="FF111111"/>
        <rFont val="Calibri"/>
        <family val="2"/>
        <scheme val="minor"/>
      </rPr>
      <t>Legal</t>
    </r>
    <r>
      <rPr>
        <sz val="11"/>
        <color rgb="FF111111"/>
        <rFont val="Calibri"/>
        <family val="2"/>
        <scheme val="minor"/>
      </rPr>
      <t>Z</t>
    </r>
    <r>
      <rPr>
        <sz val="10.5"/>
        <color rgb="FF111111"/>
        <rFont val="Calibri"/>
        <family val="2"/>
        <scheme val="minor"/>
      </rPr>
      <t>oom</t>
    </r>
  </si>
  <si>
    <r>
      <rPr>
        <sz val="11"/>
        <color rgb="FF111111"/>
        <rFont val="Calibri"/>
        <family val="2"/>
        <scheme val="minor"/>
      </rPr>
      <t>Axios Media</t>
    </r>
  </si>
  <si>
    <r>
      <rPr>
        <sz val="11"/>
        <color rgb="FF111111"/>
        <rFont val="Calibri"/>
        <family val="2"/>
        <scheme val="minor"/>
      </rPr>
      <t>Mobius Motors</t>
    </r>
  </si>
  <si>
    <r>
      <rPr>
        <sz val="11"/>
        <color rgb="FF111111"/>
        <rFont val="Calibri"/>
        <family val="2"/>
        <scheme val="minor"/>
      </rPr>
      <t>T</t>
    </r>
    <r>
      <rPr>
        <sz val="10.5"/>
        <color rgb="FF111111"/>
        <rFont val="Calibri"/>
        <family val="2"/>
        <scheme val="minor"/>
      </rPr>
      <t>eradata</t>
    </r>
  </si>
  <si>
    <r>
      <rPr>
        <sz val="11"/>
        <color rgb="FF111111"/>
        <rFont val="Calibri"/>
        <family val="2"/>
        <scheme val="minor"/>
      </rPr>
      <t>Infineon</t>
    </r>
  </si>
  <si>
    <r>
      <rPr>
        <sz val="11"/>
        <color rgb="FF111111"/>
        <rFont val="Calibri"/>
        <family val="2"/>
        <scheme val="minor"/>
      </rPr>
      <t>Jam City</t>
    </r>
  </si>
  <si>
    <r>
      <rPr>
        <sz val="11"/>
        <color rgb="FF111111"/>
        <rFont val="Calibri"/>
        <family val="2"/>
        <scheme val="minor"/>
      </rPr>
      <t>Dell</t>
    </r>
  </si>
  <si>
    <r>
      <rPr>
        <sz val="11"/>
        <color rgb="FF111111"/>
        <rFont val="Calibri"/>
        <family val="2"/>
        <scheme val="minor"/>
      </rPr>
      <t>ShareChat</t>
    </r>
  </si>
  <si>
    <r>
      <rPr>
        <sz val="11"/>
        <color rgb="FF111111"/>
        <rFont val="Calibri"/>
        <family val="2"/>
        <scheme val="minor"/>
      </rPr>
      <t>Intel</t>
    </r>
  </si>
  <si>
    <r>
      <rPr>
        <sz val="11"/>
        <color rgb="FF111111"/>
        <rFont val="Calibri"/>
        <family val="2"/>
        <scheme val="minor"/>
      </rPr>
      <t>Rad Power Bikes</t>
    </r>
  </si>
  <si>
    <r>
      <rPr>
        <sz val="11"/>
        <color rgb="FF111111"/>
        <rFont val="Calibri"/>
        <family val="2"/>
        <scheme val="minor"/>
      </rPr>
      <t>Bungie</t>
    </r>
  </si>
  <si>
    <r>
      <rPr>
        <sz val="11"/>
        <color rgb="FF111111"/>
        <rFont val="Calibri"/>
        <family val="2"/>
        <scheme val="minor"/>
      </rPr>
      <t>Delivery Hero</t>
    </r>
  </si>
  <si>
    <r>
      <rPr>
        <sz val="11"/>
        <color rgb="FF111111"/>
        <rFont val="Calibri"/>
        <family val="2"/>
        <scheme val="minor"/>
      </rPr>
      <t>Match Group</t>
    </r>
  </si>
  <si>
    <r>
      <rPr>
        <sz val="10.5"/>
        <color rgb="FF111111"/>
        <rFont val="Calibri"/>
        <family val="2"/>
        <scheme val="minor"/>
      </rPr>
      <t>Nerd</t>
    </r>
    <r>
      <rPr>
        <sz val="11"/>
        <color rgb="FF111111"/>
        <rFont val="Calibri"/>
        <family val="2"/>
        <scheme val="minor"/>
      </rPr>
      <t>W</t>
    </r>
    <r>
      <rPr>
        <sz val="10.5"/>
        <color rgb="FF111111"/>
        <rFont val="Calibri"/>
        <family val="2"/>
        <scheme val="minor"/>
      </rPr>
      <t>allet</t>
    </r>
  </si>
  <si>
    <r>
      <rPr>
        <sz val="11"/>
        <color rgb="FF111111"/>
        <rFont val="Calibri"/>
        <family val="2"/>
        <scheme val="minor"/>
      </rPr>
      <t>Moxion Power</t>
    </r>
  </si>
  <si>
    <r>
      <rPr>
        <sz val="11"/>
        <color rgb="FF111111"/>
        <rFont val="Calibri"/>
        <family val="2"/>
        <scheme val="minor"/>
      </rPr>
      <t>OrCam</t>
    </r>
  </si>
  <si>
    <r>
      <rPr>
        <sz val="11"/>
        <color rgb="FF111111"/>
        <rFont val="Calibri"/>
        <family val="2"/>
        <scheme val="minor"/>
      </rPr>
      <t>Pocket FM</t>
    </r>
  </si>
  <si>
    <r>
      <rPr>
        <sz val="11"/>
        <color rgb="FF111111"/>
        <rFont val="Calibri"/>
        <family val="2"/>
        <scheme val="minor"/>
      </rPr>
      <t>W</t>
    </r>
    <r>
      <rPr>
        <sz val="10.5"/>
        <color rgb="FF111111"/>
        <rFont val="Calibri"/>
        <family val="2"/>
        <scheme val="minor"/>
      </rPr>
      <t>ayCool</t>
    </r>
  </si>
  <si>
    <r>
      <rPr>
        <sz val="11"/>
        <color rgb="FF111111"/>
        <rFont val="Calibri"/>
        <family val="2"/>
        <scheme val="minor"/>
      </rPr>
      <t>W</t>
    </r>
    <r>
      <rPr>
        <sz val="10.5"/>
        <color rgb="FF111111"/>
        <rFont val="Calibri"/>
        <family val="2"/>
        <scheme val="minor"/>
      </rPr>
      <t>ebflow</t>
    </r>
  </si>
  <si>
    <r>
      <rPr>
        <sz val="11"/>
        <color rgb="FF111111"/>
        <rFont val="Calibri"/>
        <family val="2"/>
        <scheme val="minor"/>
      </rPr>
      <t>Humble Games</t>
    </r>
  </si>
  <si>
    <r>
      <rPr>
        <sz val="11"/>
        <color rgb="FF111111"/>
        <rFont val="Calibri"/>
        <family val="2"/>
        <scheme val="minor"/>
      </rPr>
      <t>Cohere</t>
    </r>
  </si>
  <si>
    <r>
      <rPr>
        <sz val="11"/>
        <color rgb="FF111111"/>
        <rFont val="Calibri"/>
        <family val="2"/>
        <scheme val="minor"/>
      </rPr>
      <t>Bluelearn</t>
    </r>
  </si>
  <si>
    <r>
      <rPr>
        <sz val="11"/>
        <color rgb="FF111111"/>
        <rFont val="Calibri"/>
        <family val="2"/>
        <scheme val="minor"/>
      </rPr>
      <t>Magic Leap</t>
    </r>
  </si>
  <si>
    <r>
      <rPr>
        <sz val="10.5"/>
        <color theme="1"/>
        <rFont val="Calibri"/>
        <family val="2"/>
        <scheme val="minor"/>
      </rPr>
      <t xml:space="preserve">Mercari </t>
    </r>
    <r>
      <rPr>
        <sz val="11"/>
        <color theme="1"/>
        <rFont val="Calibri"/>
        <family val="2"/>
        <scheme val="minor"/>
      </rPr>
      <t>U</t>
    </r>
    <r>
      <rPr>
        <sz val="10.5"/>
        <color theme="1"/>
        <rFont val="Calibri"/>
        <family val="2"/>
        <scheme val="minor"/>
      </rPr>
      <t>.S.</t>
    </r>
  </si>
  <si>
    <r>
      <rPr>
        <sz val="11"/>
        <color rgb="FF111111"/>
        <rFont val="Calibri"/>
        <family val="2"/>
        <scheme val="minor"/>
      </rPr>
      <t>Aqua Security</t>
    </r>
  </si>
  <si>
    <r>
      <rPr>
        <sz val="11"/>
        <color rgb="FF111111"/>
        <rFont val="Calibri"/>
        <family val="2"/>
        <scheme val="minor"/>
      </rPr>
      <t>EverC</t>
    </r>
  </si>
  <si>
    <r>
      <rPr>
        <sz val="11"/>
        <color rgb="FF111111"/>
        <rFont val="Calibri"/>
        <family val="2"/>
        <scheme val="minor"/>
      </rPr>
      <t>Lex</t>
    </r>
  </si>
  <si>
    <r>
      <rPr>
        <sz val="11"/>
        <color rgb="FF111111"/>
        <rFont val="Calibri"/>
        <family val="2"/>
        <scheme val="minor"/>
      </rPr>
      <t>ON</t>
    </r>
  </si>
  <si>
    <r>
      <rPr>
        <sz val="11"/>
        <color rgb="FF111111"/>
        <rFont val="Calibri"/>
        <family val="2"/>
        <scheme val="minor"/>
      </rPr>
      <t>Kaspersky</t>
    </r>
  </si>
  <si>
    <r>
      <rPr>
        <sz val="11"/>
        <color rgb="FF111111"/>
        <rFont val="Calibri"/>
        <family val="2"/>
        <scheme val="minor"/>
      </rPr>
      <t>U</t>
    </r>
    <r>
      <rPr>
        <sz val="10.5"/>
        <color rgb="FF111111"/>
        <rFont val="Calibri"/>
        <family val="2"/>
        <scheme val="minor"/>
      </rPr>
      <t>nbounce</t>
    </r>
  </si>
  <si>
    <r>
      <rPr>
        <sz val="11"/>
        <color rgb="FF111111"/>
        <rFont val="Calibri"/>
        <family val="2"/>
        <scheme val="minor"/>
      </rPr>
      <t>SolarEdge</t>
    </r>
  </si>
  <si>
    <r>
      <rPr>
        <sz val="11"/>
        <color rgb="FF111111"/>
        <rFont val="Calibri"/>
        <family val="2"/>
        <scheme val="minor"/>
      </rPr>
      <t>Salesforce</t>
    </r>
  </si>
  <si>
    <r>
      <rPr>
        <sz val="11"/>
        <color rgb="FF111111"/>
        <rFont val="Calibri"/>
        <family val="2"/>
        <scheme val="minor"/>
      </rPr>
      <t>Spotify</t>
    </r>
  </si>
  <si>
    <r>
      <rPr>
        <sz val="11"/>
        <color rgb="FF111111"/>
        <rFont val="Calibri"/>
        <family val="2"/>
        <scheme val="minor"/>
      </rPr>
      <t>SadaPay</t>
    </r>
  </si>
  <si>
    <r>
      <rPr>
        <sz val="10.5"/>
        <color rgb="FF111111"/>
        <rFont val="Calibri"/>
        <family val="2"/>
        <scheme val="minor"/>
      </rPr>
      <t>Moxi</t>
    </r>
    <r>
      <rPr>
        <sz val="11"/>
        <color rgb="FF111111"/>
        <rFont val="Calibri"/>
        <family val="2"/>
        <scheme val="minor"/>
      </rPr>
      <t>W</t>
    </r>
    <r>
      <rPr>
        <sz val="10.5"/>
        <color rgb="FF111111"/>
        <rFont val="Calibri"/>
        <family val="2"/>
        <scheme val="minor"/>
      </rPr>
      <t>orks</t>
    </r>
  </si>
  <si>
    <r>
      <rPr>
        <sz val="11"/>
        <color rgb="FF111111"/>
        <rFont val="Calibri"/>
        <family val="2"/>
        <scheme val="minor"/>
      </rPr>
      <t>Intuit</t>
    </r>
  </si>
  <si>
    <r>
      <rPr>
        <sz val="11"/>
        <color rgb="FF111111"/>
        <rFont val="Calibri"/>
        <family val="2"/>
        <scheme val="minor"/>
      </rPr>
      <t>Redbox</t>
    </r>
  </si>
  <si>
    <r>
      <rPr>
        <sz val="11"/>
        <color rgb="FF111111"/>
        <rFont val="Calibri"/>
        <family val="2"/>
        <scheme val="minor"/>
      </rPr>
      <t>CyberProof</t>
    </r>
  </si>
  <si>
    <r>
      <rPr>
        <sz val="11"/>
        <color rgb="FF111111"/>
        <rFont val="Calibri"/>
        <family val="2"/>
        <scheme val="minor"/>
      </rPr>
      <t>U</t>
    </r>
    <r>
      <rPr>
        <sz val="10.5"/>
        <color rgb="FF111111"/>
        <rFont val="Calibri"/>
        <family val="2"/>
        <scheme val="minor"/>
      </rPr>
      <t>IPath</t>
    </r>
  </si>
  <si>
    <r>
      <rPr>
        <sz val="11"/>
        <color rgb="FF111111"/>
        <rFont val="Calibri"/>
        <family val="2"/>
        <scheme val="minor"/>
      </rPr>
      <t>U</t>
    </r>
    <r>
      <rPr>
        <sz val="10.5"/>
        <color rgb="FF111111"/>
        <rFont val="Calibri"/>
        <family val="2"/>
        <scheme val="minor"/>
      </rPr>
      <t>KG</t>
    </r>
  </si>
  <si>
    <r>
      <rPr>
        <sz val="10.5"/>
        <color rgb="FF111111"/>
        <rFont val="Calibri"/>
        <family val="2"/>
        <scheme val="minor"/>
      </rPr>
      <t>Open</t>
    </r>
    <r>
      <rPr>
        <sz val="11"/>
        <color rgb="FF111111"/>
        <rFont val="Calibri"/>
        <family val="2"/>
        <scheme val="minor"/>
      </rPr>
      <t>T</t>
    </r>
    <r>
      <rPr>
        <sz val="10.5"/>
        <color rgb="FF111111"/>
        <rFont val="Calibri"/>
        <family val="2"/>
        <scheme val="minor"/>
      </rPr>
      <t>ext</t>
    </r>
  </si>
  <si>
    <r>
      <rPr>
        <sz val="11"/>
        <color rgb="FF111111"/>
        <rFont val="Calibri"/>
        <family val="2"/>
        <scheme val="minor"/>
      </rPr>
      <t>U</t>
    </r>
    <r>
      <rPr>
        <sz val="10.5"/>
        <color rgb="FF111111"/>
        <rFont val="Calibri"/>
        <family val="2"/>
        <scheme val="minor"/>
      </rPr>
      <t>nacademy</t>
    </r>
  </si>
  <si>
    <r>
      <rPr>
        <sz val="11"/>
        <color rgb="FF111111"/>
        <rFont val="Calibri"/>
        <family val="2"/>
        <scheme val="minor"/>
      </rPr>
      <t>Koo</t>
    </r>
  </si>
  <si>
    <r>
      <rPr>
        <sz val="11"/>
        <color rgb="FF111111"/>
        <rFont val="Calibri"/>
        <family val="2"/>
        <scheme val="minor"/>
      </rPr>
      <t>Lightricks</t>
    </r>
  </si>
  <si>
    <r>
      <rPr>
        <sz val="11"/>
        <color rgb="FF111111"/>
        <rFont val="Calibri"/>
        <family val="2"/>
        <scheme val="minor"/>
      </rPr>
      <t>U</t>
    </r>
    <r>
      <rPr>
        <sz val="10.5"/>
        <color rgb="FF111111"/>
        <rFont val="Calibri"/>
        <family val="2"/>
        <scheme val="minor"/>
      </rPr>
      <t>pside Foods</t>
    </r>
  </si>
  <si>
    <r>
      <rPr>
        <sz val="11"/>
        <color rgb="FF111111"/>
        <rFont val="Calibri"/>
        <family val="2"/>
        <scheme val="minor"/>
      </rPr>
      <t>Sightful</t>
    </r>
  </si>
  <si>
    <r>
      <rPr>
        <sz val="11"/>
        <color rgb="FF111111"/>
        <rFont val="Calibri"/>
        <family val="2"/>
        <scheme val="minor"/>
      </rPr>
      <t>Cint</t>
    </r>
  </si>
  <si>
    <r>
      <rPr>
        <sz val="10.5"/>
        <color rgb="FF111111"/>
        <rFont val="Calibri"/>
        <family val="2"/>
        <scheme val="minor"/>
      </rPr>
      <t xml:space="preserve">Ninja </t>
    </r>
    <r>
      <rPr>
        <sz val="11"/>
        <color rgb="FF111111"/>
        <rFont val="Calibri"/>
        <family val="2"/>
        <scheme val="minor"/>
      </rPr>
      <t>V</t>
    </r>
    <r>
      <rPr>
        <sz val="10.5"/>
        <color rgb="FF111111"/>
        <rFont val="Calibri"/>
        <family val="2"/>
        <scheme val="minor"/>
      </rPr>
      <t>an</t>
    </r>
  </si>
  <si>
    <r>
      <rPr>
        <sz val="11"/>
        <color rgb="FF111111"/>
        <rFont val="Calibri"/>
        <family val="2"/>
        <scheme val="minor"/>
      </rPr>
      <t>Priceline</t>
    </r>
  </si>
  <si>
    <r>
      <rPr>
        <sz val="11"/>
        <color rgb="FF111111"/>
        <rFont val="Calibri"/>
        <family val="2"/>
        <scheme val="minor"/>
      </rPr>
      <t>RealPage</t>
    </r>
  </si>
  <si>
    <r>
      <rPr>
        <sz val="11"/>
        <color rgb="FF111111"/>
        <rFont val="Calibri"/>
        <family val="2"/>
        <scheme val="minor"/>
      </rPr>
      <t>Planet</t>
    </r>
  </si>
  <si>
    <r>
      <rPr>
        <sz val="11"/>
        <color rgb="FF111111"/>
        <rFont val="Calibri"/>
        <family val="2"/>
        <scheme val="minor"/>
      </rPr>
      <t>eBay</t>
    </r>
  </si>
  <si>
    <r>
      <rPr>
        <sz val="11"/>
        <color rgb="FF111111"/>
        <rFont val="Calibri"/>
        <family val="2"/>
        <scheme val="minor"/>
      </rPr>
      <t>Perion</t>
    </r>
  </si>
  <si>
    <r>
      <rPr>
        <sz val="11"/>
        <color rgb="FF111111"/>
        <rFont val="Calibri"/>
        <family val="2"/>
        <scheme val="minor"/>
      </rPr>
      <t>BeReal</t>
    </r>
  </si>
  <si>
    <r>
      <rPr>
        <sz val="11"/>
        <color rgb="FF111111"/>
        <rFont val="Calibri"/>
        <family val="2"/>
        <scheme val="minor"/>
      </rPr>
      <t>Flutterwave</t>
    </r>
  </si>
  <si>
    <r>
      <rPr>
        <sz val="11"/>
        <color rgb="FF111111"/>
        <rFont val="Calibri"/>
        <family val="2"/>
        <scheme val="minor"/>
      </rPr>
      <t>Ginkgo Bioworks</t>
    </r>
  </si>
  <si>
    <r>
      <rPr>
        <sz val="11"/>
        <color rgb="FF111111"/>
        <rFont val="Calibri"/>
        <family val="2"/>
        <scheme val="minor"/>
      </rPr>
      <t>T</t>
    </r>
    <r>
      <rPr>
        <sz val="10.5"/>
        <color rgb="FF111111"/>
        <rFont val="Calibri"/>
        <family val="2"/>
        <scheme val="minor"/>
      </rPr>
      <t>rade Republic</t>
    </r>
  </si>
  <si>
    <r>
      <rPr>
        <sz val="11"/>
        <color rgb="FF111111"/>
        <rFont val="Calibri"/>
        <family val="2"/>
        <scheme val="minor"/>
      </rPr>
      <t>Bluevine</t>
    </r>
  </si>
  <si>
    <r>
      <rPr>
        <sz val="11"/>
        <color rgb="FF111111"/>
        <rFont val="Calibri"/>
        <family val="2"/>
        <scheme val="minor"/>
      </rPr>
      <t>Emma Sleep</t>
    </r>
  </si>
  <si>
    <r>
      <rPr>
        <sz val="11"/>
        <color rgb="FF111111"/>
        <rFont val="Calibri"/>
        <family val="2"/>
        <scheme val="minor"/>
      </rPr>
      <t>Moovit</t>
    </r>
  </si>
  <si>
    <r>
      <rPr>
        <sz val="11"/>
        <color rgb="FF111111"/>
        <rFont val="Calibri"/>
        <family val="2"/>
        <scheme val="minor"/>
      </rPr>
      <t>W</t>
    </r>
    <r>
      <rPr>
        <sz val="10.5"/>
        <color rgb="FF111111"/>
        <rFont val="Calibri"/>
        <family val="2"/>
        <scheme val="minor"/>
      </rPr>
      <t>ex</t>
    </r>
  </si>
  <si>
    <r>
      <rPr>
        <sz val="11"/>
        <color rgb="FF111111"/>
        <rFont val="Calibri"/>
        <family val="2"/>
        <scheme val="minor"/>
      </rPr>
      <t>PayPal</t>
    </r>
  </si>
  <si>
    <r>
      <rPr>
        <sz val="11"/>
        <color rgb="FF111111"/>
        <rFont val="Calibri"/>
        <family val="2"/>
        <scheme val="minor"/>
      </rPr>
      <t>Rapyd</t>
    </r>
  </si>
  <si>
    <r>
      <rPr>
        <sz val="11"/>
        <color rgb="FF111111"/>
        <rFont val="Calibri"/>
        <family val="2"/>
        <scheme val="minor"/>
      </rPr>
      <t>C2FO</t>
    </r>
  </si>
  <si>
    <r>
      <rPr>
        <sz val="11"/>
        <color rgb="FF111111"/>
        <rFont val="Calibri"/>
        <family val="2"/>
        <scheme val="minor"/>
      </rPr>
      <t>Fisker</t>
    </r>
  </si>
  <si>
    <r>
      <rPr>
        <sz val="11"/>
        <color rgb="FF111111"/>
        <rFont val="Calibri"/>
        <family val="2"/>
        <scheme val="minor"/>
      </rPr>
      <t>Chegg</t>
    </r>
  </si>
  <si>
    <r>
      <rPr>
        <sz val="11"/>
        <color rgb="FF111111"/>
        <rFont val="Calibri"/>
        <family val="2"/>
        <scheme val="minor"/>
      </rPr>
      <t>Stackpath</t>
    </r>
  </si>
  <si>
    <r>
      <rPr>
        <sz val="11"/>
        <color rgb="FF1F1F1F"/>
        <rFont val="Calibri"/>
        <family val="2"/>
        <scheme val="minor"/>
      </rPr>
      <t>U</t>
    </r>
    <r>
      <rPr>
        <sz val="10.5"/>
        <color rgb="FF1F1F1F"/>
        <rFont val="Calibri"/>
        <family val="2"/>
        <scheme val="minor"/>
      </rPr>
      <t>nknown</t>
    </r>
  </si>
  <si>
    <r>
      <rPr>
        <sz val="11"/>
        <color rgb="FF1F1F1F"/>
        <rFont val="Calibri"/>
        <family val="2"/>
        <scheme val="minor"/>
      </rPr>
      <t>Series C</t>
    </r>
  </si>
  <si>
    <r>
      <rPr>
        <sz val="11"/>
        <color rgb="FF1F1F1F"/>
        <rFont val="Calibri"/>
        <family val="2"/>
        <scheme val="minor"/>
      </rPr>
      <t>Series B</t>
    </r>
  </si>
  <si>
    <r>
      <rPr>
        <sz val="11"/>
        <color rgb="FF1F1F1F"/>
        <rFont val="Calibri"/>
        <family val="2"/>
        <scheme val="minor"/>
      </rPr>
      <t>Post-IPO</t>
    </r>
  </si>
  <si>
    <r>
      <rPr>
        <sz val="11"/>
        <color rgb="FF1F1F1F"/>
        <rFont val="Calibri"/>
        <family val="2"/>
        <scheme val="minor"/>
      </rPr>
      <t>Series D</t>
    </r>
  </si>
  <si>
    <r>
      <rPr>
        <sz val="11"/>
        <color rgb="FF1F1F1F"/>
        <rFont val="Calibri"/>
        <family val="2"/>
        <scheme val="minor"/>
      </rPr>
      <t>Acquired</t>
    </r>
  </si>
  <si>
    <r>
      <rPr>
        <sz val="11"/>
        <color rgb="FF1F1F1F"/>
        <rFont val="Calibri"/>
        <family val="2"/>
        <scheme val="minor"/>
      </rPr>
      <t>Seed</t>
    </r>
  </si>
  <si>
    <r>
      <rPr>
        <sz val="11"/>
        <color rgb="FF1F1F1F"/>
        <rFont val="Calibri"/>
        <family val="2"/>
        <scheme val="minor"/>
      </rPr>
      <t>Series A</t>
    </r>
  </si>
  <si>
    <r>
      <rPr>
        <sz val="11"/>
        <color rgb="FF1F1F1F"/>
        <rFont val="Calibri"/>
        <family val="2"/>
        <scheme val="minor"/>
      </rPr>
      <t>Series E</t>
    </r>
  </si>
  <si>
    <r>
      <rPr>
        <sz val="11"/>
        <color rgb="FF1F1F1F"/>
        <rFont val="Calibri"/>
        <family val="2"/>
        <scheme val="minor"/>
      </rPr>
      <t>Series F</t>
    </r>
  </si>
  <si>
    <r>
      <rPr>
        <sz val="11"/>
        <color rgb="FF1F1F1F"/>
        <rFont val="Calibri"/>
        <family val="2"/>
        <scheme val="minor"/>
      </rPr>
      <t>Series H</t>
    </r>
  </si>
  <si>
    <t>Oceana</t>
  </si>
  <si>
    <t>Chattanooga</t>
  </si>
  <si>
    <r>
      <rPr>
        <sz val="11"/>
        <color theme="1"/>
        <rFont val="Calibri"/>
        <family val="2"/>
        <scheme val="minor"/>
      </rPr>
      <t>Healthcare</t>
    </r>
  </si>
  <si>
    <r>
      <rPr>
        <sz val="11"/>
        <color theme="1"/>
        <rFont val="Calibri"/>
        <family val="2"/>
        <scheme val="minor"/>
      </rPr>
      <t>Finance</t>
    </r>
  </si>
  <si>
    <r>
      <rPr>
        <sz val="11"/>
        <color theme="1"/>
        <rFont val="Calibri"/>
        <family val="2"/>
        <scheme val="minor"/>
      </rPr>
      <t>Real Estate</t>
    </r>
  </si>
  <si>
    <r>
      <rPr>
        <sz val="11"/>
        <color theme="1"/>
        <rFont val="Calibri"/>
        <family val="2"/>
        <scheme val="minor"/>
      </rPr>
      <t>Education</t>
    </r>
  </si>
  <si>
    <r>
      <rPr>
        <sz val="11"/>
        <color theme="1"/>
        <rFont val="Calibri"/>
        <family val="2"/>
        <scheme val="minor"/>
      </rPr>
      <t>Food</t>
    </r>
  </si>
  <si>
    <r>
      <rPr>
        <sz val="11"/>
        <color theme="1"/>
        <rFont val="Calibri"/>
        <family val="2"/>
        <scheme val="minor"/>
      </rPr>
      <t>Other</t>
    </r>
  </si>
  <si>
    <r>
      <rPr>
        <sz val="11"/>
        <color theme="1"/>
        <rFont val="Calibri"/>
        <family val="2"/>
        <scheme val="minor"/>
      </rPr>
      <t>Retail</t>
    </r>
  </si>
  <si>
    <r>
      <rPr>
        <sz val="11"/>
        <color theme="1"/>
        <rFont val="Calibri"/>
        <family val="2"/>
        <scheme val="minor"/>
      </rPr>
      <t>HR</t>
    </r>
  </si>
  <si>
    <r>
      <rPr>
        <sz val="11"/>
        <color theme="1"/>
        <rFont val="Calibri"/>
        <family val="2"/>
        <scheme val="minor"/>
      </rPr>
      <t>Logistics</t>
    </r>
  </si>
  <si>
    <r>
      <rPr>
        <sz val="11"/>
        <color theme="1"/>
        <rFont val="Calibri"/>
        <family val="2"/>
        <scheme val="minor"/>
      </rPr>
      <t>Marketing</t>
    </r>
  </si>
  <si>
    <r>
      <rPr>
        <sz val="11"/>
        <color theme="1"/>
        <rFont val="Calibri"/>
        <family val="2"/>
        <scheme val="minor"/>
      </rPr>
      <t>AI</t>
    </r>
  </si>
  <si>
    <r>
      <rPr>
        <sz val="11"/>
        <color theme="1"/>
        <rFont val="Calibri"/>
        <family val="2"/>
        <scheme val="minor"/>
      </rPr>
      <t>Product</t>
    </r>
  </si>
  <si>
    <r>
      <rPr>
        <sz val="11"/>
        <color theme="1"/>
        <rFont val="Calibri"/>
        <family val="2"/>
        <scheme val="minor"/>
      </rPr>
      <t>Consumer</t>
    </r>
  </si>
  <si>
    <r>
      <rPr>
        <sz val="11"/>
        <color theme="1"/>
        <rFont val="Calibri"/>
        <family val="2"/>
        <scheme val="minor"/>
      </rPr>
      <t>Crypto</t>
    </r>
  </si>
  <si>
    <r>
      <rPr>
        <sz val="11"/>
        <color theme="1"/>
        <rFont val="Calibri"/>
        <family val="2"/>
        <scheme val="minor"/>
      </rPr>
      <t>Aerospace</t>
    </r>
  </si>
  <si>
    <r>
      <rPr>
        <sz val="11"/>
        <color theme="1"/>
        <rFont val="Calibri"/>
        <family val="2"/>
        <scheme val="minor"/>
      </rPr>
      <t>Travel</t>
    </r>
  </si>
  <si>
    <r>
      <rPr>
        <sz val="11"/>
        <color theme="1"/>
        <rFont val="Calibri"/>
        <family val="2"/>
        <scheme val="minor"/>
      </rPr>
      <t>Energy</t>
    </r>
  </si>
  <si>
    <r>
      <rPr>
        <sz val="11"/>
        <color theme="1"/>
        <rFont val="Calibri"/>
        <family val="2"/>
        <scheme val="minor"/>
      </rPr>
      <t>Security</t>
    </r>
  </si>
  <si>
    <r>
      <rPr>
        <sz val="11"/>
        <color theme="1"/>
        <rFont val="Calibri"/>
        <family val="2"/>
        <scheme val="minor"/>
      </rPr>
      <t>Hardware</t>
    </r>
  </si>
  <si>
    <r>
      <rPr>
        <sz val="11"/>
        <color theme="1"/>
        <rFont val="Calibri"/>
        <family val="2"/>
        <scheme val="minor"/>
      </rPr>
      <t>Fitness</t>
    </r>
  </si>
  <si>
    <r>
      <rPr>
        <sz val="11"/>
        <color theme="1"/>
        <rFont val="Calibri"/>
        <family val="2"/>
        <scheme val="minor"/>
      </rPr>
      <t>Support</t>
    </r>
  </si>
  <si>
    <r>
      <rPr>
        <sz val="11"/>
        <color theme="1"/>
        <rFont val="Calibri"/>
        <family val="2"/>
        <scheme val="minor"/>
      </rPr>
      <t>Recruiting</t>
    </r>
  </si>
  <si>
    <r>
      <rPr>
        <sz val="11"/>
        <color theme="1"/>
        <rFont val="Calibri"/>
        <family val="2"/>
        <scheme val="minor"/>
      </rPr>
      <t>Legal</t>
    </r>
  </si>
  <si>
    <r>
      <rPr>
        <sz val="11"/>
        <color theme="1"/>
        <rFont val="Calibri"/>
        <family val="2"/>
        <scheme val="minor"/>
      </rPr>
      <t>Media</t>
    </r>
  </si>
  <si>
    <r>
      <rPr>
        <sz val="11"/>
        <color theme="1"/>
        <rFont val="Calibri"/>
        <family val="2"/>
        <scheme val="minor"/>
      </rPr>
      <t>Data</t>
    </r>
  </si>
  <si>
    <r>
      <rPr>
        <sz val="11"/>
        <color theme="1"/>
        <rFont val="Calibri"/>
        <family val="2"/>
        <scheme val="minor"/>
      </rPr>
      <t>Sales</t>
    </r>
  </si>
  <si>
    <r>
      <rPr>
        <sz val="11"/>
        <color theme="1"/>
        <rFont val="Calibri"/>
        <family val="2"/>
        <scheme val="minor"/>
      </rPr>
      <t>T</t>
    </r>
    <r>
      <rPr>
        <sz val="10.5"/>
        <color theme="1"/>
        <rFont val="Calibri"/>
        <family val="2"/>
        <scheme val="minor"/>
      </rPr>
      <t>ravel</t>
    </r>
  </si>
  <si>
    <t>Michigan</t>
  </si>
  <si>
    <t>Georgia</t>
  </si>
  <si>
    <t>Texas</t>
  </si>
  <si>
    <t>Maryland</t>
  </si>
  <si>
    <t>Oregon</t>
  </si>
  <si>
    <t>Idaho</t>
  </si>
  <si>
    <t>Massachusetts</t>
  </si>
  <si>
    <t>Colorado</t>
  </si>
  <si>
    <t>Vermont</t>
  </si>
  <si>
    <t>South Carolina</t>
  </si>
  <si>
    <t>Illinois</t>
  </si>
  <si>
    <t>Ohio</t>
  </si>
  <si>
    <t>Florida</t>
  </si>
  <si>
    <t>North Carolina</t>
  </si>
  <si>
    <t>Connecticut</t>
  </si>
  <si>
    <t>Indiana</t>
  </si>
  <si>
    <t>Kansas</t>
  </si>
  <si>
    <t>Nevada</t>
  </si>
  <si>
    <t>Utah</t>
  </si>
  <si>
    <t>Wisconsin</t>
  </si>
  <si>
    <t>Tennessee</t>
  </si>
  <si>
    <t>Minnesota</t>
  </si>
  <si>
    <t>Montana</t>
  </si>
  <si>
    <t>New Hampshire</t>
  </si>
  <si>
    <t>Nebraska</t>
  </si>
  <si>
    <t>Pennsylvania</t>
  </si>
  <si>
    <t>Arizona</t>
  </si>
  <si>
    <t>New Mexico</t>
  </si>
  <si>
    <t>Washington</t>
  </si>
  <si>
    <t>Alabama</t>
  </si>
  <si>
    <t>District of Columbia</t>
  </si>
  <si>
    <t>Delaware</t>
  </si>
  <si>
    <t>Hessen</t>
  </si>
  <si>
    <t>Baden-Würtemberg</t>
  </si>
  <si>
    <t>Schleswig-Holstein</t>
  </si>
  <si>
    <t>Bayern</t>
  </si>
  <si>
    <t>Iowa</t>
  </si>
  <si>
    <t>New Jersey</t>
  </si>
  <si>
    <r>
      <rPr>
        <sz val="11"/>
        <color theme="1"/>
        <rFont val="Calibri"/>
        <family val="2"/>
        <scheme val="minor"/>
      </rPr>
      <t>T</t>
    </r>
    <r>
      <rPr>
        <sz val="10.5"/>
        <color theme="1"/>
        <rFont val="Calibri"/>
        <family val="2"/>
        <scheme val="minor"/>
      </rPr>
      <t>ransportion</t>
    </r>
  </si>
  <si>
    <t>Transportion</t>
  </si>
  <si>
    <t>Lilium</t>
  </si>
  <si>
    <t>BionicHIVE</t>
  </si>
  <si>
    <t>Sderot</t>
  </si>
  <si>
    <t>Refinery29</t>
  </si>
  <si>
    <t>Thrive</t>
  </si>
  <si>
    <t>Foundry</t>
  </si>
  <si>
    <t>OfferUp</t>
  </si>
  <si>
    <t>Spotter</t>
  </si>
  <si>
    <t>Spectrm</t>
  </si>
  <si>
    <t>EasyKnock</t>
  </si>
  <si>
    <t>Mixtroz</t>
  </si>
  <si>
    <t>Birmingham</t>
  </si>
  <si>
    <t>Circle</t>
  </si>
  <si>
    <t>Booking Holdings</t>
  </si>
  <si>
    <t>Klub</t>
  </si>
  <si>
    <t>AlphaSense</t>
  </si>
  <si>
    <t>Sprout Social</t>
  </si>
  <si>
    <t>Ola Electric</t>
  </si>
  <si>
    <t>Adjust</t>
  </si>
  <si>
    <t>Recruiting</t>
  </si>
  <si>
    <t>Own</t>
  </si>
  <si>
    <t>Kuku FM</t>
  </si>
  <si>
    <t>AMD</t>
  </si>
  <si>
    <t>Lyra Health</t>
  </si>
  <si>
    <t>Stoa</t>
  </si>
  <si>
    <t>Sword Health</t>
  </si>
  <si>
    <t>Monarch Tractor</t>
  </si>
  <si>
    <t>Livermore</t>
  </si>
  <si>
    <t>Booking.com</t>
  </si>
  <si>
    <t>Grand Rapids</t>
  </si>
  <si>
    <t>Exosonic</t>
  </si>
  <si>
    <t>Just Eat</t>
  </si>
  <si>
    <t>ShareFile</t>
  </si>
  <si>
    <t>Avaya</t>
  </si>
  <si>
    <t>Atera</t>
  </si>
  <si>
    <t>Maven Clinic</t>
  </si>
  <si>
    <t>Bowery Farming</t>
  </si>
  <si>
    <t>Tidal</t>
  </si>
  <si>
    <t>F5</t>
  </si>
  <si>
    <t>Docker</t>
  </si>
  <si>
    <t>dYdX</t>
  </si>
  <si>
    <t>Coursera</t>
  </si>
  <si>
    <t>Kyte</t>
  </si>
  <si>
    <t>Twelve</t>
  </si>
  <si>
    <t>Airthings</t>
  </si>
  <si>
    <t>Catena Media</t>
  </si>
  <si>
    <t>Sliema</t>
  </si>
  <si>
    <t>Malta</t>
  </si>
  <si>
    <t>Venminder</t>
  </si>
  <si>
    <t>Louisville</t>
  </si>
  <si>
    <t>CapWay</t>
  </si>
  <si>
    <t>Gigamon</t>
  </si>
  <si>
    <t>Bytedance</t>
  </si>
  <si>
    <t>Nikola</t>
  </si>
  <si>
    <t>Toplyne</t>
  </si>
  <si>
    <t>CareerBuilder + Monster</t>
  </si>
  <si>
    <t>GoWild</t>
  </si>
  <si>
    <t>Toptal</t>
  </si>
  <si>
    <t>BeepKart</t>
  </si>
  <si>
    <t>Zapp</t>
  </si>
  <si>
    <t>Eaze</t>
  </si>
  <si>
    <t>PubMatic</t>
  </si>
  <si>
    <t>Zapata Computing</t>
  </si>
  <si>
    <t>Alma</t>
  </si>
  <si>
    <t>ABBYY</t>
  </si>
  <si>
    <t>Nicosia</t>
  </si>
  <si>
    <t>Cyprus</t>
  </si>
  <si>
    <t>Kentucky</t>
  </si>
  <si>
    <t>USState</t>
  </si>
  <si>
    <t>Nr</t>
  </si>
  <si>
    <t>Automattic</t>
  </si>
  <si>
    <t>Canva</t>
  </si>
  <si>
    <t>Northvolt</t>
  </si>
  <si>
    <t>Prefect</t>
  </si>
  <si>
    <t>Acxiom</t>
  </si>
  <si>
    <t>Little Rock</t>
  </si>
  <si>
    <t>HelloFresh</t>
  </si>
  <si>
    <t>Otorio</t>
  </si>
  <si>
    <t>ActiveFence</t>
  </si>
  <si>
    <t>D-ID</t>
  </si>
  <si>
    <t>Zonar Systems</t>
  </si>
  <si>
    <t xml:space="preserve">Wayfair </t>
  </si>
  <si>
    <t>Hewlett Packard Enterprise</t>
  </si>
  <si>
    <t>LiveRamp</t>
  </si>
  <si>
    <t>Rec Room</t>
  </si>
  <si>
    <t>ANS Commerce</t>
  </si>
  <si>
    <t>HP</t>
  </si>
  <si>
    <t>Autodesk</t>
  </si>
  <si>
    <t>Digimarc</t>
  </si>
  <si>
    <t>Commercetools</t>
  </si>
  <si>
    <t>Dayforce</t>
  </si>
  <si>
    <t>Skybox Security</t>
  </si>
  <si>
    <t>HerMD</t>
  </si>
  <si>
    <t>NetEase</t>
  </si>
  <si>
    <t>Electriq Global</t>
  </si>
  <si>
    <t>SeatGeek</t>
  </si>
  <si>
    <t>Logically</t>
  </si>
  <si>
    <t>Eviation Aircraft</t>
  </si>
  <si>
    <t>Blue Origin</t>
  </si>
  <si>
    <t>Metro Africa Xpress</t>
  </si>
  <si>
    <t>Wise</t>
  </si>
  <si>
    <t>Justworks</t>
  </si>
  <si>
    <t>NanoLock</t>
  </si>
  <si>
    <t>SRTX</t>
  </si>
  <si>
    <t>Tabnine</t>
  </si>
  <si>
    <t>Hugging Face</t>
  </si>
  <si>
    <t>AppsFlyer</t>
  </si>
  <si>
    <t>Sure</t>
  </si>
  <si>
    <t>Cushion</t>
  </si>
  <si>
    <t>Placer.ai</t>
  </si>
  <si>
    <t>Digital River</t>
  </si>
  <si>
    <t>Moon Active</t>
  </si>
  <si>
    <t>Turso</t>
  </si>
  <si>
    <t>Pocket FM</t>
  </si>
  <si>
    <t>HeyJobs</t>
  </si>
  <si>
    <t>Advisor Credit Exchange</t>
  </si>
  <si>
    <t>Alza</t>
  </si>
  <si>
    <t>Pandion</t>
  </si>
  <si>
    <t>Icon</t>
  </si>
  <si>
    <t>Altruist</t>
  </si>
  <si>
    <t>Cloud Software Group</t>
  </si>
  <si>
    <t>Level</t>
  </si>
  <si>
    <t>Epicery</t>
  </si>
  <si>
    <t>Arkansas</t>
  </si>
  <si>
    <t>Los Altos</t>
  </si>
  <si>
    <t>Klue</t>
  </si>
  <si>
    <t>Sabi</t>
  </si>
  <si>
    <t>Salto</t>
  </si>
  <si>
    <t>Hims &amp; Hers</t>
  </si>
  <si>
    <t>Otipy</t>
  </si>
  <si>
    <t>LeddarTech</t>
  </si>
  <si>
    <t>Quebec</t>
  </si>
  <si>
    <t>Climeworks</t>
  </si>
  <si>
    <t>Builder.ai</t>
  </si>
  <si>
    <t>Blink Charging</t>
  </si>
  <si>
    <t>VerSe Innovation copy</t>
  </si>
  <si>
    <t>GroundGame Health</t>
  </si>
  <si>
    <t>Noogata</t>
  </si>
  <si>
    <t>Match Group</t>
  </si>
  <si>
    <t>CrowdStrike</t>
  </si>
  <si>
    <t>OpenText</t>
  </si>
  <si>
    <t>GenWise</t>
  </si>
  <si>
    <t>General Fusion</t>
  </si>
  <si>
    <t>Deep Instinct</t>
  </si>
  <si>
    <t>Log 9 Materials</t>
  </si>
  <si>
    <t>Beam</t>
  </si>
  <si>
    <t>NetApp</t>
  </si>
  <si>
    <t>Stem</t>
  </si>
  <si>
    <t>SambaNova</t>
  </si>
  <si>
    <t>Zopper</t>
  </si>
  <si>
    <t>Smashing</t>
  </si>
  <si>
    <t>GupShup</t>
  </si>
  <si>
    <t>Marin Software</t>
  </si>
  <si>
    <t>Wing Cloud</t>
  </si>
  <si>
    <t>Coho AI</t>
  </si>
  <si>
    <t>Five9</t>
  </si>
  <si>
    <t>Tract</t>
  </si>
  <si>
    <t>WhyHive</t>
  </si>
  <si>
    <t>Sapiens</t>
  </si>
  <si>
    <t>Holon</t>
  </si>
  <si>
    <t>Insurance Software Solutions</t>
  </si>
  <si>
    <t>Yellow.ai</t>
  </si>
  <si>
    <t>Conversational chatbot tools</t>
  </si>
  <si>
    <t>Luxembourg</t>
  </si>
  <si>
    <t>E-commerce</t>
  </si>
  <si>
    <t>The Trade Desk</t>
  </si>
  <si>
    <t>Technology, Information and Internet</t>
  </si>
  <si>
    <t>PowerSchool</t>
  </si>
  <si>
    <t>Folsom</t>
  </si>
  <si>
    <t>E-Learning</t>
  </si>
  <si>
    <t>Believer Meats</t>
  </si>
  <si>
    <t>Rehovot</t>
  </si>
  <si>
    <t>Meat Technologies</t>
  </si>
  <si>
    <t>SE Ranking</t>
  </si>
  <si>
    <t>SEO Software</t>
  </si>
  <si>
    <t>Teads</t>
  </si>
  <si>
    <t>Advertising Services</t>
  </si>
  <si>
    <t>Glowmade</t>
  </si>
  <si>
    <t>Guildford</t>
  </si>
  <si>
    <t>Computer Games</t>
  </si>
  <si>
    <t>Semiconductor Manufacturing</t>
  </si>
  <si>
    <t>Tenstorrent</t>
  </si>
  <si>
    <t>AI chip startup</t>
  </si>
  <si>
    <t>Mobileye</t>
  </si>
  <si>
    <t>Autonomous-driving vehicles</t>
  </si>
  <si>
    <t>Payoneer</t>
  </si>
  <si>
    <t>Cellebrite</t>
  </si>
  <si>
    <t>Digital Intelligence</t>
  </si>
  <si>
    <t>Modern Hydrogen</t>
  </si>
  <si>
    <t>Outright Games</t>
  </si>
  <si>
    <t>London Colney</t>
  </si>
  <si>
    <t>Computer games</t>
  </si>
  <si>
    <t>Panasonic</t>
  </si>
  <si>
    <t>Kadoma</t>
  </si>
  <si>
    <t>Appliances, Electrical, and Electronics Manufacturing</t>
  </si>
  <si>
    <t>Eidos-Montreal</t>
  </si>
  <si>
    <t>TCS</t>
  </si>
  <si>
    <t>IT Services and IT Consulting</t>
  </si>
  <si>
    <t>Computer and Network Security</t>
  </si>
  <si>
    <t>Haomo.AI</t>
  </si>
  <si>
    <t>Autonomous Driving Company</t>
  </si>
  <si>
    <t>Covalen</t>
  </si>
  <si>
    <t>Outsourcing and Offshoring Consulting</t>
  </si>
  <si>
    <t>Thunderful Group</t>
  </si>
  <si>
    <t>SE</t>
  </si>
  <si>
    <t>McKinsey</t>
  </si>
  <si>
    <t>Computers and Electronics Manufacturing</t>
  </si>
  <si>
    <t>TheScore</t>
  </si>
  <si>
    <t>Spectator Sports</t>
  </si>
  <si>
    <t>Business catering</t>
  </si>
  <si>
    <t>Financial Services</t>
  </si>
  <si>
    <t>Couchbase</t>
  </si>
  <si>
    <t>PitchBook</t>
  </si>
  <si>
    <t>Venture Capital and Private Equity Principals</t>
  </si>
  <si>
    <t>Pipe</t>
  </si>
  <si>
    <t>Herzliya</t>
  </si>
  <si>
    <t>Fanatics</t>
  </si>
  <si>
    <t>Sports Platform</t>
  </si>
  <si>
    <t>Crystal Dynamics</t>
  </si>
  <si>
    <t>Game Studio</t>
  </si>
  <si>
    <t>Synopsys</t>
  </si>
  <si>
    <t>Verizon</t>
  </si>
  <si>
    <t>Telecommunication</t>
  </si>
  <si>
    <t>AI Fleet</t>
  </si>
  <si>
    <t>Bitdefender</t>
  </si>
  <si>
    <t>Romania</t>
  </si>
  <si>
    <t>Cybersecurity</t>
  </si>
  <si>
    <t>GamesKraft</t>
  </si>
  <si>
    <t>Online Gaming</t>
  </si>
  <si>
    <t>SAS</t>
  </si>
  <si>
    <t>Cary</t>
  </si>
  <si>
    <t>Recruiting Platform</t>
  </si>
  <si>
    <t>Axonius</t>
  </si>
  <si>
    <t>Houston</t>
  </si>
  <si>
    <t>MyBambu</t>
  </si>
  <si>
    <t>Tripadvisor</t>
  </si>
  <si>
    <t>Needham</t>
  </si>
  <si>
    <t>Travel Guidance Platform</t>
  </si>
  <si>
    <t>Porter</t>
  </si>
  <si>
    <t>Logistic</t>
  </si>
  <si>
    <t>Rockstar Games</t>
  </si>
  <si>
    <t>NTT Data</t>
  </si>
  <si>
    <t>Automotive Technology</t>
  </si>
  <si>
    <t>Zepto</t>
  </si>
  <si>
    <t>Applied Materials</t>
  </si>
  <si>
    <t>Higher Education</t>
  </si>
  <si>
    <t>Social media management</t>
  </si>
  <si>
    <t>Robin AI</t>
  </si>
  <si>
    <t>Legal Intelligence</t>
  </si>
  <si>
    <t>Rovio</t>
  </si>
  <si>
    <t>FI</t>
  </si>
  <si>
    <t>Ludeo</t>
  </si>
  <si>
    <t>El Segundo</t>
  </si>
  <si>
    <t>Tia</t>
  </si>
  <si>
    <t>AccelerEd</t>
  </si>
  <si>
    <t>Bethesda</t>
  </si>
  <si>
    <t>Higher Education Industry</t>
  </si>
  <si>
    <t>Bill</t>
  </si>
  <si>
    <t>Heart Machine</t>
  </si>
  <si>
    <t>Starbreeze Entertainment</t>
  </si>
  <si>
    <t>Texas Instruments</t>
  </si>
  <si>
    <t>Consumer Services</t>
  </si>
  <si>
    <t>Bellevue</t>
  </si>
  <si>
    <t>Paycom</t>
  </si>
  <si>
    <t>Oklahoma City</t>
  </si>
  <si>
    <t>HR and payroll software</t>
  </si>
  <si>
    <t>Accenture</t>
  </si>
  <si>
    <t>Snorkel AI</t>
  </si>
  <si>
    <t>SoftBank</t>
  </si>
  <si>
    <t>Minato</t>
  </si>
  <si>
    <t>Venture capital fund</t>
  </si>
  <si>
    <t>Agoda</t>
  </si>
  <si>
    <t>Online travel agency and search engine</t>
  </si>
  <si>
    <t>Gameskraft</t>
  </si>
  <si>
    <t>Online gaming</t>
  </si>
  <si>
    <t>Employment Marketplace</t>
  </si>
  <si>
    <t>Freelance services marketplace</t>
  </si>
  <si>
    <t>Sorbet</t>
  </si>
  <si>
    <t>xAI</t>
  </si>
  <si>
    <t>Hike</t>
  </si>
  <si>
    <t>Zupee</t>
  </si>
  <si>
    <t>Natcast</t>
  </si>
  <si>
    <t>Advancement of Semiconductor Technology</t>
  </si>
  <si>
    <t>Ubisoft</t>
  </si>
  <si>
    <t>AI transcription and captioning</t>
  </si>
  <si>
    <t>Oracle</t>
  </si>
  <si>
    <t>Scale</t>
  </si>
  <si>
    <t>New Computer (Dot)</t>
  </si>
  <si>
    <t>AI companion app</t>
  </si>
  <si>
    <t>Scope3</t>
  </si>
  <si>
    <t>2K</t>
  </si>
  <si>
    <t>Novato</t>
  </si>
  <si>
    <t>Gupshup</t>
  </si>
  <si>
    <t>Head Digital Works</t>
  </si>
  <si>
    <t>Hyderabad</t>
  </si>
  <si>
    <t>Bobble AI</t>
  </si>
  <si>
    <t>Conversation Media Platform</t>
  </si>
  <si>
    <t>Dreamhaven</t>
  </si>
  <si>
    <t>Irvine</t>
  </si>
  <si>
    <t>theGist</t>
  </si>
  <si>
    <t>AI startup</t>
  </si>
  <si>
    <t>Krutrim</t>
  </si>
  <si>
    <t>Games 24x7</t>
  </si>
  <si>
    <t>Tokopedia</t>
  </si>
  <si>
    <t>TechWerks</t>
  </si>
  <si>
    <t>Arlington</t>
  </si>
  <si>
    <t>Automotive</t>
  </si>
  <si>
    <t>Cloud technology</t>
  </si>
  <si>
    <t>Cloud Technology Company</t>
  </si>
  <si>
    <t>Networking and security</t>
  </si>
  <si>
    <t>Amdocs</t>
  </si>
  <si>
    <t>Micron Technology</t>
  </si>
  <si>
    <t>Computer memory</t>
  </si>
  <si>
    <t>Altera (Intel)</t>
  </si>
  <si>
    <t>Bithell Games</t>
  </si>
  <si>
    <t>Suffolk</t>
  </si>
  <si>
    <t>Video-sharing social network</t>
  </si>
  <si>
    <t>Wellness and Fitness Services</t>
  </si>
  <si>
    <t>Cognition</t>
  </si>
  <si>
    <t>Lido Finance</t>
  </si>
  <si>
    <t>George Town</t>
  </si>
  <si>
    <t>AstrumU</t>
  </si>
  <si>
    <t>Worker skills intelligence startup</t>
  </si>
  <si>
    <t>AI, made in India, for the world.</t>
  </si>
  <si>
    <t>Eyeo</t>
  </si>
  <si>
    <t>Ohm Mobility</t>
  </si>
  <si>
    <t>EV financing platform</t>
  </si>
  <si>
    <t>Phase</t>
  </si>
  <si>
    <t>The Animation Tool for UI/UX Designers.</t>
  </si>
  <si>
    <t>PlaxidityX</t>
  </si>
  <si>
    <t>Ramat Gan</t>
  </si>
  <si>
    <t>Vehicle Cybersecurity</t>
  </si>
  <si>
    <t>Zeen</t>
  </si>
  <si>
    <t>Social media startup</t>
  </si>
  <si>
    <t>1047 Games</t>
  </si>
  <si>
    <t>Game studio</t>
  </si>
  <si>
    <t>Supermassive Games</t>
  </si>
  <si>
    <t>Rocket Companies</t>
  </si>
  <si>
    <t>Scale AI</t>
  </si>
  <si>
    <t>Lenovo</t>
  </si>
  <si>
    <t>Morrisville</t>
  </si>
  <si>
    <t>CDW</t>
  </si>
  <si>
    <t>Vernon Hills</t>
  </si>
  <si>
    <t>Syqe Medical</t>
  </si>
  <si>
    <t>JAMF</t>
  </si>
  <si>
    <t>Enterprise Apple device management</t>
  </si>
  <si>
    <t>FIS</t>
  </si>
  <si>
    <t>FinTech</t>
  </si>
  <si>
    <t>King</t>
  </si>
  <si>
    <t>Sony</t>
  </si>
  <si>
    <t>Electronics</t>
  </si>
  <si>
    <t>Recruit Holdings ( Indeed, Glassdoor)</t>
  </si>
  <si>
    <t>Job Search</t>
  </si>
  <si>
    <t>Eigen Labs</t>
  </si>
  <si>
    <t>Subtl AI</t>
  </si>
  <si>
    <t>Nayax</t>
  </si>
  <si>
    <t>retrain.ai</t>
  </si>
  <si>
    <t>Okra</t>
  </si>
  <si>
    <t>Ventura</t>
  </si>
  <si>
    <t>Petah Tikva</t>
  </si>
  <si>
    <t>Bucharest</t>
  </si>
  <si>
    <t>Oklahoma</t>
  </si>
  <si>
    <t>Zephyr Cove</t>
  </si>
  <si>
    <t>other</t>
  </si>
  <si>
    <t>Cascadia</t>
  </si>
  <si>
    <t>South Australia</t>
  </si>
  <si>
    <t>Gujarat</t>
  </si>
  <si>
    <t>non</t>
  </si>
  <si>
    <t>Catalonia</t>
  </si>
  <si>
    <t>State of Minas Gerais</t>
  </si>
  <si>
    <t>Karnataka</t>
  </si>
  <si>
    <t>State of Santa Catarina</t>
  </si>
  <si>
    <t>Queensland</t>
  </si>
  <si>
    <t>England</t>
  </si>
  <si>
    <t>Alberta</t>
  </si>
  <si>
    <t>Tamil Nadu</t>
  </si>
  <si>
    <t>State of Paraná</t>
  </si>
  <si>
    <t>Scotland</t>
  </si>
  <si>
    <t>New Brunswick</t>
  </si>
  <si>
    <t>Jalisco</t>
  </si>
  <si>
    <t>Haryana</t>
  </si>
  <si>
    <t>Telangana</t>
  </si>
  <si>
    <t>Osaka</t>
  </si>
  <si>
    <t>Ontario</t>
  </si>
  <si>
    <t>Community of Madrid</t>
  </si>
  <si>
    <t>Victoria</t>
  </si>
  <si>
    <t>Maharashtra</t>
  </si>
  <si>
    <t>Delhi</t>
  </si>
  <si>
    <t>Uttar Pradesh</t>
  </si>
  <si>
    <t>State of São Paulo</t>
  </si>
  <si>
    <t>Saskatchewan</t>
  </si>
  <si>
    <t>New South Wales</t>
  </si>
  <si>
    <t>British Columbia</t>
  </si>
  <si>
    <t>Manitoba</t>
  </si>
  <si>
    <t>company-name</t>
  </si>
  <si>
    <t>company-code</t>
  </si>
  <si>
    <t>AMZN</t>
  </si>
  <si>
    <t>Jingdong Mall</t>
  </si>
  <si>
    <t>JD</t>
  </si>
  <si>
    <t>Foxconn</t>
  </si>
  <si>
    <t>2317.TW</t>
  </si>
  <si>
    <t>Taiwan</t>
  </si>
  <si>
    <t>MSFT</t>
  </si>
  <si>
    <t>6752.T</t>
  </si>
  <si>
    <t>GOOG</t>
  </si>
  <si>
    <t>ORCL</t>
  </si>
  <si>
    <t>Schneider Electric</t>
  </si>
  <si>
    <t>SU.PA</t>
  </si>
  <si>
    <t>AAPL</t>
  </si>
  <si>
    <t>Genpact</t>
  </si>
  <si>
    <t>G</t>
  </si>
  <si>
    <t>Bermuda</t>
  </si>
  <si>
    <t>TSLA</t>
  </si>
  <si>
    <t>Alibaba</t>
  </si>
  <si>
    <t>BABA</t>
  </si>
  <si>
    <t>Meituan</t>
  </si>
  <si>
    <t>3690.HK</t>
  </si>
  <si>
    <t>SONY</t>
  </si>
  <si>
    <t>Canon</t>
  </si>
  <si>
    <t>7751.T</t>
  </si>
  <si>
    <t>Tencent</t>
  </si>
  <si>
    <t>TCEHY</t>
  </si>
  <si>
    <t>INTC</t>
  </si>
  <si>
    <t>DELL</t>
  </si>
  <si>
    <t>NEC Corp</t>
  </si>
  <si>
    <t>6701.T</t>
  </si>
  <si>
    <t>ASE Group</t>
  </si>
  <si>
    <t>ASX</t>
  </si>
  <si>
    <t>Coupang</t>
  </si>
  <si>
    <t>CPNG</t>
  </si>
  <si>
    <t>ERIC</t>
  </si>
  <si>
    <t>IQVIA</t>
  </si>
  <si>
    <t>IQV</t>
  </si>
  <si>
    <t>CSCO</t>
  </si>
  <si>
    <t>TE Connectivity</t>
  </si>
  <si>
    <t>TEL</t>
  </si>
  <si>
    <t>MercadoLibre</t>
  </si>
  <si>
    <t>MELI</t>
  </si>
  <si>
    <t>TSMC</t>
  </si>
  <si>
    <t>TSM</t>
  </si>
  <si>
    <t>Sea Limited</t>
  </si>
  <si>
    <t>Nokia</t>
  </si>
  <si>
    <t>NOK</t>
  </si>
  <si>
    <t>Telus International</t>
  </si>
  <si>
    <t>TIXT</t>
  </si>
  <si>
    <t>CRM</t>
  </si>
  <si>
    <t>META</t>
  </si>
  <si>
    <t>Murata Manufacturing</t>
  </si>
  <si>
    <t>6981.T</t>
  </si>
  <si>
    <t>0992.HK</t>
  </si>
  <si>
    <t>Automatic Data Processing</t>
  </si>
  <si>
    <t>ADP</t>
  </si>
  <si>
    <t>EPAM Systems</t>
  </si>
  <si>
    <t>EPAM</t>
  </si>
  <si>
    <t>HPE</t>
  </si>
  <si>
    <t>HPQ</t>
  </si>
  <si>
    <t>Infineon</t>
  </si>
  <si>
    <t>IFX.DE</t>
  </si>
  <si>
    <t>Conduent</t>
  </si>
  <si>
    <t>CNDT</t>
  </si>
  <si>
    <t>Sopra Steria Group</t>
  </si>
  <si>
    <t>SOP.PA</t>
  </si>
  <si>
    <t>Fidelity National Information Services</t>
  </si>
  <si>
    <t>STMicroelectronics</t>
  </si>
  <si>
    <t>STM</t>
  </si>
  <si>
    <t>QUALCOMM</t>
  </si>
  <si>
    <t>QCOM</t>
  </si>
  <si>
    <t>MU</t>
  </si>
  <si>
    <t>Leidos</t>
  </si>
  <si>
    <t>LDOS</t>
  </si>
  <si>
    <t>Xiaomi</t>
  </si>
  <si>
    <t>XIACF</t>
  </si>
  <si>
    <t>Constellation Software</t>
  </si>
  <si>
    <t>CSU.TO</t>
  </si>
  <si>
    <t>ASML</t>
  </si>
  <si>
    <t>DHER.F</t>
  </si>
  <si>
    <t>Trip.com</t>
  </si>
  <si>
    <t>TCOM</t>
  </si>
  <si>
    <t>Fiserv</t>
  </si>
  <si>
    <t>Broadcom</t>
  </si>
  <si>
    <t>AVGO</t>
  </si>
  <si>
    <t>Lufax</t>
  </si>
  <si>
    <t>LU</t>
  </si>
  <si>
    <t>AMAT</t>
  </si>
  <si>
    <t>NVIDIA</t>
  </si>
  <si>
    <t>NVDA</t>
  </si>
  <si>
    <t>Baidu</t>
  </si>
  <si>
    <t>BIDU</t>
  </si>
  <si>
    <t>TXN</t>
  </si>
  <si>
    <t>Asseco</t>
  </si>
  <si>
    <t>ACP.WA</t>
  </si>
  <si>
    <t>LG Electronics</t>
  </si>
  <si>
    <t>066570.KS</t>
  </si>
  <si>
    <t>S. Korea</t>
  </si>
  <si>
    <t>NXP Semiconductors</t>
  </si>
  <si>
    <t>NXPI</t>
  </si>
  <si>
    <t>UBER</t>
  </si>
  <si>
    <t>Sanmina</t>
  </si>
  <si>
    <t>SANM</t>
  </si>
  <si>
    <t>Globant</t>
  </si>
  <si>
    <t>GLOB</t>
  </si>
  <si>
    <t>Adobe</t>
  </si>
  <si>
    <t>ADBE</t>
  </si>
  <si>
    <t>Coherent Corp.</t>
  </si>
  <si>
    <t>COHR</t>
  </si>
  <si>
    <t>Seagate Technology</t>
  </si>
  <si>
    <t>STX</t>
  </si>
  <si>
    <t>Jubilant FoodWorks</t>
  </si>
  <si>
    <t>JUBLFOOD.NS</t>
  </si>
  <si>
    <t>Rakuten</t>
  </si>
  <si>
    <t>4755.T</t>
  </si>
  <si>
    <t>Unimicron</t>
  </si>
  <si>
    <t>3037.TW</t>
  </si>
  <si>
    <t>DOX</t>
  </si>
  <si>
    <t>Amkor Technology</t>
  </si>
  <si>
    <t>AMKR</t>
  </si>
  <si>
    <t>Global Payments</t>
  </si>
  <si>
    <t>GPN</t>
  </si>
  <si>
    <t>SS&amp;C Technologies</t>
  </si>
  <si>
    <t>SSNC</t>
  </si>
  <si>
    <t>ON Semiconductor</t>
  </si>
  <si>
    <t>ON</t>
  </si>
  <si>
    <t>ServiceNow</t>
  </si>
  <si>
    <t>NOW</t>
  </si>
  <si>
    <t>Dassault Systèmes</t>
  </si>
  <si>
    <t>DSY.PA</t>
  </si>
  <si>
    <t>NTES</t>
  </si>
  <si>
    <t>BKNG</t>
  </si>
  <si>
    <t>Kuaishou Technology</t>
  </si>
  <si>
    <t>1024.HK</t>
  </si>
  <si>
    <t>PYPL</t>
  </si>
  <si>
    <t>Lumen Technologies</t>
  </si>
  <si>
    <t>LUMN</t>
  </si>
  <si>
    <t>ADI</t>
  </si>
  <si>
    <t>TietoEVRY</t>
  </si>
  <si>
    <t>TIETO.HE</t>
  </si>
  <si>
    <t>DASH</t>
  </si>
  <si>
    <t>PDD Holdings</t>
  </si>
  <si>
    <t>PDD</t>
  </si>
  <si>
    <t>Vishay Intertechnology</t>
  </si>
  <si>
    <t>VSH</t>
  </si>
  <si>
    <t>Rohm</t>
  </si>
  <si>
    <t>6963.T</t>
  </si>
  <si>
    <t>Garmin</t>
  </si>
  <si>
    <t>GRMN</t>
  </si>
  <si>
    <t>Renesas Electronics</t>
  </si>
  <si>
    <t>6723.T</t>
  </si>
  <si>
    <t>Align Technology</t>
  </si>
  <si>
    <t>ALGN</t>
  </si>
  <si>
    <t>OTEX</t>
  </si>
  <si>
    <t>Wolters Kluwer</t>
  </si>
  <si>
    <t>WKL.AS</t>
  </si>
  <si>
    <t>Diebold Nixdorf</t>
  </si>
  <si>
    <t>DBD</t>
  </si>
  <si>
    <t>Amadeus IT Group</t>
  </si>
  <si>
    <t>AMS.MC</t>
  </si>
  <si>
    <t>Ocado</t>
  </si>
  <si>
    <t>OCDO.L</t>
  </si>
  <si>
    <t>United Microelectronics</t>
  </si>
  <si>
    <t>UMC</t>
  </si>
  <si>
    <t>SNPS</t>
  </si>
  <si>
    <t>NCR Atleos Corporation</t>
  </si>
  <si>
    <t>NATL</t>
  </si>
  <si>
    <t>Shenzhen Transsion Holdings</t>
  </si>
  <si>
    <t>688036.SS</t>
  </si>
  <si>
    <t>Yonyou</t>
  </si>
  <si>
    <t>600588.SS</t>
  </si>
  <si>
    <t>WDAY</t>
  </si>
  <si>
    <t>Nikon</t>
  </si>
  <si>
    <t>NINOY</t>
  </si>
  <si>
    <t>Microchip Technology</t>
  </si>
  <si>
    <t>MCHP</t>
  </si>
  <si>
    <t>Entain</t>
  </si>
  <si>
    <t>ENT.L</t>
  </si>
  <si>
    <t>Isle of Man</t>
  </si>
  <si>
    <t>SMIC</t>
  </si>
  <si>
    <t>0981.HK</t>
  </si>
  <si>
    <t>DiDi</t>
  </si>
  <si>
    <t>DIDIY</t>
  </si>
  <si>
    <t>HFG.DE</t>
  </si>
  <si>
    <t>UBI.PA</t>
  </si>
  <si>
    <t>Lam Research</t>
  </si>
  <si>
    <t>LRCX</t>
  </si>
  <si>
    <t>INTU</t>
  </si>
  <si>
    <t>Roper Technologies</t>
  </si>
  <si>
    <t>ROP</t>
  </si>
  <si>
    <t>Hisense Visual Technology</t>
  </si>
  <si>
    <t>600060.SS</t>
  </si>
  <si>
    <t>Chewy</t>
  </si>
  <si>
    <t>CHWY</t>
  </si>
  <si>
    <t>PAYTM.NS</t>
  </si>
  <si>
    <t>Tokyo Electron</t>
  </si>
  <si>
    <t>8035.T</t>
  </si>
  <si>
    <t>XRX</t>
  </si>
  <si>
    <t>Nagarro</t>
  </si>
  <si>
    <t>NA9.DE</t>
  </si>
  <si>
    <t>Kakao</t>
  </si>
  <si>
    <t>035720.KS</t>
  </si>
  <si>
    <t>Expedia Group</t>
  </si>
  <si>
    <t>EXPE</t>
  </si>
  <si>
    <t>NAURA Technology Group</t>
  </si>
  <si>
    <t>002371.SZ</t>
  </si>
  <si>
    <t>Palo Alto Networks</t>
  </si>
  <si>
    <t>PANW</t>
  </si>
  <si>
    <t>Unisys</t>
  </si>
  <si>
    <t>UIS</t>
  </si>
  <si>
    <t>San’an Optoelectronics</t>
  </si>
  <si>
    <t>600703.SS</t>
  </si>
  <si>
    <t>iFLYTEK</t>
  </si>
  <si>
    <t>002230.SZ</t>
  </si>
  <si>
    <t>Keysight</t>
  </si>
  <si>
    <t>KEYS</t>
  </si>
  <si>
    <t>Zalando</t>
  </si>
  <si>
    <t>ZAL.DE</t>
  </si>
  <si>
    <t>ADSK</t>
  </si>
  <si>
    <t>KLA</t>
  </si>
  <si>
    <t>KLAC</t>
  </si>
  <si>
    <t>Cimpress</t>
  </si>
  <si>
    <t>CMPR</t>
  </si>
  <si>
    <t>Vipshop</t>
  </si>
  <si>
    <t>VIPS</t>
  </si>
  <si>
    <t>Fortinet</t>
  </si>
  <si>
    <t>FTNT</t>
  </si>
  <si>
    <t>Ozon</t>
  </si>
  <si>
    <t>OZON.ME</t>
  </si>
  <si>
    <t>EA</t>
  </si>
  <si>
    <t>NFLX</t>
  </si>
  <si>
    <t>NCR Voyix Corporation</t>
  </si>
  <si>
    <t>VYX</t>
  </si>
  <si>
    <t>AT&amp;S Austria Technologie &amp; Systemtechnik</t>
  </si>
  <si>
    <t>ATS.VI</t>
  </si>
  <si>
    <t>TEAM</t>
  </si>
  <si>
    <t>Equinix</t>
  </si>
  <si>
    <t>EQIX</t>
  </si>
  <si>
    <t>Cadence Design Systems</t>
  </si>
  <si>
    <t>CDNS</t>
  </si>
  <si>
    <t>Exela Technologies</t>
  </si>
  <si>
    <t>XELA</t>
  </si>
  <si>
    <t>GlobalFoundries</t>
  </si>
  <si>
    <t>GFS</t>
  </si>
  <si>
    <t>TTWO</t>
  </si>
  <si>
    <t>FactSet</t>
  </si>
  <si>
    <t>FDS</t>
  </si>
  <si>
    <t>Keyence</t>
  </si>
  <si>
    <t>6861.T</t>
  </si>
  <si>
    <t>Trimble</t>
  </si>
  <si>
    <t>TRMB</t>
  </si>
  <si>
    <t>W</t>
  </si>
  <si>
    <t>M3 Inc</t>
  </si>
  <si>
    <t>2413.T</t>
  </si>
  <si>
    <t>XYZ</t>
  </si>
  <si>
    <t>Clarivate</t>
  </si>
  <si>
    <t>CLVT</t>
  </si>
  <si>
    <t>NTAP</t>
  </si>
  <si>
    <t>PB Fintech</t>
  </si>
  <si>
    <t>POLICYBZR.NS</t>
  </si>
  <si>
    <t>Tata Elxsi</t>
  </si>
  <si>
    <t>TATAELXSI.NS</t>
  </si>
  <si>
    <t>EBAY</t>
  </si>
  <si>
    <t>Endava</t>
  </si>
  <si>
    <t>DAVA</t>
  </si>
  <si>
    <t>Grab Holdings</t>
  </si>
  <si>
    <t>GRAB</t>
  </si>
  <si>
    <t>Bandai Namco</t>
  </si>
  <si>
    <t>7832.T</t>
  </si>
  <si>
    <t>Embracer Group</t>
  </si>
  <si>
    <t>EMBRAC-B.ST</t>
  </si>
  <si>
    <t>United Internet</t>
  </si>
  <si>
    <t>UTDI.F</t>
  </si>
  <si>
    <t>AKAM</t>
  </si>
  <si>
    <t>China Resources Microelectronics</t>
  </si>
  <si>
    <t>688396.SS</t>
  </si>
  <si>
    <t>Sage Group</t>
  </si>
  <si>
    <t>SGE.L</t>
  </si>
  <si>
    <t>ASMPT
 (ASM Pacific Technology)</t>
  </si>
  <si>
    <t>0522.HK</t>
  </si>
  <si>
    <t>Lumentum</t>
  </si>
  <si>
    <t>LITE</t>
  </si>
  <si>
    <t>Silan Microelectronics</t>
  </si>
  <si>
    <t>600460.SS</t>
  </si>
  <si>
    <t>Skyworks Solutions</t>
  </si>
  <si>
    <t>SWKS</t>
  </si>
  <si>
    <t>CRWD</t>
  </si>
  <si>
    <t>ZBRA</t>
  </si>
  <si>
    <t>Sumco Corporation</t>
  </si>
  <si>
    <t>3436.T</t>
  </si>
  <si>
    <t>DAY</t>
  </si>
  <si>
    <t>Alight</t>
  </si>
  <si>
    <t>ALIT</t>
  </si>
  <si>
    <t>Terveystalo</t>
  </si>
  <si>
    <t>TTALO.HE</t>
  </si>
  <si>
    <t>Nexon</t>
  </si>
  <si>
    <t>3659.T</t>
  </si>
  <si>
    <t>SoftwareONE</t>
  </si>
  <si>
    <t>SWON.SW</t>
  </si>
  <si>
    <t>Snowflake</t>
  </si>
  <si>
    <t>SNOW</t>
  </si>
  <si>
    <t>NICE</t>
  </si>
  <si>
    <t>HUBS</t>
  </si>
  <si>
    <t>Sega Sammy Holdings</t>
  </si>
  <si>
    <t>6460.T</t>
  </si>
  <si>
    <t>ARM</t>
  </si>
  <si>
    <t>Playtech</t>
  </si>
  <si>
    <t>PTEC.L</t>
  </si>
  <si>
    <t>SHOP</t>
  </si>
  <si>
    <t>Kingsoft</t>
  </si>
  <si>
    <t>3888.HK</t>
  </si>
  <si>
    <t>Entegris</t>
  </si>
  <si>
    <t>ENTG</t>
  </si>
  <si>
    <t>Veradigm</t>
  </si>
  <si>
    <t>MDRX</t>
  </si>
  <si>
    <t>Bilibili</t>
  </si>
  <si>
    <t>BILI</t>
  </si>
  <si>
    <t>Nintendo</t>
  </si>
  <si>
    <t>7974.T</t>
  </si>
  <si>
    <t>CyberAgent</t>
  </si>
  <si>
    <t>4751.T</t>
  </si>
  <si>
    <t>Kaspi.kz Joint Stock Company</t>
  </si>
  <si>
    <t>KKS.F</t>
  </si>
  <si>
    <t>Kazakhstan</t>
  </si>
  <si>
    <t>SPOT</t>
  </si>
  <si>
    <t>Baozun</t>
  </si>
  <si>
    <t>BZUN</t>
  </si>
  <si>
    <t>Tyler Technologies</t>
  </si>
  <si>
    <t>TYL</t>
  </si>
  <si>
    <t>LifeStance Health Group</t>
  </si>
  <si>
    <t>LFST</t>
  </si>
  <si>
    <t>JOYY</t>
  </si>
  <si>
    <t>ZM</t>
  </si>
  <si>
    <t>Sangfor Technologies</t>
  </si>
  <si>
    <t>300454.SZ</t>
  </si>
  <si>
    <t>CI&amp;T</t>
  </si>
  <si>
    <t>CINT</t>
  </si>
  <si>
    <t>ZS</t>
  </si>
  <si>
    <t>PAYC</t>
  </si>
  <si>
    <t>ABNB</t>
  </si>
  <si>
    <t>Logitech</t>
  </si>
  <si>
    <t>LOGI</t>
  </si>
  <si>
    <t>Veeva Systems</t>
  </si>
  <si>
    <t>VEEV</t>
  </si>
  <si>
    <t>Jack Henry &amp; Associates</t>
  </si>
  <si>
    <t>JKHY</t>
  </si>
  <si>
    <t>BOE Varitronix</t>
  </si>
  <si>
    <t>0710.HK</t>
  </si>
  <si>
    <t>NTNX</t>
  </si>
  <si>
    <t>Kontron AG</t>
  </si>
  <si>
    <t>KTN.F</t>
  </si>
  <si>
    <t>One Software Technologies</t>
  </si>
  <si>
    <t>ONE.TA</t>
  </si>
  <si>
    <t>Marvell Technology</t>
  </si>
  <si>
    <t>MRVL</t>
  </si>
  <si>
    <t>PTC</t>
  </si>
  <si>
    <t>Inspur</t>
  </si>
  <si>
    <t>000977.SZ</t>
  </si>
  <si>
    <t>Z</t>
  </si>
  <si>
    <t>4704.T</t>
  </si>
  <si>
    <t>DOCU</t>
  </si>
  <si>
    <t>THG (The Hut Group)</t>
  </si>
  <si>
    <t>THG.L</t>
  </si>
  <si>
    <t>UCT (Ultra Clean Holdings)</t>
  </si>
  <si>
    <t>UCTT</t>
  </si>
  <si>
    <t>Advantest</t>
  </si>
  <si>
    <t>6857.T</t>
  </si>
  <si>
    <t>Paylocity</t>
  </si>
  <si>
    <t>PCTY</t>
  </si>
  <si>
    <t>KPIT Technologies</t>
  </si>
  <si>
    <t>KPITTECH.NS</t>
  </si>
  <si>
    <t>Check Point Software</t>
  </si>
  <si>
    <t>CHKP</t>
  </si>
  <si>
    <t>CoStar Group</t>
  </si>
  <si>
    <t>CSGP</t>
  </si>
  <si>
    <t>Datadog</t>
  </si>
  <si>
    <t>DDOG</t>
  </si>
  <si>
    <t>SCREEN Holdings</t>
  </si>
  <si>
    <t>7735.T</t>
  </si>
  <si>
    <t>Cegedim SA</t>
  </si>
  <si>
    <t>CGM.PA</t>
  </si>
  <si>
    <t>SABR</t>
  </si>
  <si>
    <t>Supermicro</t>
  </si>
  <si>
    <t>SMCI</t>
  </si>
  <si>
    <t>Temenos</t>
  </si>
  <si>
    <t>TEMN.SW</t>
  </si>
  <si>
    <t>Qorvo</t>
  </si>
  <si>
    <t>QRVO</t>
  </si>
  <si>
    <t>FFIV</t>
  </si>
  <si>
    <t>PSTG</t>
  </si>
  <si>
    <t>Allegro.eu</t>
  </si>
  <si>
    <t>ALE.WA</t>
  </si>
  <si>
    <t>360 Security Technology</t>
  </si>
  <si>
    <t>601360.SS</t>
  </si>
  <si>
    <t>OKTA</t>
  </si>
  <si>
    <t>Mastek</t>
  </si>
  <si>
    <t>MASTEK.NS</t>
  </si>
  <si>
    <t>CSG International</t>
  </si>
  <si>
    <t>CSGS</t>
  </si>
  <si>
    <t>Karooooo</t>
  </si>
  <si>
    <t>KARO</t>
  </si>
  <si>
    <t>Teradata</t>
  </si>
  <si>
    <t>TDC</t>
  </si>
  <si>
    <t>TOST</t>
  </si>
  <si>
    <t>MongoDB</t>
  </si>
  <si>
    <t>MDB</t>
  </si>
  <si>
    <t>Tower Semiconductor</t>
  </si>
  <si>
    <t>TSEM</t>
  </si>
  <si>
    <t>GDDY</t>
  </si>
  <si>
    <t>Bentley Systems</t>
  </si>
  <si>
    <t>BSY</t>
  </si>
  <si>
    <t>TWLO</t>
  </si>
  <si>
    <t>Pegasystems</t>
  </si>
  <si>
    <t>PEGA</t>
  </si>
  <si>
    <t>Wix.com</t>
  </si>
  <si>
    <t>WIX</t>
  </si>
  <si>
    <t>SNAP</t>
  </si>
  <si>
    <t>Dynatrace</t>
  </si>
  <si>
    <t>DT</t>
  </si>
  <si>
    <t>Informatica</t>
  </si>
  <si>
    <t>INFA</t>
  </si>
  <si>
    <t>MMYT</t>
  </si>
  <si>
    <t>YELP</t>
  </si>
  <si>
    <t>Rackspace Technology</t>
  </si>
  <si>
    <t>RXT</t>
  </si>
  <si>
    <t>Wolfspeed</t>
  </si>
  <si>
    <t>WOLF</t>
  </si>
  <si>
    <t>3i Infotech</t>
  </si>
  <si>
    <t>3IINFOLTD.NS</t>
  </si>
  <si>
    <t>SOFI</t>
  </si>
  <si>
    <t>Unity Software</t>
  </si>
  <si>
    <t>U</t>
  </si>
  <si>
    <t>Weibo</t>
  </si>
  <si>
    <t>WB</t>
  </si>
  <si>
    <t>Grid Dynamics</t>
  </si>
  <si>
    <t>GDYN</t>
  </si>
  <si>
    <t>Konami Holdings</t>
  </si>
  <si>
    <t>9766.T</t>
  </si>
  <si>
    <t>Disco Corp.</t>
  </si>
  <si>
    <t>6146.T</t>
  </si>
  <si>
    <t>SPNS</t>
  </si>
  <si>
    <t>Manhattan Associates</t>
  </si>
  <si>
    <t>MANH</t>
  </si>
  <si>
    <t>iQIYI</t>
  </si>
  <si>
    <t>IQ</t>
  </si>
  <si>
    <t>Quadient</t>
  </si>
  <si>
    <t>QDT.PA</t>
  </si>
  <si>
    <t>TDOC</t>
  </si>
  <si>
    <t>NET</t>
  </si>
  <si>
    <t>XRO.AX</t>
  </si>
  <si>
    <t>IndiaMART</t>
  </si>
  <si>
    <t>INDIAMART.NS</t>
  </si>
  <si>
    <t>SFIX</t>
  </si>
  <si>
    <t>ASM International</t>
  </si>
  <si>
    <t>ASM.AS</t>
  </si>
  <si>
    <t>SenseTime</t>
  </si>
  <si>
    <t>0020.HK</t>
  </si>
  <si>
    <t>Siltronic</t>
  </si>
  <si>
    <t>WAF.F</t>
  </si>
  <si>
    <t>X-FAB</t>
  </si>
  <si>
    <t>XFAB.PA</t>
  </si>
  <si>
    <t>Arista Networks</t>
  </si>
  <si>
    <t>ANET</t>
  </si>
  <si>
    <t>Rorze Corporation</t>
  </si>
  <si>
    <t>6323.T</t>
  </si>
  <si>
    <t>FRSH</t>
  </si>
  <si>
    <t>Adyen</t>
  </si>
  <si>
    <t>ADYEN.AS</t>
  </si>
  <si>
    <t>Autohome</t>
  </si>
  <si>
    <t>ATHM</t>
  </si>
  <si>
    <t>Sohu.com</t>
  </si>
  <si>
    <t>SOHU</t>
  </si>
  <si>
    <t>RingCentral</t>
  </si>
  <si>
    <t>RNG</t>
  </si>
  <si>
    <t>Mühlbauer Holding</t>
  </si>
  <si>
    <t>MUB.DE</t>
  </si>
  <si>
    <t>PCOR</t>
  </si>
  <si>
    <t>PLTR</t>
  </si>
  <si>
    <t>IONOS Group</t>
  </si>
  <si>
    <t>IOS.DE</t>
  </si>
  <si>
    <t>Allegro MicroSystems</t>
  </si>
  <si>
    <t>ALGM</t>
  </si>
  <si>
    <t>CLEAR Secure</t>
  </si>
  <si>
    <t>YOU</t>
  </si>
  <si>
    <t>Monolithic Power Systems</t>
  </si>
  <si>
    <t>MPWR</t>
  </si>
  <si>
    <t>Perfect World Entertainment</t>
  </si>
  <si>
    <t>002624.SZ</t>
  </si>
  <si>
    <t>MBLY</t>
  </si>
  <si>
    <t>Cigniti Technologies</t>
  </si>
  <si>
    <t>CIGNITITEC.NS</t>
  </si>
  <si>
    <t>PATH</t>
  </si>
  <si>
    <t>Fair Isaac (FICO)</t>
  </si>
  <si>
    <t>FICO</t>
  </si>
  <si>
    <t>ROO.L</t>
  </si>
  <si>
    <t>Vantiva</t>
  </si>
  <si>
    <t>VANTI.PA</t>
  </si>
  <si>
    <t>CyberArk Software</t>
  </si>
  <si>
    <t>CYBR</t>
  </si>
  <si>
    <t>Magic Software</t>
  </si>
  <si>
    <t>MGIC</t>
  </si>
  <si>
    <t>COIN</t>
  </si>
  <si>
    <t>Youdao</t>
  </si>
  <si>
    <t>DAO</t>
  </si>
  <si>
    <t>Elastic NV</t>
  </si>
  <si>
    <t>ESTC</t>
  </si>
  <si>
    <t>TOM2.AS</t>
  </si>
  <si>
    <t>Omnicell</t>
  </si>
  <si>
    <t>OMCL</t>
  </si>
  <si>
    <t>Guidewire Software</t>
  </si>
  <si>
    <t>GWRE</t>
  </si>
  <si>
    <t>CXM</t>
  </si>
  <si>
    <t>JD Health</t>
  </si>
  <si>
    <t>6618.HK</t>
  </si>
  <si>
    <t>Qifu Technology</t>
  </si>
  <si>
    <t>QFIN</t>
  </si>
  <si>
    <t>TTD</t>
  </si>
  <si>
    <t>GTM</t>
  </si>
  <si>
    <t>CRTO</t>
  </si>
  <si>
    <t>PLTK</t>
  </si>
  <si>
    <t>IOT</t>
  </si>
  <si>
    <t>Gen Digital</t>
  </si>
  <si>
    <t>GEN</t>
  </si>
  <si>
    <t>Nemetschek</t>
  </si>
  <si>
    <t>NEM.F</t>
  </si>
  <si>
    <t>GOTO.JK</t>
  </si>
  <si>
    <t>Futu Holdings</t>
  </si>
  <si>
    <t>FUTU</t>
  </si>
  <si>
    <t>ROKU</t>
  </si>
  <si>
    <t>Paysafe</t>
  </si>
  <si>
    <t>PSFE</t>
  </si>
  <si>
    <t>WiseTech Global</t>
  </si>
  <si>
    <t>WTC.AX</t>
  </si>
  <si>
    <t>Commvault</t>
  </si>
  <si>
    <t>CVLT</t>
  </si>
  <si>
    <t>Instacart (Maplebear Inc.)</t>
  </si>
  <si>
    <t>CART</t>
  </si>
  <si>
    <t>Rubrik</t>
  </si>
  <si>
    <t>RBRK</t>
  </si>
  <si>
    <t>Kudelski SA</t>
  </si>
  <si>
    <t>KUD.SW</t>
  </si>
  <si>
    <t>ACI Worldwide</t>
  </si>
  <si>
    <t>ACIW</t>
  </si>
  <si>
    <t>Infotel SA</t>
  </si>
  <si>
    <t>INF.PA</t>
  </si>
  <si>
    <t>FIVN</t>
  </si>
  <si>
    <t>CFLT</t>
  </si>
  <si>
    <t>TTAN</t>
  </si>
  <si>
    <t>National Silicon Industry Group</t>
  </si>
  <si>
    <t>688126.SS</t>
  </si>
  <si>
    <t>REAL</t>
  </si>
  <si>
    <t>Lightspeed POS</t>
  </si>
  <si>
    <t>LSPD</t>
  </si>
  <si>
    <t>Cohu</t>
  </si>
  <si>
    <t>COHU</t>
  </si>
  <si>
    <t>Thryv</t>
  </si>
  <si>
    <t>THRY</t>
  </si>
  <si>
    <t>Lectra SA</t>
  </si>
  <si>
    <t>LSS.PA</t>
  </si>
  <si>
    <t>LYFT</t>
  </si>
  <si>
    <t>AvePoint</t>
  </si>
  <si>
    <t>AVPT</t>
  </si>
  <si>
    <t>OVH Groupe</t>
  </si>
  <si>
    <t>OVH.PA</t>
  </si>
  <si>
    <t>WeRide</t>
  </si>
  <si>
    <t>WRD</t>
  </si>
  <si>
    <t>DeNA</t>
  </si>
  <si>
    <t>2432.T</t>
  </si>
  <si>
    <t>Workiva</t>
  </si>
  <si>
    <t>WK</t>
  </si>
  <si>
    <t>Progress Software</t>
  </si>
  <si>
    <t>PRGS</t>
  </si>
  <si>
    <t>Box</t>
  </si>
  <si>
    <t>BOX</t>
  </si>
  <si>
    <t>SentinelOne</t>
  </si>
  <si>
    <t>S</t>
  </si>
  <si>
    <t>Remitly</t>
  </si>
  <si>
    <t>RELY</t>
  </si>
  <si>
    <t>Ituran</t>
  </si>
  <si>
    <t>ITRN</t>
  </si>
  <si>
    <t>Kainos Group</t>
  </si>
  <si>
    <t>KNOS.L</t>
  </si>
  <si>
    <t>SPS Commerce</t>
  </si>
  <si>
    <t>SPSC</t>
  </si>
  <si>
    <t>ENPH</t>
  </si>
  <si>
    <t>Nykaa</t>
  </si>
  <si>
    <t>NYKAA.NS</t>
  </si>
  <si>
    <t>Technoprobe</t>
  </si>
  <si>
    <t>TPRO.MI</t>
  </si>
  <si>
    <t>Italy</t>
  </si>
  <si>
    <t>SailPoint</t>
  </si>
  <si>
    <t>SAIL</t>
  </si>
  <si>
    <t>TXT e-solutions</t>
  </si>
  <si>
    <t>TXT.MI</t>
  </si>
  <si>
    <t>Penguin Solutions</t>
  </si>
  <si>
    <t>PENG</t>
  </si>
  <si>
    <t>Kulicke and Soffa Industries</t>
  </si>
  <si>
    <t>KLIC</t>
  </si>
  <si>
    <t>RS Technologies</t>
  </si>
  <si>
    <t>3445.T</t>
  </si>
  <si>
    <t>Blackbaud</t>
  </si>
  <si>
    <t>BLKB</t>
  </si>
  <si>
    <t>Money Forward</t>
  </si>
  <si>
    <t>3994.T</t>
  </si>
  <si>
    <t>Corsair Gaming</t>
  </si>
  <si>
    <t>CRSR</t>
  </si>
  <si>
    <t>COMP</t>
  </si>
  <si>
    <t>Socionext</t>
  </si>
  <si>
    <t>6526.T</t>
  </si>
  <si>
    <t>Lesaka Technologies</t>
  </si>
  <si>
    <t>LSAK</t>
  </si>
  <si>
    <t>South Africa</t>
  </si>
  <si>
    <t>Allient</t>
  </si>
  <si>
    <t>ALNT</t>
  </si>
  <si>
    <t>Softcat</t>
  </si>
  <si>
    <t>SCT.L</t>
  </si>
  <si>
    <t>monday.com</t>
  </si>
  <si>
    <t>MNDY</t>
  </si>
  <si>
    <t>MTCH</t>
  </si>
  <si>
    <t>Frequentis</t>
  </si>
  <si>
    <t>FQT.VI</t>
  </si>
  <si>
    <t>Kokusai Electric</t>
  </si>
  <si>
    <t>6525.T</t>
  </si>
  <si>
    <t>AMEC</t>
  </si>
  <si>
    <t>688012.SS</t>
  </si>
  <si>
    <t>Q2</t>
  </si>
  <si>
    <t>QTWO</t>
  </si>
  <si>
    <t>Qualys</t>
  </si>
  <si>
    <t>QLYS</t>
  </si>
  <si>
    <t>Klaviyo</t>
  </si>
  <si>
    <t>KVYO</t>
  </si>
  <si>
    <t>RPD</t>
  </si>
  <si>
    <t>PAYO</t>
  </si>
  <si>
    <t>VRNS</t>
  </si>
  <si>
    <t>ETSY</t>
  </si>
  <si>
    <t>Tempus AI</t>
  </si>
  <si>
    <t>TEM</t>
  </si>
  <si>
    <t>GTLB</t>
  </si>
  <si>
    <t>Protolabs</t>
  </si>
  <si>
    <t>PRLB</t>
  </si>
  <si>
    <t>Alpha &amp; Omega Semiconductor</t>
  </si>
  <si>
    <t>AOSL</t>
  </si>
  <si>
    <t>CCC Intelligent Solutions</t>
  </si>
  <si>
    <t>CCCS</t>
  </si>
  <si>
    <t>PSI Software</t>
  </si>
  <si>
    <t>PSAN.DE</t>
  </si>
  <si>
    <t>HOOD</t>
  </si>
  <si>
    <t>Oracle Corp Japan</t>
  </si>
  <si>
    <t>4716.T</t>
  </si>
  <si>
    <t>FormFactor</t>
  </si>
  <si>
    <t>FORM</t>
  </si>
  <si>
    <t>RDDT</t>
  </si>
  <si>
    <t>Hypoport</t>
  </si>
  <si>
    <t>HYQ.F</t>
  </si>
  <si>
    <t>DBX</t>
  </si>
  <si>
    <t>Agilysys</t>
  </si>
  <si>
    <t>AGYS</t>
  </si>
  <si>
    <t>Himax</t>
  </si>
  <si>
    <t>HIMX</t>
  </si>
  <si>
    <t>Soitec</t>
  </si>
  <si>
    <t>SOI.PA</t>
  </si>
  <si>
    <t>Skillsoft</t>
  </si>
  <si>
    <t>SKIL</t>
  </si>
  <si>
    <t>NCC Group plc</t>
  </si>
  <si>
    <t>NCC.L</t>
  </si>
  <si>
    <t>ePlus</t>
  </si>
  <si>
    <t>PLUS</t>
  </si>
  <si>
    <t>Zeta Global</t>
  </si>
  <si>
    <t>ZETA</t>
  </si>
  <si>
    <t>UBTECH Robotics</t>
  </si>
  <si>
    <t>9880.HK</t>
  </si>
  <si>
    <t>JMIA</t>
  </si>
  <si>
    <t>NETSCOUT</t>
  </si>
  <si>
    <t>NTCT</t>
  </si>
  <si>
    <t>TTGT</t>
  </si>
  <si>
    <t>GigaDevice Semiconductor</t>
  </si>
  <si>
    <t>603986.SS</t>
  </si>
  <si>
    <t>Phreesia</t>
  </si>
  <si>
    <t>PHR</t>
  </si>
  <si>
    <t>Mercari</t>
  </si>
  <si>
    <t>4385.T</t>
  </si>
  <si>
    <t>GRPN</t>
  </si>
  <si>
    <t>Galaxycore</t>
  </si>
  <si>
    <t>688728.SS</t>
  </si>
  <si>
    <t>Wirtualna Polska (WP Holding)</t>
  </si>
  <si>
    <t>WPL.WA</t>
  </si>
  <si>
    <t>Appian</t>
  </si>
  <si>
    <t>APPN</t>
  </si>
  <si>
    <t>ACM Research</t>
  </si>
  <si>
    <t>ACMR</t>
  </si>
  <si>
    <t>VeriSilicon Microelectronics</t>
  </si>
  <si>
    <t>688521.SS</t>
  </si>
  <si>
    <t>EverCommerce</t>
  </si>
  <si>
    <t>EVCM</t>
  </si>
  <si>
    <t>Taboola.com</t>
  </si>
  <si>
    <t>TBLA</t>
  </si>
  <si>
    <t>Rimini Street</t>
  </si>
  <si>
    <t>RMNI</t>
  </si>
  <si>
    <t>CAR Group (Carsales)</t>
  </si>
  <si>
    <t>CAR.AX</t>
  </si>
  <si>
    <t>Melexis NV</t>
  </si>
  <si>
    <t>MELE.BR</t>
  </si>
  <si>
    <t>TOWA Corporation</t>
  </si>
  <si>
    <t>6315.T</t>
  </si>
  <si>
    <t>PowerFleet</t>
  </si>
  <si>
    <t>AIOT</t>
  </si>
  <si>
    <t>EGHT</t>
  </si>
  <si>
    <t>OneConnect</t>
  </si>
  <si>
    <t>OCFT</t>
  </si>
  <si>
    <t>Hwatsing Technology</t>
  </si>
  <si>
    <t>688120.SS</t>
  </si>
  <si>
    <t>Clearwater Analytics</t>
  </si>
  <si>
    <t>CWAN</t>
  </si>
  <si>
    <t>Photronics</t>
  </si>
  <si>
    <t>PLAB</t>
  </si>
  <si>
    <t>Vertex</t>
  </si>
  <si>
    <t>VERX</t>
  </si>
  <si>
    <t>Allied Tecnologia</t>
  </si>
  <si>
    <t>ALLD3.SA</t>
  </si>
  <si>
    <t>Nexus AG</t>
  </si>
  <si>
    <t>NXU.DE</t>
  </si>
  <si>
    <t>Iress Limited</t>
  </si>
  <si>
    <t>IRE.AX</t>
  </si>
  <si>
    <t>Silicon Labs</t>
  </si>
  <si>
    <t>SLAB</t>
  </si>
  <si>
    <t>Zhihu</t>
  </si>
  <si>
    <t>ZH</t>
  </si>
  <si>
    <t>Enghouse Systems</t>
  </si>
  <si>
    <t>ENGH.TO</t>
  </si>
  <si>
    <t>TENB</t>
  </si>
  <si>
    <t>Genius Sports</t>
  </si>
  <si>
    <t>GENI</t>
  </si>
  <si>
    <t>Semtech</t>
  </si>
  <si>
    <t>SMTC</t>
  </si>
  <si>
    <t>3D Systems</t>
  </si>
  <si>
    <t>DDD</t>
  </si>
  <si>
    <t>NCNO</t>
  </si>
  <si>
    <t>BL</t>
  </si>
  <si>
    <t>BlackBerry</t>
  </si>
  <si>
    <t>BB</t>
  </si>
  <si>
    <t>Ichor Systems</t>
  </si>
  <si>
    <t>ICHR</t>
  </si>
  <si>
    <t>Calix</t>
  </si>
  <si>
    <t>CALX</t>
  </si>
  <si>
    <t>ASAN</t>
  </si>
  <si>
    <t>Silicon Motion</t>
  </si>
  <si>
    <t>SIMO</t>
  </si>
  <si>
    <t>Comet Holding</t>
  </si>
  <si>
    <t>COTN.SW</t>
  </si>
  <si>
    <t>Donnelley Financial Solutions</t>
  </si>
  <si>
    <t>DFIN</t>
  </si>
  <si>
    <t>N-Able</t>
  </si>
  <si>
    <t>NABL</t>
  </si>
  <si>
    <t>Aurora Innovation</t>
  </si>
  <si>
    <t>AUR</t>
  </si>
  <si>
    <t>ECARX Holdings</t>
  </si>
  <si>
    <t>ECX</t>
  </si>
  <si>
    <t>Nucleus Software Exports</t>
  </si>
  <si>
    <t>NUCLEUS.NS</t>
  </si>
  <si>
    <t>Exail Technologies</t>
  </si>
  <si>
    <t>EXA.PA</t>
  </si>
  <si>
    <t>Stratasys</t>
  </si>
  <si>
    <t>SSYS</t>
  </si>
  <si>
    <t>eHealth</t>
  </si>
  <si>
    <t>EHTH</t>
  </si>
  <si>
    <t>Figma</t>
  </si>
  <si>
    <t>FIG</t>
  </si>
  <si>
    <t>BE Semiconductor</t>
  </si>
  <si>
    <t>BESI.AS</t>
  </si>
  <si>
    <t>freee K.K.</t>
  </si>
  <si>
    <t>4478.T</t>
  </si>
  <si>
    <t>Synaptics</t>
  </si>
  <si>
    <t>SYNA</t>
  </si>
  <si>
    <t>Shutterstock</t>
  </si>
  <si>
    <t>SSTK</t>
  </si>
  <si>
    <t>Getty Images</t>
  </si>
  <si>
    <t>GETY</t>
  </si>
  <si>
    <t>MACOM</t>
  </si>
  <si>
    <t>MTSI</t>
  </si>
  <si>
    <t>Braze</t>
  </si>
  <si>
    <t>BRZE</t>
  </si>
  <si>
    <t>Guardforce AI</t>
  </si>
  <si>
    <t>GFAI</t>
  </si>
  <si>
    <t>ZOZO</t>
  </si>
  <si>
    <t>3092.T</t>
  </si>
  <si>
    <t>KXS.TO</t>
  </si>
  <si>
    <t>Vitec Software Group</t>
  </si>
  <si>
    <t>VIT-B.ST</t>
  </si>
  <si>
    <t>lastminute.com</t>
  </si>
  <si>
    <t>LMN.SW</t>
  </si>
  <si>
    <t>Symbotic</t>
  </si>
  <si>
    <t>SYM</t>
  </si>
  <si>
    <t>Mixi</t>
  </si>
  <si>
    <t>2121.T</t>
  </si>
  <si>
    <t>Cirrus Logic</t>
  </si>
  <si>
    <t>CRUS</t>
  </si>
  <si>
    <t>Hims &amp; Hers Health</t>
  </si>
  <si>
    <t>HIMS</t>
  </si>
  <si>
    <t>Revolve</t>
  </si>
  <si>
    <t>RVLV</t>
  </si>
  <si>
    <t>ThredUp</t>
  </si>
  <si>
    <t>TDUP</t>
  </si>
  <si>
    <t>Cognyte Software</t>
  </si>
  <si>
    <t>CGNT</t>
  </si>
  <si>
    <t>Xperi</t>
  </si>
  <si>
    <t>XPER</t>
  </si>
  <si>
    <t>JFrog</t>
  </si>
  <si>
    <t>FROG</t>
  </si>
  <si>
    <t>AvidXchange</t>
  </si>
  <si>
    <t>AVDX</t>
  </si>
  <si>
    <t>Hansen Technologies</t>
  </si>
  <si>
    <t>HSN.AX</t>
  </si>
  <si>
    <t>Visiativ SA</t>
  </si>
  <si>
    <t>ALVIV.PA</t>
  </si>
  <si>
    <t>SG Micro</t>
  </si>
  <si>
    <t>300661.SZ</t>
  </si>
  <si>
    <t>GungHo Online Entertainment</t>
  </si>
  <si>
    <t>3765.T</t>
  </si>
  <si>
    <t>PAR Technology</t>
  </si>
  <si>
    <t>PAR</t>
  </si>
  <si>
    <t>Gree</t>
  </si>
  <si>
    <t>3632.T</t>
  </si>
  <si>
    <t>Zuken Inc.</t>
  </si>
  <si>
    <t>6947.T</t>
  </si>
  <si>
    <t>Semrush</t>
  </si>
  <si>
    <t>SEMR</t>
  </si>
  <si>
    <t>GigaCloud Technology</t>
  </si>
  <si>
    <t>GCT</t>
  </si>
  <si>
    <t>Onto Innovation</t>
  </si>
  <si>
    <t>ONTO</t>
  </si>
  <si>
    <t>VisEra Technologies</t>
  </si>
  <si>
    <t>6789.TW</t>
  </si>
  <si>
    <t>APP</t>
  </si>
  <si>
    <t>Digia Oyj</t>
  </si>
  <si>
    <t>DIGIA.HE</t>
  </si>
  <si>
    <t>Axcelis Technologies</t>
  </si>
  <si>
    <t>ACLS</t>
  </si>
  <si>
    <t>Strategy 
 (MicroStrategy)</t>
  </si>
  <si>
    <t>MSTR</t>
  </si>
  <si>
    <t>SÜSS MicroTec</t>
  </si>
  <si>
    <t>SMHN.DE</t>
  </si>
  <si>
    <t>PROS</t>
  </si>
  <si>
    <t>PRO</t>
  </si>
  <si>
    <t>Waystar</t>
  </si>
  <si>
    <t>WAY</t>
  </si>
  <si>
    <t>OneStream</t>
  </si>
  <si>
    <t>OS</t>
  </si>
  <si>
    <t>Bravura Solutions</t>
  </si>
  <si>
    <t>BVS.AX</t>
  </si>
  <si>
    <t>Certara</t>
  </si>
  <si>
    <t>CERT</t>
  </si>
  <si>
    <t>i3 Verticals</t>
  </si>
  <si>
    <t>IIIV</t>
  </si>
  <si>
    <t>Comtech Telecommunications</t>
  </si>
  <si>
    <t>CMTL</t>
  </si>
  <si>
    <t>CarParts.com</t>
  </si>
  <si>
    <t>PRTS</t>
  </si>
  <si>
    <t>TeamViewer</t>
  </si>
  <si>
    <t>TMV.DE</t>
  </si>
  <si>
    <t>Pony AI</t>
  </si>
  <si>
    <t>PONY</t>
  </si>
  <si>
    <t>DocMorris</t>
  </si>
  <si>
    <t>DOCM.SW</t>
  </si>
  <si>
    <t>Tuya Inc.</t>
  </si>
  <si>
    <t>TUYA</t>
  </si>
  <si>
    <t>Alibaba Health Information Technology</t>
  </si>
  <si>
    <t>0241.HK</t>
  </si>
  <si>
    <t>Monotaro</t>
  </si>
  <si>
    <t>3064.T</t>
  </si>
  <si>
    <t>PROG Holdings</t>
  </si>
  <si>
    <t>PRG</t>
  </si>
  <si>
    <t>Cerence</t>
  </si>
  <si>
    <t>CRNC</t>
  </si>
  <si>
    <t>Dye &amp; Durham</t>
  </si>
  <si>
    <t>DND.TO</t>
  </si>
  <si>
    <t>Nebius Group</t>
  </si>
  <si>
    <t>NBIS</t>
  </si>
  <si>
    <t>u-blox</t>
  </si>
  <si>
    <t>UBXN.SW</t>
  </si>
  <si>
    <t>Elmos Semiconductor</t>
  </si>
  <si>
    <t>ELG.DE</t>
  </si>
  <si>
    <t>Nordic Semiconductor</t>
  </si>
  <si>
    <t>NOD.OL</t>
  </si>
  <si>
    <t>SPT</t>
  </si>
  <si>
    <t>Cybozu</t>
  </si>
  <si>
    <t>4776.T</t>
  </si>
  <si>
    <t>iFAST Corporation</t>
  </si>
  <si>
    <t>AIY.SI</t>
  </si>
  <si>
    <t>Com2uS</t>
  </si>
  <si>
    <t>078340.KQ</t>
  </si>
  <si>
    <t>RAMP</t>
  </si>
  <si>
    <t>Technology One</t>
  </si>
  <si>
    <t>TNE.AX</t>
  </si>
  <si>
    <t>MaxLinear</t>
  </si>
  <si>
    <t>MXL</t>
  </si>
  <si>
    <t>Sectra AB</t>
  </si>
  <si>
    <t>SECT-B.ST</t>
  </si>
  <si>
    <t>Mister Spex</t>
  </si>
  <si>
    <t>MRX.F</t>
  </si>
  <si>
    <t>SNGULAR</t>
  </si>
  <si>
    <t>SNG.MC</t>
  </si>
  <si>
    <t>Equasens</t>
  </si>
  <si>
    <t>EQS.PA</t>
  </si>
  <si>
    <t>COUR</t>
  </si>
  <si>
    <t>Huya</t>
  </si>
  <si>
    <t>HUYA</t>
  </si>
  <si>
    <t>FLYW</t>
  </si>
  <si>
    <t>Accelya</t>
  </si>
  <si>
    <t>ACCELYA.NS</t>
  </si>
  <si>
    <t>Udemy</t>
  </si>
  <si>
    <t>UDMY</t>
  </si>
  <si>
    <t>Bytes Technology</t>
  </si>
  <si>
    <t>BYIT.L</t>
  </si>
  <si>
    <t>PagerDuty</t>
  </si>
  <si>
    <t>PD</t>
  </si>
  <si>
    <t>CHGG</t>
  </si>
  <si>
    <t>111 Inc.</t>
  </si>
  <si>
    <t>YI</t>
  </si>
  <si>
    <t>LMND</t>
  </si>
  <si>
    <t>Intapp</t>
  </si>
  <si>
    <t>INTA</t>
  </si>
  <si>
    <t>Veeco</t>
  </si>
  <si>
    <t>VECO</t>
  </si>
  <si>
    <t>Mondee</t>
  </si>
  <si>
    <t>MOND</t>
  </si>
  <si>
    <t>Xunlei</t>
  </si>
  <si>
    <t>XNET</t>
  </si>
  <si>
    <t>DOCN</t>
  </si>
  <si>
    <t>Linedata Services</t>
  </si>
  <si>
    <t>LIN.PA</t>
  </si>
  <si>
    <t>Empyrean Technology</t>
  </si>
  <si>
    <t>301269.SZ</t>
  </si>
  <si>
    <t>BMBL</t>
  </si>
  <si>
    <t>DoubleVerify</t>
  </si>
  <si>
    <t>DV</t>
  </si>
  <si>
    <t>Mensch und Maschine</t>
  </si>
  <si>
    <t>MUM.F</t>
  </si>
  <si>
    <t>UPST</t>
  </si>
  <si>
    <t>UP Fintech (Tiger Brokers)</t>
  </si>
  <si>
    <t>TIGR</t>
  </si>
  <si>
    <t>Nova Ltd.</t>
  </si>
  <si>
    <t>NVMI</t>
  </si>
  <si>
    <t>CLBT</t>
  </si>
  <si>
    <t>BIGC</t>
  </si>
  <si>
    <t>YEXT</t>
  </si>
  <si>
    <t>Hesai Group</t>
  </si>
  <si>
    <t>HSAI</t>
  </si>
  <si>
    <t>Aixtron</t>
  </si>
  <si>
    <t>AIXA.F</t>
  </si>
  <si>
    <t>GB Group (GBG)</t>
  </si>
  <si>
    <t>GBG.L</t>
  </si>
  <si>
    <t>SmartSens Technology</t>
  </si>
  <si>
    <t>688213.SS</t>
  </si>
  <si>
    <t>Lattice Semiconductor</t>
  </si>
  <si>
    <t>LSCC</t>
  </si>
  <si>
    <t>Asseco Business Solutions</t>
  </si>
  <si>
    <t>ABS.WA</t>
  </si>
  <si>
    <t>Vimeo</t>
  </si>
  <si>
    <t>VMEO</t>
  </si>
  <si>
    <t>Fastly</t>
  </si>
  <si>
    <t>FSLY</t>
  </si>
  <si>
    <t>dLocal</t>
  </si>
  <si>
    <t>DLO</t>
  </si>
  <si>
    <t>Uruguay</t>
  </si>
  <si>
    <t>SMWB</t>
  </si>
  <si>
    <t>Global-e</t>
  </si>
  <si>
    <t>GLBE</t>
  </si>
  <si>
    <t>Nacon</t>
  </si>
  <si>
    <t>NACON.PA</t>
  </si>
  <si>
    <t>secunet</t>
  </si>
  <si>
    <t>YSN.F</t>
  </si>
  <si>
    <t>Ceragon Networks</t>
  </si>
  <si>
    <t>CRNT</t>
  </si>
  <si>
    <t>PUBM</t>
  </si>
  <si>
    <t>Lasertec</t>
  </si>
  <si>
    <t>6920.T</t>
  </si>
  <si>
    <t>IVU Traffic Technologies</t>
  </si>
  <si>
    <t>IVU.DE</t>
  </si>
  <si>
    <t>Priority Technology Holdings</t>
  </si>
  <si>
    <t>PRTH</t>
  </si>
  <si>
    <t>LendingClub</t>
  </si>
  <si>
    <t>LC</t>
  </si>
  <si>
    <t>ZIP</t>
  </si>
  <si>
    <t>D2L Inc.</t>
  </si>
  <si>
    <t>DTOL.TO</t>
  </si>
  <si>
    <t>Upland Software</t>
  </si>
  <si>
    <t>UPLD</t>
  </si>
  <si>
    <t>998</t>
  </si>
  <si>
    <t>SAKURA Internet</t>
  </si>
  <si>
    <t>3778.T</t>
  </si>
  <si>
    <t>997</t>
  </si>
  <si>
    <t>WithSecure Oyj</t>
  </si>
  <si>
    <t>WITH.HE</t>
  </si>
  <si>
    <t>993</t>
  </si>
  <si>
    <t>Appen</t>
  </si>
  <si>
    <t>APX.AX</t>
  </si>
  <si>
    <t>992</t>
  </si>
  <si>
    <t>Docebo</t>
  </si>
  <si>
    <t>DCBO</t>
  </si>
  <si>
    <t>991</t>
  </si>
  <si>
    <t>Trainline</t>
  </si>
  <si>
    <t>TRN.L</t>
  </si>
  <si>
    <t>990</t>
  </si>
  <si>
    <t>Trustpilot Group</t>
  </si>
  <si>
    <t>TRST.L</t>
  </si>
  <si>
    <t>988</t>
  </si>
  <si>
    <t>Quick Heal</t>
  </si>
  <si>
    <t>QUICKHEAL.NS</t>
  </si>
  <si>
    <t>986</t>
  </si>
  <si>
    <t>Zip Co</t>
  </si>
  <si>
    <t>ZIP.AX</t>
  </si>
  <si>
    <t>985</t>
  </si>
  <si>
    <t>Cambricon Technologies</t>
  </si>
  <si>
    <t>688256.SS</t>
  </si>
  <si>
    <t>980</t>
  </si>
  <si>
    <t>PEXA Group</t>
  </si>
  <si>
    <t>PXA.AX</t>
  </si>
  <si>
    <t>968</t>
  </si>
  <si>
    <t>LegalZoom</t>
  </si>
  <si>
    <t>LZ</t>
  </si>
  <si>
    <t>964</t>
  </si>
  <si>
    <t>Zenvia</t>
  </si>
  <si>
    <t>ZENV</t>
  </si>
  <si>
    <t>956</t>
  </si>
  <si>
    <t>AUDC</t>
  </si>
  <si>
    <t>946</t>
  </si>
  <si>
    <t>Ambarella</t>
  </si>
  <si>
    <t>AMBA</t>
  </si>
  <si>
    <t>941</t>
  </si>
  <si>
    <t>Alkami Technology</t>
  </si>
  <si>
    <t>ALKT</t>
  </si>
  <si>
    <t>938</t>
  </si>
  <si>
    <t>Cheetah Mobile</t>
  </si>
  <si>
    <t>CMCM</t>
  </si>
  <si>
    <t>934</t>
  </si>
  <si>
    <t>Méliuz</t>
  </si>
  <si>
    <t>CASH3.SA</t>
  </si>
  <si>
    <t>929</t>
  </si>
  <si>
    <t>LendingTree</t>
  </si>
  <si>
    <t>TREE</t>
  </si>
  <si>
    <t>927</t>
  </si>
  <si>
    <t>indie Semiconductor</t>
  </si>
  <si>
    <t>INDI</t>
  </si>
  <si>
    <t>920</t>
  </si>
  <si>
    <t>Gooch &amp; Housego</t>
  </si>
  <si>
    <t>GHH.L</t>
  </si>
  <si>
    <t>911</t>
  </si>
  <si>
    <t>Pulsar Group</t>
  </si>
  <si>
    <t>PULS.L</t>
  </si>
  <si>
    <t>VusionGroup</t>
  </si>
  <si>
    <t>VU.PA</t>
  </si>
  <si>
    <t>904</t>
  </si>
  <si>
    <t>Harmonic Inc.</t>
  </si>
  <si>
    <t>HLIT</t>
  </si>
  <si>
    <t>901</t>
  </si>
  <si>
    <t>QuinStreet</t>
  </si>
  <si>
    <t>QNST</t>
  </si>
  <si>
    <t>899</t>
  </si>
  <si>
    <t>ANI Pharmaceuticals</t>
  </si>
  <si>
    <t>ANIP</t>
  </si>
  <si>
    <t>897</t>
  </si>
  <si>
    <t>LPSN</t>
  </si>
  <si>
    <t>896</t>
  </si>
  <si>
    <t>C3 AI</t>
  </si>
  <si>
    <t>891</t>
  </si>
  <si>
    <t>Schrödinger</t>
  </si>
  <si>
    <t>SDGR</t>
  </si>
  <si>
    <t>Qt Group</t>
  </si>
  <si>
    <t>QTCOM.HE</t>
  </si>
  <si>
    <t>DOMO</t>
  </si>
  <si>
    <t>NJ Holdings</t>
  </si>
  <si>
    <t>9421.T</t>
  </si>
  <si>
    <t>887</t>
  </si>
  <si>
    <t>Magnachip</t>
  </si>
  <si>
    <t>MX</t>
  </si>
  <si>
    <t>881</t>
  </si>
  <si>
    <t>CoreWeave</t>
  </si>
  <si>
    <t>CRWV</t>
  </si>
  <si>
    <t>American Well</t>
  </si>
  <si>
    <t>AMWL</t>
  </si>
  <si>
    <t>877</t>
  </si>
  <si>
    <t>Tribal Group</t>
  </si>
  <si>
    <t>TRB.L</t>
  </si>
  <si>
    <t>867</t>
  </si>
  <si>
    <t>Power Integrations</t>
  </si>
  <si>
    <t>POWI</t>
  </si>
  <si>
    <t>865</t>
  </si>
  <si>
    <t>Marqeta</t>
  </si>
  <si>
    <t>MQ</t>
  </si>
  <si>
    <t>854</t>
  </si>
  <si>
    <t>Weave Communications</t>
  </si>
  <si>
    <t>WEAV</t>
  </si>
  <si>
    <t>VIA optronics AG</t>
  </si>
  <si>
    <t>VIAO</t>
  </si>
  <si>
    <t>849</t>
  </si>
  <si>
    <t>SoundHound AI</t>
  </si>
  <si>
    <t>SOUN</t>
  </si>
  <si>
    <t>842</t>
  </si>
  <si>
    <t>DOCS</t>
  </si>
  <si>
    <t>830</t>
  </si>
  <si>
    <t>Yalla Group</t>
  </si>
  <si>
    <t>YALA</t>
  </si>
  <si>
    <t>815</t>
  </si>
  <si>
    <t>UAE</t>
  </si>
  <si>
    <t>Seco S.p.A.</t>
  </si>
  <si>
    <t>IOT.MI</t>
  </si>
  <si>
    <t>811</t>
  </si>
  <si>
    <t>Digi International</t>
  </si>
  <si>
    <t>DGII</t>
  </si>
  <si>
    <t>805</t>
  </si>
  <si>
    <t>BASE</t>
  </si>
  <si>
    <t>804</t>
  </si>
  <si>
    <t>Espressif Systems (Shanghai)</t>
  </si>
  <si>
    <t>688018.SS</t>
  </si>
  <si>
    <t>803</t>
  </si>
  <si>
    <t>Synchronoss</t>
  </si>
  <si>
    <t>SNCR</t>
  </si>
  <si>
    <t>802</t>
  </si>
  <si>
    <t>nLIGHT</t>
  </si>
  <si>
    <t>LASR</t>
  </si>
  <si>
    <t>800</t>
  </si>
  <si>
    <t>IBTA</t>
  </si>
  <si>
    <t>798</t>
  </si>
  <si>
    <t>Tingo Group</t>
  </si>
  <si>
    <t>TIO</t>
  </si>
  <si>
    <t>797</t>
  </si>
  <si>
    <t>Team Internet Group</t>
  </si>
  <si>
    <t>TIG.L</t>
  </si>
  <si>
    <t>787</t>
  </si>
  <si>
    <t>Riot Blockchain</t>
  </si>
  <si>
    <t>RIOT</t>
  </si>
  <si>
    <t>783</t>
  </si>
  <si>
    <t>Liquidity Services</t>
  </si>
  <si>
    <t>LQDT</t>
  </si>
  <si>
    <t>781</t>
  </si>
  <si>
    <t>Quantum</t>
  </si>
  <si>
    <t>QMCO</t>
  </si>
  <si>
    <t>770</t>
  </si>
  <si>
    <t>Tucows</t>
  </si>
  <si>
    <t>TCX</t>
  </si>
  <si>
    <t>765</t>
  </si>
  <si>
    <t>FVRR</t>
  </si>
  <si>
    <t>762</t>
  </si>
  <si>
    <t>Newegg</t>
  </si>
  <si>
    <t>NEGG</t>
  </si>
  <si>
    <t>Atoss</t>
  </si>
  <si>
    <t>AOF.F</t>
  </si>
  <si>
    <t>761</t>
  </si>
  <si>
    <t>People Can Fly</t>
  </si>
  <si>
    <t>PCF.WA</t>
  </si>
  <si>
    <t>756</t>
  </si>
  <si>
    <t>Digital Turbine</t>
  </si>
  <si>
    <t>APPS</t>
  </si>
  <si>
    <t>754</t>
  </si>
  <si>
    <t>Bukalapak.com</t>
  </si>
  <si>
    <t>BUKA.JK</t>
  </si>
  <si>
    <t>752</t>
  </si>
  <si>
    <t>Infibeam Avenues</t>
  </si>
  <si>
    <t>INFIBEAM.NS</t>
  </si>
  <si>
    <t>750</t>
  </si>
  <si>
    <t>Viomi Technology</t>
  </si>
  <si>
    <t>VIOT</t>
  </si>
  <si>
    <t>AMPL</t>
  </si>
  <si>
    <t>740</t>
  </si>
  <si>
    <t>Porch Group</t>
  </si>
  <si>
    <t>PRCH</t>
  </si>
  <si>
    <t>729</t>
  </si>
  <si>
    <t>iHuman</t>
  </si>
  <si>
    <t>IH</t>
  </si>
  <si>
    <t>723</t>
  </si>
  <si>
    <t>Bestechnic</t>
  </si>
  <si>
    <t>688608.SS</t>
  </si>
  <si>
    <t>722</t>
  </si>
  <si>
    <t>Appirits</t>
  </si>
  <si>
    <t>4174.T</t>
  </si>
  <si>
    <t>720</t>
  </si>
  <si>
    <t>Vista Group International</t>
  </si>
  <si>
    <t>VGL.NZ</t>
  </si>
  <si>
    <t>716</t>
  </si>
  <si>
    <t>Microlise</t>
  </si>
  <si>
    <t>SAAS.L</t>
  </si>
  <si>
    <t>715</t>
  </si>
  <si>
    <t>COLOPL</t>
  </si>
  <si>
    <t>3668.T</t>
  </si>
  <si>
    <t>710</t>
  </si>
  <si>
    <t>HANMI Semiconductor</t>
  </si>
  <si>
    <t>042700.KS</t>
  </si>
  <si>
    <t>704</t>
  </si>
  <si>
    <t>SkyWater Technology</t>
  </si>
  <si>
    <t>SKYT</t>
  </si>
  <si>
    <t>702</t>
  </si>
  <si>
    <t>Frontier Developments</t>
  </si>
  <si>
    <t>FDEV.L</t>
  </si>
  <si>
    <t>700</t>
  </si>
  <si>
    <t>The Original BARK Company</t>
  </si>
  <si>
    <t>BARK</t>
  </si>
  <si>
    <t>691</t>
  </si>
  <si>
    <t>gumi</t>
  </si>
  <si>
    <t>3903.T</t>
  </si>
  <si>
    <t>689</t>
  </si>
  <si>
    <t>The Platform Group</t>
  </si>
  <si>
    <t>TPG.F</t>
  </si>
  <si>
    <t>688</t>
  </si>
  <si>
    <t>MLNK</t>
  </si>
  <si>
    <t>682</t>
  </si>
  <si>
    <t>accesso Technology Group</t>
  </si>
  <si>
    <t>ACSO.L</t>
  </si>
  <si>
    <t>centrotherm international</t>
  </si>
  <si>
    <t>CTNK.F</t>
  </si>
  <si>
    <t>677</t>
  </si>
  <si>
    <t>Marvelous</t>
  </si>
  <si>
    <t>7844.T</t>
  </si>
  <si>
    <t>671</t>
  </si>
  <si>
    <t>eMudhra</t>
  </si>
  <si>
    <t>EMUDHRA.NS</t>
  </si>
  <si>
    <t>669</t>
  </si>
  <si>
    <t>trivago</t>
  </si>
  <si>
    <t>TRVG</t>
  </si>
  <si>
    <t>668</t>
  </si>
  <si>
    <t>Tose Software</t>
  </si>
  <si>
    <t>4728.T</t>
  </si>
  <si>
    <t>653</t>
  </si>
  <si>
    <t>RSKD</t>
  </si>
  <si>
    <t>652</t>
  </si>
  <si>
    <t>NerdWallet</t>
  </si>
  <si>
    <t>NRDS</t>
  </si>
  <si>
    <t>650</t>
  </si>
  <si>
    <t>iomart Group</t>
  </si>
  <si>
    <t>IOM.L</t>
  </si>
  <si>
    <t>Wiit S.p.A.</t>
  </si>
  <si>
    <t>WIIT.MI</t>
  </si>
  <si>
    <t>641</t>
  </si>
  <si>
    <t>NETGEAR</t>
  </si>
  <si>
    <t>NTGR</t>
  </si>
  <si>
    <t>636</t>
  </si>
  <si>
    <t>CD Projekt</t>
  </si>
  <si>
    <t>CDR.WA</t>
  </si>
  <si>
    <t>634</t>
  </si>
  <si>
    <t>BigBear.ai</t>
  </si>
  <si>
    <t>BBAI</t>
  </si>
  <si>
    <t>630</t>
  </si>
  <si>
    <t>Planisware</t>
  </si>
  <si>
    <t>PLNW.PA</t>
  </si>
  <si>
    <t>626</t>
  </si>
  <si>
    <t>Credo Technology</t>
  </si>
  <si>
    <t>CRDO</t>
  </si>
  <si>
    <t>622</t>
  </si>
  <si>
    <t>Asure Software</t>
  </si>
  <si>
    <t>ASUR</t>
  </si>
  <si>
    <t>621</t>
  </si>
  <si>
    <t>Agora.io</t>
  </si>
  <si>
    <t>API</t>
  </si>
  <si>
    <t>608</t>
  </si>
  <si>
    <t>Nerdy Inc</t>
  </si>
  <si>
    <t>NRDY</t>
  </si>
  <si>
    <t>600</t>
  </si>
  <si>
    <t>Opera</t>
  </si>
  <si>
    <t>OPRA</t>
  </si>
  <si>
    <t>599</t>
  </si>
  <si>
    <t>Paradox Interactive</t>
  </si>
  <si>
    <t>PDX.ST</t>
  </si>
  <si>
    <t>596</t>
  </si>
  <si>
    <t>Vecima Networks</t>
  </si>
  <si>
    <t>VCM.TO</t>
  </si>
  <si>
    <t>591</t>
  </si>
  <si>
    <t>Nexters</t>
  </si>
  <si>
    <t>GDEV</t>
  </si>
  <si>
    <t>589</t>
  </si>
  <si>
    <t>Beta Systems Software</t>
  </si>
  <si>
    <t>BSS.F</t>
  </si>
  <si>
    <t>587</t>
  </si>
  <si>
    <t>SHL Telemedicine</t>
  </si>
  <si>
    <t>SHLT</t>
  </si>
  <si>
    <t>583</t>
  </si>
  <si>
    <t>Luminar Technologies</t>
  </si>
  <si>
    <t>LAZR</t>
  </si>
  <si>
    <t>580</t>
  </si>
  <si>
    <t>AST SpaceMobile</t>
  </si>
  <si>
    <t>ASTS</t>
  </si>
  <si>
    <t>578</t>
  </si>
  <si>
    <t>Ateme SA</t>
  </si>
  <si>
    <t>ATEME.PA</t>
  </si>
  <si>
    <t>IQE plc</t>
  </si>
  <si>
    <t>IQE.L</t>
  </si>
  <si>
    <t>577</t>
  </si>
  <si>
    <t>Stem Inc</t>
  </si>
  <si>
    <t>STEM</t>
  </si>
  <si>
    <t>569</t>
  </si>
  <si>
    <t>Mitek Systems</t>
  </si>
  <si>
    <t>MITK</t>
  </si>
  <si>
    <t>565</t>
  </si>
  <si>
    <t>KLTR</t>
  </si>
  <si>
    <t>563</t>
  </si>
  <si>
    <t>LAW</t>
  </si>
  <si>
    <t>561</t>
  </si>
  <si>
    <t>Bakkt Holdings</t>
  </si>
  <si>
    <t>BKKT</t>
  </si>
  <si>
    <t>559</t>
  </si>
  <si>
    <t>Playstudios</t>
  </si>
  <si>
    <t>MYPS</t>
  </si>
  <si>
    <t>556</t>
  </si>
  <si>
    <t>Tracsis</t>
  </si>
  <si>
    <t>TRCS.L</t>
  </si>
  <si>
    <t>550</t>
  </si>
  <si>
    <t>Nextdoor</t>
  </si>
  <si>
    <t>NXDR</t>
  </si>
  <si>
    <t>546</t>
  </si>
  <si>
    <t>Blend Labs</t>
  </si>
  <si>
    <t>BLND</t>
  </si>
  <si>
    <t>540</t>
  </si>
  <si>
    <t>eGain</t>
  </si>
  <si>
    <t>EGAN</t>
  </si>
  <si>
    <t>539</t>
  </si>
  <si>
    <t>KORE</t>
  </si>
  <si>
    <t>PDF Solutions</t>
  </si>
  <si>
    <t>PDFS</t>
  </si>
  <si>
    <t>Perion Network</t>
  </si>
  <si>
    <t>PERI</t>
  </si>
  <si>
    <t>528</t>
  </si>
  <si>
    <t>Pagaya Technologies</t>
  </si>
  <si>
    <t>PGY</t>
  </si>
  <si>
    <t>527</t>
  </si>
  <si>
    <t>Allot</t>
  </si>
  <si>
    <t>ALLT</t>
  </si>
  <si>
    <t>523</t>
  </si>
  <si>
    <t>Talkspace</t>
  </si>
  <si>
    <t>TALK</t>
  </si>
  <si>
    <t>521</t>
  </si>
  <si>
    <t>Nano Dimension</t>
  </si>
  <si>
    <t>NNDM</t>
  </si>
  <si>
    <t>519</t>
  </si>
  <si>
    <t>Consensus Cloud Solutions</t>
  </si>
  <si>
    <t>CCSI</t>
  </si>
  <si>
    <t>518</t>
  </si>
  <si>
    <t>MapmyIndia</t>
  </si>
  <si>
    <t>MAPMYINDIA.NS</t>
  </si>
  <si>
    <t>510</t>
  </si>
  <si>
    <t>EaseMyTrip</t>
  </si>
  <si>
    <t>EASEMYTRIP.NS</t>
  </si>
  <si>
    <t>508</t>
  </si>
  <si>
    <t>Telos</t>
  </si>
  <si>
    <t>TLS</t>
  </si>
  <si>
    <t>504</t>
  </si>
  <si>
    <t>Alfa Financial Software</t>
  </si>
  <si>
    <t>ALFA.L</t>
  </si>
  <si>
    <t>502</t>
  </si>
  <si>
    <t>MNTN Inc.</t>
  </si>
  <si>
    <t>MNTN</t>
  </si>
  <si>
    <t>Qoria Limited</t>
  </si>
  <si>
    <t>QOR.AX</t>
  </si>
  <si>
    <t>500</t>
  </si>
  <si>
    <t>Yubico</t>
  </si>
  <si>
    <t>YUBICO.ST</t>
  </si>
  <si>
    <t>499</t>
  </si>
  <si>
    <t>Fabasoft</t>
  </si>
  <si>
    <t>FAA.DE</t>
  </si>
  <si>
    <t>497</t>
  </si>
  <si>
    <t>F-Secure</t>
  </si>
  <si>
    <t>FSECURE.HE</t>
  </si>
  <si>
    <t>SmartRent</t>
  </si>
  <si>
    <t>SMRT</t>
  </si>
  <si>
    <t>494</t>
  </si>
  <si>
    <t>SUNeVision</t>
  </si>
  <si>
    <t>1686.HK</t>
  </si>
  <si>
    <t>491</t>
  </si>
  <si>
    <t>ODDITY Tech</t>
  </si>
  <si>
    <t>ODD</t>
  </si>
  <si>
    <t>489</t>
  </si>
  <si>
    <t>Materialise NV</t>
  </si>
  <si>
    <t>MTLS</t>
  </si>
  <si>
    <t>488</t>
  </si>
  <si>
    <t>A10 Networks</t>
  </si>
  <si>
    <t>ATEN</t>
  </si>
  <si>
    <t>481</t>
  </si>
  <si>
    <t>Hippo</t>
  </si>
  <si>
    <t>HIPO</t>
  </si>
  <si>
    <t>478</t>
  </si>
  <si>
    <t>Serviceware</t>
  </si>
  <si>
    <t>SJJ.DE</t>
  </si>
  <si>
    <t>470</t>
  </si>
  <si>
    <t>Veritone</t>
  </si>
  <si>
    <t>VERI</t>
  </si>
  <si>
    <t>469</t>
  </si>
  <si>
    <t>Repay Holdings</t>
  </si>
  <si>
    <t>RPAY</t>
  </si>
  <si>
    <t>465</t>
  </si>
  <si>
    <t>OneSpan</t>
  </si>
  <si>
    <t>OSPN</t>
  </si>
  <si>
    <t>Canaan</t>
  </si>
  <si>
    <t>CAN</t>
  </si>
  <si>
    <t>463</t>
  </si>
  <si>
    <t>KLab</t>
  </si>
  <si>
    <t>3656.T</t>
  </si>
  <si>
    <t>459</t>
  </si>
  <si>
    <t>Life360</t>
  </si>
  <si>
    <t>LIF</t>
  </si>
  <si>
    <t>455</t>
  </si>
  <si>
    <t>PI</t>
  </si>
  <si>
    <t>451</t>
  </si>
  <si>
    <t>Geospace Technologies</t>
  </si>
  <si>
    <t>GEOS</t>
  </si>
  <si>
    <t>450</t>
  </si>
  <si>
    <t>PLAIDInc.</t>
  </si>
  <si>
    <t>4165.T</t>
  </si>
  <si>
    <t>449</t>
  </si>
  <si>
    <t>Serverworks</t>
  </si>
  <si>
    <t>4434.T</t>
  </si>
  <si>
    <t>Aptitude Software Group</t>
  </si>
  <si>
    <t>APTD.L</t>
  </si>
  <si>
    <t>MotorK</t>
  </si>
  <si>
    <t>MTRK.AS</t>
  </si>
  <si>
    <t>Koh Young Technology</t>
  </si>
  <si>
    <t>098460.KQ</t>
  </si>
  <si>
    <t>441</t>
  </si>
  <si>
    <t>WM Technology</t>
  </si>
  <si>
    <t>MAPS</t>
  </si>
  <si>
    <t>440</t>
  </si>
  <si>
    <t>LTCH</t>
  </si>
  <si>
    <t>Astera Labs</t>
  </si>
  <si>
    <t>ALAB</t>
  </si>
  <si>
    <t>Spire Global</t>
  </si>
  <si>
    <t>SPIR</t>
  </si>
  <si>
    <t>439</t>
  </si>
  <si>
    <t>ON24</t>
  </si>
  <si>
    <t>ONTF</t>
  </si>
  <si>
    <t>437</t>
  </si>
  <si>
    <t>InterDigital</t>
  </si>
  <si>
    <t>IDCC</t>
  </si>
  <si>
    <t>430</t>
  </si>
  <si>
    <t>Catapult Group International</t>
  </si>
  <si>
    <t>CAT.AX</t>
  </si>
  <si>
    <t>SOPHiA GENETICS</t>
  </si>
  <si>
    <t>SOPH</t>
  </si>
  <si>
    <t>423</t>
  </si>
  <si>
    <t>NFON AG</t>
  </si>
  <si>
    <t>NFN.DE</t>
  </si>
  <si>
    <t>419</t>
  </si>
  <si>
    <t>Spok Holdings</t>
  </si>
  <si>
    <t>SPOK</t>
  </si>
  <si>
    <t>418</t>
  </si>
  <si>
    <t>INVZ</t>
  </si>
  <si>
    <t>415</t>
  </si>
  <si>
    <t>Gravity Co.</t>
  </si>
  <si>
    <t>GRVY</t>
  </si>
  <si>
    <t>414</t>
  </si>
  <si>
    <t>Almawave</t>
  </si>
  <si>
    <t>AIW.MI</t>
  </si>
  <si>
    <t>412</t>
  </si>
  <si>
    <t>IonQ</t>
  </si>
  <si>
    <t>IONQ</t>
  </si>
  <si>
    <t>407</t>
  </si>
  <si>
    <t>CEVA</t>
  </si>
  <si>
    <t>406</t>
  </si>
  <si>
    <t>Truecaller</t>
  </si>
  <si>
    <t>TRUE-B.ST</t>
  </si>
  <si>
    <t>Parrot S.A.</t>
  </si>
  <si>
    <t>PARRO.PA</t>
  </si>
  <si>
    <t>404</t>
  </si>
  <si>
    <t>Marti Technologies</t>
  </si>
  <si>
    <t>MRT</t>
  </si>
  <si>
    <t>403</t>
  </si>
  <si>
    <t>Turkey</t>
  </si>
  <si>
    <t>Nuix Limited</t>
  </si>
  <si>
    <t>NXL.AX</t>
  </si>
  <si>
    <t>400</t>
  </si>
  <si>
    <t>OPTiM</t>
  </si>
  <si>
    <t>3694.T</t>
  </si>
  <si>
    <t>398</t>
  </si>
  <si>
    <t>SiTime</t>
  </si>
  <si>
    <t>SITM</t>
  </si>
  <si>
    <t>395</t>
  </si>
  <si>
    <t>2CRSI</t>
  </si>
  <si>
    <t>AL2SI.PA</t>
  </si>
  <si>
    <t>394</t>
  </si>
  <si>
    <t>Viant Technology</t>
  </si>
  <si>
    <t>DSP</t>
  </si>
  <si>
    <t>383</t>
  </si>
  <si>
    <t>3P Learning</t>
  </si>
  <si>
    <t>3PL.AX</t>
  </si>
  <si>
    <t>380</t>
  </si>
  <si>
    <t>CRGO</t>
  </si>
  <si>
    <t>378</t>
  </si>
  <si>
    <t>Cantaloupe</t>
  </si>
  <si>
    <t>CTLP</t>
  </si>
  <si>
    <t>375</t>
  </si>
  <si>
    <t>Auction Technology Group</t>
  </si>
  <si>
    <t>ATG.L</t>
  </si>
  <si>
    <t>370</t>
  </si>
  <si>
    <t>Drecom</t>
  </si>
  <si>
    <t>3793.T</t>
  </si>
  <si>
    <t>369</t>
  </si>
  <si>
    <t>Lantronix</t>
  </si>
  <si>
    <t>LTRX</t>
  </si>
  <si>
    <t>367</t>
  </si>
  <si>
    <t>Yunji</t>
  </si>
  <si>
    <t>YJ</t>
  </si>
  <si>
    <t>363</t>
  </si>
  <si>
    <t>Baijiayun Group</t>
  </si>
  <si>
    <t>RTC</t>
  </si>
  <si>
    <t>361</t>
  </si>
  <si>
    <t>Arlo Technologies</t>
  </si>
  <si>
    <t>ARLO</t>
  </si>
  <si>
    <t>360</t>
  </si>
  <si>
    <t>Gigas Hosting</t>
  </si>
  <si>
    <t>GIGA.MC</t>
  </si>
  <si>
    <t>359</t>
  </si>
  <si>
    <t>Shoper</t>
  </si>
  <si>
    <t>SHO.WA</t>
  </si>
  <si>
    <t>356</t>
  </si>
  <si>
    <t>Easy Software</t>
  </si>
  <si>
    <t>ESY.HM</t>
  </si>
  <si>
    <t>355</t>
  </si>
  <si>
    <t>TRUE</t>
  </si>
  <si>
    <t>348</t>
  </si>
  <si>
    <t>Backblaze</t>
  </si>
  <si>
    <t>BLZE</t>
  </si>
  <si>
    <t>346</t>
  </si>
  <si>
    <t>Perfect Corp.</t>
  </si>
  <si>
    <t>PERF</t>
  </si>
  <si>
    <t>342</t>
  </si>
  <si>
    <t>BlackSky Technology</t>
  </si>
  <si>
    <t>BKSY</t>
  </si>
  <si>
    <t>340</t>
  </si>
  <si>
    <t>Serko Limited</t>
  </si>
  <si>
    <t>SKO.NZ</t>
  </si>
  <si>
    <t>337</t>
  </si>
  <si>
    <t>TANLA</t>
  </si>
  <si>
    <t>TANLA.NS</t>
  </si>
  <si>
    <t>336</t>
  </si>
  <si>
    <t>Urgent.ly Inc.</t>
  </si>
  <si>
    <t>ULY</t>
  </si>
  <si>
    <t>333</t>
  </si>
  <si>
    <t>1Spatial</t>
  </si>
  <si>
    <t>SPA.L</t>
  </si>
  <si>
    <t>330</t>
  </si>
  <si>
    <t>Amtech Systems</t>
  </si>
  <si>
    <t>ASYS</t>
  </si>
  <si>
    <t>328</t>
  </si>
  <si>
    <t>Core Scientific</t>
  </si>
  <si>
    <t>CORZ</t>
  </si>
  <si>
    <t>325</t>
  </si>
  <si>
    <t>Admicom Oyj</t>
  </si>
  <si>
    <t>ADMCM.HE</t>
  </si>
  <si>
    <t>HUB Cyber Security</t>
  </si>
  <si>
    <t>HUBC</t>
  </si>
  <si>
    <t>322</t>
  </si>
  <si>
    <t>Freelance.com SA</t>
  </si>
  <si>
    <t>ALFRE.PA</t>
  </si>
  <si>
    <t>321</t>
  </si>
  <si>
    <t>Rekor Systems</t>
  </si>
  <si>
    <t>REKR</t>
  </si>
  <si>
    <t>319</t>
  </si>
  <si>
    <t>Lucas GC</t>
  </si>
  <si>
    <t>LGCL</t>
  </si>
  <si>
    <t>freelancer.com</t>
  </si>
  <si>
    <t>FLN.AX</t>
  </si>
  <si>
    <t>318</t>
  </si>
  <si>
    <t>SoundThinking 
 (ShotSpotter)</t>
  </si>
  <si>
    <t>SSTI</t>
  </si>
  <si>
    <t>316</t>
  </si>
  <si>
    <t>MSTC Limited</t>
  </si>
  <si>
    <t>MSTCLTD.NS</t>
  </si>
  <si>
    <t>315</t>
  </si>
  <si>
    <t>Mynaric</t>
  </si>
  <si>
    <t>M0YN.DE</t>
  </si>
  <si>
    <t>314</t>
  </si>
  <si>
    <t>Swvl Holdings</t>
  </si>
  <si>
    <t>312</t>
  </si>
  <si>
    <t>eMemory Technology</t>
  </si>
  <si>
    <t>3529.TWO</t>
  </si>
  <si>
    <t>310</t>
  </si>
  <si>
    <t>Sidetrade</t>
  </si>
  <si>
    <t>ALBFR.PA</t>
  </si>
  <si>
    <t>309</t>
  </si>
  <si>
    <t>Digital Bros</t>
  </si>
  <si>
    <t>DIB.MI</t>
  </si>
  <si>
    <t>305</t>
  </si>
  <si>
    <t>LifeMD</t>
  </si>
  <si>
    <t>LFMD</t>
  </si>
  <si>
    <t>304</t>
  </si>
  <si>
    <t>System1</t>
  </si>
  <si>
    <t>SST</t>
  </si>
  <si>
    <t>300</t>
  </si>
  <si>
    <t>Forge Global</t>
  </si>
  <si>
    <t>FRGE</t>
  </si>
  <si>
    <t>Eleco</t>
  </si>
  <si>
    <t>ELCO.L</t>
  </si>
  <si>
    <t>298</t>
  </si>
  <si>
    <t>kneat.com</t>
  </si>
  <si>
    <t>FOBK.F</t>
  </si>
  <si>
    <t>293</t>
  </si>
  <si>
    <t>INTERSHOP Communications</t>
  </si>
  <si>
    <t>ISHA.DE</t>
  </si>
  <si>
    <t>Ouster</t>
  </si>
  <si>
    <t>OUST</t>
  </si>
  <si>
    <t>292</t>
  </si>
  <si>
    <t>Agile Content</t>
  </si>
  <si>
    <t>AGIL.MC</t>
  </si>
  <si>
    <t>290</t>
  </si>
  <si>
    <t>1-800-PetMeds</t>
  </si>
  <si>
    <t>PETS</t>
  </si>
  <si>
    <t>287</t>
  </si>
  <si>
    <t>Computer Modelling Group</t>
  </si>
  <si>
    <t>CMG.TO</t>
  </si>
  <si>
    <t>Navitas Semiconductor</t>
  </si>
  <si>
    <t>NVTS</t>
  </si>
  <si>
    <t>280</t>
  </si>
  <si>
    <t>UNITED</t>
  </si>
  <si>
    <t>2497.T</t>
  </si>
  <si>
    <t>Pexip</t>
  </si>
  <si>
    <t>PEXIP.OL</t>
  </si>
  <si>
    <t>279</t>
  </si>
  <si>
    <t>Silvaco Group</t>
  </si>
  <si>
    <t>SVCO</t>
  </si>
  <si>
    <t>Aeva Technologies</t>
  </si>
  <si>
    <t>AEVA</t>
  </si>
  <si>
    <t>276</t>
  </si>
  <si>
    <t>Dave Inc.</t>
  </si>
  <si>
    <t>DAVE</t>
  </si>
  <si>
    <t>274</t>
  </si>
  <si>
    <t>Scienjoy</t>
  </si>
  <si>
    <t>SJ</t>
  </si>
  <si>
    <t>272</t>
  </si>
  <si>
    <t>Arteris</t>
  </si>
  <si>
    <t>AIP</t>
  </si>
  <si>
    <t>270</t>
  </si>
  <si>
    <t>Netcall</t>
  </si>
  <si>
    <t>NET.L</t>
  </si>
  <si>
    <t>Thinkific Labs</t>
  </si>
  <si>
    <t>THNC.TO</t>
  </si>
  <si>
    <t>269</t>
  </si>
  <si>
    <t>geechs</t>
  </si>
  <si>
    <t>7060.T</t>
  </si>
  <si>
    <t>268</t>
  </si>
  <si>
    <t>Cemtrex</t>
  </si>
  <si>
    <t>CETX</t>
  </si>
  <si>
    <t>264</t>
  </si>
  <si>
    <t>Qudian</t>
  </si>
  <si>
    <t>QD</t>
  </si>
  <si>
    <t>262</t>
  </si>
  <si>
    <t>Silicon Studio</t>
  </si>
  <si>
    <t>3907.T</t>
  </si>
  <si>
    <t>Castellum</t>
  </si>
  <si>
    <t>CTM</t>
  </si>
  <si>
    <t>260</t>
  </si>
  <si>
    <t>IREN (Iris Energy)</t>
  </si>
  <si>
    <t>IREN</t>
  </si>
  <si>
    <t>257</t>
  </si>
  <si>
    <t>Eagle Eye Solutions Group</t>
  </si>
  <si>
    <t>EYE.L</t>
  </si>
  <si>
    <t>Techstep ASA</t>
  </si>
  <si>
    <t>TECH.OL</t>
  </si>
  <si>
    <t>Valens Semiconductor</t>
  </si>
  <si>
    <t>VLN</t>
  </si>
  <si>
    <t>256</t>
  </si>
  <si>
    <t>CleanSpark</t>
  </si>
  <si>
    <t>CLSK</t>
  </si>
  <si>
    <t>11 bit studios</t>
  </si>
  <si>
    <t>11B.WA</t>
  </si>
  <si>
    <t>245</t>
  </si>
  <si>
    <t>Simulations Plus</t>
  </si>
  <si>
    <t>SLP</t>
  </si>
  <si>
    <t>243</t>
  </si>
  <si>
    <t>Movella</t>
  </si>
  <si>
    <t>MVLA</t>
  </si>
  <si>
    <t>241</t>
  </si>
  <si>
    <t>Velo3D</t>
  </si>
  <si>
    <t>VLDX</t>
  </si>
  <si>
    <t>237</t>
  </si>
  <si>
    <t>Verimatrix</t>
  </si>
  <si>
    <t>VMX.PA</t>
  </si>
  <si>
    <t>SKLZ</t>
  </si>
  <si>
    <t>225</t>
  </si>
  <si>
    <t>Hut 8</t>
  </si>
  <si>
    <t>HUT</t>
  </si>
  <si>
    <t>222</t>
  </si>
  <si>
    <t>Lemonsoft</t>
  </si>
  <si>
    <t>LEMON.HE</t>
  </si>
  <si>
    <t>220</t>
  </si>
  <si>
    <t>D-Wave Quantum</t>
  </si>
  <si>
    <t>QBTS</t>
  </si>
  <si>
    <t>216</t>
  </si>
  <si>
    <t>DMRC</t>
  </si>
  <si>
    <t>215</t>
  </si>
  <si>
    <t>Red Violet</t>
  </si>
  <si>
    <t>RDVT</t>
  </si>
  <si>
    <t>QXO Inc.</t>
  </si>
  <si>
    <t>QXO</t>
  </si>
  <si>
    <t>211</t>
  </si>
  <si>
    <t>WALLIX Group</t>
  </si>
  <si>
    <t>ALLIX.PA</t>
  </si>
  <si>
    <t>209</t>
  </si>
  <si>
    <t>Triller Group</t>
  </si>
  <si>
    <t>ILLR</t>
  </si>
  <si>
    <t>206</t>
  </si>
  <si>
    <t>Genasys</t>
  </si>
  <si>
    <t>GNSS</t>
  </si>
  <si>
    <t>202</t>
  </si>
  <si>
    <t>HiPay Group</t>
  </si>
  <si>
    <t>ALHYP.PA</t>
  </si>
  <si>
    <t>198</t>
  </si>
  <si>
    <t>Pixelworks</t>
  </si>
  <si>
    <t>PXLW</t>
  </si>
  <si>
    <t>196</t>
  </si>
  <si>
    <t>AMTD Digital</t>
  </si>
  <si>
    <t>HKD</t>
  </si>
  <si>
    <t>Streamwide</t>
  </si>
  <si>
    <t>ALSTW.PA</t>
  </si>
  <si>
    <t>195</t>
  </si>
  <si>
    <t>Kalray</t>
  </si>
  <si>
    <t>ALKAL.PA</t>
  </si>
  <si>
    <t>Exasol AG</t>
  </si>
  <si>
    <t>EXL.DE</t>
  </si>
  <si>
    <t>193</t>
  </si>
  <si>
    <t>Starbreeze</t>
  </si>
  <si>
    <t>STAR-B.ST</t>
  </si>
  <si>
    <t>192</t>
  </si>
  <si>
    <t>Micro Systemation</t>
  </si>
  <si>
    <t>MSAB-B.ST</t>
  </si>
  <si>
    <t>CI Games</t>
  </si>
  <si>
    <t>CI7.F</t>
  </si>
  <si>
    <t>191</t>
  </si>
  <si>
    <t>DoubleDown Interactive</t>
  </si>
  <si>
    <t>DDI</t>
  </si>
  <si>
    <t>190</t>
  </si>
  <si>
    <t>cBrain</t>
  </si>
  <si>
    <t>CBRAIN.CO</t>
  </si>
  <si>
    <t>189</t>
  </si>
  <si>
    <t>MicroVision</t>
  </si>
  <si>
    <t>MVIS</t>
  </si>
  <si>
    <t>185</t>
  </si>
  <si>
    <t>Nippon Ichi Software</t>
  </si>
  <si>
    <t>3851.T</t>
  </si>
  <si>
    <t>Bitdeer Technologies Group</t>
  </si>
  <si>
    <t>BTDR</t>
  </si>
  <si>
    <t>183</t>
  </si>
  <si>
    <t>Dominion Hosting</t>
  </si>
  <si>
    <t>DHH.MI</t>
  </si>
  <si>
    <t>181</t>
  </si>
  <si>
    <t>Creotech Instruments</t>
  </si>
  <si>
    <t>CRI.WA</t>
  </si>
  <si>
    <t>180</t>
  </si>
  <si>
    <t>Rasan Information Technology Company</t>
  </si>
  <si>
    <t>8313.SR</t>
  </si>
  <si>
    <t>178</t>
  </si>
  <si>
    <t>S. Arabia</t>
  </si>
  <si>
    <t>Paysign</t>
  </si>
  <si>
    <t>PAYS</t>
  </si>
  <si>
    <t>173</t>
  </si>
  <si>
    <t>Quartix Technologies</t>
  </si>
  <si>
    <t>QTX.L</t>
  </si>
  <si>
    <t>Marathon Digital Holdings</t>
  </si>
  <si>
    <t>MARA</t>
  </si>
  <si>
    <t>171</t>
  </si>
  <si>
    <t>Bitfarms</t>
  </si>
  <si>
    <t>BITF</t>
  </si>
  <si>
    <t>170</t>
  </si>
  <si>
    <t>Identiv</t>
  </si>
  <si>
    <t>INVE</t>
  </si>
  <si>
    <t>166</t>
  </si>
  <si>
    <t>Smith Micro Software</t>
  </si>
  <si>
    <t>SMSI</t>
  </si>
  <si>
    <t>164</t>
  </si>
  <si>
    <t>Marpai</t>
  </si>
  <si>
    <t>MRAI</t>
  </si>
  <si>
    <t>162</t>
  </si>
  <si>
    <t>Xiao-I</t>
  </si>
  <si>
    <t>AIXI</t>
  </si>
  <si>
    <t>Northern Data AG</t>
  </si>
  <si>
    <t>NB2.DE</t>
  </si>
  <si>
    <t>157</t>
  </si>
  <si>
    <t>ABSI</t>
  </si>
  <si>
    <t>156</t>
  </si>
  <si>
    <t>Hemnet Group AB</t>
  </si>
  <si>
    <t>HEM.ST</t>
  </si>
  <si>
    <t>Sequans Communications</t>
  </si>
  <si>
    <t>SQNS</t>
  </si>
  <si>
    <t>155</t>
  </si>
  <si>
    <t>Concurrent Technologies</t>
  </si>
  <si>
    <t>CNC.L</t>
  </si>
  <si>
    <t>Celebrus Technologies</t>
  </si>
  <si>
    <t>CLBS.L</t>
  </si>
  <si>
    <t>154</t>
  </si>
  <si>
    <t>Applied Digital</t>
  </si>
  <si>
    <t>APLD</t>
  </si>
  <si>
    <t>150</t>
  </si>
  <si>
    <t>Witbe S.A.</t>
  </si>
  <si>
    <t>ALWIT.PA</t>
  </si>
  <si>
    <t>146</t>
  </si>
  <si>
    <t>Chrysos Corporation Limited</t>
  </si>
  <si>
    <t>C79.AX</t>
  </si>
  <si>
    <t>Research Solutions</t>
  </si>
  <si>
    <t>RSSS</t>
  </si>
  <si>
    <t>145</t>
  </si>
  <si>
    <t>MediaAlpha</t>
  </si>
  <si>
    <t>MAX</t>
  </si>
  <si>
    <t>144</t>
  </si>
  <si>
    <t>Gorilla Technology</t>
  </si>
  <si>
    <t>GRRR</t>
  </si>
  <si>
    <t>143</t>
  </si>
  <si>
    <t>Grindr</t>
  </si>
  <si>
    <t>GRND</t>
  </si>
  <si>
    <t>142</t>
  </si>
  <si>
    <t>CISO Global (Cerberus Cyber Sentinel)</t>
  </si>
  <si>
    <t>CISO</t>
  </si>
  <si>
    <t>141</t>
  </si>
  <si>
    <t>Arbe Robotics</t>
  </si>
  <si>
    <t>ARBE</t>
  </si>
  <si>
    <t>138</t>
  </si>
  <si>
    <t>Rigetti Computing</t>
  </si>
  <si>
    <t>RGTI</t>
  </si>
  <si>
    <t>137</t>
  </si>
  <si>
    <t>Presto Automation</t>
  </si>
  <si>
    <t>PRST</t>
  </si>
  <si>
    <t>Rumble</t>
  </si>
  <si>
    <t>RUM</t>
  </si>
  <si>
    <t>135</t>
  </si>
  <si>
    <t>Raspberry Pi</t>
  </si>
  <si>
    <t>RPI.L</t>
  </si>
  <si>
    <t>134</t>
  </si>
  <si>
    <t>Natural Health Trends</t>
  </si>
  <si>
    <t>NHTC</t>
  </si>
  <si>
    <t>133</t>
  </si>
  <si>
    <t>Intchains Group</t>
  </si>
  <si>
    <t>ICG</t>
  </si>
  <si>
    <t>reAlpha Tech</t>
  </si>
  <si>
    <t>AIRE</t>
  </si>
  <si>
    <t>132</t>
  </si>
  <si>
    <t>SurgePays</t>
  </si>
  <si>
    <t>SURG</t>
  </si>
  <si>
    <t>130</t>
  </si>
  <si>
    <t>Automatic Bank Services</t>
  </si>
  <si>
    <t>SHVA.TA</t>
  </si>
  <si>
    <t>OptimizeRx</t>
  </si>
  <si>
    <t>OPRX</t>
  </si>
  <si>
    <t>128</t>
  </si>
  <si>
    <t>Mentice AB</t>
  </si>
  <si>
    <t>MNTC.ST</t>
  </si>
  <si>
    <t>127</t>
  </si>
  <si>
    <t>cyan AG</t>
  </si>
  <si>
    <t>CYR.DE</t>
  </si>
  <si>
    <t>124</t>
  </si>
  <si>
    <t>GCT Semiconductor</t>
  </si>
  <si>
    <t>GCTS</t>
  </si>
  <si>
    <t>121</t>
  </si>
  <si>
    <t>PT DCI Indonesia Tbk</t>
  </si>
  <si>
    <t>DCII.JK</t>
  </si>
  <si>
    <t>120</t>
  </si>
  <si>
    <t>TransAct Technologies</t>
  </si>
  <si>
    <t>TACT</t>
  </si>
  <si>
    <t>117</t>
  </si>
  <si>
    <t>AudioEye</t>
  </si>
  <si>
    <t>AEYE</t>
  </si>
  <si>
    <t>Aehr Test Systems</t>
  </si>
  <si>
    <t>AEHR</t>
  </si>
  <si>
    <t>115</t>
  </si>
  <si>
    <t>Expensify</t>
  </si>
  <si>
    <t>EXFY</t>
  </si>
  <si>
    <t>Red Cat Holdings</t>
  </si>
  <si>
    <t>RCAT</t>
  </si>
  <si>
    <t>Ondas Holdings</t>
  </si>
  <si>
    <t>ONDS</t>
  </si>
  <si>
    <t>113</t>
  </si>
  <si>
    <t>enish</t>
  </si>
  <si>
    <t>3667.T</t>
  </si>
  <si>
    <t>112</t>
  </si>
  <si>
    <t>WISeKey International</t>
  </si>
  <si>
    <t>WKEY</t>
  </si>
  <si>
    <t>109</t>
  </si>
  <si>
    <t>SeaChange</t>
  </si>
  <si>
    <t>SEAC</t>
  </si>
  <si>
    <t>107</t>
  </si>
  <si>
    <t>Usio</t>
  </si>
  <si>
    <t>USIO</t>
  </si>
  <si>
    <t>YOC AG</t>
  </si>
  <si>
    <t>YOC.DE</t>
  </si>
  <si>
    <t>MRIN</t>
  </si>
  <si>
    <t>104</t>
  </si>
  <si>
    <t>Starbox Group</t>
  </si>
  <si>
    <t>STBX</t>
  </si>
  <si>
    <t>103</t>
  </si>
  <si>
    <t>One Stop Systems</t>
  </si>
  <si>
    <t>OSS</t>
  </si>
  <si>
    <t>Beeks Financial Cloud Group</t>
  </si>
  <si>
    <t>BKS.L</t>
  </si>
  <si>
    <t>iLearningEngines</t>
  </si>
  <si>
    <t>AILE</t>
  </si>
  <si>
    <t>101</t>
  </si>
  <si>
    <t>Wedia SA</t>
  </si>
  <si>
    <t>ALWED.PA</t>
  </si>
  <si>
    <t>Aterian</t>
  </si>
  <si>
    <t>ATER</t>
  </si>
  <si>
    <t>97</t>
  </si>
  <si>
    <t>NextNav</t>
  </si>
  <si>
    <t>NN</t>
  </si>
  <si>
    <t>96</t>
  </si>
  <si>
    <t>Katapult Holdings</t>
  </si>
  <si>
    <t>KPLT</t>
  </si>
  <si>
    <t>94</t>
  </si>
  <si>
    <t>Where Food Comes From</t>
  </si>
  <si>
    <t>WFCF</t>
  </si>
  <si>
    <t>90</t>
  </si>
  <si>
    <t>Nano Labs</t>
  </si>
  <si>
    <t>NA</t>
  </si>
  <si>
    <t>88</t>
  </si>
  <si>
    <t>NextVision Stabilized Systems</t>
  </si>
  <si>
    <t>NXSN.TA</t>
  </si>
  <si>
    <t>Grom Social Enterprises</t>
  </si>
  <si>
    <t>GROM</t>
  </si>
  <si>
    <t>86</t>
  </si>
  <si>
    <t>Everspin Technologies</t>
  </si>
  <si>
    <t>MRAM</t>
  </si>
  <si>
    <t>G Medical Innovations</t>
  </si>
  <si>
    <t>GMVD</t>
  </si>
  <si>
    <t>84</t>
  </si>
  <si>
    <t>Mobile Factory</t>
  </si>
  <si>
    <t>3912.T</t>
  </si>
  <si>
    <t>Fr8Tech 
 (Freight Technologies)</t>
  </si>
  <si>
    <t>FRGT</t>
  </si>
  <si>
    <t>82</t>
  </si>
  <si>
    <t>Foresight Autonomous Holdings</t>
  </si>
  <si>
    <t>FRSX</t>
  </si>
  <si>
    <t>81</t>
  </si>
  <si>
    <t>Lifeward</t>
  </si>
  <si>
    <t>LFWD</t>
  </si>
  <si>
    <t>80</t>
  </si>
  <si>
    <t>Duos Technologies Group</t>
  </si>
  <si>
    <t>DUOT</t>
  </si>
  <si>
    <t>79</t>
  </si>
  <si>
    <t>Aiforia Technologies Oyj</t>
  </si>
  <si>
    <t>AIFORIA.HE</t>
  </si>
  <si>
    <t>Pintec Technology</t>
  </si>
  <si>
    <t>PT</t>
  </si>
  <si>
    <t>78</t>
  </si>
  <si>
    <t>BrainChip</t>
  </si>
  <si>
    <t>BRN.AX</t>
  </si>
  <si>
    <t>zSpace</t>
  </si>
  <si>
    <t>ZSPC</t>
  </si>
  <si>
    <t>Vuzix</t>
  </si>
  <si>
    <t>VUZI</t>
  </si>
  <si>
    <t>76</t>
  </si>
  <si>
    <t>Corero Network Security</t>
  </si>
  <si>
    <t>CNS.L</t>
  </si>
  <si>
    <t>Compugen</t>
  </si>
  <si>
    <t>CGEN</t>
  </si>
  <si>
    <t>74</t>
  </si>
  <si>
    <t>Nazara Technologies</t>
  </si>
  <si>
    <t>NAZARA.NS</t>
  </si>
  <si>
    <t>73</t>
  </si>
  <si>
    <t>ReposiTrak</t>
  </si>
  <si>
    <t>TRAK</t>
  </si>
  <si>
    <t>Mobile-health Network Solutions</t>
  </si>
  <si>
    <t>MNDR</t>
  </si>
  <si>
    <t>Super League Enterprise</t>
  </si>
  <si>
    <t>SLE</t>
  </si>
  <si>
    <t>72</t>
  </si>
  <si>
    <t>Arqit Quantum</t>
  </si>
  <si>
    <t>ARQQ</t>
  </si>
  <si>
    <t>Trust Stamp</t>
  </si>
  <si>
    <t>IDAI</t>
  </si>
  <si>
    <t>Coheris SA</t>
  </si>
  <si>
    <t>COH.PA</t>
  </si>
  <si>
    <t>Stock3 AG</t>
  </si>
  <si>
    <t>BOG.DE</t>
  </si>
  <si>
    <t>Palladyne AI</t>
  </si>
  <si>
    <t>PDYN</t>
  </si>
  <si>
    <t>71</t>
  </si>
  <si>
    <t>Streamline Health Solutions</t>
  </si>
  <si>
    <t>STRM</t>
  </si>
  <si>
    <t>70</t>
  </si>
  <si>
    <t>Alarum Technologies</t>
  </si>
  <si>
    <t>ALAR</t>
  </si>
  <si>
    <t>68</t>
  </si>
  <si>
    <t>SEALSQ</t>
  </si>
  <si>
    <t>LAES</t>
  </si>
  <si>
    <t>67</t>
  </si>
  <si>
    <t>SOS Limited</t>
  </si>
  <si>
    <t>SOS</t>
  </si>
  <si>
    <t>65</t>
  </si>
  <si>
    <t>AgEagle Aerial Systems</t>
  </si>
  <si>
    <t>UAVS</t>
  </si>
  <si>
    <t>64</t>
  </si>
  <si>
    <t>Ekso Bionics</t>
  </si>
  <si>
    <t>EKSO</t>
  </si>
  <si>
    <t>61</t>
  </si>
  <si>
    <t>Odysight.ai</t>
  </si>
  <si>
    <t>ODYS</t>
  </si>
  <si>
    <t>Orangekloud Technology</t>
  </si>
  <si>
    <t>ORKT</t>
  </si>
  <si>
    <t>Quicklogic</t>
  </si>
  <si>
    <t>QUIK</t>
  </si>
  <si>
    <t>59</t>
  </si>
  <si>
    <t>Socket Mobile</t>
  </si>
  <si>
    <t>SCKT</t>
  </si>
  <si>
    <t>Cyngn</t>
  </si>
  <si>
    <t>CYN</t>
  </si>
  <si>
    <t>58</t>
  </si>
  <si>
    <t>Semilux International</t>
  </si>
  <si>
    <t>SELX</t>
  </si>
  <si>
    <t>Richtech Robotics</t>
  </si>
  <si>
    <t>RR</t>
  </si>
  <si>
    <t>57</t>
  </si>
  <si>
    <t>BIT Mining (500.com)</t>
  </si>
  <si>
    <t>BTCM</t>
  </si>
  <si>
    <t>56</t>
  </si>
  <si>
    <t>Bit Digital</t>
  </si>
  <si>
    <t>BTBT</t>
  </si>
  <si>
    <t>54</t>
  </si>
  <si>
    <t>POET Technologies</t>
  </si>
  <si>
    <t>POET</t>
  </si>
  <si>
    <t>53</t>
  </si>
  <si>
    <t>Rail Vision</t>
  </si>
  <si>
    <t>RVSN</t>
  </si>
  <si>
    <t>52</t>
  </si>
  <si>
    <t>Hanryu Holdings</t>
  </si>
  <si>
    <t>HRYU</t>
  </si>
  <si>
    <t>Airship AI</t>
  </si>
  <si>
    <t>AISP</t>
  </si>
  <si>
    <t>The9</t>
  </si>
  <si>
    <t>NCTY</t>
  </si>
  <si>
    <t>50</t>
  </si>
  <si>
    <t>SaverOne 2014</t>
  </si>
  <si>
    <t>SVRE</t>
  </si>
  <si>
    <t>Mobix Labs</t>
  </si>
  <si>
    <t>MOBX</t>
  </si>
  <si>
    <t>Fonix Mobile</t>
  </si>
  <si>
    <t>FNX.L</t>
  </si>
  <si>
    <t>Triterras</t>
  </si>
  <si>
    <t>TRIRF</t>
  </si>
  <si>
    <t>49</t>
  </si>
  <si>
    <t>Intellicheck</t>
  </si>
  <si>
    <t>IDN</t>
  </si>
  <si>
    <t>47</t>
  </si>
  <si>
    <t>Global Mofy Metaverse</t>
  </si>
  <si>
    <t>GMM</t>
  </si>
  <si>
    <t>Forian</t>
  </si>
  <si>
    <t>FORA</t>
  </si>
  <si>
    <t>Remark Holdings</t>
  </si>
  <si>
    <t>MARK</t>
  </si>
  <si>
    <t>46</t>
  </si>
  <si>
    <t>Focus Universal</t>
  </si>
  <si>
    <t>FCUV</t>
  </si>
  <si>
    <t>authID</t>
  </si>
  <si>
    <t>AUID</t>
  </si>
  <si>
    <t>Vinco Ventures</t>
  </si>
  <si>
    <t>BBIG</t>
  </si>
  <si>
    <t>45</t>
  </si>
  <si>
    <t>LIDR</t>
  </si>
  <si>
    <t>CuriosityStream</t>
  </si>
  <si>
    <t>CURI</t>
  </si>
  <si>
    <t>The Glimpse Group</t>
  </si>
  <si>
    <t>VRAR</t>
  </si>
  <si>
    <t>44</t>
  </si>
  <si>
    <t>Cipher Mining</t>
  </si>
  <si>
    <t>CIFR</t>
  </si>
  <si>
    <t>43</t>
  </si>
  <si>
    <t>Zoom Telephonics</t>
  </si>
  <si>
    <t>MINM</t>
  </si>
  <si>
    <t>Troops</t>
  </si>
  <si>
    <t>TROO</t>
  </si>
  <si>
    <t>42</t>
  </si>
  <si>
    <t>BIO-key International</t>
  </si>
  <si>
    <t>BKYI</t>
  </si>
  <si>
    <t>41</t>
  </si>
  <si>
    <t>Quantum Computing</t>
  </si>
  <si>
    <t>QUBT</t>
  </si>
  <si>
    <t>CXApp</t>
  </si>
  <si>
    <t>CXAI</t>
  </si>
  <si>
    <t>Neonode</t>
  </si>
  <si>
    <t>NEON</t>
  </si>
  <si>
    <t>40</t>
  </si>
  <si>
    <t>Beamr Imaging</t>
  </si>
  <si>
    <t>BMR</t>
  </si>
  <si>
    <t>38</t>
  </si>
  <si>
    <t>Greenidge Generation Holdings</t>
  </si>
  <si>
    <t>GREE</t>
  </si>
  <si>
    <t>35</t>
  </si>
  <si>
    <t>WeTrade Group</t>
  </si>
  <si>
    <t>WETG</t>
  </si>
  <si>
    <t>SIMPPLE</t>
  </si>
  <si>
    <t>SPPL</t>
  </si>
  <si>
    <t>BitFuFu</t>
  </si>
  <si>
    <t>FUFU</t>
  </si>
  <si>
    <t>34</t>
  </si>
  <si>
    <t>Lightwave Logic</t>
  </si>
  <si>
    <t>LWLG</t>
  </si>
  <si>
    <t>31</t>
  </si>
  <si>
    <t>ADVFN</t>
  </si>
  <si>
    <t>AFN.L</t>
  </si>
  <si>
    <t>Phunware</t>
  </si>
  <si>
    <t>PHUN</t>
  </si>
  <si>
    <t>29</t>
  </si>
  <si>
    <t>Onfolio Holdings</t>
  </si>
  <si>
    <t>ONFO</t>
  </si>
  <si>
    <t>Energous</t>
  </si>
  <si>
    <t>WATT</t>
  </si>
  <si>
    <t>26</t>
  </si>
  <si>
    <t>Locafy</t>
  </si>
  <si>
    <t>LCFY</t>
  </si>
  <si>
    <t>Treasure Global</t>
  </si>
  <si>
    <t>TGL</t>
  </si>
  <si>
    <t>25</t>
  </si>
  <si>
    <t>Argo Blockchain</t>
  </si>
  <si>
    <t>ARBK</t>
  </si>
  <si>
    <t>Fintech Scion (FintechCashier)</t>
  </si>
  <si>
    <t>FINR</t>
  </si>
  <si>
    <t>23</t>
  </si>
  <si>
    <t>Netcapital</t>
  </si>
  <si>
    <t>NCPL</t>
  </si>
  <si>
    <t>21</t>
  </si>
  <si>
    <t>Mobilicom</t>
  </si>
  <si>
    <t>MOB</t>
  </si>
  <si>
    <t>HIVE Blockchain Technologies</t>
  </si>
  <si>
    <t>HIVE</t>
  </si>
  <si>
    <t>20</t>
  </si>
  <si>
    <t>Atomera</t>
  </si>
  <si>
    <t>ATOM</t>
  </si>
  <si>
    <t>Verb Technology</t>
  </si>
  <si>
    <t>VERB</t>
  </si>
  <si>
    <t>18</t>
  </si>
  <si>
    <t>Metaplanet Inc.</t>
  </si>
  <si>
    <t>3350.T</t>
  </si>
  <si>
    <t>17</t>
  </si>
  <si>
    <t>OLB Group</t>
  </si>
  <si>
    <t>OLB</t>
  </si>
  <si>
    <t>15</t>
  </si>
  <si>
    <t>Earlyworks</t>
  </si>
  <si>
    <t>ELWS</t>
  </si>
  <si>
    <t>Kidpik</t>
  </si>
  <si>
    <t>PIK</t>
  </si>
  <si>
    <t>14</t>
  </si>
  <si>
    <t>Signing Day Sports</t>
  </si>
  <si>
    <t>SGN</t>
  </si>
  <si>
    <t>TeraWulf</t>
  </si>
  <si>
    <t>WULF</t>
  </si>
  <si>
    <t>12</t>
  </si>
  <si>
    <t>IMTE</t>
  </si>
  <si>
    <t>11</t>
  </si>
  <si>
    <t>Aeluma</t>
  </si>
  <si>
    <t>ALMU</t>
  </si>
  <si>
    <t>Blackboxstocks</t>
  </si>
  <si>
    <t>BLBX</t>
  </si>
  <si>
    <t>10</t>
  </si>
  <si>
    <t>BloomZ</t>
  </si>
  <si>
    <t>BLMZ</t>
  </si>
  <si>
    <t>ALT5 Sigma</t>
  </si>
  <si>
    <t>ALTS</t>
  </si>
  <si>
    <t>AppTech Payments</t>
  </si>
  <si>
    <t>APCX</t>
  </si>
  <si>
    <t>9</t>
  </si>
  <si>
    <t>DeFi Technologies</t>
  </si>
  <si>
    <t>DEFI.NE</t>
  </si>
  <si>
    <t>Jet.AI</t>
  </si>
  <si>
    <t>JTAI</t>
  </si>
  <si>
    <t>8</t>
  </si>
  <si>
    <t>Oblong</t>
  </si>
  <si>
    <t>OBLG</t>
  </si>
  <si>
    <t>7</t>
  </si>
  <si>
    <t>Bitmine Immersion Technologies</t>
  </si>
  <si>
    <t>BMNR</t>
  </si>
  <si>
    <t>6</t>
  </si>
  <si>
    <t>Versus Systems</t>
  </si>
  <si>
    <t>VS</t>
  </si>
  <si>
    <t>5</t>
  </si>
  <si>
    <t>Jump Networks</t>
  </si>
  <si>
    <t>JUMPNET.NS</t>
  </si>
  <si>
    <t>3</t>
  </si>
  <si>
    <t>ATARI</t>
  </si>
  <si>
    <t>ALATA.PA</t>
  </si>
  <si>
    <t>Gryphon Digital Mining</t>
  </si>
  <si>
    <t>GRYP</t>
  </si>
  <si>
    <t>Sphere 3D</t>
  </si>
  <si>
    <t>ANY</t>
  </si>
  <si>
    <t>2</t>
  </si>
  <si>
    <t>Emplyees_202601</t>
  </si>
  <si>
    <t>Cloudhead Games</t>
  </si>
  <si>
    <t>Qualicum Beach</t>
  </si>
  <si>
    <t>TailwindCSS</t>
  </si>
  <si>
    <t>Hailo</t>
  </si>
  <si>
    <t>OKX</t>
  </si>
  <si>
    <t>Crypto Exchange</t>
  </si>
  <si>
    <t>Semiconductor test and measurement</t>
  </si>
  <si>
    <t>Software</t>
  </si>
  <si>
    <t>StoreDot</t>
  </si>
  <si>
    <t>Fast-charging battery developer</t>
  </si>
  <si>
    <t>Polygon Labs</t>
  </si>
  <si>
    <t>Blockchain</t>
  </si>
  <si>
    <t>Code.org</t>
  </si>
  <si>
    <t>Primary and Secondary Education</t>
  </si>
  <si>
    <t>Video Hosting Platform</t>
  </si>
  <si>
    <t>Nifty Gateway</t>
  </si>
  <si>
    <t>Entropy</t>
  </si>
  <si>
    <t>Pinterest</t>
  </si>
  <si>
    <t>Social Networking Software</t>
  </si>
  <si>
    <t>Hangzhou</t>
  </si>
  <si>
    <t>Veldhoven</t>
  </si>
  <si>
    <t>Multiple Listing Service (MLS) Software</t>
  </si>
  <si>
    <t>Intelligent Work Management platform</t>
  </si>
  <si>
    <t>Adtech startup</t>
  </si>
  <si>
    <t>Angi</t>
  </si>
  <si>
    <t>Collection of marketplaces for home services</t>
  </si>
  <si>
    <t>Computer Hardware Manufacturing</t>
  </si>
  <si>
    <t>Myntra</t>
  </si>
  <si>
    <t>The Washington Post</t>
  </si>
  <si>
    <t>Newspaper Publishing</t>
  </si>
  <si>
    <t>Enterprise Cloud Platforms</t>
  </si>
  <si>
    <t>Hatfield</t>
  </si>
  <si>
    <t>ams OSRAM</t>
  </si>
  <si>
    <t>Cycurion</t>
  </si>
  <si>
    <t>McLean</t>
  </si>
  <si>
    <t>Fi</t>
  </si>
  <si>
    <t>Telstra</t>
  </si>
  <si>
    <t>Clari</t>
  </si>
  <si>
    <t>Revenue operations</t>
  </si>
  <si>
    <t>Hinterland</t>
  </si>
  <si>
    <t>Artificial intelligence research</t>
  </si>
  <si>
    <t>Startup Nation Central</t>
  </si>
  <si>
    <t>Non-profit Organizations</t>
  </si>
  <si>
    <t>Huawei</t>
  </si>
  <si>
    <t>Consumer electronics and telecom equipment</t>
  </si>
  <si>
    <t>Cyberark</t>
  </si>
  <si>
    <t>Newton</t>
  </si>
  <si>
    <t>HCLTech</t>
  </si>
  <si>
    <t>IT consulting</t>
  </si>
  <si>
    <t>FanDuel</t>
  </si>
  <si>
    <t>Firebolt</t>
  </si>
  <si>
    <t>Analytical Database</t>
  </si>
  <si>
    <t>AOL</t>
  </si>
  <si>
    <t>Shenzhen</t>
  </si>
  <si>
    <t>C3.ai</t>
  </si>
  <si>
    <t>Enterprise AI</t>
  </si>
  <si>
    <t>Santa Monica</t>
  </si>
  <si>
    <t>Car marketplace</t>
  </si>
  <si>
    <t>Logistics software</t>
  </si>
  <si>
    <t>Redmond</t>
  </si>
  <si>
    <t>Verint Systems</t>
  </si>
  <si>
    <t>Underdog</t>
  </si>
  <si>
    <t>Insurance for cybersecurity threats</t>
  </si>
  <si>
    <t>Envato</t>
  </si>
  <si>
    <t>Creative Marketplace</t>
  </si>
  <si>
    <t>Halfbrick</t>
  </si>
  <si>
    <t>SSense</t>
  </si>
  <si>
    <t>nDreams</t>
  </si>
  <si>
    <t>Farnborough</t>
  </si>
  <si>
    <t>Real Estate Technology</t>
  </si>
  <si>
    <t>Optimism Foundation</t>
  </si>
  <si>
    <t>Ethereum scalability</t>
  </si>
  <si>
    <t>Dream11</t>
  </si>
  <si>
    <t>Fantasy sports</t>
  </si>
  <si>
    <t>Digg</t>
  </si>
  <si>
    <t>Stone</t>
  </si>
  <si>
    <t>WB Games Montreal</t>
  </si>
  <si>
    <t>Entertainment</t>
  </si>
  <si>
    <t>Messari</t>
  </si>
  <si>
    <t>Crypto Market Intelligence</t>
  </si>
  <si>
    <t>Algorand Foundation</t>
  </si>
  <si>
    <t>Cryptocurrency</t>
  </si>
  <si>
    <t>Bozeman</t>
  </si>
  <si>
    <t>Cloud data warehouse</t>
  </si>
  <si>
    <t>Music streaming service</t>
  </si>
  <si>
    <t>Epic Games</t>
  </si>
  <si>
    <t>Lean In</t>
  </si>
  <si>
    <t>X</t>
  </si>
  <si>
    <t>T- Mobile</t>
  </si>
  <si>
    <t>CoverMyMeds (part of McKesson Corporation)</t>
  </si>
  <si>
    <t>Medication Access Company</t>
  </si>
  <si>
    <t>Eidos-Montréal</t>
  </si>
  <si>
    <t>Yupp</t>
  </si>
  <si>
    <t>Polyarc</t>
  </si>
  <si>
    <t>Video Games</t>
  </si>
  <si>
    <t>Banking</t>
  </si>
  <si>
    <t>Kintsugi</t>
  </si>
  <si>
    <t>Mental Health Care startup</t>
  </si>
  <si>
    <t>GDIT</t>
  </si>
  <si>
    <t>NeuroPixel.AI</t>
  </si>
  <si>
    <t>Action cameras</t>
  </si>
  <si>
    <t>Product Analytics Software</t>
  </si>
  <si>
    <t>Individual and Family Services</t>
  </si>
  <si>
    <t>Qualcomm</t>
  </si>
  <si>
    <t>StarkWare</t>
  </si>
  <si>
    <t>The Walt Disney Company</t>
  </si>
  <si>
    <t>The ticket marketplace</t>
  </si>
  <si>
    <t>PayRay bank</t>
  </si>
  <si>
    <t>Advertising Technology</t>
  </si>
  <si>
    <t>Shutterfly</t>
  </si>
  <si>
    <t>Photo Printing</t>
  </si>
  <si>
    <t>Vianai Systems</t>
  </si>
  <si>
    <t>Enterprise artificial intelligence</t>
  </si>
  <si>
    <t>Online art marketplace.</t>
  </si>
  <si>
    <t>GeoComply</t>
  </si>
  <si>
    <t>Sama</t>
  </si>
  <si>
    <t>Data annotation for artificial intelligence</t>
  </si>
  <si>
    <t>Iron Galaxy Studios</t>
  </si>
  <si>
    <t>Sight</t>
  </si>
  <si>
    <t>Pentera</t>
  </si>
  <si>
    <t>Security Validation</t>
  </si>
  <si>
    <t>Arctic Wolf</t>
  </si>
  <si>
    <t>LSports</t>
  </si>
  <si>
    <t>Real Time Sports Data</t>
  </si>
  <si>
    <t>Ticketmaster</t>
  </si>
  <si>
    <t>DeepL</t>
  </si>
  <si>
    <t>Cologne</t>
  </si>
  <si>
    <t>Financial Automation Software</t>
  </si>
  <si>
    <t>Parker</t>
  </si>
  <si>
    <t>Adda247</t>
  </si>
  <si>
    <t>E-Learning Providers</t>
  </si>
  <si>
    <t>Walmart</t>
  </si>
  <si>
    <t>Bentonville</t>
  </si>
  <si>
    <t>Technology</t>
  </si>
  <si>
    <t>Night Street Games</t>
  </si>
  <si>
    <t>Guesty</t>
  </si>
  <si>
    <t>Property management software</t>
  </si>
  <si>
    <t>Gambling.com</t>
  </si>
  <si>
    <t>Gambling Facilities and Casinos</t>
  </si>
  <si>
    <t>Gameteq</t>
  </si>
  <si>
    <t>Limassol</t>
  </si>
  <si>
    <t>Cheyenne</t>
  </si>
  <si>
    <t>Dune Analytics</t>
  </si>
  <si>
    <t>Crypto data analytics</t>
  </si>
  <si>
    <t>AI21 Labs</t>
  </si>
  <si>
    <t>Enterprise software</t>
  </si>
  <si>
    <t>Bankless</t>
  </si>
  <si>
    <t>Media Production</t>
  </si>
  <si>
    <t>AI Workspace</t>
  </si>
  <si>
    <t>Quantic Dream</t>
  </si>
  <si>
    <r>
      <rPr>
        <sz val="10"/>
        <color rgb="FF1C1F25"/>
        <rFont val="Arial"/>
        <family val="2"/>
      </rPr>
      <t>W</t>
    </r>
    <r>
      <rPr>
        <sz val="10.5"/>
        <color rgb="FF1C1F25"/>
        <rFont val="Arial"/>
        <family val="2"/>
      </rPr>
      <t>ix</t>
    </r>
  </si>
  <si>
    <r>
      <rPr>
        <sz val="10.5"/>
        <color rgb="FF1C1F25"/>
        <rFont val="Arial"/>
        <family val="2"/>
      </rPr>
      <t>Other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</si>
  <si>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</t>
    </r>
  </si>
  <si>
    <r>
      <rPr>
        <sz val="10.5"/>
        <color rgb="FF1C1F25"/>
        <rFont val="Arial"/>
        <family val="2"/>
      </rPr>
      <t>Picnic</t>
    </r>
  </si>
  <si>
    <r>
      <rPr>
        <sz val="10.5"/>
        <color rgb="FFFFFFFF"/>
        <rFont val="Arial"/>
        <family val="2"/>
      </rPr>
      <t>Security</t>
    </r>
  </si>
  <si>
    <r>
      <rPr>
        <sz val="10.5"/>
        <color rgb="FF1C1F25"/>
        <rFont val="Arial"/>
        <family val="2"/>
      </rPr>
      <t>Acquired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</si>
  <si>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25</t>
    </r>
  </si>
  <si>
    <r>
      <rPr>
        <sz val="10.5"/>
        <color rgb="FF1C1F25"/>
        <rFont val="Arial"/>
        <family val="2"/>
      </rPr>
      <t>BigID</t>
    </r>
  </si>
  <si>
    <r>
      <rPr>
        <sz val="10.5"/>
        <color rgb="FF1C1F25"/>
        <rFont val="Arial"/>
        <family val="2"/>
      </rPr>
      <t>Media</t>
    </r>
  </si>
  <si>
    <r>
      <rPr>
        <sz val="10.5"/>
        <color rgb="FF1C1F25"/>
        <rFont val="Arial"/>
        <family val="2"/>
      </rPr>
      <t>Series B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</si>
  <si>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65</t>
    </r>
  </si>
  <si>
    <r>
      <rPr>
        <sz val="10.5"/>
        <color rgb="FF1C1F25"/>
        <rFont val="Arial"/>
        <family val="2"/>
      </rPr>
      <t>Groupon</t>
    </r>
  </si>
  <si>
    <r>
      <rPr>
        <sz val="10.5"/>
        <color rgb="FFFFFFFF"/>
        <rFont val="Arial"/>
        <family val="2"/>
      </rPr>
      <t>Healthcare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</si>
  <si>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164</t>
    </r>
  </si>
  <si>
    <r>
      <rPr>
        <sz val="10"/>
        <color rgb="FF1C1F25"/>
        <rFont val="Arial"/>
        <family val="2"/>
      </rPr>
      <t>W</t>
    </r>
    <r>
      <rPr>
        <sz val="10.5"/>
        <color rgb="FF1C1F25"/>
        <rFont val="Arial"/>
        <family val="2"/>
      </rPr>
      <t>ebflow</t>
    </r>
  </si>
  <si>
    <r>
      <rPr>
        <sz val="10.5"/>
        <color rgb="FFFFFFFF"/>
        <rFont val="Arial"/>
        <family val="2"/>
      </rPr>
      <t>Data</t>
    </r>
  </si>
  <si>
    <r>
      <rPr>
        <sz val="10.5"/>
        <color rgb="FF1C1F25"/>
        <rFont val="Arial"/>
        <family val="2"/>
      </rPr>
      <t>NetApp</t>
    </r>
  </si>
  <si>
    <r>
      <rPr>
        <sz val="10.5"/>
        <color rgb="FF1C1F25"/>
        <rFont val="Arial"/>
        <family val="2"/>
      </rPr>
      <t>HR</t>
    </r>
  </si>
  <si>
    <r>
      <rPr>
        <sz val="10.5"/>
        <color rgb="FF1C1F25"/>
        <rFont val="Arial"/>
        <family val="2"/>
      </rPr>
      <t>Rapyd</t>
    </r>
  </si>
  <si>
    <r>
      <rPr>
        <sz val="10.5"/>
        <color rgb="FF1C1F25"/>
        <rFont val="Arial"/>
        <family val="2"/>
      </rPr>
      <t>Series F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</si>
  <si>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257</t>
    </r>
  </si>
  <si>
    <r>
      <rPr>
        <sz val="10.5"/>
        <color rgb="FF1C1F25"/>
        <rFont val="Arial"/>
        <family val="2"/>
      </rPr>
      <t>Amdocs</t>
    </r>
  </si>
  <si>
    <r>
      <rPr>
        <sz val="10.5"/>
        <color rgb="FF1C1F25"/>
        <rFont val="Arial"/>
        <family val="2"/>
      </rPr>
      <t>Recruiting</t>
    </r>
  </si>
  <si>
    <r>
      <rPr>
        <sz val="10.5"/>
        <color rgb="FF1C1F25"/>
        <rFont val="Arial"/>
        <family val="2"/>
      </rPr>
      <t>Series C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</si>
  <si>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38</t>
    </r>
  </si>
  <si>
    <r>
      <rPr>
        <sz val="10.5"/>
        <color rgb="FF1C1F25"/>
        <rFont val="Arial"/>
        <family val="2"/>
      </rPr>
      <t>Interview Kickstart</t>
    </r>
  </si>
  <si>
    <r>
      <rPr>
        <sz val="10.5"/>
        <color rgb="FF1C1F25"/>
        <rFont val="Arial"/>
        <family val="2"/>
      </rPr>
      <t>Seed</t>
    </r>
  </si>
  <si>
    <r>
      <rPr>
        <sz val="10.5"/>
        <color rgb="FF1C1F25"/>
        <rFont val="Arial"/>
        <family val="2"/>
      </rPr>
      <t>SentinelOne</t>
    </r>
  </si>
  <si>
    <r>
      <rPr>
        <sz val="10.5"/>
        <color rgb="FFFFFFFF"/>
        <rFont val="Arial"/>
        <family val="2"/>
      </rPr>
      <t>Consumer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</si>
  <si>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100</t>
    </r>
  </si>
  <si>
    <r>
      <rPr>
        <sz val="10.5"/>
        <color rgb="FF1C1F25"/>
        <rFont val="Arial"/>
        <family val="2"/>
      </rPr>
      <t>Credit Karma</t>
    </r>
  </si>
  <si>
    <r>
      <rPr>
        <sz val="10.5"/>
        <color rgb="FF1C1F25"/>
        <rFont val="Arial"/>
        <family val="2"/>
      </rPr>
      <t>Crypto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</si>
  <si>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171</t>
    </r>
  </si>
  <si>
    <r>
      <rPr>
        <sz val="10.5"/>
        <color rgb="FF1C1F25"/>
        <rFont val="Arial"/>
        <family val="2"/>
      </rPr>
      <t>Lightricks</t>
    </r>
  </si>
  <si>
    <r>
      <rPr>
        <sz val="10.5"/>
        <color rgb="FF1C1F25"/>
        <rFont val="Arial"/>
        <family val="2"/>
      </rPr>
      <t>Marketing</t>
    </r>
  </si>
  <si>
    <r>
      <rPr>
        <sz val="10.5"/>
        <color rgb="FF1C1F25"/>
        <rFont val="Arial"/>
        <family val="2"/>
      </rPr>
      <t>Series D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</si>
  <si>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187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</si>
  <si>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455</t>
    </r>
  </si>
  <si>
    <r>
      <rPr>
        <sz val="10.5"/>
        <color rgb="FF1C1F25"/>
        <rFont val="Arial"/>
        <family val="2"/>
      </rPr>
      <t>Aleph Farms</t>
    </r>
  </si>
  <si>
    <r>
      <rPr>
        <sz val="10.5"/>
        <color rgb="FF1C1F25"/>
        <rFont val="Arial"/>
        <family val="2"/>
      </rPr>
      <t>GitLab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</si>
  <si>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162</t>
    </r>
  </si>
  <si>
    <r>
      <rPr>
        <sz val="10"/>
        <color rgb="FF1C1F25"/>
        <rFont val="Arial"/>
        <family val="2"/>
      </rPr>
      <t>U</t>
    </r>
    <r>
      <rPr>
        <sz val="10.5"/>
        <color rgb="FF1C1F25"/>
        <rFont val="Arial"/>
        <family val="2"/>
      </rPr>
      <t>ber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</si>
  <si>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849</t>
    </r>
  </si>
  <si>
    <r>
      <rPr>
        <sz val="10.5"/>
        <color rgb="FF1C1F25"/>
        <rFont val="Arial"/>
        <family val="2"/>
      </rPr>
      <t>Skai</t>
    </r>
  </si>
  <si>
    <r>
      <rPr>
        <sz val="10.5"/>
        <color rgb="FF1C1F25"/>
        <rFont val="Arial"/>
        <family val="2"/>
      </rPr>
      <t>Dandy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</si>
  <si>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18</t>
    </r>
  </si>
  <si>
    <r>
      <rPr>
        <sz val="10.5"/>
        <color rgb="FF1C1F25"/>
        <rFont val="Arial"/>
        <family val="2"/>
      </rPr>
      <t>Google</t>
    </r>
  </si>
  <si>
    <r>
      <rPr>
        <sz val="10.5"/>
        <color rgb="FF1C1F25"/>
        <rFont val="Arial"/>
        <family val="2"/>
      </rPr>
      <t>Retail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</si>
  <si>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7,200</t>
    </r>
  </si>
  <si>
    <r>
      <rPr>
        <sz val="10.5"/>
        <color rgb="FF1C1F25"/>
        <rFont val="Arial"/>
        <family val="2"/>
      </rPr>
      <t>FanDuel</t>
    </r>
  </si>
  <si>
    <r>
      <rPr>
        <sz val="10"/>
        <color rgb="FF1C1F25"/>
        <rFont val="Arial"/>
        <family val="2"/>
      </rPr>
      <t>T</t>
    </r>
    <r>
      <rPr>
        <sz val="10.5"/>
        <color rgb="FF1C1F25"/>
        <rFont val="Arial"/>
        <family val="2"/>
      </rPr>
      <t>ransport…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</si>
  <si>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8,300</t>
    </r>
  </si>
  <si>
    <r>
      <rPr>
        <sz val="10.5"/>
        <color rgb="FF1C1F25"/>
        <rFont val="Arial"/>
        <family val="2"/>
      </rPr>
      <t>Quizlet</t>
    </r>
  </si>
  <si>
    <r>
      <rPr>
        <sz val="10.5"/>
        <color rgb="FF1C1F25"/>
        <rFont val="Arial"/>
        <family val="2"/>
      </rPr>
      <t>Series A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</si>
  <si>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5</t>
    </r>
  </si>
  <si>
    <r>
      <rPr>
        <sz val="10"/>
        <color rgb="FF1C1F25"/>
        <rFont val="Arial"/>
        <family val="2"/>
      </rPr>
      <t>Z</t>
    </r>
    <r>
      <rPr>
        <sz val="10.5"/>
        <color rgb="FF1C1F25"/>
        <rFont val="Arial"/>
        <family val="2"/>
      </rPr>
      <t>encity</t>
    </r>
  </si>
  <si>
    <r>
      <rPr>
        <sz val="10.5"/>
        <color rgb="FF1C1F25"/>
        <rFont val="Arial"/>
        <family val="2"/>
      </rPr>
      <t>Hardware</t>
    </r>
  </si>
  <si>
    <r>
      <rPr>
        <sz val="10"/>
        <color rgb="FF1C1F25"/>
        <rFont val="Arial"/>
        <family val="2"/>
      </rPr>
      <t>T</t>
    </r>
    <r>
      <rPr>
        <sz val="10.5"/>
        <color rgb="FF1C1F25"/>
        <rFont val="Arial"/>
        <family val="2"/>
      </rPr>
      <t>ools for Humanity</t>
    </r>
  </si>
  <si>
    <r>
      <rPr>
        <sz val="10"/>
        <color rgb="FF1C1F25"/>
        <rFont val="Arial"/>
        <family val="2"/>
      </rPr>
      <t>T</t>
    </r>
    <r>
      <rPr>
        <sz val="10.5"/>
        <color rgb="FF1C1F25"/>
        <rFont val="Arial"/>
        <family val="2"/>
      </rPr>
      <t>ravel</t>
    </r>
  </si>
  <si>
    <r>
      <rPr>
        <sz val="10.5"/>
        <color rgb="FF1C1F25"/>
        <rFont val="Arial"/>
        <family val="2"/>
      </rPr>
      <t>Hailo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</si>
  <si>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20</t>
    </r>
  </si>
  <si>
    <r>
      <rPr>
        <sz val="10"/>
        <color rgb="FF1C1F25"/>
        <rFont val="Arial"/>
        <family val="2"/>
      </rPr>
      <t>V</t>
    </r>
    <r>
      <rPr>
        <sz val="10.5"/>
        <color rgb="FF1C1F25"/>
        <rFont val="Arial"/>
        <family val="2"/>
      </rPr>
      <t>erily</t>
    </r>
  </si>
  <si>
    <r>
      <rPr>
        <sz val="10.5"/>
        <color rgb="FFFFFFFF"/>
        <rFont val="Arial"/>
        <family val="2"/>
      </rPr>
      <t>Finance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</si>
  <si>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6,200</t>
    </r>
  </si>
  <si>
    <r>
      <rPr>
        <sz val="10.5"/>
        <color rgb="FF1C1F25"/>
        <rFont val="Arial"/>
        <family val="2"/>
      </rPr>
      <t>Salesforce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</si>
  <si>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48</t>
    </r>
  </si>
  <si>
    <r>
      <rPr>
        <sz val="10.5"/>
        <color rgb="FF1C1F25"/>
        <rFont val="Arial"/>
        <family val="2"/>
      </rPr>
      <t>Paytm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</si>
  <si>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3,500</t>
    </r>
  </si>
  <si>
    <r>
      <rPr>
        <sz val="10.5"/>
        <color rgb="FF1C1F25"/>
        <rFont val="Arial"/>
        <family val="2"/>
      </rPr>
      <t>Shopee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</si>
  <si>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308</t>
    </r>
  </si>
  <si>
    <r>
      <rPr>
        <sz val="10"/>
        <color rgb="FF1C1F25"/>
        <rFont val="Arial"/>
        <family val="2"/>
      </rPr>
      <t>V</t>
    </r>
    <r>
      <rPr>
        <sz val="10.5"/>
        <color rgb="FF1C1F25"/>
        <rFont val="Arial"/>
        <family val="2"/>
      </rPr>
      <t>eritone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</si>
  <si>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17</t>
    </r>
  </si>
  <si>
    <r>
      <rPr>
        <sz val="10.5"/>
        <color rgb="FF1C1F25"/>
        <rFont val="Arial"/>
        <family val="2"/>
      </rPr>
      <t>Opendoor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</si>
  <si>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10,700</t>
    </r>
  </si>
  <si>
    <r>
      <rPr>
        <sz val="10.5"/>
        <color rgb="FF1C1F25"/>
        <rFont val="Arial"/>
        <family val="2"/>
      </rPr>
      <t>ServiceNow</t>
    </r>
  </si>
  <si>
    <r>
      <rPr>
        <sz val="11"/>
        <color rgb="FF1C1F25"/>
        <rFont val="Arial"/>
        <family val="2"/>
      </rPr>
      <t>$</t>
    </r>
    <r>
      <rPr>
        <sz val="10.5"/>
        <color rgb="FF1C1F25"/>
        <rFont val="Arial"/>
        <family val="2"/>
      </rPr>
      <t>428</t>
    </r>
  </si>
  <si>
    <t>Private</t>
  </si>
  <si>
    <t>Premstätten</t>
  </si>
  <si>
    <t>Steiermark</t>
  </si>
  <si>
    <t>Virginia</t>
  </si>
  <si>
    <t>Washingtion DC</t>
  </si>
  <si>
    <t>Guangdong Province</t>
  </si>
  <si>
    <t>NRW</t>
  </si>
  <si>
    <t>Wyoming</t>
  </si>
  <si>
    <t>Norfolk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</si>
</sst>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000000"/>
    <numFmt numFmtId="166" formatCode="0.0"/>
    <numFmt numFmtId="167" formatCode="0_ ;\-0\ 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Helvetica Neue"/>
      <family val="2"/>
    </font>
    <font>
      <sz val="11"/>
      <color rgb="FF111111"/>
      <name val="Calibri"/>
      <family val="2"/>
      <scheme val="minor"/>
    </font>
    <font>
      <sz val="10.5"/>
      <color rgb="FF11111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0.5"/>
      <color rgb="FF1F1F1F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111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1C1F25"/>
      <name val="Arial"/>
      <family val="2"/>
    </font>
    <font>
      <sz val="10.5"/>
      <color rgb="FF1C1F25"/>
      <name val="Arial"/>
      <family val="2"/>
    </font>
    <font>
      <sz val="10.5"/>
      <color rgb="FFFFFFFF"/>
      <name val="Arial"/>
      <family val="2"/>
    </font>
    <font>
      <sz val="10.5"/>
      <name val="Arial"/>
      <family val="2"/>
    </font>
    <font>
      <sz val="11"/>
      <color rgb="FF1C1F25"/>
      <name val="Arial"/>
      <family val="2"/>
    </font>
    <font>
      <sz val="10.5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indexed="9"/>
        <bgColor auto="1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1B1B1"/>
      </left>
      <right style="thin">
        <color rgb="FFB1B1B1"/>
      </right>
      <top style="thin">
        <color rgb="FFB1B1B1"/>
      </top>
      <bottom style="thin">
        <color rgb="FFB1B1B1"/>
      </bottom>
      <diagonal/>
    </border>
    <border>
      <left style="thin">
        <color rgb="FFB1B1B1"/>
      </left>
      <right style="thin">
        <color rgb="FFB1B1B1"/>
      </right>
      <top style="thin">
        <color rgb="FFB1B1B1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Protection="0">
      <alignment vertical="top" wrapText="1"/>
    </xf>
    <xf numFmtId="0" fontId="15" fillId="0" borderId="0" applyNumberFormat="0" applyFill="0" applyBorder="0" applyAlignment="0" applyProtection="0"/>
  </cellStyleXfs>
  <cellXfs count="8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166" fontId="0" fillId="0" borderId="3" xfId="0" applyNumberFormat="1" applyBorder="1" applyAlignment="1">
      <alignment horizontal="left" vertical="center" wrapText="1"/>
    </xf>
    <xf numFmtId="167" fontId="0" fillId="0" borderId="3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left" vertical="center" shrinkToFit="1"/>
    </xf>
    <xf numFmtId="164" fontId="0" fillId="0" borderId="0" xfId="0" applyNumberFormat="1" applyAlignment="1">
      <alignment horizontal="left" vertical="center" shrinkToFit="1"/>
    </xf>
    <xf numFmtId="166" fontId="0" fillId="0" borderId="0" xfId="0" applyNumberFormat="1" applyAlignment="1">
      <alignment horizontal="left" vertical="center" wrapText="1"/>
    </xf>
    <xf numFmtId="167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166" fontId="0" fillId="0" borderId="3" xfId="0" applyNumberFormat="1" applyBorder="1" applyAlignment="1">
      <alignment horizontal="left" vertical="center"/>
    </xf>
    <xf numFmtId="167" fontId="0" fillId="0" borderId="3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" fontId="0" fillId="0" borderId="3" xfId="0" applyNumberFormat="1" applyBorder="1" applyAlignment="1">
      <alignment horizontal="left" vertical="center" shrinkToFit="1"/>
    </xf>
    <xf numFmtId="164" fontId="0" fillId="0" borderId="3" xfId="0" applyNumberFormat="1" applyBorder="1" applyAlignment="1">
      <alignment horizontal="left" vertical="center" shrinkToFit="1"/>
    </xf>
    <xf numFmtId="167" fontId="0" fillId="0" borderId="3" xfId="0" applyNumberFormat="1" applyBorder="1" applyAlignment="1">
      <alignment horizontal="left" vertical="center" shrinkToFit="1"/>
    </xf>
    <xf numFmtId="49" fontId="0" fillId="0" borderId="3" xfId="0" applyNumberFormat="1" applyBorder="1" applyAlignment="1">
      <alignment horizontal="left" vertical="center" wrapText="1"/>
    </xf>
    <xf numFmtId="1" fontId="0" fillId="0" borderId="3" xfId="0" applyNumberFormat="1" applyBorder="1" applyAlignment="1">
      <alignment horizontal="left" vertical="center" wrapText="1"/>
    </xf>
    <xf numFmtId="167" fontId="0" fillId="0" borderId="0" xfId="0" applyNumberFormat="1" applyAlignment="1">
      <alignment horizontal="left" vertical="center" shrinkToFit="1"/>
    </xf>
    <xf numFmtId="0" fontId="2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vertical="top" shrinkToFit="1"/>
    </xf>
    <xf numFmtId="166" fontId="0" fillId="0" borderId="3" xfId="0" applyNumberFormat="1" applyBorder="1" applyAlignment="1">
      <alignment horizontal="left" vertical="top" shrinkToFit="1"/>
    </xf>
    <xf numFmtId="0" fontId="2" fillId="0" borderId="3" xfId="0" applyFont="1" applyBorder="1" applyAlignment="1">
      <alignment horizontal="left" vertical="center" wrapText="1"/>
    </xf>
    <xf numFmtId="1" fontId="1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0" fillId="0" borderId="3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shrinkToFit="1"/>
    </xf>
    <xf numFmtId="0" fontId="0" fillId="0" borderId="5" xfId="0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 wrapText="1"/>
    </xf>
    <xf numFmtId="1" fontId="0" fillId="0" borderId="4" xfId="0" applyNumberFormat="1" applyBorder="1" applyAlignment="1">
      <alignment horizontal="left" vertical="center" shrinkToFit="1"/>
    </xf>
    <xf numFmtId="164" fontId="0" fillId="0" borderId="4" xfId="0" applyNumberFormat="1" applyBorder="1" applyAlignment="1">
      <alignment horizontal="left" vertical="center" shrinkToFit="1"/>
    </xf>
    <xf numFmtId="166" fontId="0" fillId="0" borderId="4" xfId="0" applyNumberFormat="1" applyBorder="1" applyAlignment="1">
      <alignment horizontal="left" vertical="center" wrapText="1"/>
    </xf>
    <xf numFmtId="1" fontId="0" fillId="0" borderId="4" xfId="0" applyNumberFormat="1" applyBorder="1" applyAlignment="1">
      <alignment horizontal="left" vertical="center" wrapText="1"/>
    </xf>
    <xf numFmtId="49" fontId="1" fillId="3" borderId="6" xfId="1" applyNumberFormat="1" applyFont="1" applyFill="1" applyBorder="1" applyAlignment="1">
      <alignment horizontal="left" vertical="center"/>
    </xf>
    <xf numFmtId="166" fontId="0" fillId="0" borderId="3" xfId="0" applyNumberFormat="1" applyBorder="1" applyAlignment="1">
      <alignment horizontal="left" vertical="center" shrinkToFit="1"/>
    </xf>
    <xf numFmtId="0" fontId="9" fillId="0" borderId="3" xfId="0" applyFont="1" applyBorder="1" applyAlignment="1">
      <alignment horizontal="left" vertical="center" wrapText="1"/>
    </xf>
    <xf numFmtId="49" fontId="11" fillId="0" borderId="6" xfId="1" applyNumberFormat="1" applyFont="1" applyFill="1" applyBorder="1" applyAlignment="1">
      <alignment horizontal="left" vertical="top"/>
    </xf>
    <xf numFmtId="49" fontId="11" fillId="3" borderId="6" xfId="1" applyNumberFormat="1" applyFont="1" applyFill="1" applyBorder="1" applyAlignment="1">
      <alignment horizontal="left" vertical="top"/>
    </xf>
    <xf numFmtId="165" fontId="11" fillId="3" borderId="6" xfId="1" applyNumberFormat="1" applyFont="1" applyFill="1" applyBorder="1" applyAlignment="1">
      <alignment horizontal="left" vertical="top"/>
    </xf>
    <xf numFmtId="0" fontId="12" fillId="0" borderId="6" xfId="1" applyFont="1" applyBorder="1" applyAlignment="1">
      <alignment horizontal="left" vertical="top"/>
    </xf>
    <xf numFmtId="49" fontId="12" fillId="0" borderId="6" xfId="1" applyNumberFormat="1" applyFont="1" applyBorder="1" applyAlignment="1">
      <alignment horizontal="left" vertical="top"/>
    </xf>
    <xf numFmtId="165" fontId="13" fillId="0" borderId="6" xfId="0" applyNumberFormat="1" applyFont="1" applyBorder="1" applyAlignment="1">
      <alignment horizontal="left" vertical="top"/>
    </xf>
    <xf numFmtId="0" fontId="11" fillId="0" borderId="6" xfId="1" applyNumberFormat="1" applyFont="1" applyFill="1" applyBorder="1" applyAlignment="1">
      <alignment horizontal="left" vertical="top"/>
    </xf>
    <xf numFmtId="0" fontId="12" fillId="0" borderId="6" xfId="1" applyNumberFormat="1" applyFont="1" applyBorder="1" applyAlignment="1">
      <alignment horizontal="left" vertical="top"/>
    </xf>
    <xf numFmtId="165" fontId="12" fillId="0" borderId="6" xfId="1" applyNumberFormat="1" applyFont="1" applyBorder="1" applyAlignment="1">
      <alignment horizontal="left" vertical="top"/>
    </xf>
    <xf numFmtId="165" fontId="14" fillId="0" borderId="6" xfId="0" applyNumberFormat="1" applyFont="1" applyBorder="1" applyAlignment="1">
      <alignment horizontal="left"/>
    </xf>
    <xf numFmtId="0" fontId="12" fillId="0" borderId="6" xfId="1" applyNumberFormat="1" applyFont="1" applyFill="1" applyBorder="1" applyAlignment="1">
      <alignment horizontal="left" vertical="top"/>
    </xf>
    <xf numFmtId="0" fontId="12" fillId="0" borderId="0" xfId="1" applyNumberFormat="1" applyFont="1" applyAlignment="1">
      <alignment horizontal="left" vertical="top"/>
    </xf>
    <xf numFmtId="0" fontId="12" fillId="0" borderId="0" xfId="1" applyNumberFormat="1" applyFont="1" applyFill="1" applyAlignment="1">
      <alignment horizontal="left" vertical="top"/>
    </xf>
    <xf numFmtId="165" fontId="12" fillId="0" borderId="0" xfId="1" applyNumberFormat="1" applyFont="1" applyAlignment="1">
      <alignment horizontal="left" vertical="top"/>
    </xf>
    <xf numFmtId="0" fontId="4" fillId="2" borderId="0" xfId="0" applyFont="1" applyFill="1" applyAlignment="1">
      <alignment horizontal="left" vertical="center"/>
    </xf>
    <xf numFmtId="164" fontId="0" fillId="0" borderId="0" xfId="0" applyNumberFormat="1" applyAlignment="1">
      <alignment horizontal="left"/>
    </xf>
    <xf numFmtId="0" fontId="9" fillId="0" borderId="4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49" fontId="12" fillId="0" borderId="6" xfId="1" applyNumberFormat="1" applyFont="1" applyFill="1" applyBorder="1" applyAlignment="1">
      <alignment horizontal="left" vertical="top"/>
    </xf>
    <xf numFmtId="0" fontId="16" fillId="0" borderId="0" xfId="0" applyFont="1"/>
    <xf numFmtId="0" fontId="15" fillId="0" borderId="0" xfId="2"/>
    <xf numFmtId="164" fontId="16" fillId="0" borderId="0" xfId="0" applyNumberFormat="1" applyFont="1"/>
    <xf numFmtId="0" fontId="17" fillId="0" borderId="3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center" wrapText="1"/>
    </xf>
    <xf numFmtId="1" fontId="19" fillId="0" borderId="3" xfId="0" applyNumberFormat="1" applyFont="1" applyBorder="1" applyAlignment="1">
      <alignment horizontal="right" vertical="top" shrinkToFit="1"/>
    </xf>
    <xf numFmtId="164" fontId="19" fillId="0" borderId="3" xfId="0" applyNumberFormat="1" applyFont="1" applyBorder="1" applyAlignment="1">
      <alignment horizontal="right" vertical="top" shrinkToFit="1"/>
    </xf>
    <xf numFmtId="1" fontId="17" fillId="0" borderId="3" xfId="0" applyNumberFormat="1" applyFont="1" applyBorder="1" applyAlignment="1">
      <alignment horizontal="right" vertical="top" wrapText="1"/>
    </xf>
    <xf numFmtId="0" fontId="17" fillId="0" borderId="3" xfId="0" applyFont="1" applyBorder="1" applyAlignment="1">
      <alignment horizontal="right" vertical="top" wrapText="1"/>
    </xf>
    <xf numFmtId="0" fontId="17" fillId="0" borderId="3" xfId="0" applyFont="1" applyBorder="1" applyAlignment="1">
      <alignment horizontal="right" vertical="center" wrapText="1"/>
    </xf>
    <xf numFmtId="1" fontId="17" fillId="0" borderId="3" xfId="0" applyNumberFormat="1" applyFont="1" applyBorder="1" applyAlignment="1">
      <alignment horizontal="right" vertical="center" wrapText="1"/>
    </xf>
    <xf numFmtId="0" fontId="19" fillId="0" borderId="3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165" fontId="0" fillId="5" borderId="2" xfId="0" applyNumberFormat="1" applyFont="1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2" xfId="1" xr:uid="{F482BCA0-56BB-FB43-8EC8-49C8D104BDEC}"/>
  </cellStyles>
  <dxfs count="19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_ ;\-0\ "/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_ ;\-0\ "/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"/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rgb="FFB1B1B1"/>
        </left>
        <right style="thin">
          <color rgb="FFB1B1B1"/>
        </right>
        <top style="thin">
          <color rgb="FFB1B1B1"/>
        </top>
        <bottom style="thin">
          <color rgb="FFB1B1B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orbes/Companies/companies_raw/companies_2024_08.xlsx" TargetMode="External"/><Relationship Id="rId2" Type="http://schemas.openxmlformats.org/officeDocument/2006/relationships/externalLinkPath" Target="/Users/ulrike_imac_air/projects/DataScienceProjects/Forbes/Companies/companies_raw/companies_2024_08.xlsx" TargetMode="External"/><Relationship Id="rId1" Type="http://schemas.openxmlformats.org/officeDocument/2006/relationships/externalLinkPath" Target="/Users/ulrike_imac_air/projects/DataScienceProjects/Forbes/Companies/companies_raw/companies_2024_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panies"/>
      <sheetName val="countries"/>
      <sheetName val="StockPrice"/>
      <sheetName val="MarketCap"/>
      <sheetName val="Earnings"/>
      <sheetName val="Revenue"/>
      <sheetName val="Employees"/>
      <sheetName val="P_E"/>
      <sheetName val="DividendYield"/>
      <sheetName val="TotalAssets"/>
      <sheetName val="TotalLiabilities"/>
    </sheetNames>
    <sheetDataSet>
      <sheetData sheetId="0"/>
      <sheetData sheetId="1"/>
      <sheetData sheetId="2">
        <row r="1">
          <cell r="C1" t="str">
            <v>Name</v>
          </cell>
          <cell r="D1" t="str">
            <v>price (USD)</v>
          </cell>
        </row>
        <row r="2">
          <cell r="C2" t="str">
            <v>Apple</v>
          </cell>
          <cell r="D2">
            <v>229</v>
          </cell>
        </row>
        <row r="3">
          <cell r="C3" t="str">
            <v>Microsoft</v>
          </cell>
          <cell r="D3">
            <v>417.14</v>
          </cell>
        </row>
        <row r="4">
          <cell r="C4" t="str">
            <v>NVIDIA</v>
          </cell>
          <cell r="D4">
            <v>119.37</v>
          </cell>
        </row>
        <row r="5">
          <cell r="C5" t="str">
            <v>Google</v>
          </cell>
          <cell r="D5">
            <v>165.11</v>
          </cell>
        </row>
        <row r="6">
          <cell r="C6" t="str">
            <v>Amazon</v>
          </cell>
          <cell r="D6">
            <v>178.5</v>
          </cell>
        </row>
        <row r="7">
          <cell r="C7" t="str">
            <v>Saudi Aramco</v>
          </cell>
          <cell r="D7">
            <v>7.4543299999999997</v>
          </cell>
        </row>
        <row r="8">
          <cell r="C8" t="str">
            <v>Meta</v>
          </cell>
          <cell r="D8">
            <v>521.30999999999995</v>
          </cell>
        </row>
        <row r="9">
          <cell r="C9" t="str">
            <v>Berkshire Hathaway</v>
          </cell>
          <cell r="D9">
            <v>475.92</v>
          </cell>
        </row>
        <row r="10">
          <cell r="C10" t="str">
            <v>TSMC</v>
          </cell>
          <cell r="D10">
            <v>171.7</v>
          </cell>
        </row>
        <row r="11">
          <cell r="C11" t="str">
            <v>Eli Lilly</v>
          </cell>
          <cell r="D11">
            <v>960.02</v>
          </cell>
        </row>
        <row r="12">
          <cell r="C12" t="str">
            <v>Broadcom</v>
          </cell>
          <cell r="D12">
            <v>162.82</v>
          </cell>
        </row>
        <row r="13">
          <cell r="C13" t="str">
            <v>Tesla</v>
          </cell>
          <cell r="D13">
            <v>214.11</v>
          </cell>
        </row>
        <row r="14">
          <cell r="C14" t="str">
            <v>JPMorgan Chase</v>
          </cell>
          <cell r="D14">
            <v>224.8</v>
          </cell>
        </row>
        <row r="15">
          <cell r="C15" t="str">
            <v>Walmart</v>
          </cell>
          <cell r="D15">
            <v>77.23</v>
          </cell>
        </row>
        <row r="16">
          <cell r="C16" t="str">
            <v>Novo Nordisk</v>
          </cell>
          <cell r="D16">
            <v>139.16</v>
          </cell>
        </row>
        <row r="17">
          <cell r="C17" t="str">
            <v>UnitedHealth</v>
          </cell>
          <cell r="D17">
            <v>590.20000000000005</v>
          </cell>
        </row>
        <row r="18">
          <cell r="C18" t="str">
            <v>Visa</v>
          </cell>
          <cell r="D18">
            <v>276.37</v>
          </cell>
        </row>
        <row r="19">
          <cell r="C19" t="str">
            <v>Exxon Mobil</v>
          </cell>
          <cell r="D19">
            <v>117.94</v>
          </cell>
        </row>
        <row r="20">
          <cell r="C20" t="str">
            <v>Tencent</v>
          </cell>
          <cell r="D20">
            <v>48.52</v>
          </cell>
        </row>
        <row r="21">
          <cell r="C21" t="str">
            <v>Mastercard</v>
          </cell>
          <cell r="D21">
            <v>483.34</v>
          </cell>
        </row>
        <row r="22">
          <cell r="C22" t="str">
            <v>Procter &amp; Gamble</v>
          </cell>
          <cell r="D22">
            <v>171.54</v>
          </cell>
        </row>
        <row r="23">
          <cell r="C23" t="str">
            <v>Johnson &amp; Johnson</v>
          </cell>
          <cell r="D23">
            <v>165.86</v>
          </cell>
        </row>
        <row r="24">
          <cell r="C24" t="str">
            <v>Costco</v>
          </cell>
          <cell r="D24">
            <v>892.38</v>
          </cell>
        </row>
        <row r="25">
          <cell r="C25" t="str">
            <v>Oracle</v>
          </cell>
          <cell r="D25">
            <v>141.29</v>
          </cell>
        </row>
        <row r="26">
          <cell r="C26" t="str">
            <v>LVMH</v>
          </cell>
          <cell r="D26">
            <v>745.33</v>
          </cell>
        </row>
        <row r="27">
          <cell r="C27" t="str">
            <v>Samsung</v>
          </cell>
          <cell r="D27">
            <v>55.591299999999997</v>
          </cell>
        </row>
        <row r="28">
          <cell r="C28" t="str">
            <v>Home Depot</v>
          </cell>
          <cell r="D28">
            <v>368.5</v>
          </cell>
        </row>
        <row r="29">
          <cell r="C29" t="str">
            <v>ASML</v>
          </cell>
          <cell r="D29">
            <v>903.87</v>
          </cell>
        </row>
        <row r="30">
          <cell r="C30" t="str">
            <v>AbbVie</v>
          </cell>
          <cell r="D30">
            <v>196.31</v>
          </cell>
        </row>
        <row r="31">
          <cell r="C31" t="str">
            <v>Bank of America</v>
          </cell>
          <cell r="D31">
            <v>40.75</v>
          </cell>
        </row>
        <row r="32">
          <cell r="C32" t="str">
            <v>Coca-Cola</v>
          </cell>
          <cell r="D32">
            <v>72.47</v>
          </cell>
        </row>
        <row r="33">
          <cell r="C33" t="str">
            <v>Netflix</v>
          </cell>
          <cell r="D33">
            <v>701.35</v>
          </cell>
        </row>
        <row r="34">
          <cell r="C34" t="str">
            <v>Merck</v>
          </cell>
          <cell r="D34">
            <v>118.45</v>
          </cell>
        </row>
        <row r="35">
          <cell r="C35" t="str">
            <v>ICBC</v>
          </cell>
          <cell r="D35">
            <v>0.57584000000000002</v>
          </cell>
        </row>
        <row r="36">
          <cell r="C36" t="str">
            <v>Nestlé</v>
          </cell>
          <cell r="D36">
            <v>107.11499999999999</v>
          </cell>
        </row>
        <row r="37">
          <cell r="C37" t="str">
            <v>Roche</v>
          </cell>
          <cell r="D37">
            <v>337.98599999999999</v>
          </cell>
        </row>
        <row r="38">
          <cell r="C38" t="str">
            <v>AstraZeneca</v>
          </cell>
          <cell r="D38">
            <v>87.62</v>
          </cell>
        </row>
        <row r="39">
          <cell r="C39" t="str">
            <v>Chevron</v>
          </cell>
          <cell r="D39">
            <v>147.94999999999999</v>
          </cell>
        </row>
        <row r="40">
          <cell r="C40" t="str">
            <v>SAP</v>
          </cell>
          <cell r="D40">
            <v>219.71</v>
          </cell>
        </row>
        <row r="41">
          <cell r="C41" t="str">
            <v>Kweichow Moutai</v>
          </cell>
          <cell r="D41">
            <v>203.56700000000001</v>
          </cell>
        </row>
        <row r="42">
          <cell r="C42" t="str">
            <v>Toyota</v>
          </cell>
          <cell r="D42">
            <v>189.8</v>
          </cell>
        </row>
        <row r="43">
          <cell r="C43" t="str">
            <v>Adobe</v>
          </cell>
          <cell r="D43">
            <v>574.41</v>
          </cell>
        </row>
        <row r="44">
          <cell r="C44" t="str">
            <v>Hermès</v>
          </cell>
          <cell r="D44">
            <v>2397.48</v>
          </cell>
        </row>
        <row r="45">
          <cell r="C45" t="str">
            <v>Novartis</v>
          </cell>
          <cell r="D45">
            <v>120.89</v>
          </cell>
        </row>
        <row r="46">
          <cell r="C46" t="str">
            <v>Reliance Industries</v>
          </cell>
          <cell r="D46">
            <v>360.09</v>
          </cell>
        </row>
        <row r="47">
          <cell r="C47" t="str">
            <v>Salesforce</v>
          </cell>
          <cell r="D47">
            <v>252.9</v>
          </cell>
        </row>
        <row r="48">
          <cell r="C48" t="str">
            <v>International Holding Company</v>
          </cell>
          <cell r="D48">
            <v>110.03</v>
          </cell>
        </row>
        <row r="49">
          <cell r="C49" t="str">
            <v>AMD</v>
          </cell>
          <cell r="D49">
            <v>148.56</v>
          </cell>
        </row>
        <row r="50">
          <cell r="C50" t="str">
            <v>Pepsico</v>
          </cell>
          <cell r="D50">
            <v>172.88</v>
          </cell>
        </row>
        <row r="51">
          <cell r="C51" t="str">
            <v>Thermo Fisher Scientific</v>
          </cell>
          <cell r="D51">
            <v>615.07000000000005</v>
          </cell>
        </row>
        <row r="52">
          <cell r="C52" t="str">
            <v>L'Oréal</v>
          </cell>
          <cell r="D52">
            <v>438.37700000000001</v>
          </cell>
        </row>
        <row r="53">
          <cell r="C53" t="str">
            <v>T-Mobile US</v>
          </cell>
          <cell r="D53">
            <v>198.72</v>
          </cell>
        </row>
        <row r="54">
          <cell r="C54" t="str">
            <v>Linde</v>
          </cell>
          <cell r="D54">
            <v>478.25</v>
          </cell>
        </row>
        <row r="55">
          <cell r="C55" t="str">
            <v>Agricultural Bank of China</v>
          </cell>
          <cell r="D55">
            <v>0.63756299999999999</v>
          </cell>
        </row>
        <row r="56">
          <cell r="C56" t="str">
            <v>PetroChina</v>
          </cell>
          <cell r="D56">
            <v>1.2596099999999999</v>
          </cell>
        </row>
        <row r="57">
          <cell r="C57" t="str">
            <v>Shell</v>
          </cell>
          <cell r="D57">
            <v>71.66</v>
          </cell>
        </row>
        <row r="58">
          <cell r="C58" t="str">
            <v>Accenture</v>
          </cell>
          <cell r="D58">
            <v>341.95</v>
          </cell>
        </row>
        <row r="59">
          <cell r="C59" t="str">
            <v>China Mobile</v>
          </cell>
          <cell r="D59">
            <v>9.7726100000000002</v>
          </cell>
        </row>
        <row r="60">
          <cell r="C60" t="str">
            <v>McDonald</v>
          </cell>
          <cell r="D60">
            <v>288.66000000000003</v>
          </cell>
        </row>
        <row r="61">
          <cell r="C61" t="str">
            <v>Cisco</v>
          </cell>
          <cell r="D61">
            <v>50.54</v>
          </cell>
        </row>
        <row r="62">
          <cell r="C62" t="str">
            <v>Wells Fargo</v>
          </cell>
          <cell r="D62">
            <v>58.47</v>
          </cell>
        </row>
        <row r="63">
          <cell r="C63" t="str">
            <v>Abbott Laboratories</v>
          </cell>
          <cell r="D63">
            <v>113.27</v>
          </cell>
        </row>
        <row r="64">
          <cell r="C64" t="str">
            <v>Tata Consultancy Services</v>
          </cell>
          <cell r="D64">
            <v>54.310200000000002</v>
          </cell>
        </row>
        <row r="65">
          <cell r="C65" t="str">
            <v>Texas Instruments</v>
          </cell>
          <cell r="D65">
            <v>214.34</v>
          </cell>
        </row>
        <row r="66">
          <cell r="C66" t="str">
            <v>QUALCOMM</v>
          </cell>
          <cell r="D66">
            <v>175.3</v>
          </cell>
        </row>
        <row r="67">
          <cell r="C67" t="str">
            <v>Alibaba</v>
          </cell>
          <cell r="D67">
            <v>83.34</v>
          </cell>
        </row>
        <row r="68">
          <cell r="C68" t="str">
            <v>Danaher</v>
          </cell>
          <cell r="D68">
            <v>269.31</v>
          </cell>
        </row>
        <row r="69">
          <cell r="C69" t="str">
            <v>Philip Morris</v>
          </cell>
          <cell r="D69">
            <v>123.29</v>
          </cell>
        </row>
        <row r="70">
          <cell r="C70" t="str">
            <v>General Electric</v>
          </cell>
          <cell r="D70">
            <v>174.62</v>
          </cell>
        </row>
        <row r="71">
          <cell r="C71" t="str">
            <v>IBM</v>
          </cell>
          <cell r="D71">
            <v>202.13</v>
          </cell>
        </row>
        <row r="72">
          <cell r="C72" t="str">
            <v>Bank of China</v>
          </cell>
          <cell r="D72">
            <v>0.675647</v>
          </cell>
        </row>
        <row r="73">
          <cell r="C73" t="str">
            <v>Fomento Económico Mexicano</v>
          </cell>
          <cell r="D73">
            <v>102.78</v>
          </cell>
        </row>
        <row r="74">
          <cell r="C74" t="str">
            <v>American Express</v>
          </cell>
          <cell r="D74">
            <v>258.64999999999998</v>
          </cell>
        </row>
        <row r="75">
          <cell r="C75" t="str">
            <v>Amgen</v>
          </cell>
          <cell r="D75">
            <v>333.83</v>
          </cell>
        </row>
        <row r="76">
          <cell r="C76" t="str">
            <v>China Construction Bank</v>
          </cell>
          <cell r="D76">
            <v>1.06213</v>
          </cell>
        </row>
        <row r="77">
          <cell r="C77" t="str">
            <v>Intuit</v>
          </cell>
          <cell r="D77">
            <v>630.26</v>
          </cell>
        </row>
        <row r="78">
          <cell r="C78" t="str">
            <v>ServiceNow</v>
          </cell>
          <cell r="D78">
            <v>855</v>
          </cell>
        </row>
        <row r="79">
          <cell r="C79" t="str">
            <v>Verizon</v>
          </cell>
          <cell r="D79">
            <v>41.78</v>
          </cell>
        </row>
        <row r="80">
          <cell r="C80" t="str">
            <v>Intuitive Surgical</v>
          </cell>
          <cell r="D80">
            <v>492.63</v>
          </cell>
        </row>
        <row r="81">
          <cell r="C81" t="str">
            <v>Caterpillar</v>
          </cell>
          <cell r="D81">
            <v>356.1</v>
          </cell>
        </row>
        <row r="82">
          <cell r="C82" t="str">
            <v>Royal Bank Of Canada</v>
          </cell>
          <cell r="D82">
            <v>120.78</v>
          </cell>
        </row>
        <row r="83">
          <cell r="C83" t="str">
            <v>Inditex</v>
          </cell>
          <cell r="D83">
            <v>27.17</v>
          </cell>
        </row>
        <row r="84">
          <cell r="C84" t="str">
            <v>Morgan Stanley</v>
          </cell>
          <cell r="D84">
            <v>103.61</v>
          </cell>
        </row>
        <row r="85">
          <cell r="C85" t="str">
            <v>Nextera Energy</v>
          </cell>
          <cell r="D85">
            <v>80.510000000000005</v>
          </cell>
        </row>
        <row r="86">
          <cell r="C86" t="str">
            <v>Pfizer</v>
          </cell>
          <cell r="D86">
            <v>29.01</v>
          </cell>
        </row>
        <row r="87">
          <cell r="C87" t="str">
            <v>Raytheon Technologies</v>
          </cell>
          <cell r="D87">
            <v>123.34</v>
          </cell>
        </row>
        <row r="88">
          <cell r="C88" t="str">
            <v>Walt Disney</v>
          </cell>
          <cell r="D88">
            <v>90.38</v>
          </cell>
        </row>
        <row r="89">
          <cell r="C89" t="str">
            <v>HSBC</v>
          </cell>
          <cell r="D89">
            <v>44.46</v>
          </cell>
        </row>
        <row r="90">
          <cell r="C90" t="str">
            <v>Applied Materials</v>
          </cell>
          <cell r="D90">
            <v>197.26</v>
          </cell>
        </row>
        <row r="91">
          <cell r="C91" t="str">
            <v>Prosus</v>
          </cell>
          <cell r="D91">
            <v>370.62</v>
          </cell>
        </row>
        <row r="92">
          <cell r="C92" t="str">
            <v>Unilever</v>
          </cell>
          <cell r="D92">
            <v>64.790000000000006</v>
          </cell>
        </row>
        <row r="93">
          <cell r="C93" t="str">
            <v>Goldman Sachs</v>
          </cell>
          <cell r="D93">
            <v>510.25</v>
          </cell>
        </row>
        <row r="94">
          <cell r="C94" t="str">
            <v>S&amp;P Global</v>
          </cell>
          <cell r="D94">
            <v>513.24</v>
          </cell>
        </row>
        <row r="95">
          <cell r="C95" t="str">
            <v>TotalEnergies</v>
          </cell>
          <cell r="D95">
            <v>69</v>
          </cell>
        </row>
        <row r="96">
          <cell r="C96" t="str">
            <v>Commonwealth Bank</v>
          </cell>
          <cell r="D96">
            <v>94.397099999999995</v>
          </cell>
        </row>
        <row r="97">
          <cell r="C97" t="str">
            <v>Union Pacific Corporation</v>
          </cell>
          <cell r="D97">
            <v>256.08999999999997</v>
          </cell>
        </row>
        <row r="98">
          <cell r="C98" t="str">
            <v>HDFC Bank</v>
          </cell>
          <cell r="D98">
            <v>61.11</v>
          </cell>
        </row>
        <row r="99">
          <cell r="C99" t="str">
            <v>Uber</v>
          </cell>
          <cell r="D99">
            <v>73.13</v>
          </cell>
        </row>
        <row r="100">
          <cell r="C100" t="str">
            <v>Comcast</v>
          </cell>
          <cell r="D100">
            <v>39.57</v>
          </cell>
        </row>
        <row r="101">
          <cell r="C101" t="str">
            <v>Siemens</v>
          </cell>
          <cell r="D101">
            <v>187.81899999999999</v>
          </cell>
        </row>
        <row r="102">
          <cell r="C102" t="str">
            <v>Progressive</v>
          </cell>
          <cell r="D102">
            <v>252.2</v>
          </cell>
        </row>
        <row r="103">
          <cell r="C103" t="str">
            <v>Schneider Electric</v>
          </cell>
          <cell r="D103">
            <v>253.89599999999999</v>
          </cell>
        </row>
        <row r="104">
          <cell r="C104" t="str">
            <v>AT&amp;T</v>
          </cell>
          <cell r="D104">
            <v>19.899999999999999</v>
          </cell>
        </row>
        <row r="105">
          <cell r="C105" t="str">
            <v>Deutsche Telekom</v>
          </cell>
          <cell r="D105">
            <v>28.418299999999999</v>
          </cell>
        </row>
        <row r="106">
          <cell r="C106" t="str">
            <v>Sanofi</v>
          </cell>
          <cell r="D106">
            <v>56.26</v>
          </cell>
        </row>
        <row r="107">
          <cell r="C107" t="str">
            <v>Lowe's Companies</v>
          </cell>
          <cell r="D107">
            <v>248.5</v>
          </cell>
        </row>
        <row r="108">
          <cell r="C108" t="str">
            <v>BHP Group</v>
          </cell>
          <cell r="D108">
            <v>55.13</v>
          </cell>
        </row>
        <row r="109">
          <cell r="C109" t="str">
            <v>Arm Holdings</v>
          </cell>
          <cell r="D109">
            <v>132.88</v>
          </cell>
        </row>
        <row r="110">
          <cell r="C110" t="str">
            <v>Stryker Corporation</v>
          </cell>
          <cell r="D110">
            <v>360.42</v>
          </cell>
        </row>
        <row r="111">
          <cell r="C111" t="str">
            <v>Lockheed Martin</v>
          </cell>
          <cell r="D111">
            <v>568.1</v>
          </cell>
        </row>
        <row r="112">
          <cell r="C112" t="str">
            <v>Honeywell</v>
          </cell>
          <cell r="D112">
            <v>207.91</v>
          </cell>
        </row>
        <row r="113">
          <cell r="C113" t="str">
            <v>BlackRock</v>
          </cell>
          <cell r="D113">
            <v>901.81</v>
          </cell>
        </row>
        <row r="114">
          <cell r="C114" t="str">
            <v>Pinduoduo</v>
          </cell>
          <cell r="D114">
            <v>96.11</v>
          </cell>
        </row>
        <row r="115">
          <cell r="C115" t="str">
            <v>CNOOC</v>
          </cell>
          <cell r="D115">
            <v>2.7637800000000001</v>
          </cell>
        </row>
        <row r="116">
          <cell r="C116" t="str">
            <v>ConocoPhillips</v>
          </cell>
          <cell r="D116">
            <v>113.79</v>
          </cell>
        </row>
        <row r="117">
          <cell r="C117" t="str">
            <v>TJX Companies</v>
          </cell>
          <cell r="D117">
            <v>117.27</v>
          </cell>
        </row>
        <row r="118">
          <cell r="C118" t="str">
            <v>Booking.com</v>
          </cell>
          <cell r="D118">
            <v>3909.23</v>
          </cell>
        </row>
        <row r="119">
          <cell r="C119" t="str">
            <v>Regeneron Pharmaceuticals</v>
          </cell>
          <cell r="D119">
            <v>1184.69</v>
          </cell>
        </row>
        <row r="120">
          <cell r="C120" t="str">
            <v>Elevance Health</v>
          </cell>
          <cell r="D120">
            <v>556.89</v>
          </cell>
        </row>
        <row r="121">
          <cell r="C121" t="str">
            <v>Vertex Pharmaceuticals</v>
          </cell>
          <cell r="D121">
            <v>495.89</v>
          </cell>
        </row>
        <row r="122">
          <cell r="C122" t="str">
            <v>Nike</v>
          </cell>
          <cell r="D122">
            <v>83.32</v>
          </cell>
        </row>
        <row r="123">
          <cell r="C123" t="str">
            <v>Dior</v>
          </cell>
          <cell r="D123">
            <v>690837</v>
          </cell>
        </row>
        <row r="124">
          <cell r="C124" t="str">
            <v>Mitsubishi UFJ Financial</v>
          </cell>
          <cell r="D124">
            <v>10.53</v>
          </cell>
        </row>
        <row r="125">
          <cell r="C125" t="str">
            <v>Eaton</v>
          </cell>
          <cell r="D125">
            <v>306.93</v>
          </cell>
        </row>
        <row r="126">
          <cell r="C126" t="str">
            <v>Airbus</v>
          </cell>
          <cell r="D126">
            <v>153443</v>
          </cell>
        </row>
        <row r="127">
          <cell r="C127" t="str">
            <v>Anheuser-Busch Inbev</v>
          </cell>
          <cell r="D127">
            <v>61.44</v>
          </cell>
        </row>
        <row r="128">
          <cell r="C128" t="str">
            <v>Allianz</v>
          </cell>
          <cell r="D128">
            <v>310.49</v>
          </cell>
        </row>
        <row r="129">
          <cell r="C129" t="str">
            <v>Boston Scientific</v>
          </cell>
          <cell r="D129">
            <v>81.790000000000006</v>
          </cell>
        </row>
        <row r="130">
          <cell r="C130" t="str">
            <v>Citigroup</v>
          </cell>
          <cell r="D130">
            <v>62.64</v>
          </cell>
        </row>
        <row r="131">
          <cell r="C131" t="str">
            <v>Charles Schwab</v>
          </cell>
          <cell r="D131">
            <v>65.099999999999994</v>
          </cell>
        </row>
        <row r="132">
          <cell r="C132" t="str">
            <v>Sony</v>
          </cell>
          <cell r="D132">
            <v>97.56</v>
          </cell>
        </row>
        <row r="133">
          <cell r="C133" t="str">
            <v>Prologis</v>
          </cell>
          <cell r="D133">
            <v>127.82</v>
          </cell>
        </row>
        <row r="134">
          <cell r="C134" t="str">
            <v>Palo Alto Networks</v>
          </cell>
          <cell r="D134">
            <v>362.72</v>
          </cell>
        </row>
        <row r="135">
          <cell r="C135" t="str">
            <v>Analog Devices</v>
          </cell>
          <cell r="D135">
            <v>234.84</v>
          </cell>
        </row>
        <row r="136">
          <cell r="C136" t="str">
            <v>Keyence</v>
          </cell>
          <cell r="D136">
            <v>476207</v>
          </cell>
        </row>
        <row r="137">
          <cell r="C137" t="str">
            <v>CM Bank</v>
          </cell>
          <cell r="D137">
            <v>4.1488699999999996</v>
          </cell>
        </row>
        <row r="138">
          <cell r="C138" t="str">
            <v>Chubb</v>
          </cell>
          <cell r="D138">
            <v>284.18</v>
          </cell>
        </row>
        <row r="139">
          <cell r="C139" t="str">
            <v>CATL</v>
          </cell>
          <cell r="D139">
            <v>26.001799999999999</v>
          </cell>
        </row>
        <row r="140">
          <cell r="C140" t="str">
            <v>Medtronic</v>
          </cell>
          <cell r="D140">
            <v>88.58</v>
          </cell>
        </row>
        <row r="141">
          <cell r="C141" t="str">
            <v>Bharti Airtel</v>
          </cell>
          <cell r="D141">
            <v>18.951799999999999</v>
          </cell>
        </row>
        <row r="142">
          <cell r="C142" t="str">
            <v>Hitachi</v>
          </cell>
          <cell r="D142">
            <v>24.436299999999999</v>
          </cell>
        </row>
        <row r="143">
          <cell r="C143" t="str">
            <v>KKR &amp; Co.</v>
          </cell>
          <cell r="D143">
            <v>123.77</v>
          </cell>
        </row>
        <row r="144">
          <cell r="C144" t="str">
            <v>Automatic Data Processing</v>
          </cell>
          <cell r="D144">
            <v>275.91000000000003</v>
          </cell>
        </row>
        <row r="145">
          <cell r="C145" t="str">
            <v>Marsh &amp; McLennan Companies</v>
          </cell>
          <cell r="D145">
            <v>227.51</v>
          </cell>
        </row>
        <row r="146">
          <cell r="C146" t="str">
            <v>Arista Networks</v>
          </cell>
          <cell r="D146">
            <v>353.38</v>
          </cell>
        </row>
        <row r="147">
          <cell r="C147" t="str">
            <v>Sinopec</v>
          </cell>
          <cell r="D147">
            <v>0.96057499999999996</v>
          </cell>
        </row>
        <row r="148">
          <cell r="C148" t="str">
            <v>KLA</v>
          </cell>
          <cell r="D148">
            <v>819.43</v>
          </cell>
        </row>
        <row r="149">
          <cell r="C149" t="str">
            <v>China Shenhua Energy</v>
          </cell>
          <cell r="D149">
            <v>5.7197300000000002</v>
          </cell>
        </row>
        <row r="150">
          <cell r="C150" t="str">
            <v>United Parcel Service</v>
          </cell>
          <cell r="D150">
            <v>128.55000000000001</v>
          </cell>
        </row>
        <row r="151">
          <cell r="C151" t="str">
            <v>EssilorLuxottica</v>
          </cell>
          <cell r="D151">
            <v>236764</v>
          </cell>
        </row>
        <row r="152">
          <cell r="C152" t="str">
            <v>Air Liquide</v>
          </cell>
          <cell r="D152">
            <v>186493</v>
          </cell>
        </row>
        <row r="153">
          <cell r="C153" t="str">
            <v>Starbucks</v>
          </cell>
          <cell r="D153">
            <v>94.57</v>
          </cell>
        </row>
        <row r="154">
          <cell r="C154" t="str">
            <v>Boeing</v>
          </cell>
          <cell r="D154">
            <v>173.74</v>
          </cell>
        </row>
        <row r="155">
          <cell r="C155" t="str">
            <v>Lam Research</v>
          </cell>
          <cell r="D155">
            <v>821.01</v>
          </cell>
        </row>
        <row r="156">
          <cell r="C156" t="str">
            <v>Micron Technology</v>
          </cell>
          <cell r="D156">
            <v>96.24</v>
          </cell>
        </row>
        <row r="157">
          <cell r="C157" t="str">
            <v>China Life Insurance</v>
          </cell>
          <cell r="D157">
            <v>4.7083700000000004</v>
          </cell>
        </row>
        <row r="158">
          <cell r="C158" t="str">
            <v>ABB</v>
          </cell>
          <cell r="D158">
            <v>57.229300000000002</v>
          </cell>
        </row>
        <row r="159">
          <cell r="C159" t="str">
            <v>Deere &amp; Company</v>
          </cell>
          <cell r="D159">
            <v>385.74</v>
          </cell>
        </row>
        <row r="160">
          <cell r="C160" t="str">
            <v>Toronto Dominion Bank</v>
          </cell>
          <cell r="D160">
            <v>59.92</v>
          </cell>
        </row>
        <row r="161">
          <cell r="C161" t="str">
            <v>American Tower</v>
          </cell>
          <cell r="D161">
            <v>224.06</v>
          </cell>
        </row>
        <row r="162">
          <cell r="C162" t="str">
            <v>MercadoLibre</v>
          </cell>
          <cell r="D162">
            <v>2061.66</v>
          </cell>
        </row>
        <row r="163">
          <cell r="C163" t="str">
            <v>ICICI Bank</v>
          </cell>
          <cell r="D163">
            <v>29.31</v>
          </cell>
        </row>
        <row r="164">
          <cell r="C164" t="str">
            <v>Blackstone Group</v>
          </cell>
          <cell r="D164">
            <v>142.36000000000001</v>
          </cell>
        </row>
        <row r="165">
          <cell r="C165" t="str">
            <v>Rio Tinto</v>
          </cell>
          <cell r="D165">
            <v>63.27</v>
          </cell>
        </row>
        <row r="166">
          <cell r="C166" t="str">
            <v>HCA Healthcare</v>
          </cell>
          <cell r="D166">
            <v>395.59</v>
          </cell>
        </row>
        <row r="167">
          <cell r="C167" t="str">
            <v>China Yangtze Power</v>
          </cell>
          <cell r="D167">
            <v>4.1441600000000003</v>
          </cell>
        </row>
        <row r="168">
          <cell r="C168" t="str">
            <v>Bristol-Myers Squibb</v>
          </cell>
          <cell r="D168">
            <v>49.95</v>
          </cell>
        </row>
        <row r="169">
          <cell r="C169" t="str">
            <v>Cigna</v>
          </cell>
          <cell r="D169">
            <v>361.81</v>
          </cell>
        </row>
        <row r="170">
          <cell r="C170" t="str">
            <v>Fiserv</v>
          </cell>
          <cell r="D170">
            <v>174.6</v>
          </cell>
        </row>
        <row r="171">
          <cell r="C171" t="str">
            <v>CSL</v>
          </cell>
          <cell r="D171">
            <v>207.85</v>
          </cell>
        </row>
        <row r="172">
          <cell r="C172" t="str">
            <v>Ping An Insurance</v>
          </cell>
          <cell r="D172">
            <v>6.2105899999999998</v>
          </cell>
        </row>
        <row r="173">
          <cell r="C173" t="str">
            <v>UBS</v>
          </cell>
          <cell r="D173">
            <v>30.76</v>
          </cell>
        </row>
        <row r="174">
          <cell r="C174" t="str">
            <v>Gilead Sciences</v>
          </cell>
          <cell r="D174">
            <v>79</v>
          </cell>
        </row>
        <row r="175">
          <cell r="C175" t="str">
            <v>BYD</v>
          </cell>
          <cell r="D175">
            <v>35.181600000000003</v>
          </cell>
        </row>
        <row r="176">
          <cell r="C176" t="str">
            <v>Fast Retailing</v>
          </cell>
          <cell r="D176">
            <v>319136</v>
          </cell>
        </row>
        <row r="177">
          <cell r="C177" t="str">
            <v>Petrobras</v>
          </cell>
          <cell r="D177">
            <v>15.23</v>
          </cell>
        </row>
        <row r="178">
          <cell r="C178" t="str">
            <v>Infosys</v>
          </cell>
          <cell r="D178">
            <v>23.28</v>
          </cell>
        </row>
        <row r="179">
          <cell r="C179" t="str">
            <v>Mondelez</v>
          </cell>
          <cell r="D179">
            <v>71.81</v>
          </cell>
        </row>
        <row r="180">
          <cell r="C180" t="str">
            <v>Shopify</v>
          </cell>
          <cell r="D180">
            <v>74.069999999999993</v>
          </cell>
        </row>
        <row r="181">
          <cell r="C181" t="str">
            <v>Southern Company</v>
          </cell>
          <cell r="D181">
            <v>86.4</v>
          </cell>
        </row>
        <row r="182">
          <cell r="C182" t="str">
            <v>Recruit</v>
          </cell>
          <cell r="D182">
            <v>61.891100000000002</v>
          </cell>
        </row>
        <row r="183">
          <cell r="C183" t="str">
            <v>Intel</v>
          </cell>
          <cell r="D183">
            <v>22.04</v>
          </cell>
        </row>
        <row r="184">
          <cell r="C184" t="str">
            <v>Al Rajhi Bank</v>
          </cell>
          <cell r="D184">
            <v>23.496500000000001</v>
          </cell>
        </row>
        <row r="185">
          <cell r="C185" t="str">
            <v>BP</v>
          </cell>
          <cell r="D185">
            <v>33.96</v>
          </cell>
        </row>
        <row r="186">
          <cell r="C186" t="str">
            <v>Sherwin-Williams</v>
          </cell>
          <cell r="D186">
            <v>369.37</v>
          </cell>
        </row>
        <row r="187">
          <cell r="C187" t="str">
            <v>Intercontinental Exchange</v>
          </cell>
          <cell r="D187">
            <v>161.55000000000001</v>
          </cell>
        </row>
        <row r="188">
          <cell r="C188" t="str">
            <v>Compagnie Financière Richemont</v>
          </cell>
          <cell r="D188">
            <v>157519</v>
          </cell>
        </row>
        <row r="189">
          <cell r="C189" t="str">
            <v>Altria Group</v>
          </cell>
          <cell r="D189">
            <v>53.77</v>
          </cell>
        </row>
        <row r="190">
          <cell r="C190" t="str">
            <v>Safran</v>
          </cell>
          <cell r="D190">
            <v>218802</v>
          </cell>
        </row>
        <row r="191">
          <cell r="C191" t="str">
            <v>NTT (Nippon Telegraph &amp;amp; Telephone)</v>
          </cell>
          <cell r="D191">
            <v>1.06515</v>
          </cell>
        </row>
        <row r="192">
          <cell r="C192" t="str">
            <v>Investor AB</v>
          </cell>
          <cell r="D192">
            <v>29.729500000000002</v>
          </cell>
        </row>
        <row r="193">
          <cell r="C193" t="str">
            <v>Meituan</v>
          </cell>
          <cell r="D193">
            <v>15.1591</v>
          </cell>
        </row>
        <row r="194">
          <cell r="C194" t="str">
            <v>Iberdrola</v>
          </cell>
          <cell r="D194">
            <v>14.170400000000001</v>
          </cell>
        </row>
        <row r="195">
          <cell r="C195" t="str">
            <v>GlaxoSmithKline</v>
          </cell>
          <cell r="D195">
            <v>43.91</v>
          </cell>
        </row>
        <row r="196">
          <cell r="C196" t="str">
            <v>SK Hynix</v>
          </cell>
          <cell r="D196">
            <v>129962</v>
          </cell>
        </row>
        <row r="197">
          <cell r="C197" t="str">
            <v>Ferrari</v>
          </cell>
          <cell r="D197">
            <v>496.79</v>
          </cell>
        </row>
        <row r="198">
          <cell r="C198" t="str">
            <v>Moody's</v>
          </cell>
          <cell r="D198">
            <v>487.74</v>
          </cell>
        </row>
        <row r="199">
          <cell r="C199" t="str">
            <v>Duke Energy</v>
          </cell>
          <cell r="D199">
            <v>113.95</v>
          </cell>
        </row>
        <row r="200">
          <cell r="C200" t="str">
            <v>Shin-Etsu Chemical</v>
          </cell>
          <cell r="D200">
            <v>43.933300000000003</v>
          </cell>
        </row>
        <row r="201">
          <cell r="C201" t="str">
            <v>Enbridge</v>
          </cell>
          <cell r="D201">
            <v>40.18</v>
          </cell>
        </row>
        <row r="202">
          <cell r="C202" t="str">
            <v>Colgate-Palmolive</v>
          </cell>
          <cell r="D202">
            <v>106.5</v>
          </cell>
        </row>
        <row r="203">
          <cell r="C203" t="str">
            <v>RELX</v>
          </cell>
          <cell r="D203">
            <v>46.66</v>
          </cell>
        </row>
        <row r="204">
          <cell r="C204" t="str">
            <v>State Bank of India</v>
          </cell>
          <cell r="D204">
            <v>9.7272400000000001</v>
          </cell>
        </row>
        <row r="205">
          <cell r="C205" t="str">
            <v>Sumitomo Mitsui Financial Group</v>
          </cell>
          <cell r="D205">
            <v>13.23</v>
          </cell>
        </row>
        <row r="206">
          <cell r="C206" t="str">
            <v>AXA</v>
          </cell>
          <cell r="D206">
            <v>38.023699999999998</v>
          </cell>
        </row>
        <row r="207">
          <cell r="C207" t="str">
            <v>Atlas Copco</v>
          </cell>
          <cell r="D207">
            <v>15.8895</v>
          </cell>
        </row>
        <row r="208">
          <cell r="C208" t="str">
            <v>Waste Management</v>
          </cell>
          <cell r="D208">
            <v>212.04</v>
          </cell>
        </row>
        <row r="209">
          <cell r="C209" t="str">
            <v>Merck KGaA</v>
          </cell>
          <cell r="D209">
            <v>194374</v>
          </cell>
        </row>
        <row r="210">
          <cell r="C210" t="str">
            <v>SoftBank</v>
          </cell>
          <cell r="D210">
            <v>57.499200000000002</v>
          </cell>
        </row>
        <row r="211">
          <cell r="C211" t="str">
            <v>Zurich Insurance Group</v>
          </cell>
          <cell r="D211">
            <v>578295</v>
          </cell>
        </row>
        <row r="212">
          <cell r="C212" t="str">
            <v>Zoetis</v>
          </cell>
          <cell r="D212">
            <v>183.49</v>
          </cell>
        </row>
        <row r="213">
          <cell r="C213" t="str">
            <v>Chugai Pharmaceutical</v>
          </cell>
          <cell r="D213">
            <v>50.514400000000002</v>
          </cell>
        </row>
        <row r="214">
          <cell r="C214" t="str">
            <v>British American Tobacco</v>
          </cell>
          <cell r="D214">
            <v>37.57</v>
          </cell>
        </row>
        <row r="215">
          <cell r="C215" t="str">
            <v>Mitsubishi Corporation</v>
          </cell>
          <cell r="D215">
            <v>20.612100000000002</v>
          </cell>
        </row>
        <row r="216">
          <cell r="C216" t="str">
            <v>Bank Central Asia</v>
          </cell>
          <cell r="D216">
            <v>0.66832800000000003</v>
          </cell>
        </row>
        <row r="217">
          <cell r="C217" t="str">
            <v>ACWA POWER Company</v>
          </cell>
          <cell r="D217">
            <v>112335</v>
          </cell>
        </row>
        <row r="218">
          <cell r="C218" t="str">
            <v>General Dynamics</v>
          </cell>
          <cell r="D218">
            <v>299.36</v>
          </cell>
        </row>
        <row r="219">
          <cell r="C219" t="str">
            <v>Trane Technologies</v>
          </cell>
          <cell r="D219">
            <v>361.66</v>
          </cell>
        </row>
        <row r="220">
          <cell r="C220" t="str">
            <v>Tokyo Electron</v>
          </cell>
          <cell r="D220">
            <v>176534</v>
          </cell>
        </row>
        <row r="221">
          <cell r="C221" t="str">
            <v>Amphenol</v>
          </cell>
          <cell r="D221">
            <v>67.45</v>
          </cell>
        </row>
        <row r="222">
          <cell r="C222" t="str">
            <v>Cintas</v>
          </cell>
          <cell r="D222">
            <v>805.12</v>
          </cell>
        </row>
        <row r="223">
          <cell r="C223" t="str">
            <v>Life Insurance Corporation of India (LIC)</v>
          </cell>
          <cell r="D223">
            <v>12.6928</v>
          </cell>
        </row>
        <row r="224">
          <cell r="C224" t="str">
            <v>Daiichi Sankyō</v>
          </cell>
          <cell r="D224">
            <v>41.785200000000003</v>
          </cell>
        </row>
        <row r="225">
          <cell r="C225" t="str">
            <v>Foxconn (Hon Hai Precision Industry)</v>
          </cell>
          <cell r="D225">
            <v>5.7668900000000001</v>
          </cell>
        </row>
        <row r="226">
          <cell r="C226" t="str">
            <v>Southern Copper</v>
          </cell>
          <cell r="D226">
            <v>101.72</v>
          </cell>
        </row>
        <row r="227">
          <cell r="C227" t="str">
            <v>Synopsys</v>
          </cell>
          <cell r="D227">
            <v>519.58000000000004</v>
          </cell>
        </row>
        <row r="228">
          <cell r="C228" t="str">
            <v>National Australia Bank</v>
          </cell>
          <cell r="D228">
            <v>25.828900000000001</v>
          </cell>
        </row>
        <row r="229">
          <cell r="C229" t="str">
            <v>Equinix</v>
          </cell>
          <cell r="D229">
            <v>834.36</v>
          </cell>
        </row>
        <row r="230">
          <cell r="C230" t="str">
            <v>DBS Group</v>
          </cell>
          <cell r="D230">
            <v>27.830100000000002</v>
          </cell>
        </row>
        <row r="231">
          <cell r="C231" t="str">
            <v>Dell</v>
          </cell>
          <cell r="D231">
            <v>115.54</v>
          </cell>
        </row>
        <row r="232">
          <cell r="C232" t="str">
            <v>BNP Paribas</v>
          </cell>
          <cell r="D232">
            <v>69.1721</v>
          </cell>
        </row>
        <row r="233">
          <cell r="C233" t="str">
            <v>AIA</v>
          </cell>
          <cell r="D233">
            <v>7.11144</v>
          </cell>
        </row>
        <row r="234">
          <cell r="C234" t="str">
            <v>Hindustan Unilever</v>
          </cell>
          <cell r="D234">
            <v>33.131799999999998</v>
          </cell>
        </row>
        <row r="235">
          <cell r="C235" t="str">
            <v>CME Group</v>
          </cell>
          <cell r="D235">
            <v>215.74</v>
          </cell>
        </row>
        <row r="236">
          <cell r="C236" t="str">
            <v>Santander</v>
          </cell>
          <cell r="D236">
            <v>4.9800000000000004</v>
          </cell>
        </row>
        <row r="237">
          <cell r="C237" t="str">
            <v>TAQA</v>
          </cell>
          <cell r="D237">
            <v>0.69</v>
          </cell>
        </row>
        <row r="238">
          <cell r="C238" t="str">
            <v>Canadian Pacific Railway</v>
          </cell>
          <cell r="D238">
            <v>82.94</v>
          </cell>
        </row>
        <row r="239">
          <cell r="C239" t="str">
            <v>Parker-Hannifin</v>
          </cell>
          <cell r="D239">
            <v>600.20000000000005</v>
          </cell>
        </row>
        <row r="240">
          <cell r="C240" t="str">
            <v>Canadian Natural Resources</v>
          </cell>
          <cell r="D240">
            <v>36.21</v>
          </cell>
        </row>
        <row r="241">
          <cell r="C241" t="str">
            <v>Enel</v>
          </cell>
          <cell r="D241">
            <v>7.5870499999999996</v>
          </cell>
        </row>
        <row r="242">
          <cell r="C242" t="str">
            <v>Thomson Reuters</v>
          </cell>
          <cell r="D242">
            <v>171.18</v>
          </cell>
        </row>
        <row r="243">
          <cell r="C243" t="str">
            <v>TransDigm</v>
          </cell>
          <cell r="D243">
            <v>1373.21</v>
          </cell>
        </row>
        <row r="244">
          <cell r="C244" t="str">
            <v>Chipotle Mexican Grill</v>
          </cell>
          <cell r="D244">
            <v>56.08</v>
          </cell>
        </row>
        <row r="245">
          <cell r="C245" t="str">
            <v>Northrop Grumman</v>
          </cell>
          <cell r="D245">
            <v>523.21</v>
          </cell>
        </row>
        <row r="246">
          <cell r="C246" t="str">
            <v>Itōchū Shōji</v>
          </cell>
          <cell r="D246">
            <v>52.717300000000002</v>
          </cell>
        </row>
        <row r="247">
          <cell r="C247" t="str">
            <v>Brookfield Corporation</v>
          </cell>
          <cell r="D247">
            <v>50.28</v>
          </cell>
        </row>
        <row r="248">
          <cell r="C248" t="str">
            <v>China Telecom</v>
          </cell>
          <cell r="D248">
            <v>0.60918499999999998</v>
          </cell>
        </row>
        <row r="249">
          <cell r="C249" t="str">
            <v>Illinois Tool Works</v>
          </cell>
          <cell r="D249">
            <v>253.18</v>
          </cell>
        </row>
        <row r="250">
          <cell r="C250" t="str">
            <v>ITC</v>
          </cell>
          <cell r="D250">
            <v>5.9859</v>
          </cell>
        </row>
        <row r="251">
          <cell r="C251" t="str">
            <v>Equinor</v>
          </cell>
          <cell r="D251">
            <v>26.89</v>
          </cell>
        </row>
        <row r="252">
          <cell r="C252" t="str">
            <v>Aon</v>
          </cell>
          <cell r="D252">
            <v>343.72</v>
          </cell>
        </row>
        <row r="253">
          <cell r="C253" t="str">
            <v>Intesa Sanpaolo</v>
          </cell>
          <cell r="D253">
            <v>4.1610500000000004</v>
          </cell>
        </row>
        <row r="254">
          <cell r="C254" t="str">
            <v>Canadian National Railway</v>
          </cell>
          <cell r="D254">
            <v>117.82</v>
          </cell>
        </row>
        <row r="255">
          <cell r="C255" t="str">
            <v>PayPal</v>
          </cell>
          <cell r="D255">
            <v>72.430000000000007</v>
          </cell>
        </row>
        <row r="256">
          <cell r="C256" t="str">
            <v>3M</v>
          </cell>
          <cell r="D256">
            <v>134.69</v>
          </cell>
        </row>
        <row r="257">
          <cell r="C257" t="str">
            <v>EOG Resources</v>
          </cell>
          <cell r="D257">
            <v>128.82</v>
          </cell>
        </row>
        <row r="258">
          <cell r="C258" t="str">
            <v>Tokio Marine</v>
          </cell>
          <cell r="D258">
            <v>37.666899999999998</v>
          </cell>
        </row>
        <row r="259">
          <cell r="C259" t="str">
            <v>Airbnb</v>
          </cell>
          <cell r="D259">
            <v>117.31</v>
          </cell>
        </row>
        <row r="260">
          <cell r="C260" t="str">
            <v>Motorola Solutions</v>
          </cell>
          <cell r="D260">
            <v>442.04</v>
          </cell>
        </row>
        <row r="261">
          <cell r="C261" t="str">
            <v>Mercedes-Benz</v>
          </cell>
          <cell r="D261">
            <v>68.906800000000004</v>
          </cell>
        </row>
        <row r="262">
          <cell r="C262" t="str">
            <v>U.S. Bancorp</v>
          </cell>
          <cell r="D262">
            <v>47.23</v>
          </cell>
        </row>
        <row r="263">
          <cell r="C263" t="str">
            <v>Cadence Design Systems</v>
          </cell>
          <cell r="D263">
            <v>268.93</v>
          </cell>
        </row>
        <row r="264">
          <cell r="C264" t="str">
            <v>PNC Financial Services</v>
          </cell>
          <cell r="D264">
            <v>185.09</v>
          </cell>
        </row>
        <row r="265">
          <cell r="C265" t="str">
            <v>Welltower</v>
          </cell>
          <cell r="D265">
            <v>120.68</v>
          </cell>
        </row>
        <row r="266">
          <cell r="C266" t="str">
            <v>Westpac Banking</v>
          </cell>
          <cell r="D266">
            <v>21.139500000000002</v>
          </cell>
        </row>
        <row r="267">
          <cell r="C267" t="str">
            <v>FedEx</v>
          </cell>
          <cell r="D267">
            <v>298.77</v>
          </cell>
        </row>
        <row r="268">
          <cell r="C268" t="str">
            <v>McKesson</v>
          </cell>
          <cell r="D268">
            <v>561.08000000000004</v>
          </cell>
        </row>
        <row r="269">
          <cell r="C269" t="str">
            <v>Diageo</v>
          </cell>
          <cell r="D269">
            <v>130.76</v>
          </cell>
        </row>
        <row r="270">
          <cell r="C270" t="str">
            <v>Munich RE (Münchener Rück)</v>
          </cell>
          <cell r="D270">
            <v>540842</v>
          </cell>
        </row>
        <row r="271">
          <cell r="C271" t="str">
            <v>Ecolab</v>
          </cell>
          <cell r="D271">
            <v>253.18</v>
          </cell>
        </row>
        <row r="272">
          <cell r="C272" t="str">
            <v>CVS Health</v>
          </cell>
          <cell r="D272">
            <v>57.24</v>
          </cell>
        </row>
        <row r="273">
          <cell r="C273" t="str">
            <v>Nu Holdings</v>
          </cell>
          <cell r="D273">
            <v>14.97</v>
          </cell>
        </row>
        <row r="274">
          <cell r="C274" t="str">
            <v>London Stock Exchange</v>
          </cell>
          <cell r="D274">
            <v>134552</v>
          </cell>
        </row>
        <row r="275">
          <cell r="C275" t="str">
            <v>Porsche</v>
          </cell>
          <cell r="D275">
            <v>78.302199999999999</v>
          </cell>
        </row>
        <row r="276">
          <cell r="C276" t="str">
            <v>Target</v>
          </cell>
          <cell r="D276">
            <v>153.62</v>
          </cell>
        </row>
        <row r="277">
          <cell r="C277" t="str">
            <v>Becton Dickinson</v>
          </cell>
          <cell r="D277">
            <v>242.41</v>
          </cell>
        </row>
        <row r="278">
          <cell r="C278" t="str">
            <v>Workday</v>
          </cell>
          <cell r="D278">
            <v>263.19</v>
          </cell>
        </row>
        <row r="279">
          <cell r="C279" t="str">
            <v>Palantir</v>
          </cell>
          <cell r="D279">
            <v>31.48</v>
          </cell>
        </row>
        <row r="280">
          <cell r="C280" t="str">
            <v>Constellation Software</v>
          </cell>
          <cell r="D280">
            <v>3261.46</v>
          </cell>
        </row>
        <row r="281">
          <cell r="C281" t="str">
            <v>Spotify</v>
          </cell>
          <cell r="D281">
            <v>342.88</v>
          </cell>
        </row>
        <row r="282">
          <cell r="C282" t="str">
            <v>KDDI</v>
          </cell>
          <cell r="D282">
            <v>33.596499999999999</v>
          </cell>
        </row>
        <row r="283">
          <cell r="C283" t="str">
            <v>LG Energy Solution</v>
          </cell>
          <cell r="D283">
            <v>290302</v>
          </cell>
        </row>
        <row r="284">
          <cell r="C284" t="str">
            <v>Vinci</v>
          </cell>
          <cell r="D284">
            <v>119542</v>
          </cell>
        </row>
        <row r="285">
          <cell r="C285" t="str">
            <v>Bank of Communications</v>
          </cell>
          <cell r="D285">
            <v>1.0028900000000001</v>
          </cell>
        </row>
        <row r="286">
          <cell r="C286" t="str">
            <v>Wuliangye Yibin</v>
          </cell>
          <cell r="D286">
            <v>17.3538</v>
          </cell>
        </row>
        <row r="287">
          <cell r="C287" t="str">
            <v>CrowdStrike</v>
          </cell>
          <cell r="D287">
            <v>277.27999999999997</v>
          </cell>
        </row>
        <row r="288">
          <cell r="C288" t="str">
            <v>CSX Corporation</v>
          </cell>
          <cell r="D288">
            <v>34.270000000000003</v>
          </cell>
        </row>
        <row r="289">
          <cell r="C289" t="str">
            <v>Marriott International</v>
          </cell>
          <cell r="D289">
            <v>234.69</v>
          </cell>
        </row>
        <row r="290">
          <cell r="C290" t="str">
            <v>O'Reilly Automotive</v>
          </cell>
          <cell r="D290">
            <v>1129.97</v>
          </cell>
        </row>
        <row r="291">
          <cell r="C291" t="str">
            <v>Marvell Technology Group</v>
          </cell>
          <cell r="D291">
            <v>76.239999999999995</v>
          </cell>
        </row>
        <row r="292">
          <cell r="C292" t="str">
            <v>Apollo Global Management</v>
          </cell>
          <cell r="D292">
            <v>115.73</v>
          </cell>
        </row>
        <row r="293">
          <cell r="C293" t="str">
            <v>Postal Savings Bank of China</v>
          </cell>
          <cell r="D293">
            <v>0.667184</v>
          </cell>
        </row>
        <row r="294">
          <cell r="C294" t="str">
            <v>Carrier</v>
          </cell>
          <cell r="D294">
            <v>72.78</v>
          </cell>
        </row>
        <row r="295">
          <cell r="C295" t="str">
            <v>UniCredit</v>
          </cell>
          <cell r="D295">
            <v>41.317599999999999</v>
          </cell>
        </row>
        <row r="296">
          <cell r="C296" t="str">
            <v>Republic Services</v>
          </cell>
          <cell r="D296">
            <v>208.21</v>
          </cell>
        </row>
        <row r="297">
          <cell r="C297" t="str">
            <v>National Grid</v>
          </cell>
          <cell r="D297">
            <v>66.599999999999994</v>
          </cell>
        </row>
        <row r="298">
          <cell r="C298" t="str">
            <v>NXP Semiconductors</v>
          </cell>
          <cell r="D298">
            <v>256.36</v>
          </cell>
        </row>
        <row r="299">
          <cell r="C299" t="str">
            <v>Siemens Healthineers</v>
          </cell>
          <cell r="D299">
            <v>58.118699999999997</v>
          </cell>
        </row>
        <row r="300">
          <cell r="C300" t="str">
            <v>ADNOC Gas</v>
          </cell>
          <cell r="D300">
            <v>0.84</v>
          </cell>
        </row>
        <row r="301">
          <cell r="C301" t="str">
            <v>Glencore</v>
          </cell>
          <cell r="D301">
            <v>5.28</v>
          </cell>
        </row>
        <row r="302">
          <cell r="C302" t="str">
            <v>Arthur J. Gallagher &amp; Co.</v>
          </cell>
          <cell r="D302">
            <v>292.57</v>
          </cell>
        </row>
        <row r="303">
          <cell r="C303" t="str">
            <v>Midea</v>
          </cell>
          <cell r="D303">
            <v>9.1332299999999993</v>
          </cell>
        </row>
        <row r="304">
          <cell r="C304" t="str">
            <v>Enterprise Products</v>
          </cell>
          <cell r="D304">
            <v>29.34</v>
          </cell>
        </row>
        <row r="305">
          <cell r="C305" t="str">
            <v>Freeport-McMoRan</v>
          </cell>
          <cell r="D305">
            <v>44.28</v>
          </cell>
        </row>
        <row r="306">
          <cell r="C306" t="str">
            <v>Mitsui Bussan</v>
          </cell>
          <cell r="D306">
            <v>21.364699999999999</v>
          </cell>
        </row>
        <row r="307">
          <cell r="C307" t="str">
            <v>Nintendo</v>
          </cell>
          <cell r="D307">
            <v>54.058100000000003</v>
          </cell>
        </row>
        <row r="308">
          <cell r="C308" t="str">
            <v>Xiaomi</v>
          </cell>
          <cell r="D308">
            <v>2.4900000000000002</v>
          </cell>
        </row>
        <row r="309">
          <cell r="C309" t="str">
            <v>Schlumberger</v>
          </cell>
          <cell r="D309">
            <v>43.99</v>
          </cell>
        </row>
        <row r="310">
          <cell r="C310" t="str">
            <v>MediaTek</v>
          </cell>
          <cell r="D310">
            <v>38.758499999999998</v>
          </cell>
        </row>
        <row r="311">
          <cell r="C311" t="str">
            <v>Simon Property Group</v>
          </cell>
          <cell r="D311">
            <v>167.35</v>
          </cell>
        </row>
        <row r="312">
          <cell r="C312" t="str">
            <v>Air Products and Chemicals</v>
          </cell>
          <cell r="D312">
            <v>278.85000000000002</v>
          </cell>
        </row>
        <row r="313">
          <cell r="C313" t="str">
            <v>Cement Roadstone Holding</v>
          </cell>
          <cell r="D313">
            <v>90.77</v>
          </cell>
        </row>
        <row r="314">
          <cell r="C314" t="str">
            <v>Aflac</v>
          </cell>
          <cell r="D314">
            <v>110.36</v>
          </cell>
        </row>
        <row r="315">
          <cell r="C315" t="str">
            <v>Scotiabank</v>
          </cell>
          <cell r="D315">
            <v>49.88</v>
          </cell>
        </row>
        <row r="316">
          <cell r="C316" t="str">
            <v>ANZ Bank</v>
          </cell>
          <cell r="D316">
            <v>20.571100000000001</v>
          </cell>
        </row>
        <row r="317">
          <cell r="C317" t="str">
            <v>Constellation Energy</v>
          </cell>
          <cell r="D317">
            <v>196.7</v>
          </cell>
        </row>
        <row r="318">
          <cell r="C318" t="str">
            <v>D. R. Horton</v>
          </cell>
          <cell r="D318">
            <v>188.76</v>
          </cell>
        </row>
        <row r="319">
          <cell r="C319" t="str">
            <v>Banco Bilbao Vizcaya Argentaria</v>
          </cell>
          <cell r="D319">
            <v>10.65</v>
          </cell>
        </row>
        <row r="320">
          <cell r="C320" t="str">
            <v>Newmont</v>
          </cell>
          <cell r="D320">
            <v>53.39</v>
          </cell>
        </row>
        <row r="321">
          <cell r="C321" t="str">
            <v>Itaú Unibanco</v>
          </cell>
          <cell r="D321">
            <v>6.52</v>
          </cell>
        </row>
        <row r="322">
          <cell r="C322" t="str">
            <v>Bank of Montreal</v>
          </cell>
          <cell r="D322">
            <v>83.62</v>
          </cell>
        </row>
        <row r="323">
          <cell r="C323" t="str">
            <v>Sberbank</v>
          </cell>
          <cell r="D323">
            <v>2.88</v>
          </cell>
        </row>
        <row r="324">
          <cell r="C324" t="str">
            <v>Larsen &amp;amp; Toubro</v>
          </cell>
          <cell r="D324">
            <v>44.183500000000002</v>
          </cell>
        </row>
        <row r="325">
          <cell r="C325" t="str">
            <v>Emerson</v>
          </cell>
          <cell r="D325">
            <v>105.39</v>
          </cell>
        </row>
        <row r="326">
          <cell r="C326" t="str">
            <v>Public Storage</v>
          </cell>
          <cell r="D326">
            <v>343.72</v>
          </cell>
        </row>
        <row r="327">
          <cell r="C327" t="str">
            <v>SABIC</v>
          </cell>
          <cell r="D327">
            <v>19.949300000000001</v>
          </cell>
        </row>
        <row r="328">
          <cell r="C328" t="str">
            <v>Truist Financial</v>
          </cell>
          <cell r="D328">
            <v>44.46</v>
          </cell>
        </row>
        <row r="329">
          <cell r="C329" t="str">
            <v>Roper Technologies</v>
          </cell>
          <cell r="D329">
            <v>554.41</v>
          </cell>
        </row>
        <row r="330">
          <cell r="C330" t="str">
            <v>Marathon Petroleum</v>
          </cell>
          <cell r="D330">
            <v>177.12</v>
          </cell>
        </row>
        <row r="331">
          <cell r="C331" t="str">
            <v>BMW</v>
          </cell>
          <cell r="D331">
            <v>92.649500000000003</v>
          </cell>
        </row>
        <row r="332">
          <cell r="C332" t="str">
            <v>Phillips 66</v>
          </cell>
          <cell r="D332">
            <v>140.31</v>
          </cell>
        </row>
        <row r="333">
          <cell r="C333" t="str">
            <v>Fortinet</v>
          </cell>
          <cell r="D333">
            <v>76.709999999999994</v>
          </cell>
        </row>
        <row r="334">
          <cell r="C334" t="str">
            <v>Zijin Mining</v>
          </cell>
          <cell r="D334">
            <v>2.2568600000000001</v>
          </cell>
        </row>
        <row r="335">
          <cell r="C335" t="str">
            <v>Norfolk Southern</v>
          </cell>
          <cell r="D335">
            <v>256.16000000000003</v>
          </cell>
        </row>
        <row r="336">
          <cell r="C336" t="str">
            <v>ING</v>
          </cell>
          <cell r="D336">
            <v>18.21</v>
          </cell>
        </row>
        <row r="337">
          <cell r="C337" t="str">
            <v>Foxconn Industrial Internet</v>
          </cell>
          <cell r="D337">
            <v>2.8873700000000002</v>
          </cell>
        </row>
        <row r="338">
          <cell r="C338" t="str">
            <v>Saudi Telecom Company</v>
          </cell>
          <cell r="D338">
            <v>11.4682</v>
          </cell>
        </row>
        <row r="339">
          <cell r="C339" t="str">
            <v>HCL Technologies</v>
          </cell>
          <cell r="D339">
            <v>20.9101</v>
          </cell>
        </row>
        <row r="340">
          <cell r="C340" t="str">
            <v>Macquarie</v>
          </cell>
          <cell r="D340">
            <v>145926</v>
          </cell>
        </row>
        <row r="341">
          <cell r="C341" t="str">
            <v>Capital One</v>
          </cell>
          <cell r="D341">
            <v>146.93</v>
          </cell>
        </row>
        <row r="342">
          <cell r="C342" t="str">
            <v>General Motors</v>
          </cell>
          <cell r="D342">
            <v>49.78</v>
          </cell>
        </row>
        <row r="343">
          <cell r="C343" t="str">
            <v>Chandra Asri Petrochemical</v>
          </cell>
          <cell r="D343">
            <v>0.64567300000000005</v>
          </cell>
        </row>
        <row r="344">
          <cell r="C344" t="str">
            <v>Williams Companies</v>
          </cell>
          <cell r="D344">
            <v>45.77</v>
          </cell>
        </row>
        <row r="345">
          <cell r="C345" t="str">
            <v>Wesfarmers</v>
          </cell>
          <cell r="D345">
            <v>49.127099999999999</v>
          </cell>
        </row>
        <row r="346">
          <cell r="C346" t="str">
            <v>Rosneft</v>
          </cell>
          <cell r="D346">
            <v>5.28</v>
          </cell>
        </row>
        <row r="347">
          <cell r="C347" t="str">
            <v>Autodesk</v>
          </cell>
          <cell r="D347">
            <v>258.39999999999998</v>
          </cell>
        </row>
        <row r="348">
          <cell r="C348" t="str">
            <v>Volkswagen</v>
          </cell>
          <cell r="D348">
            <v>106311</v>
          </cell>
        </row>
        <row r="349">
          <cell r="C349" t="str">
            <v>The Saudi National Bank</v>
          </cell>
          <cell r="D349">
            <v>9.3345800000000008</v>
          </cell>
        </row>
        <row r="350">
          <cell r="C350" t="str">
            <v>Walmex</v>
          </cell>
          <cell r="D350">
            <v>3.18</v>
          </cell>
        </row>
        <row r="351">
          <cell r="C351" t="str">
            <v>Rolls-Royce Holdings</v>
          </cell>
          <cell r="D351">
            <v>6.5162300000000002</v>
          </cell>
        </row>
        <row r="352">
          <cell r="C352" t="str">
            <v>GE Vernova</v>
          </cell>
          <cell r="D352">
            <v>201</v>
          </cell>
        </row>
        <row r="353">
          <cell r="C353" t="str">
            <v>CIBC</v>
          </cell>
          <cell r="D353">
            <v>58.44</v>
          </cell>
        </row>
        <row r="354">
          <cell r="C354" t="str">
            <v>Energy Transfer Partners</v>
          </cell>
          <cell r="D354">
            <v>16.100000000000001</v>
          </cell>
        </row>
        <row r="355">
          <cell r="C355" t="str">
            <v>AutoZone</v>
          </cell>
          <cell r="D355">
            <v>3181.48</v>
          </cell>
        </row>
        <row r="356">
          <cell r="C356" t="str">
            <v>Alimentation Couche-Tard</v>
          </cell>
          <cell r="D356">
            <v>57.014699999999998</v>
          </cell>
        </row>
        <row r="357">
          <cell r="C357" t="str">
            <v>MetLife</v>
          </cell>
          <cell r="D357">
            <v>77.48</v>
          </cell>
        </row>
        <row r="358">
          <cell r="C358" t="str">
            <v>BAE Systems</v>
          </cell>
          <cell r="D358">
            <v>17.892099999999999</v>
          </cell>
        </row>
        <row r="359">
          <cell r="C359" t="str">
            <v>Volvo Group</v>
          </cell>
          <cell r="D359">
            <v>26.891400000000001</v>
          </cell>
        </row>
        <row r="360">
          <cell r="C360" t="str">
            <v>Hilton Worldwide</v>
          </cell>
          <cell r="D360">
            <v>219.64</v>
          </cell>
        </row>
        <row r="361">
          <cell r="C361" t="str">
            <v>Realty Income</v>
          </cell>
          <cell r="D361">
            <v>62.11</v>
          </cell>
        </row>
        <row r="362">
          <cell r="C362" t="str">
            <v>Holcim Group</v>
          </cell>
          <cell r="D362">
            <v>96.170599999999993</v>
          </cell>
        </row>
        <row r="363">
          <cell r="C363" t="str">
            <v>Oneok</v>
          </cell>
          <cell r="D363">
            <v>92.36</v>
          </cell>
        </row>
        <row r="364">
          <cell r="C364" t="str">
            <v>Interactive Brokers</v>
          </cell>
          <cell r="D364">
            <v>128.88999999999999</v>
          </cell>
        </row>
        <row r="365">
          <cell r="C365" t="str">
            <v>Compass Group</v>
          </cell>
          <cell r="D365">
            <v>31.491599999999998</v>
          </cell>
        </row>
        <row r="366">
          <cell r="C366" t="str">
            <v>American Electric Power</v>
          </cell>
          <cell r="D366">
            <v>100.28</v>
          </cell>
        </row>
        <row r="367">
          <cell r="C367" t="str">
            <v>Bajaj Finance</v>
          </cell>
          <cell r="D367">
            <v>85.872500000000002</v>
          </cell>
        </row>
        <row r="368">
          <cell r="C368" t="str">
            <v>Honda</v>
          </cell>
          <cell r="D368">
            <v>32.950000000000003</v>
          </cell>
        </row>
        <row r="369">
          <cell r="C369" t="str">
            <v>Mizuho Financial Group</v>
          </cell>
          <cell r="D369">
            <v>4.16</v>
          </cell>
        </row>
        <row r="370">
          <cell r="C370" t="str">
            <v>Occidental Petroleum</v>
          </cell>
          <cell r="D370">
            <v>56.98</v>
          </cell>
        </row>
        <row r="371">
          <cell r="C371" t="str">
            <v>NetEase</v>
          </cell>
          <cell r="D371">
            <v>80.44</v>
          </cell>
        </row>
        <row r="372">
          <cell r="C372" t="str">
            <v>Samsung Biologics</v>
          </cell>
          <cell r="D372">
            <v>733237</v>
          </cell>
        </row>
        <row r="373">
          <cell r="C373" t="str">
            <v>Sun Pharmaceutical</v>
          </cell>
          <cell r="D373">
            <v>21.725899999999999</v>
          </cell>
        </row>
        <row r="374">
          <cell r="C374" t="str">
            <v>Suncor Energy</v>
          </cell>
          <cell r="D374">
            <v>40.54</v>
          </cell>
        </row>
        <row r="375">
          <cell r="C375" t="str">
            <v>DoorDash</v>
          </cell>
          <cell r="D375">
            <v>128.71</v>
          </cell>
        </row>
        <row r="376">
          <cell r="C376" t="str">
            <v>Sempra Energy</v>
          </cell>
          <cell r="D376">
            <v>82.18</v>
          </cell>
        </row>
        <row r="377">
          <cell r="C377" t="str">
            <v>The Travelers Companies</v>
          </cell>
          <cell r="D377">
            <v>228.07</v>
          </cell>
        </row>
        <row r="378">
          <cell r="C378" t="str">
            <v>Pacific Gas and Electric</v>
          </cell>
          <cell r="D378">
            <v>19.7</v>
          </cell>
        </row>
        <row r="379">
          <cell r="C379" t="str">
            <v>ENI</v>
          </cell>
          <cell r="D379">
            <v>32.57</v>
          </cell>
        </row>
        <row r="380">
          <cell r="C380" t="str">
            <v>Sika</v>
          </cell>
          <cell r="D380">
            <v>320098</v>
          </cell>
        </row>
        <row r="381">
          <cell r="C381" t="str">
            <v>Japan Tobacco</v>
          </cell>
          <cell r="D381">
            <v>28753</v>
          </cell>
        </row>
        <row r="382">
          <cell r="C382" t="str">
            <v>America Movil</v>
          </cell>
          <cell r="D382">
            <v>16.559999999999999</v>
          </cell>
        </row>
        <row r="383">
          <cell r="C383" t="str">
            <v>Dassault Systèmes</v>
          </cell>
          <cell r="D383">
            <v>38.996400000000001</v>
          </cell>
        </row>
        <row r="384">
          <cell r="C384" t="str">
            <v>Copart</v>
          </cell>
          <cell r="D384">
            <v>52.96</v>
          </cell>
        </row>
        <row r="385">
          <cell r="C385" t="str">
            <v>Heineken</v>
          </cell>
          <cell r="D385">
            <v>90.040899999999993</v>
          </cell>
        </row>
        <row r="386">
          <cell r="C386" t="str">
            <v>The Trade Desk</v>
          </cell>
          <cell r="D386">
            <v>104.53</v>
          </cell>
        </row>
        <row r="387">
          <cell r="C387" t="str">
            <v>Ross Stores</v>
          </cell>
          <cell r="D387">
            <v>150.61000000000001</v>
          </cell>
        </row>
        <row r="388">
          <cell r="C388" t="str">
            <v>DHL Group (Deutsche Post)</v>
          </cell>
          <cell r="D388">
            <v>43.329300000000003</v>
          </cell>
        </row>
        <row r="389">
          <cell r="C389" t="str">
            <v>Paccar</v>
          </cell>
          <cell r="D389">
            <v>96.18</v>
          </cell>
        </row>
        <row r="390">
          <cell r="C390" t="str">
            <v>BNY Mellon (Bank of New York Mellon)</v>
          </cell>
          <cell r="D390">
            <v>68.22</v>
          </cell>
        </row>
        <row r="391">
          <cell r="C391" t="str">
            <v>Bank Rakyat Indonesia</v>
          </cell>
          <cell r="D391">
            <v>0.33335500000000001</v>
          </cell>
        </row>
        <row r="392">
          <cell r="C392" t="str">
            <v>Charter Communications</v>
          </cell>
          <cell r="D392">
            <v>347.54</v>
          </cell>
        </row>
        <row r="393">
          <cell r="C393" t="str">
            <v>OCBC Bank</v>
          </cell>
          <cell r="D393">
            <v>11.1366</v>
          </cell>
        </row>
        <row r="394">
          <cell r="C394" t="str">
            <v>Digital Realty</v>
          </cell>
          <cell r="D394">
            <v>151.61000000000001</v>
          </cell>
        </row>
        <row r="395">
          <cell r="C395" t="str">
            <v>Allstate</v>
          </cell>
          <cell r="D395">
            <v>188.94</v>
          </cell>
        </row>
        <row r="396">
          <cell r="C396" t="str">
            <v>Keurig Dr Pepper</v>
          </cell>
          <cell r="D396">
            <v>36.61</v>
          </cell>
        </row>
        <row r="397">
          <cell r="C397" t="str">
            <v>Oil &amp;amp; Natural Gas</v>
          </cell>
          <cell r="D397">
            <v>3.94469</v>
          </cell>
        </row>
        <row r="398">
          <cell r="C398" t="str">
            <v>American International Group</v>
          </cell>
          <cell r="D398">
            <v>77.05</v>
          </cell>
        </row>
        <row r="399">
          <cell r="C399" t="str">
            <v>Lennar</v>
          </cell>
          <cell r="D399">
            <v>182.06</v>
          </cell>
        </row>
        <row r="400">
          <cell r="C400" t="str">
            <v>Manulife Financial</v>
          </cell>
          <cell r="D400">
            <v>27.61</v>
          </cell>
        </row>
        <row r="401">
          <cell r="C401" t="str">
            <v>Stellantis</v>
          </cell>
          <cell r="D401">
            <v>16.78</v>
          </cell>
        </row>
        <row r="402">
          <cell r="C402" t="str">
            <v>Hoya</v>
          </cell>
          <cell r="D402">
            <v>140892</v>
          </cell>
        </row>
        <row r="403">
          <cell r="C403" t="str">
            <v>United Rentals</v>
          </cell>
          <cell r="D403">
            <v>741.26</v>
          </cell>
        </row>
        <row r="404">
          <cell r="C404" t="str">
            <v>Industrial Bank</v>
          </cell>
          <cell r="D404">
            <v>2.3288000000000002</v>
          </cell>
        </row>
        <row r="405">
          <cell r="C405" t="str">
            <v>Kimberly-Clark</v>
          </cell>
          <cell r="D405">
            <v>144.66</v>
          </cell>
        </row>
        <row r="406">
          <cell r="C406" t="str">
            <v>Tata Motors</v>
          </cell>
          <cell r="D406">
            <v>13.2545</v>
          </cell>
        </row>
        <row r="407">
          <cell r="C407" t="str">
            <v>Crown Castle</v>
          </cell>
          <cell r="D407">
            <v>112.02</v>
          </cell>
        </row>
        <row r="408">
          <cell r="C408" t="str">
            <v>Johnson Controls</v>
          </cell>
          <cell r="D408">
            <v>72.849999999999994</v>
          </cell>
        </row>
        <row r="409">
          <cell r="C409" t="str">
            <v>Alcon</v>
          </cell>
          <cell r="D409">
            <v>97.68</v>
          </cell>
        </row>
        <row r="410">
          <cell r="C410" t="str">
            <v>NTPC Limited</v>
          </cell>
          <cell r="D410">
            <v>4.9638</v>
          </cell>
        </row>
        <row r="411">
          <cell r="C411" t="str">
            <v>Waste Connections</v>
          </cell>
          <cell r="D411">
            <v>186.5</v>
          </cell>
        </row>
        <row r="412">
          <cell r="C412" t="str">
            <v>W. W. Grainger</v>
          </cell>
          <cell r="D412">
            <v>984.92</v>
          </cell>
        </row>
        <row r="413">
          <cell r="C413" t="str">
            <v>TC Energy</v>
          </cell>
          <cell r="D413">
            <v>46.34</v>
          </cell>
        </row>
        <row r="414">
          <cell r="C414" t="str">
            <v>Kinder Morgan</v>
          </cell>
          <cell r="D414">
            <v>21.57</v>
          </cell>
        </row>
        <row r="415">
          <cell r="C415" t="str">
            <v>Universal Music Group</v>
          </cell>
          <cell r="D415">
            <v>26.119199999999999</v>
          </cell>
        </row>
        <row r="416">
          <cell r="C416" t="str">
            <v>Takeda Pharmaceutical</v>
          </cell>
          <cell r="D416">
            <v>14.89</v>
          </cell>
        </row>
        <row r="417">
          <cell r="C417" t="str">
            <v>Lloyds Banking Group</v>
          </cell>
          <cell r="D417">
            <v>3.06</v>
          </cell>
        </row>
        <row r="418">
          <cell r="C418" t="str">
            <v>Hyundai</v>
          </cell>
          <cell r="D418">
            <v>69.25</v>
          </cell>
        </row>
        <row r="419">
          <cell r="C419" t="str">
            <v>Crédit Agricole</v>
          </cell>
          <cell r="D419">
            <v>15.646100000000001</v>
          </cell>
        </row>
        <row r="420">
          <cell r="C420" t="str">
            <v>Infineon</v>
          </cell>
          <cell r="D420">
            <v>36.476199999999999</v>
          </cell>
        </row>
        <row r="421">
          <cell r="C421" t="str">
            <v>Givaudan</v>
          </cell>
          <cell r="D421">
            <v>5126.2700000000004</v>
          </cell>
        </row>
        <row r="422">
          <cell r="C422" t="str">
            <v>Paychex</v>
          </cell>
          <cell r="D422">
            <v>131.19999999999999</v>
          </cell>
        </row>
        <row r="423">
          <cell r="C423" t="str">
            <v>Lukoil</v>
          </cell>
          <cell r="D423">
            <v>69.790000000000006</v>
          </cell>
        </row>
        <row r="424">
          <cell r="C424" t="str">
            <v>Lonza</v>
          </cell>
          <cell r="D424">
            <v>653847</v>
          </cell>
        </row>
        <row r="425">
          <cell r="C425" t="str">
            <v>Dominion Energy</v>
          </cell>
          <cell r="D425">
            <v>55.9</v>
          </cell>
        </row>
        <row r="426">
          <cell r="C426" t="str">
            <v>Valero Energy</v>
          </cell>
          <cell r="D426">
            <v>146.72999999999999</v>
          </cell>
        </row>
        <row r="427">
          <cell r="C427" t="str">
            <v>Cencora</v>
          </cell>
          <cell r="D427">
            <v>239.57</v>
          </cell>
        </row>
        <row r="428">
          <cell r="C428" t="str">
            <v>Coinbase</v>
          </cell>
          <cell r="D428">
            <v>183.36</v>
          </cell>
        </row>
        <row r="429">
          <cell r="C429" t="str">
            <v>TE Connectivity</v>
          </cell>
          <cell r="D429">
            <v>153.6</v>
          </cell>
        </row>
        <row r="430">
          <cell r="C430" t="str">
            <v>Maruti Suzuki India</v>
          </cell>
          <cell r="D430">
            <v>147924</v>
          </cell>
        </row>
        <row r="431">
          <cell r="C431" t="str">
            <v>Haleon</v>
          </cell>
          <cell r="D431">
            <v>10.18</v>
          </cell>
        </row>
        <row r="432">
          <cell r="C432" t="str">
            <v>Monster Beverage</v>
          </cell>
          <cell r="D432">
            <v>47.13</v>
          </cell>
        </row>
        <row r="433">
          <cell r="C433" t="str">
            <v>Vale</v>
          </cell>
          <cell r="D433">
            <v>10.52</v>
          </cell>
        </row>
        <row r="434">
          <cell r="C434" t="str">
            <v>IQVIA</v>
          </cell>
          <cell r="D434">
            <v>251.55</v>
          </cell>
        </row>
        <row r="435">
          <cell r="C435" t="str">
            <v>Ares Management</v>
          </cell>
          <cell r="D435">
            <v>146.4</v>
          </cell>
        </row>
        <row r="436">
          <cell r="C436" t="str">
            <v>Adidas</v>
          </cell>
          <cell r="D436">
            <v>256439</v>
          </cell>
        </row>
        <row r="437">
          <cell r="C437" t="str">
            <v>MSCI</v>
          </cell>
          <cell r="D437">
            <v>580.59</v>
          </cell>
        </row>
        <row r="438">
          <cell r="C438" t="str">
            <v>Adyen</v>
          </cell>
          <cell r="D438">
            <v>1469</v>
          </cell>
        </row>
        <row r="439">
          <cell r="C439" t="str">
            <v>Monolithic Power Systems</v>
          </cell>
          <cell r="D439">
            <v>934.68</v>
          </cell>
        </row>
        <row r="440">
          <cell r="C440" t="str">
            <v>BASF</v>
          </cell>
          <cell r="D440">
            <v>50.6798</v>
          </cell>
        </row>
        <row r="441">
          <cell r="C441" t="str">
            <v>Fidelity National Information Services</v>
          </cell>
          <cell r="D441">
            <v>82.45</v>
          </cell>
        </row>
        <row r="442">
          <cell r="C442" t="str">
            <v>Sea (Garena)</v>
          </cell>
          <cell r="D442">
            <v>78.31</v>
          </cell>
        </row>
        <row r="443">
          <cell r="C443" t="str">
            <v>L3Harris Technologies</v>
          </cell>
          <cell r="D443">
            <v>236.67</v>
          </cell>
        </row>
        <row r="444">
          <cell r="C444" t="str">
            <v>Danone</v>
          </cell>
          <cell r="D444">
            <v>69.415300000000002</v>
          </cell>
        </row>
        <row r="445">
          <cell r="C445" t="str">
            <v>Oriental Land</v>
          </cell>
          <cell r="D445">
            <v>27.2822</v>
          </cell>
        </row>
        <row r="446">
          <cell r="C446" t="str">
            <v>Mitsubishi Heavy Industries</v>
          </cell>
          <cell r="D446">
            <v>13.2888</v>
          </cell>
        </row>
        <row r="447">
          <cell r="C447" t="str">
            <v>Denso</v>
          </cell>
          <cell r="D447">
            <v>15.327400000000001</v>
          </cell>
        </row>
        <row r="448">
          <cell r="C448" t="str">
            <v>Barclays</v>
          </cell>
          <cell r="D448">
            <v>12.17</v>
          </cell>
        </row>
        <row r="449">
          <cell r="C449" t="str">
            <v>Experian</v>
          </cell>
          <cell r="D449">
            <v>48.8</v>
          </cell>
        </row>
        <row r="450">
          <cell r="C450" t="str">
            <v>Ford</v>
          </cell>
          <cell r="D450">
            <v>11.19</v>
          </cell>
        </row>
        <row r="451">
          <cell r="C451" t="str">
            <v>Ameriprise Financial</v>
          </cell>
          <cell r="D451">
            <v>449.44</v>
          </cell>
        </row>
        <row r="452">
          <cell r="C452" t="str">
            <v>Microchip Technology</v>
          </cell>
          <cell r="D452">
            <v>82.16</v>
          </cell>
        </row>
        <row r="453">
          <cell r="C453" t="str">
            <v>Constellation Brands</v>
          </cell>
          <cell r="D453">
            <v>240.71</v>
          </cell>
        </row>
        <row r="454">
          <cell r="C454" t="str">
            <v>MPLX</v>
          </cell>
          <cell r="D454">
            <v>42.88</v>
          </cell>
        </row>
        <row r="455">
          <cell r="C455" t="str">
            <v>CaixaBank</v>
          </cell>
          <cell r="D455">
            <v>6.0351499999999998</v>
          </cell>
        </row>
        <row r="456">
          <cell r="C456" t="str">
            <v>Compagnie de Saint-Gobain</v>
          </cell>
          <cell r="D456">
            <v>87.410200000000003</v>
          </cell>
        </row>
        <row r="457">
          <cell r="C457" t="str">
            <v>Atlassian</v>
          </cell>
          <cell r="D457">
            <v>165.6</v>
          </cell>
        </row>
        <row r="458">
          <cell r="C458" t="str">
            <v>Axis Bank</v>
          </cell>
          <cell r="D458">
            <v>14.019600000000001</v>
          </cell>
        </row>
        <row r="459">
          <cell r="C459" t="str">
            <v>Prudential Financial</v>
          </cell>
          <cell r="D459">
            <v>121.16</v>
          </cell>
        </row>
        <row r="460">
          <cell r="C460" t="str">
            <v>Bank Mandiri</v>
          </cell>
          <cell r="D460">
            <v>0.46119500000000002</v>
          </cell>
        </row>
        <row r="461">
          <cell r="C461" t="str">
            <v>Goodman Group</v>
          </cell>
          <cell r="D461">
            <v>22.601199999999999</v>
          </cell>
        </row>
        <row r="462">
          <cell r="C462" t="str">
            <v>Emirates Telecom (Etisalat Group)</v>
          </cell>
          <cell r="D462">
            <v>4.9400000000000004</v>
          </cell>
        </row>
        <row r="463">
          <cell r="C463" t="str">
            <v>Royal Caribbean</v>
          </cell>
          <cell r="D463">
            <v>164.62</v>
          </cell>
        </row>
        <row r="464">
          <cell r="C464" t="str">
            <v>Mindray</v>
          </cell>
          <cell r="D464">
            <v>35.376300000000001</v>
          </cell>
        </row>
        <row r="465">
          <cell r="C465" t="str">
            <v>Cummins</v>
          </cell>
          <cell r="D465">
            <v>312.85000000000002</v>
          </cell>
        </row>
        <row r="466">
          <cell r="C466" t="str">
            <v>Kraft Heinz</v>
          </cell>
          <cell r="D466">
            <v>35.43</v>
          </cell>
        </row>
        <row r="467">
          <cell r="C467" t="str">
            <v>ENGIE</v>
          </cell>
          <cell r="D467">
            <v>17608</v>
          </cell>
        </row>
        <row r="468">
          <cell r="C468" t="str">
            <v>Humana</v>
          </cell>
          <cell r="D468">
            <v>354.47</v>
          </cell>
        </row>
        <row r="469">
          <cell r="C469" t="str">
            <v>Hess</v>
          </cell>
          <cell r="D469">
            <v>138.06</v>
          </cell>
        </row>
        <row r="470">
          <cell r="C470" t="str">
            <v>Arch Capital</v>
          </cell>
          <cell r="D470">
            <v>113.09</v>
          </cell>
        </row>
        <row r="471">
          <cell r="C471" t="str">
            <v>FICO</v>
          </cell>
          <cell r="D471">
            <v>1730.27</v>
          </cell>
        </row>
        <row r="472">
          <cell r="C472" t="str">
            <v>Generali</v>
          </cell>
          <cell r="D472">
            <v>27.500800000000002</v>
          </cell>
        </row>
        <row r="473">
          <cell r="C473" t="str">
            <v>Edwards Lifesciences</v>
          </cell>
          <cell r="D473">
            <v>69.959999999999994</v>
          </cell>
        </row>
        <row r="474">
          <cell r="C474" t="str">
            <v>Kotak Mahindra Bank</v>
          </cell>
          <cell r="D474">
            <v>21.238700000000001</v>
          </cell>
        </row>
        <row r="475">
          <cell r="C475" t="str">
            <v>Kenvue</v>
          </cell>
          <cell r="D475">
            <v>21.95</v>
          </cell>
        </row>
        <row r="476">
          <cell r="C476" t="str">
            <v>Cheniere Energy</v>
          </cell>
          <cell r="D476">
            <v>185.26</v>
          </cell>
        </row>
        <row r="477">
          <cell r="C477" t="str">
            <v>CITIC Bank</v>
          </cell>
          <cell r="D477">
            <v>0.86748000000000003</v>
          </cell>
        </row>
        <row r="478">
          <cell r="C478" t="str">
            <v>Maaden</v>
          </cell>
          <cell r="D478">
            <v>11.3215</v>
          </cell>
        </row>
        <row r="479">
          <cell r="C479" t="str">
            <v>Jingdong Mall</v>
          </cell>
          <cell r="D479">
            <v>27</v>
          </cell>
        </row>
        <row r="480">
          <cell r="C480" t="str">
            <v>Centene</v>
          </cell>
          <cell r="D480">
            <v>78.83</v>
          </cell>
        </row>
        <row r="481">
          <cell r="C481" t="str">
            <v>Nasdaq</v>
          </cell>
          <cell r="D481">
            <v>72.08</v>
          </cell>
        </row>
        <row r="482">
          <cell r="C482" t="str">
            <v>Ferguson</v>
          </cell>
          <cell r="D482">
            <v>205.71</v>
          </cell>
        </row>
        <row r="483">
          <cell r="C483" t="str">
            <v>Tamboran Resources</v>
          </cell>
          <cell r="D483">
            <v>20.03</v>
          </cell>
        </row>
        <row r="484">
          <cell r="C484" t="str">
            <v>Old Dominion Freight Line</v>
          </cell>
          <cell r="D484">
            <v>192.8</v>
          </cell>
        </row>
        <row r="485">
          <cell r="C485" t="str">
            <v>Nordea Bank</v>
          </cell>
          <cell r="D485">
            <v>11805</v>
          </cell>
        </row>
        <row r="486">
          <cell r="C486" t="str">
            <v>Deutsche Börse</v>
          </cell>
          <cell r="D486">
            <v>224273</v>
          </cell>
        </row>
        <row r="487">
          <cell r="C487" t="str">
            <v>Agilent Technologies</v>
          </cell>
          <cell r="D487">
            <v>142.91999999999999</v>
          </cell>
        </row>
        <row r="488">
          <cell r="C488" t="str">
            <v>Adani Enterprises</v>
          </cell>
          <cell r="D488">
            <v>36.010199999999998</v>
          </cell>
        </row>
        <row r="489">
          <cell r="C489" t="str">
            <v>Imperial Oil</v>
          </cell>
          <cell r="D489">
            <v>75.23</v>
          </cell>
        </row>
        <row r="490">
          <cell r="C490" t="str">
            <v>Agnico Eagle Mines</v>
          </cell>
          <cell r="D490">
            <v>81.47</v>
          </cell>
        </row>
        <row r="491">
          <cell r="C491" t="str">
            <v>Block</v>
          </cell>
          <cell r="D491">
            <v>66.08</v>
          </cell>
        </row>
        <row r="492">
          <cell r="C492" t="str">
            <v>3i Group</v>
          </cell>
          <cell r="D492">
            <v>41.730699999999999</v>
          </cell>
        </row>
        <row r="493">
          <cell r="C493" t="str">
            <v>Quanta Services</v>
          </cell>
          <cell r="D493">
            <v>275.13</v>
          </cell>
        </row>
        <row r="494">
          <cell r="C494" t="str">
            <v>WEG ON</v>
          </cell>
          <cell r="D494">
            <v>9.64879</v>
          </cell>
        </row>
        <row r="495">
          <cell r="C495" t="str">
            <v>First Abu Dhabi Bank</v>
          </cell>
          <cell r="D495">
            <v>3.65</v>
          </cell>
        </row>
        <row r="496">
          <cell r="C496" t="str">
            <v>Wolters Kluwer</v>
          </cell>
          <cell r="D496">
            <v>170388</v>
          </cell>
        </row>
        <row r="497">
          <cell r="C497" t="str">
            <v>General Mills</v>
          </cell>
          <cell r="D497">
            <v>72.290000000000006</v>
          </cell>
        </row>
        <row r="498">
          <cell r="C498" t="str">
            <v>PSEG</v>
          </cell>
          <cell r="D498">
            <v>80.75</v>
          </cell>
        </row>
        <row r="499">
          <cell r="C499" t="str">
            <v>UOB</v>
          </cell>
          <cell r="D499">
            <v>24026</v>
          </cell>
        </row>
        <row r="500">
          <cell r="C500" t="str">
            <v>QNB (Qatar National Bank)</v>
          </cell>
          <cell r="D500">
            <v>4.3516500000000002</v>
          </cell>
        </row>
        <row r="501">
          <cell r="C501" t="str">
            <v>IDEXX Laboratories</v>
          </cell>
          <cell r="D501">
            <v>481.33</v>
          </cell>
        </row>
        <row r="502">
          <cell r="C502" t="str">
            <v>Electronic Arts</v>
          </cell>
          <cell r="D502">
            <v>151.82</v>
          </cell>
        </row>
        <row r="503">
          <cell r="C503" t="str">
            <v>Luxshare Precision</v>
          </cell>
          <cell r="D503">
            <v>5.5603400000000001</v>
          </cell>
        </row>
        <row r="504">
          <cell r="C504" t="str">
            <v>Reckitt Benckiser</v>
          </cell>
          <cell r="D504">
            <v>57.312399999999997</v>
          </cell>
        </row>
        <row r="505">
          <cell r="C505" t="str">
            <v>Jiangsu Hengrui Medicine</v>
          </cell>
          <cell r="D505">
            <v>6.2247000000000003</v>
          </cell>
        </row>
        <row r="506">
          <cell r="C506" t="str">
            <v>Grupo México</v>
          </cell>
          <cell r="D506">
            <v>5.12</v>
          </cell>
        </row>
        <row r="507">
          <cell r="C507" t="str">
            <v>Loblaw Companies</v>
          </cell>
          <cell r="D507">
            <v>130349</v>
          </cell>
        </row>
        <row r="508">
          <cell r="C508" t="str">
            <v>Nongfu Spring</v>
          </cell>
          <cell r="D508">
            <v>3.64229</v>
          </cell>
        </row>
        <row r="509">
          <cell r="C509" t="str">
            <v>Coupang</v>
          </cell>
          <cell r="D509">
            <v>22.15</v>
          </cell>
        </row>
        <row r="510">
          <cell r="C510" t="str">
            <v>Corteva</v>
          </cell>
          <cell r="D510">
            <v>57.3</v>
          </cell>
        </row>
        <row r="511">
          <cell r="C511" t="str">
            <v>Ametek</v>
          </cell>
          <cell r="D511">
            <v>171.05</v>
          </cell>
        </row>
        <row r="512">
          <cell r="C512" t="str">
            <v>Howmet Aerospace</v>
          </cell>
          <cell r="D512">
            <v>96.66</v>
          </cell>
        </row>
        <row r="513">
          <cell r="C513" t="str">
            <v>Singtel</v>
          </cell>
          <cell r="D513">
            <v>2.3957099999999998</v>
          </cell>
        </row>
        <row r="514">
          <cell r="C514" t="str">
            <v>Swiss Re</v>
          </cell>
          <cell r="D514">
            <v>136159</v>
          </cell>
        </row>
        <row r="515">
          <cell r="C515" t="str">
            <v>Kuwait Finance House</v>
          </cell>
          <cell r="D515">
            <v>2378.9299999999998</v>
          </cell>
        </row>
        <row r="516">
          <cell r="C516" t="str">
            <v>EQT</v>
          </cell>
          <cell r="D516">
            <v>33.375700000000002</v>
          </cell>
        </row>
        <row r="517">
          <cell r="C517" t="str">
            <v>Fubon Financial</v>
          </cell>
          <cell r="D517">
            <v>2.8725000000000001</v>
          </cell>
        </row>
        <row r="518">
          <cell r="C518" t="str">
            <v>Delta Electronics (Thailand)</v>
          </cell>
          <cell r="D518">
            <v>3.1375199999999999</v>
          </cell>
        </row>
        <row r="519">
          <cell r="C519" t="str">
            <v>Fastenal</v>
          </cell>
          <cell r="D519">
            <v>68.28</v>
          </cell>
        </row>
        <row r="520">
          <cell r="C520" t="str">
            <v>Rocket Companies</v>
          </cell>
          <cell r="D520">
            <v>19.649999999999999</v>
          </cell>
        </row>
        <row r="521">
          <cell r="C521" t="str">
            <v>Hong Kong Exchanges &amp; Clearing</v>
          </cell>
          <cell r="D521">
            <v>30.831199999999999</v>
          </cell>
        </row>
        <row r="522">
          <cell r="C522" t="str">
            <v>Verisk Analytics</v>
          </cell>
          <cell r="D522">
            <v>272.82</v>
          </cell>
        </row>
        <row r="523">
          <cell r="C523" t="str">
            <v>UltraTech Cement</v>
          </cell>
          <cell r="D523">
            <v>134792</v>
          </cell>
        </row>
        <row r="524">
          <cell r="C524" t="str">
            <v>Murata Manufacturing (Murata Seisakusho)</v>
          </cell>
          <cell r="D524">
            <v>20749</v>
          </cell>
        </row>
        <row r="525">
          <cell r="C525" t="str">
            <v>Datadog</v>
          </cell>
          <cell r="D525">
            <v>116.26</v>
          </cell>
        </row>
        <row r="526">
          <cell r="C526" t="str">
            <v>The Hershey Company</v>
          </cell>
          <cell r="D526">
            <v>193.06</v>
          </cell>
        </row>
        <row r="527">
          <cell r="C527" t="str">
            <v>GE HealthCare Technologies</v>
          </cell>
          <cell r="D527">
            <v>84.82</v>
          </cell>
        </row>
        <row r="528">
          <cell r="C528" t="str">
            <v>Extra Space Storage</v>
          </cell>
          <cell r="D528">
            <v>177</v>
          </cell>
        </row>
        <row r="529">
          <cell r="C529" t="str">
            <v>Coal India</v>
          </cell>
          <cell r="D529">
            <v>6.2608100000000002</v>
          </cell>
        </row>
        <row r="530">
          <cell r="C530" t="str">
            <v>Cognizant Technology Solutions</v>
          </cell>
          <cell r="D530">
            <v>77.77</v>
          </cell>
        </row>
        <row r="531">
          <cell r="C531" t="str">
            <v>Kroger</v>
          </cell>
          <cell r="D531">
            <v>53.21</v>
          </cell>
        </row>
        <row r="532">
          <cell r="C532" t="str">
            <v>NatWest Group</v>
          </cell>
          <cell r="D532">
            <v>9.2200000000000006</v>
          </cell>
        </row>
        <row r="533">
          <cell r="C533" t="str">
            <v>Sysco</v>
          </cell>
          <cell r="D533">
            <v>77.97</v>
          </cell>
        </row>
        <row r="534">
          <cell r="C534" t="str">
            <v>Snowflake</v>
          </cell>
          <cell r="D534">
            <v>114.23</v>
          </cell>
        </row>
        <row r="535">
          <cell r="C535" t="str">
            <v>DMart</v>
          </cell>
          <cell r="D535">
            <v>58.767200000000003</v>
          </cell>
        </row>
        <row r="536">
          <cell r="C536" t="str">
            <v>Adani Ports &amp; SEZ</v>
          </cell>
          <cell r="D536">
            <v>17.6739</v>
          </cell>
        </row>
        <row r="537">
          <cell r="C537" t="str">
            <v>Exelon Corporation</v>
          </cell>
          <cell r="D537">
            <v>38.090000000000003</v>
          </cell>
        </row>
        <row r="538">
          <cell r="C538" t="str">
            <v>Fortescue</v>
          </cell>
          <cell r="D538">
            <v>12363</v>
          </cell>
        </row>
        <row r="539">
          <cell r="C539" t="str">
            <v>Yum! Brands</v>
          </cell>
          <cell r="D539">
            <v>134.91999999999999</v>
          </cell>
        </row>
        <row r="540">
          <cell r="C540" t="str">
            <v>Equifax</v>
          </cell>
          <cell r="D540">
            <v>307.13</v>
          </cell>
        </row>
        <row r="541">
          <cell r="C541" t="str">
            <v>Otis Worldwide</v>
          </cell>
          <cell r="D541">
            <v>94.69</v>
          </cell>
        </row>
        <row r="542">
          <cell r="C542" t="str">
            <v>Gartner</v>
          </cell>
          <cell r="D542">
            <v>491.96</v>
          </cell>
        </row>
        <row r="543">
          <cell r="C543" t="str">
            <v>Exor</v>
          </cell>
          <cell r="D543">
            <v>111197</v>
          </cell>
        </row>
        <row r="544">
          <cell r="C544" t="str">
            <v>Flutter Entertainment</v>
          </cell>
          <cell r="D544">
            <v>212.41</v>
          </cell>
        </row>
        <row r="545">
          <cell r="C545" t="str">
            <v>Titan Company</v>
          </cell>
          <cell r="D545">
            <v>42.5197</v>
          </cell>
        </row>
        <row r="546">
          <cell r="C546" t="str">
            <v>7-Eleven</v>
          </cell>
          <cell r="D546">
            <v>14356</v>
          </cell>
        </row>
        <row r="547">
          <cell r="C547" t="str">
            <v>Dow</v>
          </cell>
          <cell r="D547">
            <v>53.58</v>
          </cell>
        </row>
        <row r="548">
          <cell r="C548" t="str">
            <v>Coca-Cola European Partners</v>
          </cell>
          <cell r="D548">
            <v>80.489999999999995</v>
          </cell>
        </row>
        <row r="549">
          <cell r="C549" t="str">
            <v>Powergrid Corporation of India</v>
          </cell>
          <cell r="D549">
            <v>4024</v>
          </cell>
        </row>
        <row r="550">
          <cell r="C550" t="str">
            <v>Hindustan Aeronautics</v>
          </cell>
          <cell r="D550">
            <v>55.815399999999997</v>
          </cell>
        </row>
        <row r="551">
          <cell r="C551" t="str">
            <v>Partners Group</v>
          </cell>
          <cell r="D551">
            <v>1436.91</v>
          </cell>
        </row>
        <row r="552">
          <cell r="C552" t="str">
            <v>Mahindra &amp;amp; Mahindra</v>
          </cell>
          <cell r="D552">
            <v>33.458599999999997</v>
          </cell>
        </row>
        <row r="553">
          <cell r="C553" t="str">
            <v>CITIC Securities</v>
          </cell>
          <cell r="D553">
            <v>2.7209300000000001</v>
          </cell>
        </row>
        <row r="554">
          <cell r="C554" t="str">
            <v>DSV</v>
          </cell>
          <cell r="D554">
            <v>179058</v>
          </cell>
        </row>
        <row r="555">
          <cell r="C555" t="str">
            <v>Daikin</v>
          </cell>
          <cell r="D555">
            <v>126628</v>
          </cell>
        </row>
        <row r="556">
          <cell r="C556" t="str">
            <v>E.ON</v>
          </cell>
          <cell r="D556">
            <v>14.1594</v>
          </cell>
        </row>
        <row r="557">
          <cell r="C557" t="str">
            <v>Ambev</v>
          </cell>
          <cell r="D557">
            <v>2.27</v>
          </cell>
        </row>
        <row r="558">
          <cell r="C558" t="str">
            <v>QNB Finansbank</v>
          </cell>
          <cell r="D558">
            <v>11.0284</v>
          </cell>
        </row>
        <row r="559">
          <cell r="C559" t="str">
            <v>Ingersoll Rand</v>
          </cell>
          <cell r="D559">
            <v>91.45</v>
          </cell>
        </row>
        <row r="560">
          <cell r="C560" t="str">
            <v>Alnylam Pharmaceuticals</v>
          </cell>
          <cell r="D560">
            <v>262.69</v>
          </cell>
        </row>
        <row r="561">
          <cell r="C561" t="str">
            <v>Kühne + Nagel</v>
          </cell>
          <cell r="D561">
            <v>309624</v>
          </cell>
        </row>
        <row r="562">
          <cell r="C562" t="str">
            <v>Naspers</v>
          </cell>
          <cell r="D562">
            <v>41.09</v>
          </cell>
        </row>
        <row r="563">
          <cell r="C563" t="str">
            <v>Bajaj Auto</v>
          </cell>
          <cell r="D563">
            <v>129898</v>
          </cell>
        </row>
        <row r="564">
          <cell r="C564" t="str">
            <v>MS&amp;amp;AD Insurance</v>
          </cell>
          <cell r="D564">
            <v>22.883400000000002</v>
          </cell>
        </row>
        <row r="565">
          <cell r="C565" t="str">
            <v>DSM-Firmenich</v>
          </cell>
          <cell r="D565">
            <v>135957</v>
          </cell>
        </row>
        <row r="566">
          <cell r="C566" t="str">
            <v>Henkel</v>
          </cell>
          <cell r="D566">
            <v>91.477800000000002</v>
          </cell>
        </row>
        <row r="567">
          <cell r="C567" t="str">
            <v>Nucor</v>
          </cell>
          <cell r="D567">
            <v>151.91</v>
          </cell>
        </row>
        <row r="568">
          <cell r="C568" t="str">
            <v>Bayan Resources</v>
          </cell>
          <cell r="D568">
            <v>1.0809800000000001</v>
          </cell>
        </row>
        <row r="569">
          <cell r="C569" t="str">
            <v>ResMed</v>
          </cell>
          <cell r="D569">
            <v>245.02</v>
          </cell>
        </row>
        <row r="570">
          <cell r="C570" t="str">
            <v>Corning</v>
          </cell>
          <cell r="D570">
            <v>41.85</v>
          </cell>
        </row>
        <row r="571">
          <cell r="C571" t="str">
            <v>Assa Abloy</v>
          </cell>
          <cell r="D571">
            <v>32.236499999999999</v>
          </cell>
        </row>
        <row r="572">
          <cell r="C572" t="str">
            <v>Pernod Ricard</v>
          </cell>
          <cell r="D572">
            <v>142368</v>
          </cell>
        </row>
        <row r="573">
          <cell r="C573" t="str">
            <v>Asian Paints</v>
          </cell>
          <cell r="D573">
            <v>37.291699999999999</v>
          </cell>
        </row>
        <row r="574">
          <cell r="C574" t="str">
            <v>Barrick Gold</v>
          </cell>
          <cell r="D574">
            <v>20.190000000000001</v>
          </cell>
        </row>
        <row r="575">
          <cell r="C575" t="str">
            <v>Shanghai Pudong Development Bank</v>
          </cell>
          <cell r="D575">
            <v>1.1890799999999999</v>
          </cell>
        </row>
        <row r="576">
          <cell r="C576" t="str">
            <v>CBRE Group</v>
          </cell>
          <cell r="D576">
            <v>115.14</v>
          </cell>
        </row>
        <row r="577">
          <cell r="C577" t="str">
            <v>Baker Hughes</v>
          </cell>
          <cell r="D577">
            <v>35.17</v>
          </cell>
        </row>
        <row r="578">
          <cell r="C578" t="str">
            <v>Kering</v>
          </cell>
          <cell r="D578">
            <v>286283</v>
          </cell>
        </row>
        <row r="579">
          <cell r="C579" t="str">
            <v>Garmin</v>
          </cell>
          <cell r="D579">
            <v>183.29</v>
          </cell>
        </row>
        <row r="580">
          <cell r="C580" t="str">
            <v>Dupont De Nemours</v>
          </cell>
          <cell r="D580">
            <v>84.25</v>
          </cell>
        </row>
        <row r="581">
          <cell r="C581" t="str">
            <v>Consolidated Edison</v>
          </cell>
          <cell r="D581">
            <v>101.56</v>
          </cell>
        </row>
        <row r="582">
          <cell r="C582" t="str">
            <v>Anglo American</v>
          </cell>
          <cell r="D582">
            <v>28.997499999999999</v>
          </cell>
        </row>
        <row r="583">
          <cell r="C583" t="str">
            <v>Capgemini</v>
          </cell>
          <cell r="D583">
            <v>207251</v>
          </cell>
        </row>
        <row r="584">
          <cell r="C584" t="str">
            <v>Hikvision</v>
          </cell>
          <cell r="D584">
            <v>3.7689499999999998</v>
          </cell>
        </row>
        <row r="585">
          <cell r="C585" t="str">
            <v>Veeva Systems</v>
          </cell>
          <cell r="D585">
            <v>216.44</v>
          </cell>
        </row>
        <row r="586">
          <cell r="C586" t="str">
            <v>VICI Properties</v>
          </cell>
          <cell r="D586">
            <v>33.479999999999997</v>
          </cell>
        </row>
        <row r="587">
          <cell r="C587" t="str">
            <v>Mitsubishi Electric</v>
          </cell>
          <cell r="D587">
            <v>16699</v>
          </cell>
        </row>
        <row r="588">
          <cell r="C588" t="str">
            <v>HP</v>
          </cell>
          <cell r="D588">
            <v>36.18</v>
          </cell>
        </row>
        <row r="589">
          <cell r="C589" t="str">
            <v>Discover Financial Services</v>
          </cell>
          <cell r="D589">
            <v>138.71</v>
          </cell>
        </row>
        <row r="590">
          <cell r="C590" t="str">
            <v>Diamondback Energy</v>
          </cell>
          <cell r="D590">
            <v>195.11</v>
          </cell>
        </row>
        <row r="591">
          <cell r="C591" t="str">
            <v>Woodside Energy</v>
          </cell>
          <cell r="D591">
            <v>18.329999999999998</v>
          </cell>
        </row>
        <row r="592">
          <cell r="C592" t="str">
            <v>Adani Green Energy</v>
          </cell>
          <cell r="D592">
            <v>21.922699999999999</v>
          </cell>
        </row>
        <row r="593">
          <cell r="C593" t="str">
            <v>UCB</v>
          </cell>
          <cell r="D593">
            <v>182539</v>
          </cell>
        </row>
        <row r="594">
          <cell r="C594" t="str">
            <v>Thales</v>
          </cell>
          <cell r="D594">
            <v>168012</v>
          </cell>
        </row>
        <row r="595">
          <cell r="C595" t="str">
            <v>Cenovus Energy</v>
          </cell>
          <cell r="D595">
            <v>18.54</v>
          </cell>
        </row>
        <row r="596">
          <cell r="C596" t="str">
            <v>Xcel Energy</v>
          </cell>
          <cell r="D596">
            <v>61.23</v>
          </cell>
        </row>
        <row r="597">
          <cell r="C597" t="str">
            <v>Hannover Rück</v>
          </cell>
          <cell r="D597">
            <v>283298</v>
          </cell>
        </row>
        <row r="598">
          <cell r="C598" t="str">
            <v>The Hartford</v>
          </cell>
          <cell r="D598">
            <v>116.1</v>
          </cell>
        </row>
        <row r="599">
          <cell r="C599" t="str">
            <v>Bajaj Finserv</v>
          </cell>
          <cell r="D599">
            <v>21.265499999999999</v>
          </cell>
        </row>
        <row r="600">
          <cell r="C600" t="str">
            <v>Emirates NBD Bank PJSC</v>
          </cell>
          <cell r="D600">
            <v>5.3640499999999998</v>
          </cell>
        </row>
        <row r="601">
          <cell r="C601" t="str">
            <v>Japan Post Bank</v>
          </cell>
          <cell r="D601">
            <v>9.3312200000000001</v>
          </cell>
        </row>
        <row r="602">
          <cell r="C602" t="str">
            <v>Fujitsu</v>
          </cell>
          <cell r="D602">
            <v>18317</v>
          </cell>
        </row>
        <row r="603">
          <cell r="C603" t="str">
            <v>China Pacific Insurance</v>
          </cell>
          <cell r="D603">
            <v>4.1808300000000003</v>
          </cell>
        </row>
        <row r="604">
          <cell r="C604" t="str">
            <v>Edison International</v>
          </cell>
          <cell r="D604">
            <v>87.03</v>
          </cell>
        </row>
        <row r="605">
          <cell r="C605" t="str">
            <v>Wipro</v>
          </cell>
          <cell r="D605">
            <v>6.43</v>
          </cell>
        </row>
        <row r="606">
          <cell r="C606" t="str">
            <v>Advantest</v>
          </cell>
          <cell r="D606">
            <v>45.4315</v>
          </cell>
        </row>
        <row r="607">
          <cell r="C607" t="str">
            <v>Intact Financial</v>
          </cell>
          <cell r="D607">
            <v>187972</v>
          </cell>
        </row>
        <row r="608">
          <cell r="C608" t="str">
            <v>Xylem</v>
          </cell>
          <cell r="D608">
            <v>137.53</v>
          </cell>
        </row>
        <row r="609">
          <cell r="C609" t="str">
            <v>KBC</v>
          </cell>
          <cell r="D609">
            <v>78.5</v>
          </cell>
        </row>
        <row r="610">
          <cell r="C610" t="str">
            <v>Bank of China (Hong Kong)</v>
          </cell>
          <cell r="D610">
            <v>3.1549399999999999</v>
          </cell>
        </row>
        <row r="611">
          <cell r="C611" t="str">
            <v>ON Semiconductor</v>
          </cell>
          <cell r="D611">
            <v>77.87</v>
          </cell>
        </row>
        <row r="612">
          <cell r="C612" t="str">
            <v>Iron Mountain</v>
          </cell>
          <cell r="D612">
            <v>113.26</v>
          </cell>
        </row>
        <row r="613">
          <cell r="C613" t="str">
            <v>Canon</v>
          </cell>
          <cell r="D613">
            <v>34.321599999999997</v>
          </cell>
        </row>
        <row r="614">
          <cell r="C614" t="str">
            <v>ASM International</v>
          </cell>
          <cell r="D614">
            <v>675362</v>
          </cell>
        </row>
        <row r="615">
          <cell r="C615" t="str">
            <v>Beiersdorf</v>
          </cell>
          <cell r="D615">
            <v>144523</v>
          </cell>
        </row>
        <row r="616">
          <cell r="C616" t="str">
            <v>Quanta Computer</v>
          </cell>
          <cell r="D616">
            <v>8.37683</v>
          </cell>
        </row>
        <row r="617">
          <cell r="C617" t="str">
            <v>Swisscom</v>
          </cell>
          <cell r="D617">
            <v>631.37</v>
          </cell>
        </row>
        <row r="618">
          <cell r="C618" t="str">
            <v>Alpha Dhabi</v>
          </cell>
          <cell r="D618">
            <v>3.27</v>
          </cell>
        </row>
        <row r="619">
          <cell r="C619" t="str">
            <v>Martin Marietta</v>
          </cell>
          <cell r="D619">
            <v>534.16</v>
          </cell>
        </row>
        <row r="620">
          <cell r="C620" t="str">
            <v>Novatek</v>
          </cell>
          <cell r="D620">
            <v>10.92</v>
          </cell>
        </row>
        <row r="621">
          <cell r="C621" t="str">
            <v>Dubai Electricity and Water Authority (DEWA)</v>
          </cell>
          <cell r="D621">
            <v>0.65076500000000004</v>
          </cell>
        </row>
        <row r="622">
          <cell r="C622" t="str">
            <v>Estee Lauder</v>
          </cell>
          <cell r="D622">
            <v>91.66</v>
          </cell>
        </row>
        <row r="623">
          <cell r="C623" t="str">
            <v>The People's Insurance Company (PICC)</v>
          </cell>
          <cell r="D623">
            <v>0.84632200000000002</v>
          </cell>
        </row>
        <row r="624">
          <cell r="C624" t="str">
            <v>Delta Electronics</v>
          </cell>
          <cell r="D624">
            <v>12.4871</v>
          </cell>
        </row>
        <row r="625">
          <cell r="C625" t="str">
            <v>Vulcan Materials</v>
          </cell>
          <cell r="D625">
            <v>245.21</v>
          </cell>
        </row>
        <row r="626">
          <cell r="C626" t="str">
            <v>lululemon athletica</v>
          </cell>
          <cell r="D626">
            <v>259.47000000000003</v>
          </cell>
        </row>
        <row r="627">
          <cell r="C627" t="str">
            <v>Grayscale Bitcoin Trust</v>
          </cell>
          <cell r="D627">
            <v>46.75</v>
          </cell>
        </row>
        <row r="628">
          <cell r="C628" t="str">
            <v>Wanhua Chemical</v>
          </cell>
          <cell r="D628">
            <v>10.296900000000001</v>
          </cell>
        </row>
        <row r="629">
          <cell r="C629" t="str">
            <v>Otsuka Holdings</v>
          </cell>
          <cell r="D629">
            <v>58.518500000000003</v>
          </cell>
        </row>
        <row r="630">
          <cell r="C630" t="str">
            <v>Invest Bank</v>
          </cell>
          <cell r="D630">
            <v>0.12</v>
          </cell>
        </row>
        <row r="631">
          <cell r="C631" t="str">
            <v>Novozymes</v>
          </cell>
          <cell r="D631">
            <v>69.540199999999999</v>
          </cell>
        </row>
        <row r="632">
          <cell r="C632" t="str">
            <v>Gazprom</v>
          </cell>
          <cell r="D632">
            <v>1.4</v>
          </cell>
        </row>
        <row r="633">
          <cell r="C633" t="str">
            <v>Targa Resources</v>
          </cell>
          <cell r="D633">
            <v>146.9</v>
          </cell>
        </row>
        <row r="634">
          <cell r="C634" t="str">
            <v>Fujifilm</v>
          </cell>
          <cell r="D634">
            <v>26.714400000000001</v>
          </cell>
        </row>
        <row r="635">
          <cell r="C635" t="str">
            <v>AvalonBay Communities</v>
          </cell>
          <cell r="D635">
            <v>225.73</v>
          </cell>
        </row>
        <row r="636">
          <cell r="C636" t="str">
            <v>Deutsche Bank</v>
          </cell>
          <cell r="D636">
            <v>16.399999999999999</v>
          </cell>
        </row>
        <row r="637">
          <cell r="C637" t="str">
            <v>LyondellBasell</v>
          </cell>
          <cell r="D637">
            <v>98.7</v>
          </cell>
        </row>
        <row r="638">
          <cell r="C638" t="str">
            <v>BCE</v>
          </cell>
          <cell r="D638">
            <v>35</v>
          </cell>
        </row>
        <row r="639">
          <cell r="C639" t="str">
            <v>Ahold Delhaize</v>
          </cell>
          <cell r="D639">
            <v>34.331800000000001</v>
          </cell>
        </row>
        <row r="640">
          <cell r="C640" t="str">
            <v>CoStar Group</v>
          </cell>
          <cell r="D640">
            <v>77.3</v>
          </cell>
        </row>
        <row r="641">
          <cell r="C641" t="str">
            <v>China State Construction Engineering</v>
          </cell>
          <cell r="D641">
            <v>0.76027900000000004</v>
          </cell>
        </row>
        <row r="642">
          <cell r="C642" t="str">
            <v>Disco Corp.</v>
          </cell>
          <cell r="D642">
            <v>291.83999999999997</v>
          </cell>
        </row>
        <row r="643">
          <cell r="C643" t="str">
            <v>Skandinaviska Enskilda Banken</v>
          </cell>
          <cell r="D643">
            <v>15.3832</v>
          </cell>
        </row>
        <row r="644">
          <cell r="C644" t="str">
            <v>Gree Electric Appliances</v>
          </cell>
          <cell r="D644">
            <v>5.5998299999999999</v>
          </cell>
        </row>
        <row r="645">
          <cell r="C645" t="str">
            <v>Tesco</v>
          </cell>
          <cell r="D645">
            <v>4.6430100000000003</v>
          </cell>
        </row>
        <row r="646">
          <cell r="C646" t="str">
            <v>Sun Life Financial</v>
          </cell>
          <cell r="D646">
            <v>54.52</v>
          </cell>
        </row>
        <row r="647">
          <cell r="C647" t="str">
            <v>Celltrion</v>
          </cell>
          <cell r="D647">
            <v>151885</v>
          </cell>
        </row>
        <row r="648">
          <cell r="C648" t="str">
            <v>DNB</v>
          </cell>
          <cell r="D648">
            <v>21.1388</v>
          </cell>
        </row>
        <row r="649">
          <cell r="C649" t="str">
            <v>Maybank</v>
          </cell>
          <cell r="D649">
            <v>5.2</v>
          </cell>
        </row>
        <row r="650">
          <cell r="C650" t="str">
            <v>Restaurant Brands International</v>
          </cell>
          <cell r="D650">
            <v>69.48</v>
          </cell>
        </row>
        <row r="651">
          <cell r="C651" t="str">
            <v>Kia</v>
          </cell>
          <cell r="D651">
            <v>79.384100000000004</v>
          </cell>
        </row>
        <row r="652">
          <cell r="C652" t="str">
            <v>National Bank of Canada</v>
          </cell>
          <cell r="D652">
            <v>91.521500000000003</v>
          </cell>
        </row>
        <row r="653">
          <cell r="C653" t="str">
            <v>Vertiv Holdings</v>
          </cell>
          <cell r="D653">
            <v>83.03</v>
          </cell>
        </row>
        <row r="654">
          <cell r="C654" t="str">
            <v>AppLovin</v>
          </cell>
          <cell r="D654">
            <v>92.87</v>
          </cell>
        </row>
        <row r="655">
          <cell r="C655" t="str">
            <v>Argenx</v>
          </cell>
          <cell r="D655">
            <v>517.32000000000005</v>
          </cell>
        </row>
        <row r="656">
          <cell r="C656" t="str">
            <v>Ashtead</v>
          </cell>
          <cell r="D656">
            <v>70.859399999999994</v>
          </cell>
        </row>
        <row r="657">
          <cell r="C657" t="str">
            <v>Trip.com</v>
          </cell>
          <cell r="D657">
            <v>47.14</v>
          </cell>
        </row>
        <row r="658">
          <cell r="C658" t="str">
            <v>Rockwell Automation</v>
          </cell>
          <cell r="D658">
            <v>272.02999999999997</v>
          </cell>
        </row>
        <row r="659">
          <cell r="C659" t="str">
            <v>Renesas Electronics</v>
          </cell>
          <cell r="D659">
            <v>17.198399999999999</v>
          </cell>
        </row>
        <row r="660">
          <cell r="C660" t="str">
            <v>Haier Smart Home</v>
          </cell>
          <cell r="D660">
            <v>3.4882599999999999</v>
          </cell>
        </row>
        <row r="661">
          <cell r="C661" t="str">
            <v>Telstra</v>
          </cell>
          <cell r="D661">
            <v>2.6593599999999999</v>
          </cell>
        </row>
        <row r="662">
          <cell r="C662" t="str">
            <v>Orange</v>
          </cell>
          <cell r="D662">
            <v>11.45</v>
          </cell>
        </row>
        <row r="663">
          <cell r="C663" t="str">
            <v>Coloplast</v>
          </cell>
          <cell r="D663">
            <v>136314</v>
          </cell>
        </row>
        <row r="664">
          <cell r="C664" t="str">
            <v>Daimler Truck</v>
          </cell>
          <cell r="D664">
            <v>38.377400000000002</v>
          </cell>
        </row>
        <row r="665">
          <cell r="C665" t="str">
            <v>Great-West Lifeco</v>
          </cell>
          <cell r="D665">
            <v>32.831800000000001</v>
          </cell>
        </row>
        <row r="666">
          <cell r="C666" t="str">
            <v>HEICO</v>
          </cell>
          <cell r="D666">
            <v>256.56</v>
          </cell>
        </row>
        <row r="667">
          <cell r="C667" t="str">
            <v>Japan Post Holdings</v>
          </cell>
          <cell r="D667">
            <v>9.7109000000000005</v>
          </cell>
        </row>
        <row r="668">
          <cell r="C668" t="str">
            <v>Mettler-Toledo</v>
          </cell>
          <cell r="D668">
            <v>1439.08</v>
          </cell>
        </row>
        <row r="669">
          <cell r="C669" t="str">
            <v>Trent Limited</v>
          </cell>
          <cell r="D669">
            <v>85.378699999999995</v>
          </cell>
        </row>
        <row r="670">
          <cell r="C670" t="str">
            <v>Bayer</v>
          </cell>
          <cell r="D670">
            <v>30.875299999999999</v>
          </cell>
        </row>
        <row r="671">
          <cell r="C671" t="str">
            <v>Chocoladefabriken Lindt &amp;amp; Sprüngli</v>
          </cell>
          <cell r="D671">
            <v>13204</v>
          </cell>
        </row>
        <row r="672">
          <cell r="C672" t="str">
            <v>Aena</v>
          </cell>
          <cell r="D672">
            <v>201835</v>
          </cell>
        </row>
        <row r="673">
          <cell r="C673" t="str">
            <v>PPG Industries</v>
          </cell>
          <cell r="D673">
            <v>129.72999999999999</v>
          </cell>
        </row>
        <row r="674">
          <cell r="C674" t="str">
            <v>Zscaler</v>
          </cell>
          <cell r="D674">
            <v>199.98</v>
          </cell>
        </row>
        <row r="675">
          <cell r="C675" t="str">
            <v>CDW Corporation</v>
          </cell>
          <cell r="D675">
            <v>225.64</v>
          </cell>
        </row>
        <row r="676">
          <cell r="C676" t="str">
            <v>Ferrovial</v>
          </cell>
          <cell r="D676">
            <v>41.715499999999999</v>
          </cell>
        </row>
        <row r="677">
          <cell r="C677" t="str">
            <v>Mitsui Fudosan</v>
          </cell>
          <cell r="D677">
            <v>10.726800000000001</v>
          </cell>
        </row>
        <row r="678">
          <cell r="C678" t="str">
            <v>BTG Pactual</v>
          </cell>
          <cell r="D678">
            <v>2.90978</v>
          </cell>
        </row>
        <row r="679">
          <cell r="C679" t="str">
            <v>Brown &amp;amp; Brown</v>
          </cell>
          <cell r="D679">
            <v>105.13</v>
          </cell>
        </row>
        <row r="680">
          <cell r="C680" t="str">
            <v>Chunghwa Telecom</v>
          </cell>
          <cell r="D680">
            <v>38.65</v>
          </cell>
        </row>
        <row r="681">
          <cell r="C681" t="str">
            <v>Biogen</v>
          </cell>
          <cell r="D681">
            <v>204.76</v>
          </cell>
        </row>
        <row r="682">
          <cell r="C682" t="str">
            <v>Indian Oil</v>
          </cell>
          <cell r="D682">
            <v>2.11063</v>
          </cell>
        </row>
        <row r="683">
          <cell r="C683" t="str">
            <v>Moderna</v>
          </cell>
          <cell r="D683">
            <v>77.400000000000006</v>
          </cell>
        </row>
        <row r="684">
          <cell r="C684" t="str">
            <v>Muyuan Foods</v>
          </cell>
          <cell r="D684">
            <v>5.4390299999999998</v>
          </cell>
        </row>
        <row r="685">
          <cell r="C685" t="str">
            <v>Wabtec</v>
          </cell>
          <cell r="D685">
            <v>169.57</v>
          </cell>
        </row>
        <row r="686">
          <cell r="C686" t="str">
            <v>Willis Towers Watson</v>
          </cell>
          <cell r="D686">
            <v>292.11</v>
          </cell>
        </row>
        <row r="687">
          <cell r="C687" t="str">
            <v>Baidu</v>
          </cell>
          <cell r="D687">
            <v>84.62</v>
          </cell>
        </row>
        <row r="688">
          <cell r="C688" t="str">
            <v>Woolworths Group</v>
          </cell>
          <cell r="D688">
            <v>24144</v>
          </cell>
        </row>
        <row r="689">
          <cell r="C689" t="str">
            <v>WEC Energy Group</v>
          </cell>
          <cell r="D689">
            <v>93.03</v>
          </cell>
        </row>
        <row r="690">
          <cell r="C690" t="str">
            <v>SMC corp</v>
          </cell>
          <cell r="D690">
            <v>458352</v>
          </cell>
        </row>
        <row r="691">
          <cell r="C691" t="str">
            <v>Schindler Group</v>
          </cell>
          <cell r="D691">
            <v>270083</v>
          </cell>
        </row>
        <row r="692">
          <cell r="C692" t="str">
            <v>Vistra</v>
          </cell>
          <cell r="D692">
            <v>85.43</v>
          </cell>
        </row>
        <row r="693">
          <cell r="C693" t="str">
            <v>Amadeus IT Group</v>
          </cell>
          <cell r="D693">
            <v>67.359300000000005</v>
          </cell>
        </row>
        <row r="694">
          <cell r="C694" t="str">
            <v>Legrand</v>
          </cell>
          <cell r="D694">
            <v>111.86</v>
          </cell>
        </row>
        <row r="695">
          <cell r="C695" t="str">
            <v>Siemens India</v>
          </cell>
          <cell r="D695">
            <v>82.210499999999996</v>
          </cell>
        </row>
        <row r="696">
          <cell r="C696" t="str">
            <v>Archer Daniels Midland (ADM)</v>
          </cell>
          <cell r="D696">
            <v>60.99</v>
          </cell>
        </row>
        <row r="697">
          <cell r="C697" t="str">
            <v>First Citizens BancShares</v>
          </cell>
          <cell r="D697">
            <v>2030.7</v>
          </cell>
        </row>
        <row r="698">
          <cell r="C698" t="str">
            <v>Cathay Financial Holding</v>
          </cell>
          <cell r="D698">
            <v>1.98481</v>
          </cell>
        </row>
        <row r="699">
          <cell r="C699" t="str">
            <v>CITIC limited</v>
          </cell>
          <cell r="D699">
            <v>0.99906399999999995</v>
          </cell>
        </row>
        <row r="700">
          <cell r="C700" t="str">
            <v>Adani Power</v>
          </cell>
          <cell r="D700">
            <v>7.5381299999999998</v>
          </cell>
        </row>
        <row r="701">
          <cell r="C701" t="str">
            <v>Foshan Haitian Flavouring and Food</v>
          </cell>
          <cell r="D701">
            <v>5.2189899999999998</v>
          </cell>
        </row>
        <row r="702">
          <cell r="C702" t="str">
            <v>Verbund AG</v>
          </cell>
          <cell r="D702">
            <v>83.895200000000003</v>
          </cell>
        </row>
        <row r="703">
          <cell r="C703" t="str">
            <v>Equity Residential</v>
          </cell>
          <cell r="D703">
            <v>74.88</v>
          </cell>
        </row>
        <row r="704">
          <cell r="C704" t="str">
            <v>eBay</v>
          </cell>
          <cell r="D704">
            <v>59.1</v>
          </cell>
        </row>
        <row r="705">
          <cell r="C705" t="str">
            <v>Tractor Supply</v>
          </cell>
          <cell r="D705">
            <v>267.55</v>
          </cell>
        </row>
        <row r="706">
          <cell r="C706" t="str">
            <v>Fifth Third Bank</v>
          </cell>
          <cell r="D706">
            <v>42.69</v>
          </cell>
        </row>
        <row r="707">
          <cell r="C707" t="str">
            <v>STMicroelectronics</v>
          </cell>
          <cell r="D707">
            <v>31.95</v>
          </cell>
        </row>
        <row r="708">
          <cell r="C708" t="str">
            <v>Nestlé India</v>
          </cell>
          <cell r="D708">
            <v>29.825199999999999</v>
          </cell>
        </row>
        <row r="709">
          <cell r="C709" t="str">
            <v>M&amp;T Bank</v>
          </cell>
          <cell r="D709">
            <v>172.11</v>
          </cell>
        </row>
        <row r="710">
          <cell r="C710" t="str">
            <v>Banco Bradesco</v>
          </cell>
          <cell r="D710">
            <v>2.78</v>
          </cell>
        </row>
        <row r="711">
          <cell r="C711" t="str">
            <v>ORIX</v>
          </cell>
          <cell r="D711">
            <v>125.1</v>
          </cell>
        </row>
        <row r="712">
          <cell r="C712" t="str">
            <v>Las Vegas Sands</v>
          </cell>
          <cell r="D712">
            <v>38.99</v>
          </cell>
        </row>
        <row r="713">
          <cell r="C713" t="str">
            <v>Dollarama</v>
          </cell>
          <cell r="D713">
            <v>101164</v>
          </cell>
        </row>
        <row r="714">
          <cell r="C714" t="str">
            <v>Banco do Brasil</v>
          </cell>
          <cell r="D714">
            <v>5.0106000000000002</v>
          </cell>
        </row>
        <row r="715">
          <cell r="C715" t="str">
            <v>Dr. Sulaiman Al Habib Medical Services Group Company</v>
          </cell>
          <cell r="D715">
            <v>81.610900000000001</v>
          </cell>
        </row>
        <row r="716">
          <cell r="C716" t="str">
            <v>Philips</v>
          </cell>
          <cell r="D716">
            <v>30.17</v>
          </cell>
        </row>
        <row r="717">
          <cell r="C717" t="str">
            <v>Sumitomo</v>
          </cell>
          <cell r="D717">
            <v>23.574300000000001</v>
          </cell>
        </row>
        <row r="718">
          <cell r="C718" t="str">
            <v>Transurban</v>
          </cell>
          <cell r="D718">
            <v>9.1690400000000007</v>
          </cell>
        </row>
        <row r="719">
          <cell r="C719" t="str">
            <v>Hapag-Lloyd</v>
          </cell>
          <cell r="D719">
            <v>161822</v>
          </cell>
        </row>
        <row r="720">
          <cell r="C720" t="str">
            <v>Sun Hung Kai Properties</v>
          </cell>
          <cell r="D720">
            <v>9.8046799999999994</v>
          </cell>
        </row>
        <row r="721">
          <cell r="C721" t="str">
            <v>Vonovia</v>
          </cell>
          <cell r="D721">
            <v>34.464500000000001</v>
          </cell>
        </row>
        <row r="722">
          <cell r="C722" t="str">
            <v>Take 2 Interactive</v>
          </cell>
          <cell r="D722">
            <v>161.71</v>
          </cell>
        </row>
        <row r="723">
          <cell r="C723" t="str">
            <v>Global Payments</v>
          </cell>
          <cell r="D723">
            <v>111.01</v>
          </cell>
        </row>
        <row r="724">
          <cell r="C724" t="str">
            <v>NVR</v>
          </cell>
          <cell r="D724">
            <v>9172.4599999999991</v>
          </cell>
        </row>
        <row r="725">
          <cell r="C725" t="str">
            <v>Marubeni</v>
          </cell>
          <cell r="D725">
            <v>17.0137</v>
          </cell>
        </row>
        <row r="726">
          <cell r="C726" t="str">
            <v>Roblox</v>
          </cell>
          <cell r="D726">
            <v>43.99</v>
          </cell>
        </row>
        <row r="727">
          <cell r="C727" t="str">
            <v>PTT PCL</v>
          </cell>
          <cell r="D727">
            <v>0.98692000000000002</v>
          </cell>
        </row>
        <row r="728">
          <cell r="C728" t="str">
            <v>Devon Energy</v>
          </cell>
          <cell r="D728">
            <v>44.78</v>
          </cell>
        </row>
        <row r="729">
          <cell r="C729" t="str">
            <v>Terumo</v>
          </cell>
          <cell r="D729">
            <v>18.399100000000001</v>
          </cell>
        </row>
        <row r="730">
          <cell r="C730" t="str">
            <v>Ansys</v>
          </cell>
          <cell r="D730">
            <v>321.42</v>
          </cell>
        </row>
        <row r="731">
          <cell r="C731" t="str">
            <v>Cloudflare</v>
          </cell>
          <cell r="D731">
            <v>82.14</v>
          </cell>
        </row>
        <row r="732">
          <cell r="C732" t="str">
            <v>Wheaton Precious Metals</v>
          </cell>
          <cell r="D732">
            <v>61.81</v>
          </cell>
        </row>
        <row r="733">
          <cell r="C733" t="str">
            <v>Michelin</v>
          </cell>
          <cell r="D733">
            <v>39.250599999999999</v>
          </cell>
        </row>
        <row r="734">
          <cell r="C734" t="str">
            <v>KONE</v>
          </cell>
          <cell r="D734">
            <v>53.9405</v>
          </cell>
        </row>
        <row r="735">
          <cell r="C735" t="str">
            <v>DexCom</v>
          </cell>
          <cell r="D735">
            <v>69.34</v>
          </cell>
        </row>
        <row r="736">
          <cell r="C736" t="str">
            <v>American Water Works</v>
          </cell>
          <cell r="D736">
            <v>143.12</v>
          </cell>
        </row>
        <row r="737">
          <cell r="C737" t="str">
            <v>Indian Railway Finance</v>
          </cell>
          <cell r="D737">
            <v>2.1303100000000001</v>
          </cell>
        </row>
        <row r="738">
          <cell r="C738" t="str">
            <v>Ping An Bank</v>
          </cell>
          <cell r="D738">
            <v>1.4331100000000001</v>
          </cell>
        </row>
        <row r="739">
          <cell r="C739" t="str">
            <v>Veralto</v>
          </cell>
          <cell r="D739">
            <v>112.43</v>
          </cell>
        </row>
        <row r="740">
          <cell r="C740" t="str">
            <v>Fanuc</v>
          </cell>
          <cell r="D740">
            <v>29.3277</v>
          </cell>
        </row>
        <row r="741">
          <cell r="C741" t="str">
            <v>Kellogg's</v>
          </cell>
          <cell r="D741">
            <v>80.61</v>
          </cell>
        </row>
        <row r="742">
          <cell r="C742" t="str">
            <v>Anta Sports</v>
          </cell>
          <cell r="D742">
            <v>9.8495600000000003</v>
          </cell>
        </row>
        <row r="743">
          <cell r="C743" t="str">
            <v>Fairfax Financial</v>
          </cell>
          <cell r="D743">
            <v>1205.78</v>
          </cell>
        </row>
        <row r="744">
          <cell r="C744" t="str">
            <v>Halliburton</v>
          </cell>
          <cell r="D744">
            <v>31.09</v>
          </cell>
        </row>
        <row r="745">
          <cell r="C745" t="str">
            <v>Axon Enterprise</v>
          </cell>
          <cell r="D745">
            <v>364.97</v>
          </cell>
        </row>
        <row r="746">
          <cell r="C746" t="str">
            <v>Publicis Groupe</v>
          </cell>
          <cell r="D746">
            <v>109893</v>
          </cell>
        </row>
        <row r="747">
          <cell r="C747" t="str">
            <v>CRRC</v>
          </cell>
          <cell r="D747">
            <v>0.60662000000000005</v>
          </cell>
        </row>
        <row r="748">
          <cell r="C748" t="str">
            <v>Cardinal Health</v>
          </cell>
          <cell r="D748">
            <v>112.72</v>
          </cell>
        </row>
        <row r="749">
          <cell r="C749" t="str">
            <v>Hexagon AB</v>
          </cell>
          <cell r="D749">
            <v>10223</v>
          </cell>
        </row>
        <row r="750">
          <cell r="C750" t="str">
            <v>Delta Air Lines</v>
          </cell>
          <cell r="D750">
            <v>42.49</v>
          </cell>
        </row>
        <row r="751">
          <cell r="C751" t="str">
            <v>JSW Steel</v>
          </cell>
          <cell r="D751">
            <v>11224</v>
          </cell>
        </row>
        <row r="752">
          <cell r="C752" t="str">
            <v>PulteGroup</v>
          </cell>
          <cell r="D752">
            <v>131.65</v>
          </cell>
        </row>
        <row r="753">
          <cell r="C753" t="str">
            <v>Cellnex Telecom</v>
          </cell>
          <cell r="D753">
            <v>38.609499999999997</v>
          </cell>
        </row>
        <row r="754">
          <cell r="C754" t="str">
            <v>FirstRand</v>
          </cell>
          <cell r="D754">
            <v>4.8222399999999999</v>
          </cell>
        </row>
        <row r="755">
          <cell r="C755" t="str">
            <v>SSE</v>
          </cell>
          <cell r="D755">
            <v>24.770600000000002</v>
          </cell>
        </row>
        <row r="756">
          <cell r="C756" t="str">
            <v>WiseTech Global</v>
          </cell>
          <cell r="D756">
            <v>80.437100000000001</v>
          </cell>
        </row>
        <row r="757">
          <cell r="C757" t="str">
            <v>RWE</v>
          </cell>
          <cell r="D757">
            <v>36.0672</v>
          </cell>
        </row>
        <row r="758">
          <cell r="C758" t="str">
            <v>Dai-ichi Life Holdings</v>
          </cell>
          <cell r="D758">
            <v>28.575099999999999</v>
          </cell>
        </row>
        <row r="759">
          <cell r="C759" t="str">
            <v>Keysight</v>
          </cell>
          <cell r="D759">
            <v>154.12</v>
          </cell>
        </row>
        <row r="760">
          <cell r="C760" t="str">
            <v>ICON plc</v>
          </cell>
          <cell r="D760">
            <v>322.06</v>
          </cell>
        </row>
        <row r="761">
          <cell r="C761" t="str">
            <v>Sandvik</v>
          </cell>
          <cell r="D761">
            <v>21.254100000000001</v>
          </cell>
        </row>
        <row r="762">
          <cell r="C762" t="str">
            <v>Bridgestone</v>
          </cell>
          <cell r="D762">
            <v>38871</v>
          </cell>
        </row>
        <row r="763">
          <cell r="C763" t="str">
            <v>International Flavors &amp; Fragrances</v>
          </cell>
          <cell r="D763">
            <v>103.99</v>
          </cell>
        </row>
        <row r="764">
          <cell r="C764" t="str">
            <v>Erie Indemnity</v>
          </cell>
          <cell r="D764">
            <v>508.23</v>
          </cell>
        </row>
        <row r="765">
          <cell r="C765" t="str">
            <v>Danske Bank</v>
          </cell>
          <cell r="D765">
            <v>31.279800000000002</v>
          </cell>
        </row>
        <row r="766">
          <cell r="C766" t="str">
            <v>COSCO Shipping</v>
          </cell>
          <cell r="D766">
            <v>1.7659899999999999</v>
          </cell>
        </row>
        <row r="767">
          <cell r="C767" t="str">
            <v>China Unicom</v>
          </cell>
          <cell r="D767">
            <v>0.85414199999999996</v>
          </cell>
        </row>
        <row r="768">
          <cell r="C768" t="str">
            <v>Vodafone</v>
          </cell>
          <cell r="D768">
            <v>9.77</v>
          </cell>
        </row>
        <row r="769">
          <cell r="C769" t="str">
            <v>Bharat Electronics</v>
          </cell>
          <cell r="D769">
            <v>3.5695999999999999</v>
          </cell>
        </row>
        <row r="770">
          <cell r="C770" t="str">
            <v>Fortive</v>
          </cell>
          <cell r="D770">
            <v>74.400000000000006</v>
          </cell>
        </row>
        <row r="771">
          <cell r="C771" t="str">
            <v>Zomato</v>
          </cell>
          <cell r="D771">
            <v>2.98794</v>
          </cell>
        </row>
        <row r="772">
          <cell r="C772" t="str">
            <v>State Street Corporation</v>
          </cell>
          <cell r="D772">
            <v>87.1</v>
          </cell>
        </row>
        <row r="773">
          <cell r="C773" t="str">
            <v>Jardine Matheson</v>
          </cell>
          <cell r="D773">
            <v>36.04</v>
          </cell>
        </row>
        <row r="774">
          <cell r="C774" t="str">
            <v>Rheinmetall</v>
          </cell>
          <cell r="D774">
            <v>598209</v>
          </cell>
        </row>
        <row r="775">
          <cell r="C775" t="str">
            <v>Blue Owl Capital</v>
          </cell>
          <cell r="D775">
            <v>17.64</v>
          </cell>
        </row>
        <row r="776">
          <cell r="C776" t="str">
            <v>DTE Energy</v>
          </cell>
          <cell r="D776">
            <v>125.02</v>
          </cell>
        </row>
        <row r="777">
          <cell r="C777" t="str">
            <v>Komatsu</v>
          </cell>
          <cell r="D777">
            <v>27.747399999999999</v>
          </cell>
        </row>
        <row r="778">
          <cell r="C778" t="str">
            <v>SMIC</v>
          </cell>
          <cell r="D778">
            <v>2.1905000000000001</v>
          </cell>
        </row>
        <row r="779">
          <cell r="C779" t="str">
            <v>Entergy</v>
          </cell>
          <cell r="D779">
            <v>120.69</v>
          </cell>
        </row>
        <row r="780">
          <cell r="C780" t="str">
            <v>MicroStrategy</v>
          </cell>
          <cell r="D780">
            <v>132.41999999999999</v>
          </cell>
        </row>
        <row r="781">
          <cell r="C781" t="str">
            <v>GlobalFoundries</v>
          </cell>
          <cell r="D781">
            <v>46.68</v>
          </cell>
        </row>
        <row r="782">
          <cell r="C782" t="str">
            <v>CGI</v>
          </cell>
          <cell r="D782">
            <v>112.63</v>
          </cell>
        </row>
        <row r="783">
          <cell r="C783" t="str">
            <v>Ventas</v>
          </cell>
          <cell r="D783">
            <v>62.11</v>
          </cell>
        </row>
        <row r="784">
          <cell r="C784" t="str">
            <v>Supermicro</v>
          </cell>
          <cell r="D784">
            <v>437.7</v>
          </cell>
        </row>
        <row r="785">
          <cell r="C785" t="str">
            <v>HubSpot</v>
          </cell>
          <cell r="D785">
            <v>499.07</v>
          </cell>
        </row>
        <row r="786">
          <cell r="C786" t="str">
            <v>Tradeweb</v>
          </cell>
          <cell r="D786">
            <v>118.24</v>
          </cell>
        </row>
        <row r="787">
          <cell r="C787" t="str">
            <v>Telefónica</v>
          </cell>
          <cell r="D787">
            <v>4.5199999999999996</v>
          </cell>
        </row>
        <row r="788">
          <cell r="C788" t="str">
            <v>Dover</v>
          </cell>
          <cell r="D788">
            <v>186.03</v>
          </cell>
        </row>
        <row r="789">
          <cell r="C789" t="str">
            <v>TDK</v>
          </cell>
          <cell r="D789">
            <v>67364</v>
          </cell>
        </row>
        <row r="790">
          <cell r="C790" t="str">
            <v>Standard Chartered</v>
          </cell>
          <cell r="D790">
            <v>10.231199999999999</v>
          </cell>
        </row>
        <row r="791">
          <cell r="C791" t="str">
            <v>H&amp;amp;M</v>
          </cell>
          <cell r="D791">
            <v>15.821300000000001</v>
          </cell>
        </row>
        <row r="792">
          <cell r="C792" t="str">
            <v>FirstEnergy</v>
          </cell>
          <cell r="D792">
            <v>43.92</v>
          </cell>
        </row>
        <row r="793">
          <cell r="C793" t="str">
            <v>Hindustan Zinc</v>
          </cell>
          <cell r="D793">
            <v>5.9721900000000003</v>
          </cell>
        </row>
        <row r="794">
          <cell r="C794" t="str">
            <v>Host Hotels &amp; Resorts</v>
          </cell>
          <cell r="D794">
            <v>17.7</v>
          </cell>
        </row>
        <row r="795">
          <cell r="C795" t="str">
            <v>Hewlett Packard Enterprise</v>
          </cell>
          <cell r="D795">
            <v>19.37</v>
          </cell>
        </row>
        <row r="796">
          <cell r="C796" t="str">
            <v>Airports of Thailand</v>
          </cell>
          <cell r="D796">
            <v>1.7602500000000001</v>
          </cell>
        </row>
        <row r="797">
          <cell r="C797" t="str">
            <v>Tyler Technologies</v>
          </cell>
          <cell r="D797">
            <v>587.87</v>
          </cell>
        </row>
        <row r="798">
          <cell r="C798" t="str">
            <v>Kaspi.kz Joint Stock Company</v>
          </cell>
          <cell r="D798">
            <v>128219</v>
          </cell>
        </row>
        <row r="799">
          <cell r="C799" t="str">
            <v>DLF</v>
          </cell>
          <cell r="D799">
            <v>10.0791</v>
          </cell>
        </row>
        <row r="800">
          <cell r="C800" t="str">
            <v>Church &amp; Dwight</v>
          </cell>
          <cell r="D800">
            <v>101.88</v>
          </cell>
        </row>
        <row r="801">
          <cell r="C801" t="str">
            <v>Ericsson</v>
          </cell>
          <cell r="D801">
            <v>7.45</v>
          </cell>
        </row>
        <row r="802">
          <cell r="C802" t="str">
            <v>Broadridge Financial Solutions</v>
          </cell>
          <cell r="D802">
            <v>212.86</v>
          </cell>
        </row>
        <row r="803">
          <cell r="C803" t="str">
            <v>Luzhou Laojiao</v>
          </cell>
          <cell r="D803">
            <v>16.8249</v>
          </cell>
        </row>
        <row r="804">
          <cell r="C804" t="str">
            <v>NetApp</v>
          </cell>
          <cell r="D804">
            <v>120.72</v>
          </cell>
        </row>
        <row r="805">
          <cell r="C805" t="str">
            <v>Techtronic Industries</v>
          </cell>
          <cell r="D805">
            <v>13479</v>
          </cell>
        </row>
        <row r="806">
          <cell r="C806" t="str">
            <v>S.F. Express</v>
          </cell>
          <cell r="D806">
            <v>5.1273</v>
          </cell>
        </row>
        <row r="807">
          <cell r="C807" t="str">
            <v>Ryanair</v>
          </cell>
          <cell r="D807">
            <v>111.46</v>
          </cell>
        </row>
        <row r="808">
          <cell r="C808" t="str">
            <v>Teck Resources</v>
          </cell>
          <cell r="D808">
            <v>47.9</v>
          </cell>
        </row>
        <row r="809">
          <cell r="C809" t="str">
            <v>Raymond James</v>
          </cell>
          <cell r="D809">
            <v>119.57</v>
          </cell>
        </row>
        <row r="810">
          <cell r="C810" t="str">
            <v>KB Financial Group</v>
          </cell>
          <cell r="D810">
            <v>64.88</v>
          </cell>
        </row>
        <row r="811">
          <cell r="C811" t="str">
            <v>Ørsted</v>
          </cell>
          <cell r="D811">
            <v>56.89</v>
          </cell>
        </row>
        <row r="812">
          <cell r="C812" t="str">
            <v>Naturgy</v>
          </cell>
          <cell r="D812">
            <v>25.489100000000001</v>
          </cell>
        </row>
        <row r="813">
          <cell r="C813" t="str">
            <v>Jio Financial Services</v>
          </cell>
          <cell r="D813">
            <v>3.8367499999999999</v>
          </cell>
        </row>
        <row r="814">
          <cell r="C814" t="str">
            <v>Deckers Brands</v>
          </cell>
          <cell r="D814">
            <v>959.29</v>
          </cell>
        </row>
        <row r="815">
          <cell r="C815" t="str">
            <v>SBA Communications</v>
          </cell>
          <cell r="D815">
            <v>226.66</v>
          </cell>
        </row>
        <row r="816">
          <cell r="C816" t="str">
            <v>First Solar</v>
          </cell>
          <cell r="D816">
            <v>227.37</v>
          </cell>
        </row>
        <row r="817">
          <cell r="C817" t="str">
            <v>Nokia</v>
          </cell>
          <cell r="D817">
            <v>4.46</v>
          </cell>
        </row>
        <row r="818">
          <cell r="C818" t="str">
            <v>Rollins</v>
          </cell>
          <cell r="D818">
            <v>50.18</v>
          </cell>
        </row>
        <row r="819">
          <cell r="C819" t="str">
            <v>Imperial Brands</v>
          </cell>
          <cell r="D819">
            <v>28.616800000000001</v>
          </cell>
        </row>
        <row r="820">
          <cell r="C820" t="str">
            <v>China Everbright Bank</v>
          </cell>
          <cell r="D820">
            <v>0.43162400000000001</v>
          </cell>
        </row>
        <row r="821">
          <cell r="C821" t="str">
            <v>Associated British Foods</v>
          </cell>
          <cell r="D821">
            <v>32.686199999999999</v>
          </cell>
        </row>
        <row r="822">
          <cell r="C822" t="str">
            <v>Eversource Energy</v>
          </cell>
          <cell r="D822">
            <v>67.53</v>
          </cell>
        </row>
        <row r="823">
          <cell r="C823" t="str">
            <v>Toyota Industries</v>
          </cell>
          <cell r="D823">
            <v>78.261799999999994</v>
          </cell>
        </row>
        <row r="824">
          <cell r="C824" t="str">
            <v>East Money Information</v>
          </cell>
          <cell r="D824">
            <v>1.52338</v>
          </cell>
        </row>
        <row r="825">
          <cell r="C825" t="str">
            <v>Swedbank</v>
          </cell>
          <cell r="D825">
            <v>21.3612</v>
          </cell>
        </row>
        <row r="826">
          <cell r="C826" t="str">
            <v>Antofagasta</v>
          </cell>
          <cell r="D826">
            <v>24.324300000000001</v>
          </cell>
        </row>
        <row r="827">
          <cell r="C827" t="str">
            <v>Nutrien</v>
          </cell>
          <cell r="D827">
            <v>48.42</v>
          </cell>
        </row>
        <row r="828">
          <cell r="C828" t="str">
            <v>Telus</v>
          </cell>
          <cell r="D828">
            <v>16.14</v>
          </cell>
        </row>
        <row r="829">
          <cell r="C829" t="str">
            <v>National Bank of Kuwait</v>
          </cell>
          <cell r="D829">
            <v>2873.04</v>
          </cell>
        </row>
        <row r="830">
          <cell r="C830" t="str">
            <v>Prudential</v>
          </cell>
          <cell r="D830">
            <v>17.27</v>
          </cell>
        </row>
        <row r="831">
          <cell r="C831" t="str">
            <v>Steris</v>
          </cell>
          <cell r="D831">
            <v>241.1</v>
          </cell>
        </row>
        <row r="832">
          <cell r="C832" t="str">
            <v>Cheniere Energy</v>
          </cell>
          <cell r="D832">
            <v>48.98</v>
          </cell>
        </row>
        <row r="833">
          <cell r="C833" t="str">
            <v>Partners</v>
          </cell>
          <cell r="D833">
            <v>33.093800000000002</v>
          </cell>
        </row>
        <row r="834">
          <cell r="C834" t="str">
            <v>Veolia</v>
          </cell>
          <cell r="D834">
            <v>106.04</v>
          </cell>
        </row>
        <row r="835">
          <cell r="C835" t="str">
            <v>T. Rowe Price</v>
          </cell>
          <cell r="D835">
            <v>167.41</v>
          </cell>
        </row>
        <row r="836">
          <cell r="C836" t="str">
            <v>GoDaddy</v>
          </cell>
          <cell r="D836">
            <v>31.91</v>
          </cell>
        </row>
        <row r="837">
          <cell r="C837" t="str">
            <v>PPL</v>
          </cell>
          <cell r="D837">
            <v>147633</v>
          </cell>
        </row>
        <row r="838">
          <cell r="C838" t="str">
            <v>Straumann</v>
          </cell>
          <cell r="D838">
            <v>122.15</v>
          </cell>
        </row>
        <row r="839">
          <cell r="C839" t="str">
            <v>Franco-Nevada</v>
          </cell>
          <cell r="D839">
            <v>115.46</v>
          </cell>
        </row>
        <row r="840">
          <cell r="C840" t="str">
            <v>Zimmer Biomet</v>
          </cell>
          <cell r="D840">
            <v>88.010400000000004</v>
          </cell>
        </row>
        <row r="841">
          <cell r="C841" t="str">
            <v>NEC Corp</v>
          </cell>
          <cell r="D841">
            <v>40677</v>
          </cell>
        </row>
        <row r="842">
          <cell r="C842" t="str">
            <v>Nidec</v>
          </cell>
          <cell r="D842">
            <v>40.28</v>
          </cell>
        </row>
        <row r="843">
          <cell r="C843" t="str">
            <v>Pembina Pipeline</v>
          </cell>
          <cell r="D843">
            <v>37.0212</v>
          </cell>
        </row>
        <row r="844">
          <cell r="C844" t="str">
            <v>Aristocrat</v>
          </cell>
          <cell r="D844">
            <v>17.900500000000001</v>
          </cell>
        </row>
        <row r="845">
          <cell r="C845" t="str">
            <v>Varun Beverages</v>
          </cell>
          <cell r="D845">
            <v>1490.99</v>
          </cell>
        </row>
        <row r="846">
          <cell r="C846" t="str">
            <v>Maersk</v>
          </cell>
          <cell r="D846">
            <v>22.946200000000001</v>
          </cell>
        </row>
        <row r="847">
          <cell r="C847" t="str">
            <v>Vestas Wind Systems</v>
          </cell>
          <cell r="D847">
            <v>23.4649</v>
          </cell>
        </row>
        <row r="848">
          <cell r="C848" t="str">
            <v>Sompo Holdings</v>
          </cell>
          <cell r="D848">
            <v>96.853200000000001</v>
          </cell>
        </row>
        <row r="849">
          <cell r="C849" t="str">
            <v>Galderma Group</v>
          </cell>
          <cell r="D849">
            <v>64.31</v>
          </cell>
        </row>
        <row r="850">
          <cell r="C850" t="str">
            <v>Tyson Foods</v>
          </cell>
          <cell r="D850">
            <v>12.0939</v>
          </cell>
        </row>
        <row r="851">
          <cell r="C851" t="str">
            <v>Hang Seng Bank</v>
          </cell>
          <cell r="D851">
            <v>3.8470399999999998</v>
          </cell>
        </row>
        <row r="852">
          <cell r="C852" t="str">
            <v>Klabin</v>
          </cell>
          <cell r="D852">
            <v>28.672499999999999</v>
          </cell>
        </row>
        <row r="853">
          <cell r="C853" t="str">
            <v>Siemens Energy</v>
          </cell>
          <cell r="D853">
            <v>23.122800000000002</v>
          </cell>
        </row>
        <row r="854">
          <cell r="C854" t="str">
            <v>Central Japan Railway</v>
          </cell>
          <cell r="D854">
            <v>313.63</v>
          </cell>
        </row>
        <row r="855">
          <cell r="C855" t="str">
            <v>West Pharmaceutical</v>
          </cell>
          <cell r="D855">
            <v>1.82189</v>
          </cell>
        </row>
        <row r="856">
          <cell r="C856" t="str">
            <v>Tata Steel</v>
          </cell>
          <cell r="D856">
            <v>59.7</v>
          </cell>
        </row>
        <row r="857">
          <cell r="C857" t="str">
            <v>W. R. Berkley</v>
          </cell>
          <cell r="D857">
            <v>8.9646399999999993</v>
          </cell>
        </row>
        <row r="858">
          <cell r="C858" t="str">
            <v>CLP Group</v>
          </cell>
          <cell r="D858">
            <v>3.2667999999999999</v>
          </cell>
        </row>
        <row r="859">
          <cell r="C859" t="str">
            <v>Great Wall Motors</v>
          </cell>
          <cell r="D859">
            <v>19.258199999999999</v>
          </cell>
        </row>
        <row r="860">
          <cell r="C860" t="str">
            <v>Epiroc</v>
          </cell>
          <cell r="D860">
            <v>97.67</v>
          </cell>
        </row>
        <row r="861">
          <cell r="C861" t="str">
            <v>Live Nation</v>
          </cell>
          <cell r="D861">
            <v>36.840000000000003</v>
          </cell>
        </row>
        <row r="862">
          <cell r="C862" t="str">
            <v>Invitation Homes</v>
          </cell>
          <cell r="D862">
            <v>65.59</v>
          </cell>
        </row>
        <row r="863">
          <cell r="C863" t="str">
            <v>Western Digital</v>
          </cell>
          <cell r="D863">
            <v>10.8611</v>
          </cell>
        </row>
        <row r="864">
          <cell r="C864" t="str">
            <v>Sungrow Power Supply</v>
          </cell>
          <cell r="D864">
            <v>807306</v>
          </cell>
        </row>
        <row r="865">
          <cell r="C865" t="str">
            <v>Swiss Life</v>
          </cell>
          <cell r="D865">
            <v>12.430199999999999</v>
          </cell>
        </row>
        <row r="866">
          <cell r="C866" t="str">
            <v>Astellas Pharma</v>
          </cell>
          <cell r="D866">
            <v>41.07</v>
          </cell>
        </row>
        <row r="867">
          <cell r="C867" t="str">
            <v>Samsara</v>
          </cell>
          <cell r="D867">
            <v>11.5853</v>
          </cell>
        </row>
        <row r="868">
          <cell r="C868" t="str">
            <v>Suzuki Motor</v>
          </cell>
          <cell r="D868">
            <v>21112</v>
          </cell>
        </row>
        <row r="869">
          <cell r="C869" t="str">
            <v>Endesa</v>
          </cell>
          <cell r="D869">
            <v>136.72999999999999</v>
          </cell>
        </row>
        <row r="870">
          <cell r="C870" t="str">
            <v>Teradyne</v>
          </cell>
          <cell r="D870">
            <v>86.260400000000004</v>
          </cell>
        </row>
        <row r="871">
          <cell r="C871" t="str">
            <v>Talanx</v>
          </cell>
          <cell r="D871">
            <v>57.604900000000001</v>
          </cell>
        </row>
        <row r="872">
          <cell r="C872" t="str">
            <v>InterGlobe Aviation</v>
          </cell>
          <cell r="D872">
            <v>13.4605</v>
          </cell>
        </row>
        <row r="873">
          <cell r="C873" t="str">
            <v>Standard Bank Group</v>
          </cell>
          <cell r="D873">
            <v>30.49</v>
          </cell>
        </row>
        <row r="874">
          <cell r="C874" t="str">
            <v>Weyerhaeuser</v>
          </cell>
          <cell r="D874">
            <v>44.666699999999999</v>
          </cell>
        </row>
        <row r="875">
          <cell r="C875" t="str">
            <v>Sampo</v>
          </cell>
          <cell r="D875">
            <v>22.067599999999999</v>
          </cell>
        </row>
        <row r="876">
          <cell r="C876" t="str">
            <v>SBI Life Insurance</v>
          </cell>
          <cell r="D876">
            <v>82.51</v>
          </cell>
        </row>
        <row r="877">
          <cell r="C877" t="str">
            <v>Ameren</v>
          </cell>
          <cell r="D877">
            <v>8.77</v>
          </cell>
        </row>
        <row r="878">
          <cell r="C878" t="str">
            <v>United Microelectronics</v>
          </cell>
          <cell r="D878">
            <v>3.5332699999999999</v>
          </cell>
        </row>
        <row r="879">
          <cell r="C879" t="str">
            <v>MTR Corporation</v>
          </cell>
          <cell r="D879">
            <v>315.55</v>
          </cell>
        </row>
        <row r="880">
          <cell r="C880" t="str">
            <v>Corpay</v>
          </cell>
          <cell r="D880">
            <v>0.12311999999999999</v>
          </cell>
        </row>
        <row r="881">
          <cell r="C881" t="str">
            <v>China Tower</v>
          </cell>
          <cell r="D881">
            <v>5.1684599999999996</v>
          </cell>
        </row>
        <row r="882">
          <cell r="C882" t="str">
            <v>Kuaishou Technology</v>
          </cell>
          <cell r="D882">
            <v>32.187800000000003</v>
          </cell>
        </row>
        <row r="883">
          <cell r="C883" t="str">
            <v>Grasim Industries</v>
          </cell>
          <cell r="D883">
            <v>5.5869600000000004</v>
          </cell>
        </row>
        <row r="884">
          <cell r="C884" t="str">
            <v>Vedanta</v>
          </cell>
          <cell r="D884">
            <v>44</v>
          </cell>
        </row>
        <row r="885">
          <cell r="C885" t="str">
            <v>Fortis</v>
          </cell>
          <cell r="D885">
            <v>24.963100000000001</v>
          </cell>
        </row>
        <row r="886">
          <cell r="C886" t="str">
            <v>Aeon</v>
          </cell>
          <cell r="D886">
            <v>40.549999999999997</v>
          </cell>
        </row>
        <row r="887">
          <cell r="C887" t="str">
            <v>Rogers Communication</v>
          </cell>
          <cell r="D887">
            <v>14.97</v>
          </cell>
        </row>
        <row r="888">
          <cell r="C888" t="str">
            <v>Huntington Bancshares</v>
          </cell>
          <cell r="D888">
            <v>103836</v>
          </cell>
        </row>
        <row r="889">
          <cell r="C889" t="str">
            <v>Evolution Gaming</v>
          </cell>
          <cell r="D889">
            <v>73.42</v>
          </cell>
        </row>
        <row r="890">
          <cell r="C890" t="str">
            <v>LTIMindtree</v>
          </cell>
          <cell r="D890">
            <v>191.78</v>
          </cell>
        </row>
        <row r="891">
          <cell r="C891" t="str">
            <v>BeiGene</v>
          </cell>
          <cell r="D891">
            <v>19.165299999999998</v>
          </cell>
        </row>
        <row r="892">
          <cell r="C892" t="str">
            <v>East Japan Railway</v>
          </cell>
          <cell r="D892">
            <v>16.5</v>
          </cell>
        </row>
        <row r="893">
          <cell r="C893" t="str">
            <v>Carnival Corporation</v>
          </cell>
          <cell r="D893">
            <v>205.4</v>
          </cell>
        </row>
        <row r="894">
          <cell r="C894" t="str">
            <v>Cboe</v>
          </cell>
          <cell r="D894">
            <v>1.11626</v>
          </cell>
        </row>
        <row r="895">
          <cell r="C895" t="str">
            <v>PBBank (Public Bank Bhd)</v>
          </cell>
          <cell r="D895">
            <v>100.4</v>
          </cell>
        </row>
        <row r="896">
          <cell r="C896" t="str">
            <v>Best Buy</v>
          </cell>
          <cell r="D896">
            <v>7.2766900000000003</v>
          </cell>
        </row>
        <row r="897">
          <cell r="C897" t="str">
            <v>Advanced Info Service (AIS)</v>
          </cell>
          <cell r="D897">
            <v>6.5541999999999998</v>
          </cell>
        </row>
        <row r="898">
          <cell r="C898" t="str">
            <v>Power Finance Corp</v>
          </cell>
          <cell r="D898">
            <v>9.99</v>
          </cell>
        </row>
        <row r="899">
          <cell r="C899" t="str">
            <v>ASE Group</v>
          </cell>
          <cell r="D899">
            <v>45.75</v>
          </cell>
        </row>
        <row r="900">
          <cell r="C900" t="str">
            <v>Brown Forman</v>
          </cell>
          <cell r="D900">
            <v>69.08</v>
          </cell>
        </row>
        <row r="901">
          <cell r="C901" t="str">
            <v>Zoom</v>
          </cell>
          <cell r="D901">
            <v>17.106100000000001</v>
          </cell>
        </row>
        <row r="902">
          <cell r="C902" t="str">
            <v>Mitsubishi Estate</v>
          </cell>
          <cell r="D902">
            <v>179.09</v>
          </cell>
        </row>
        <row r="903">
          <cell r="C903" t="str">
            <v>PTC</v>
          </cell>
          <cell r="D903">
            <v>53.973700000000001</v>
          </cell>
        </row>
        <row r="904">
          <cell r="C904" t="str">
            <v>Erste Group Bank</v>
          </cell>
          <cell r="D904">
            <v>399.92</v>
          </cell>
        </row>
        <row r="905">
          <cell r="C905" t="str">
            <v>Hubbell</v>
          </cell>
          <cell r="D905">
            <v>162447</v>
          </cell>
        </row>
        <row r="906">
          <cell r="C906" t="str">
            <v>George Weston</v>
          </cell>
          <cell r="D906">
            <v>3.5439600000000002</v>
          </cell>
        </row>
        <row r="907">
          <cell r="C907" t="str">
            <v>Industries Qatar</v>
          </cell>
          <cell r="D907">
            <v>23.42</v>
          </cell>
        </row>
        <row r="908">
          <cell r="C908" t="str">
            <v>Regions Financial</v>
          </cell>
          <cell r="D908">
            <v>22.643899999999999</v>
          </cell>
        </row>
        <row r="909">
          <cell r="C909" t="str">
            <v>Nippon Steel</v>
          </cell>
          <cell r="D909">
            <v>137.03</v>
          </cell>
        </row>
        <row r="910">
          <cell r="C910" t="str">
            <v>Cincinnati Financial</v>
          </cell>
          <cell r="D910">
            <v>32.04</v>
          </cell>
        </row>
        <row r="911">
          <cell r="C911" t="str">
            <v>Pinterest</v>
          </cell>
          <cell r="D911">
            <v>42.45</v>
          </cell>
        </row>
        <row r="912">
          <cell r="C912" t="str">
            <v>Shinhan Financial Group</v>
          </cell>
          <cell r="D912">
            <v>267289</v>
          </cell>
        </row>
        <row r="913">
          <cell r="C913" t="str">
            <v>Elm Company</v>
          </cell>
          <cell r="D913">
            <v>18.87</v>
          </cell>
        </row>
        <row r="914">
          <cell r="C914" t="str">
            <v>Teva Pharmaceutical Industries</v>
          </cell>
          <cell r="D914">
            <v>192.5</v>
          </cell>
        </row>
        <row r="915">
          <cell r="C915" t="str">
            <v>Check Point Software</v>
          </cell>
          <cell r="D915">
            <v>158.51</v>
          </cell>
        </row>
        <row r="916">
          <cell r="C916" t="str">
            <v>Leidos</v>
          </cell>
          <cell r="D916">
            <v>290.79000000000002</v>
          </cell>
        </row>
        <row r="917">
          <cell r="C917" t="str">
            <v>MongoDB</v>
          </cell>
          <cell r="D917">
            <v>131.4</v>
          </cell>
        </row>
        <row r="918">
          <cell r="C918" t="str">
            <v>Illumina</v>
          </cell>
          <cell r="D918">
            <v>5.6</v>
          </cell>
        </row>
        <row r="919">
          <cell r="C919" t="str">
            <v>Banco Santander Brasil</v>
          </cell>
          <cell r="D919">
            <v>80.03</v>
          </cell>
        </row>
        <row r="920">
          <cell r="C920" t="str">
            <v>McCormick &amp; Company</v>
          </cell>
          <cell r="D920">
            <v>30338</v>
          </cell>
        </row>
        <row r="921">
          <cell r="C921" t="str">
            <v>Essity</v>
          </cell>
          <cell r="D921">
            <v>15.1393</v>
          </cell>
        </row>
        <row r="922">
          <cell r="C922" t="str">
            <v>NTT Data</v>
          </cell>
          <cell r="D922">
            <v>18.1938</v>
          </cell>
        </row>
        <row r="923">
          <cell r="C923" t="str">
            <v>Olympus</v>
          </cell>
          <cell r="D923">
            <v>5.5211399999999999</v>
          </cell>
        </row>
        <row r="924">
          <cell r="C924" t="str">
            <v>CK Hutchison Holdings</v>
          </cell>
          <cell r="D924">
            <v>111375</v>
          </cell>
        </row>
        <row r="925">
          <cell r="C925" t="str">
            <v>SGS</v>
          </cell>
          <cell r="D925">
            <v>105.73</v>
          </cell>
        </row>
        <row r="926">
          <cell r="C926" t="str">
            <v>Cooper Companies</v>
          </cell>
          <cell r="D926">
            <v>590.19000000000005</v>
          </cell>
        </row>
        <row r="927">
          <cell r="C927" t="str">
            <v>Lennox</v>
          </cell>
          <cell r="D927">
            <v>636665</v>
          </cell>
        </row>
        <row r="928">
          <cell r="C928" t="str">
            <v>Geberit</v>
          </cell>
          <cell r="D928">
            <v>83.9</v>
          </cell>
        </row>
        <row r="929">
          <cell r="C929" t="str">
            <v>Lineage</v>
          </cell>
          <cell r="D929">
            <v>88.22</v>
          </cell>
        </row>
        <row r="930">
          <cell r="C930" t="str">
            <v>BioNTech</v>
          </cell>
          <cell r="D930">
            <v>99.55</v>
          </cell>
        </row>
        <row r="931">
          <cell r="C931" t="str">
            <v>Seagate Technology</v>
          </cell>
          <cell r="D931">
            <v>119.57</v>
          </cell>
        </row>
        <row r="932">
          <cell r="C932" t="str">
            <v>Alexandria Real Estate Equities</v>
          </cell>
          <cell r="D932">
            <v>44.774799999999999</v>
          </cell>
        </row>
        <row r="933">
          <cell r="C933" t="str">
            <v>Kaō</v>
          </cell>
          <cell r="D933">
            <v>36.885199999999998</v>
          </cell>
        </row>
        <row r="934">
          <cell r="C934" t="str">
            <v>Fresenius</v>
          </cell>
          <cell r="D934">
            <v>166501</v>
          </cell>
        </row>
        <row r="935">
          <cell r="C935" t="str">
            <v>WSP Global</v>
          </cell>
          <cell r="D935">
            <v>348106</v>
          </cell>
        </row>
        <row r="936">
          <cell r="C936" t="str">
            <v>Sonova</v>
          </cell>
          <cell r="D936">
            <v>1600.68</v>
          </cell>
        </row>
        <row r="937">
          <cell r="C937" t="str">
            <v>Markel</v>
          </cell>
          <cell r="D937">
            <v>8.3211099999999991</v>
          </cell>
        </row>
        <row r="938">
          <cell r="C938" t="str">
            <v>Alinma Bank</v>
          </cell>
          <cell r="D938">
            <v>0.69</v>
          </cell>
        </row>
        <row r="939">
          <cell r="C939" t="str">
            <v>Borouge</v>
          </cell>
          <cell r="D939">
            <v>6.8809199999999997</v>
          </cell>
        </row>
        <row r="940">
          <cell r="C940" t="str">
            <v>Riyad Bank</v>
          </cell>
          <cell r="D940">
            <v>2.7343799999999998</v>
          </cell>
        </row>
        <row r="941">
          <cell r="C941" t="str">
            <v>Z Holdings</v>
          </cell>
          <cell r="D941">
            <v>346.35</v>
          </cell>
        </row>
        <row r="942">
          <cell r="C942" t="str">
            <v>Waters Corporation</v>
          </cell>
          <cell r="D942">
            <v>3.19204</v>
          </cell>
        </row>
        <row r="943">
          <cell r="C943" t="str">
            <v>Yili Group</v>
          </cell>
          <cell r="D943">
            <v>1.02054</v>
          </cell>
        </row>
        <row r="944">
          <cell r="C944" t="str">
            <v>CTBC Financial Holding</v>
          </cell>
          <cell r="D944">
            <v>1.09599</v>
          </cell>
        </row>
        <row r="945">
          <cell r="C945" t="str">
            <v>Bank of Jiangsu</v>
          </cell>
          <cell r="D945">
            <v>158.78</v>
          </cell>
        </row>
        <row r="946">
          <cell r="C946" t="str">
            <v>Booz Allen Hamilton</v>
          </cell>
          <cell r="D946">
            <v>10.310600000000001</v>
          </cell>
        </row>
        <row r="947">
          <cell r="C947" t="str">
            <v>Svenska Handelsbanken</v>
          </cell>
          <cell r="D947">
            <v>1.77163</v>
          </cell>
        </row>
        <row r="948">
          <cell r="C948" t="str">
            <v>SAIC Motor</v>
          </cell>
          <cell r="D948">
            <v>9.84</v>
          </cell>
        </row>
        <row r="949">
          <cell r="C949" t="str">
            <v>Ecopetrol</v>
          </cell>
          <cell r="D949">
            <v>349.79</v>
          </cell>
        </row>
        <row r="950">
          <cell r="C950" t="str">
            <v>Molina Healthcare</v>
          </cell>
          <cell r="D950">
            <v>38.182899999999997</v>
          </cell>
        </row>
        <row r="951">
          <cell r="C951" t="str">
            <v>ČEZ Group</v>
          </cell>
          <cell r="D951">
            <v>0.54446700000000003</v>
          </cell>
        </row>
        <row r="952">
          <cell r="C952" t="str">
            <v>BOE Technology</v>
          </cell>
          <cell r="D952">
            <v>34.745800000000003</v>
          </cell>
        </row>
        <row r="953">
          <cell r="C953" t="str">
            <v>Unicharm</v>
          </cell>
          <cell r="D953">
            <v>33.950899999999997</v>
          </cell>
        </row>
        <row r="954">
          <cell r="C954" t="str">
            <v>Hydro One</v>
          </cell>
          <cell r="D954">
            <v>1.89903</v>
          </cell>
        </row>
        <row r="955">
          <cell r="C955" t="str">
            <v>CIMB Group</v>
          </cell>
          <cell r="D955">
            <v>70.078500000000005</v>
          </cell>
        </row>
        <row r="956">
          <cell r="C956" t="str">
            <v>Prysmian Group</v>
          </cell>
          <cell r="D956">
            <v>2.2980999999999998</v>
          </cell>
        </row>
        <row r="957">
          <cell r="C957" t="str">
            <v>Emaar Properties</v>
          </cell>
          <cell r="D957">
            <v>130.74</v>
          </cell>
        </row>
        <row r="958">
          <cell r="C958" t="str">
            <v>Atmos Energy</v>
          </cell>
          <cell r="D958">
            <v>67.86</v>
          </cell>
        </row>
        <row r="959">
          <cell r="C959" t="str">
            <v>CMS Energy</v>
          </cell>
          <cell r="D959">
            <v>174</v>
          </cell>
        </row>
        <row r="960">
          <cell r="C960" t="str">
            <v>Builders FirstSource</v>
          </cell>
          <cell r="D960">
            <v>2.8407300000000002</v>
          </cell>
        </row>
        <row r="961">
          <cell r="C961" t="str">
            <v>China Resources Land</v>
          </cell>
          <cell r="D961">
            <v>432.8</v>
          </cell>
        </row>
        <row r="962">
          <cell r="C962" t="str">
            <v>Teledyne</v>
          </cell>
          <cell r="D962">
            <v>19.1037</v>
          </cell>
        </row>
        <row r="963">
          <cell r="C963" t="str">
            <v>Toyota Tsusho</v>
          </cell>
          <cell r="D963">
            <v>1.9458</v>
          </cell>
        </row>
        <row r="964">
          <cell r="C964" t="str">
            <v>Itaúsa</v>
          </cell>
          <cell r="D964">
            <v>94.649199999999993</v>
          </cell>
        </row>
        <row r="965">
          <cell r="C965" t="str">
            <v>ABB India</v>
          </cell>
          <cell r="D965">
            <v>0.48381400000000002</v>
          </cell>
        </row>
        <row r="966">
          <cell r="C966" t="str">
            <v>China Minsheng Bank</v>
          </cell>
          <cell r="D966">
            <v>868.89</v>
          </cell>
        </row>
        <row r="967">
          <cell r="C967" t="str">
            <v>Texas Pacific Land Trust</v>
          </cell>
          <cell r="D967">
            <v>143.26</v>
          </cell>
        </row>
        <row r="968">
          <cell r="C968" t="str">
            <v>Genuine Parts Company</v>
          </cell>
          <cell r="D968">
            <v>33.51</v>
          </cell>
        </row>
        <row r="969">
          <cell r="C969" t="str">
            <v>EQT Corporation</v>
          </cell>
          <cell r="D969">
            <v>19.46</v>
          </cell>
        </row>
        <row r="970">
          <cell r="C970" t="str">
            <v>Li Auto</v>
          </cell>
          <cell r="D970">
            <v>47.717500000000001</v>
          </cell>
        </row>
        <row r="971">
          <cell r="C971" t="str">
            <v>Uniper</v>
          </cell>
          <cell r="D971">
            <v>50.26</v>
          </cell>
        </row>
        <row r="972">
          <cell r="C972" t="str">
            <v>Synchrony</v>
          </cell>
          <cell r="D972">
            <v>301.79000000000002</v>
          </cell>
        </row>
        <row r="973">
          <cell r="C973" t="str">
            <v>Essex Property Trust</v>
          </cell>
          <cell r="D973">
            <v>30.709599999999998</v>
          </cell>
        </row>
        <row r="974">
          <cell r="C974" t="str">
            <v>Daiwa House</v>
          </cell>
          <cell r="D974">
            <v>6.9126700000000003</v>
          </cell>
        </row>
        <row r="975">
          <cell r="C975" t="str">
            <v>Banorte</v>
          </cell>
          <cell r="D975">
            <v>100.43</v>
          </cell>
        </row>
        <row r="976">
          <cell r="C976" t="str">
            <v>Omnicom</v>
          </cell>
          <cell r="D976">
            <v>14.2</v>
          </cell>
        </row>
        <row r="977">
          <cell r="C977" t="str">
            <v>SM Investments Corporation</v>
          </cell>
          <cell r="D977">
            <v>158.31</v>
          </cell>
        </row>
        <row r="978">
          <cell r="C978" t="str">
            <v>Clorox</v>
          </cell>
          <cell r="D978">
            <v>423.8</v>
          </cell>
        </row>
        <row r="979">
          <cell r="C979" t="str">
            <v>Carlisle Companies</v>
          </cell>
          <cell r="D979">
            <v>837315</v>
          </cell>
        </row>
        <row r="980">
          <cell r="C980" t="str">
            <v>Ems-Chemie</v>
          </cell>
          <cell r="D980">
            <v>148193</v>
          </cell>
        </row>
        <row r="981">
          <cell r="C981" t="str">
            <v>REA Group</v>
          </cell>
          <cell r="D981">
            <v>4.6779599999999997</v>
          </cell>
        </row>
        <row r="982">
          <cell r="C982" t="str">
            <v>Saudi Electricity</v>
          </cell>
          <cell r="D982">
            <v>37.94</v>
          </cell>
        </row>
        <row r="983">
          <cell r="C983" t="str">
            <v>Baxter</v>
          </cell>
          <cell r="D983">
            <v>7.3914400000000002</v>
          </cell>
        </row>
        <row r="984">
          <cell r="C984" t="str">
            <v>Rural Electrification Corp</v>
          </cell>
          <cell r="D984">
            <v>19.600000000000001</v>
          </cell>
        </row>
        <row r="985">
          <cell r="C985" t="str">
            <v>Telkom Indonesia</v>
          </cell>
          <cell r="D985">
            <v>30.660299999999999</v>
          </cell>
        </row>
        <row r="986">
          <cell r="C986" t="str">
            <v>Power Corporation of Canada</v>
          </cell>
          <cell r="D986">
            <v>63.81</v>
          </cell>
        </row>
        <row r="987">
          <cell r="C987" t="str">
            <v>Ball Corporation</v>
          </cell>
          <cell r="D987">
            <v>33.589599999999997</v>
          </cell>
        </row>
        <row r="988">
          <cell r="C988" t="str">
            <v>Nomura Research Institute</v>
          </cell>
          <cell r="D988">
            <v>8.2948000000000004</v>
          </cell>
        </row>
        <row r="989">
          <cell r="C989" t="str">
            <v>Panasonic</v>
          </cell>
          <cell r="D989">
            <v>38.289499999999997</v>
          </cell>
        </row>
        <row r="990">
          <cell r="C990" t="str">
            <v>Ajinomoto</v>
          </cell>
          <cell r="D990">
            <v>16.6494</v>
          </cell>
        </row>
        <row r="991">
          <cell r="C991" t="str">
            <v>PKN Orlen</v>
          </cell>
          <cell r="D991">
            <v>162.37</v>
          </cell>
        </row>
        <row r="992">
          <cell r="C992" t="str">
            <v>Mid-America Apartment Communities</v>
          </cell>
          <cell r="D992">
            <v>236.96</v>
          </cell>
        </row>
        <row r="993">
          <cell r="C993" t="str">
            <v>Dick's Sporting Goods</v>
          </cell>
          <cell r="D993">
            <v>63.82</v>
          </cell>
        </row>
        <row r="994">
          <cell r="C994" t="str">
            <v>POSCO</v>
          </cell>
          <cell r="D994">
            <v>229.89</v>
          </cell>
        </row>
        <row r="995">
          <cell r="C995" t="str">
            <v>LabCorp</v>
          </cell>
          <cell r="D995">
            <v>43.05</v>
          </cell>
        </row>
        <row r="996">
          <cell r="C996" t="str">
            <v>Citizens Financial Group</v>
          </cell>
          <cell r="D996">
            <v>475.42</v>
          </cell>
        </row>
        <row r="997">
          <cell r="C997" t="str">
            <v>Watsco</v>
          </cell>
          <cell r="D997">
            <v>2.27379</v>
          </cell>
        </row>
        <row r="998">
          <cell r="C998" t="str">
            <v>Sany Heavy Industry</v>
          </cell>
          <cell r="D998">
            <v>24.1295</v>
          </cell>
        </row>
        <row r="999">
          <cell r="C999" t="str">
            <v>Société Générale</v>
          </cell>
          <cell r="D999">
            <v>30.0459</v>
          </cell>
        </row>
        <row r="1000">
          <cell r="C1000" t="str">
            <v>Investment AB Latour</v>
          </cell>
          <cell r="D1000">
            <v>1.2</v>
          </cell>
        </row>
        <row r="1001">
          <cell r="C1001" t="str">
            <v>ADNOC Drilling Company</v>
          </cell>
          <cell r="D1001">
            <v>70.741699999999994</v>
          </cell>
        </row>
        <row r="1002">
          <cell r="C1002" t="str">
            <v>EnBW Energie</v>
          </cell>
          <cell r="D1002">
            <v>105737</v>
          </cell>
        </row>
        <row r="1003">
          <cell r="C1003" t="str">
            <v>HeidelbergCement</v>
          </cell>
          <cell r="D1003">
            <v>126521</v>
          </cell>
        </row>
        <row r="1004">
          <cell r="C1004" t="str">
            <v>Naver</v>
          </cell>
          <cell r="D1004">
            <v>78.05</v>
          </cell>
        </row>
        <row r="1005">
          <cell r="C1005" t="str">
            <v>Formula One Group</v>
          </cell>
          <cell r="D1005">
            <v>9.2945700000000002</v>
          </cell>
        </row>
        <row r="1006">
          <cell r="C1006" t="str">
            <v>The Saudi British Bank</v>
          </cell>
          <cell r="D1006">
            <v>164103</v>
          </cell>
        </row>
        <row r="1007">
          <cell r="C1007" t="str">
            <v>Capitec Bank</v>
          </cell>
          <cell r="D1007">
            <v>97.42</v>
          </cell>
        </row>
        <row r="1008">
          <cell r="C1008" t="str">
            <v>AerCap</v>
          </cell>
          <cell r="D1008">
            <v>8.8100900000000006</v>
          </cell>
        </row>
        <row r="1009">
          <cell r="C1009" t="str">
            <v>HDFC Life</v>
          </cell>
          <cell r="D1009">
            <v>37.25</v>
          </cell>
        </row>
        <row r="1010">
          <cell r="C1010" t="str">
            <v>Pidilite</v>
          </cell>
          <cell r="D1010">
            <v>84.24</v>
          </cell>
        </row>
        <row r="1011">
          <cell r="C1011" t="str">
            <v>Coca-Cola FEMSA</v>
          </cell>
          <cell r="D1011">
            <v>43.895800000000001</v>
          </cell>
        </row>
        <row r="1012">
          <cell r="C1012" t="str">
            <v>Sandoz Group</v>
          </cell>
          <cell r="D1012">
            <v>7.84</v>
          </cell>
        </row>
        <row r="1013">
          <cell r="C1013" t="str">
            <v>Warner Bros. Discovery</v>
          </cell>
          <cell r="D1013">
            <v>81.239999999999995</v>
          </cell>
        </row>
        <row r="1014">
          <cell r="C1014" t="str">
            <v>Hologic</v>
          </cell>
          <cell r="D1014">
            <v>2.8563399999999999</v>
          </cell>
        </row>
        <row r="1015">
          <cell r="C1015" t="str">
            <v>Bank of Ningbo</v>
          </cell>
          <cell r="D1015">
            <v>37.1265</v>
          </cell>
        </row>
        <row r="1016">
          <cell r="C1016" t="str">
            <v>Asahi Group</v>
          </cell>
          <cell r="D1016">
            <v>81.42</v>
          </cell>
        </row>
        <row r="1017">
          <cell r="C1017" t="str">
            <v>Principal</v>
          </cell>
          <cell r="D1017">
            <v>209.54</v>
          </cell>
        </row>
        <row r="1018">
          <cell r="C1018" t="str">
            <v>Packaging Corporation of America</v>
          </cell>
          <cell r="D1018">
            <v>96.81</v>
          </cell>
        </row>
        <row r="1019">
          <cell r="C1019" t="str">
            <v>TransUnion</v>
          </cell>
          <cell r="D1019">
            <v>150.88</v>
          </cell>
        </row>
        <row r="1020">
          <cell r="C1020" t="str">
            <v>Jacobs Engineering</v>
          </cell>
          <cell r="D1020">
            <v>158.15</v>
          </cell>
        </row>
        <row r="1021">
          <cell r="C1021" t="str">
            <v>Darden Restaurants</v>
          </cell>
          <cell r="D1021">
            <v>14.9777</v>
          </cell>
        </row>
        <row r="1022">
          <cell r="C1022" t="str">
            <v>PKO Bank Polski</v>
          </cell>
          <cell r="D1022">
            <v>7.4256500000000001</v>
          </cell>
        </row>
        <row r="1023">
          <cell r="C1023" t="str">
            <v>CK Infrastructure</v>
          </cell>
          <cell r="D1023">
            <v>145.44</v>
          </cell>
        </row>
        <row r="1024">
          <cell r="C1024" t="str">
            <v>Westlake Chemical</v>
          </cell>
          <cell r="D1024">
            <v>5.8</v>
          </cell>
        </row>
        <row r="1025">
          <cell r="C1025" t="str">
            <v>Freddie Mac</v>
          </cell>
          <cell r="D1025">
            <v>6.5822900000000004</v>
          </cell>
        </row>
        <row r="1026">
          <cell r="C1026" t="str">
            <v>Bolloré</v>
          </cell>
          <cell r="D1026">
            <v>2.8348100000000001</v>
          </cell>
        </row>
        <row r="1027">
          <cell r="C1027" t="str">
            <v>GAIL</v>
          </cell>
          <cell r="D1027">
            <v>12.26</v>
          </cell>
        </row>
        <row r="1028">
          <cell r="C1028" t="str">
            <v>Tenaga Nasional</v>
          </cell>
          <cell r="D1028">
            <v>8.3646399999999996</v>
          </cell>
        </row>
        <row r="1029">
          <cell r="C1029" t="str">
            <v>Hindalco Industries</v>
          </cell>
          <cell r="D1029">
            <v>105836</v>
          </cell>
        </row>
        <row r="1030">
          <cell r="C1030" t="str">
            <v>Kongsberg Gruppen</v>
          </cell>
          <cell r="D1030">
            <v>14.841699999999999</v>
          </cell>
        </row>
        <row r="1031">
          <cell r="C1031" t="str">
            <v>Inpex</v>
          </cell>
          <cell r="D1031">
            <v>44.776699999999998</v>
          </cell>
        </row>
        <row r="1032">
          <cell r="C1032" t="str">
            <v>Alfa Laval</v>
          </cell>
          <cell r="D1032">
            <v>4.2655099999999999</v>
          </cell>
        </row>
        <row r="1033">
          <cell r="C1033" t="str">
            <v>Bharat Petroleum</v>
          </cell>
          <cell r="D1033">
            <v>82.97</v>
          </cell>
        </row>
        <row r="1034">
          <cell r="C1034" t="str">
            <v>Dollar General</v>
          </cell>
          <cell r="D1034">
            <v>0.46426299999999998</v>
          </cell>
        </row>
        <row r="1035">
          <cell r="C1035" t="str">
            <v>China Railway Group</v>
          </cell>
          <cell r="D1035">
            <v>119.51</v>
          </cell>
        </row>
        <row r="1036">
          <cell r="C1036" t="str">
            <v>Steel Dynamics</v>
          </cell>
          <cell r="D1036">
            <v>75.09</v>
          </cell>
        </row>
        <row r="1037">
          <cell r="C1037" t="str">
            <v>SS&amp;C Technologies</v>
          </cell>
          <cell r="D1037">
            <v>23.62</v>
          </cell>
        </row>
        <row r="1038">
          <cell r="C1038" t="str">
            <v>ArcelorMittal</v>
          </cell>
          <cell r="D1038">
            <v>50.45</v>
          </cell>
        </row>
        <row r="1039">
          <cell r="C1039" t="str">
            <v>TPG Capital</v>
          </cell>
          <cell r="D1039">
            <v>131591</v>
          </cell>
        </row>
        <row r="1040">
          <cell r="C1040" t="str">
            <v>Symrise</v>
          </cell>
          <cell r="D1040">
            <v>91.21</v>
          </cell>
        </row>
        <row r="1041">
          <cell r="C1041" t="str">
            <v>Northern Trust</v>
          </cell>
          <cell r="D1041">
            <v>3.79</v>
          </cell>
        </row>
        <row r="1042">
          <cell r="C1042" t="str">
            <v>DiDi</v>
          </cell>
          <cell r="D1042">
            <v>139.09</v>
          </cell>
        </row>
        <row r="1043">
          <cell r="C1043" t="str">
            <v>Expedia Group</v>
          </cell>
          <cell r="D1043">
            <v>393.06</v>
          </cell>
        </row>
        <row r="1044">
          <cell r="C1044" t="str">
            <v>Emcor</v>
          </cell>
          <cell r="D1044">
            <v>38.43</v>
          </cell>
        </row>
        <row r="1045">
          <cell r="C1045" t="str">
            <v>Fox Corporation</v>
          </cell>
          <cell r="D1045">
            <v>7.1499100000000002</v>
          </cell>
        </row>
        <row r="1046">
          <cell r="C1046" t="str">
            <v>Prada</v>
          </cell>
          <cell r="D1046">
            <v>84.49</v>
          </cell>
        </row>
        <row r="1047">
          <cell r="C1047" t="str">
            <v>Dollar Tree</v>
          </cell>
          <cell r="D1047">
            <v>240546</v>
          </cell>
        </row>
        <row r="1048">
          <cell r="C1048" t="str">
            <v>LG Chem</v>
          </cell>
          <cell r="D1048">
            <v>7.3592399999999998</v>
          </cell>
        </row>
        <row r="1049">
          <cell r="C1049" t="str">
            <v>Ambuja Cements</v>
          </cell>
          <cell r="D1049">
            <v>137.74</v>
          </cell>
        </row>
        <row r="1050">
          <cell r="C1050" t="str">
            <v>Polyus</v>
          </cell>
          <cell r="D1050">
            <v>17.665500000000002</v>
          </cell>
        </row>
        <row r="1051">
          <cell r="C1051" t="str">
            <v>Godrej</v>
          </cell>
          <cell r="D1051">
            <v>24.33</v>
          </cell>
        </row>
        <row r="1052">
          <cell r="C1052" t="str">
            <v>Coterra Energy</v>
          </cell>
          <cell r="D1052">
            <v>1.2174499999999999</v>
          </cell>
        </row>
        <row r="1053">
          <cell r="C1053" t="str">
            <v>MFHC</v>
          </cell>
          <cell r="D1053">
            <v>33.801299999999998</v>
          </cell>
        </row>
        <row r="1054">
          <cell r="C1054" t="str">
            <v>UPM-Kymmene</v>
          </cell>
          <cell r="D1054">
            <v>81.94</v>
          </cell>
        </row>
        <row r="1055">
          <cell r="C1055" t="str">
            <v>Loews Corporation</v>
          </cell>
          <cell r="D1055">
            <v>13318</v>
          </cell>
        </row>
        <row r="1056">
          <cell r="C1056" t="str">
            <v>Ivanhoe Mines</v>
          </cell>
          <cell r="D1056">
            <v>23.3779</v>
          </cell>
        </row>
        <row r="1057">
          <cell r="C1057" t="str">
            <v>Neste</v>
          </cell>
          <cell r="D1057">
            <v>13872</v>
          </cell>
        </row>
        <row r="1058">
          <cell r="C1058" t="str">
            <v>Poste Italiane</v>
          </cell>
          <cell r="D1058">
            <v>183.9</v>
          </cell>
        </row>
        <row r="1059">
          <cell r="C1059" t="str">
            <v>VeriSign</v>
          </cell>
          <cell r="D1059">
            <v>1.22</v>
          </cell>
        </row>
        <row r="1060">
          <cell r="C1060" t="str">
            <v>Nornickel</v>
          </cell>
          <cell r="D1060">
            <v>221.85</v>
          </cell>
        </row>
        <row r="1061">
          <cell r="C1061" t="str">
            <v>Avery Dennison</v>
          </cell>
          <cell r="D1061">
            <v>1.8246500000000001</v>
          </cell>
        </row>
        <row r="1062">
          <cell r="C1062" t="str">
            <v>BT Group</v>
          </cell>
          <cell r="D1062">
            <v>32.549999999999997</v>
          </cell>
        </row>
        <row r="1063">
          <cell r="C1063" t="str">
            <v>Hormel Foods</v>
          </cell>
          <cell r="D1063">
            <v>20.12</v>
          </cell>
        </row>
        <row r="1064">
          <cell r="C1064" t="str">
            <v>Robinhood</v>
          </cell>
          <cell r="D1064">
            <v>345.38</v>
          </cell>
        </row>
        <row r="1065">
          <cell r="C1065" t="str">
            <v>Zebra Technologies</v>
          </cell>
          <cell r="D1065">
            <v>169093</v>
          </cell>
        </row>
        <row r="1066">
          <cell r="C1066" t="str">
            <v>Samsung SDI</v>
          </cell>
          <cell r="D1066">
            <v>27.3</v>
          </cell>
        </row>
        <row r="1067">
          <cell r="C1067" t="str">
            <v>CenterPoint Energy</v>
          </cell>
          <cell r="D1067">
            <v>40.840000000000003</v>
          </cell>
        </row>
        <row r="1068">
          <cell r="C1068" t="str">
            <v>Cameco</v>
          </cell>
          <cell r="D1068">
            <v>27.8</v>
          </cell>
        </row>
        <row r="1069">
          <cell r="C1069" t="str">
            <v>Genmab</v>
          </cell>
          <cell r="D1069">
            <v>24.648399999999999</v>
          </cell>
        </row>
        <row r="1070">
          <cell r="C1070" t="str">
            <v>Sumitomo Mitsui Trust Holdings</v>
          </cell>
          <cell r="D1070">
            <v>237.22</v>
          </cell>
        </row>
        <row r="1071">
          <cell r="C1071" t="str">
            <v>Align Technology</v>
          </cell>
          <cell r="D1071">
            <v>173.2</v>
          </cell>
        </row>
        <row r="1072">
          <cell r="C1072" t="str">
            <v>J. B. Hunt</v>
          </cell>
          <cell r="D1072">
            <v>1.4951099999999999</v>
          </cell>
        </row>
        <row r="1073">
          <cell r="C1073" t="str">
            <v>Gulf Energy Development Public Company</v>
          </cell>
          <cell r="D1073">
            <v>150.62</v>
          </cell>
        </row>
        <row r="1074">
          <cell r="C1074" t="str">
            <v>Carvana</v>
          </cell>
          <cell r="D1074">
            <v>2.7110500000000002</v>
          </cell>
        </row>
        <row r="1075">
          <cell r="C1075" t="str">
            <v>China Securities</v>
          </cell>
          <cell r="D1075">
            <v>6.6238700000000001</v>
          </cell>
        </row>
        <row r="1076">
          <cell r="C1076" t="str">
            <v>Aviva</v>
          </cell>
          <cell r="D1076">
            <v>25.84</v>
          </cell>
        </row>
        <row r="1077">
          <cell r="C1077" t="str">
            <v>Avantor</v>
          </cell>
          <cell r="D1077">
            <v>14.7982</v>
          </cell>
        </row>
        <row r="1078">
          <cell r="C1078" t="str">
            <v>Commerzbank</v>
          </cell>
          <cell r="D1078">
            <v>85.01</v>
          </cell>
        </row>
        <row r="1079">
          <cell r="C1079" t="str">
            <v>NRG Energy</v>
          </cell>
          <cell r="D1079">
            <v>352.84</v>
          </cell>
        </row>
        <row r="1080">
          <cell r="C1080" t="str">
            <v>ULTA Beauty</v>
          </cell>
          <cell r="D1080">
            <v>109.59</v>
          </cell>
        </row>
        <row r="1081">
          <cell r="C1081" t="str">
            <v>Skyworks Solutions</v>
          </cell>
          <cell r="D1081">
            <v>29.56</v>
          </cell>
        </row>
        <row r="1082">
          <cell r="C1082" t="str">
            <v>Corebridge Financial</v>
          </cell>
          <cell r="D1082">
            <v>115.87</v>
          </cell>
        </row>
        <row r="1083">
          <cell r="C1083" t="str">
            <v>Entegris</v>
          </cell>
          <cell r="D1083">
            <v>156.97</v>
          </cell>
        </row>
        <row r="1084">
          <cell r="C1084" t="str">
            <v>Quest Diagnostics</v>
          </cell>
          <cell r="D1084">
            <v>2.39</v>
          </cell>
        </row>
        <row r="1085">
          <cell r="C1085" t="str">
            <v>Abu Dhabi Commercial Bank (ADCB)</v>
          </cell>
          <cell r="D1085">
            <v>7.43</v>
          </cell>
        </row>
        <row r="1086">
          <cell r="C1086" t="str">
            <v>Centrais Electricas Brasileiras</v>
          </cell>
          <cell r="D1086">
            <v>8.6901700000000002</v>
          </cell>
        </row>
        <row r="1087">
          <cell r="C1087" t="str">
            <v>Terna</v>
          </cell>
          <cell r="D1087">
            <v>123.41</v>
          </cell>
        </row>
        <row r="1088">
          <cell r="C1088" t="str">
            <v>Expeditors</v>
          </cell>
          <cell r="D1088">
            <v>91.21</v>
          </cell>
        </row>
        <row r="1089">
          <cell r="C1089" t="str">
            <v>BioMarin Pharmaceutical</v>
          </cell>
          <cell r="D1089">
            <v>11.5495</v>
          </cell>
        </row>
        <row r="1090">
          <cell r="C1090" t="str">
            <v>YANGHE</v>
          </cell>
          <cell r="D1090">
            <v>1.5877300000000001</v>
          </cell>
        </row>
        <row r="1091">
          <cell r="C1091" t="str">
            <v>China Overseas Land &amp;amp; Investment</v>
          </cell>
          <cell r="D1091">
            <v>79.56</v>
          </cell>
        </row>
        <row r="1092">
          <cell r="C1092" t="str">
            <v>Masco</v>
          </cell>
          <cell r="D1092">
            <v>5.85</v>
          </cell>
        </row>
        <row r="1093">
          <cell r="C1093" t="str">
            <v>Nomura Holdings</v>
          </cell>
          <cell r="D1093">
            <v>28.92</v>
          </cell>
        </row>
        <row r="1094">
          <cell r="C1094" t="str">
            <v>Southwest Airlines</v>
          </cell>
          <cell r="D1094">
            <v>192097</v>
          </cell>
        </row>
        <row r="1095">
          <cell r="C1095" t="str">
            <v>Lasertec</v>
          </cell>
          <cell r="D1095">
            <v>148588</v>
          </cell>
        </row>
        <row r="1096">
          <cell r="C1096" t="str">
            <v>Nitori Holdings</v>
          </cell>
          <cell r="D1096">
            <v>29.03</v>
          </cell>
        </row>
        <row r="1097">
          <cell r="C1097" t="str">
            <v>Royalty Pharma</v>
          </cell>
          <cell r="D1097">
            <v>14.84</v>
          </cell>
        </row>
        <row r="1098">
          <cell r="C1098" t="str">
            <v>KE Holdings</v>
          </cell>
          <cell r="D1098">
            <v>10.44</v>
          </cell>
        </row>
        <row r="1099">
          <cell r="C1099" t="str">
            <v>Tencent Music</v>
          </cell>
          <cell r="D1099">
            <v>12.262600000000001</v>
          </cell>
        </row>
        <row r="1100">
          <cell r="C1100" t="str">
            <v>Kyocera</v>
          </cell>
          <cell r="D1100">
            <v>4.1406000000000001</v>
          </cell>
        </row>
        <row r="1101">
          <cell r="C1101" t="str">
            <v>EDP Group</v>
          </cell>
          <cell r="D1101">
            <v>19.517700000000001</v>
          </cell>
        </row>
        <row r="1102">
          <cell r="C1102" t="str">
            <v>Tech Mahindra</v>
          </cell>
          <cell r="D1102">
            <v>135.24</v>
          </cell>
        </row>
        <row r="1103">
          <cell r="C1103" t="str">
            <v>Sun Communities</v>
          </cell>
          <cell r="D1103">
            <v>2.9378199999999999</v>
          </cell>
        </row>
        <row r="1104">
          <cell r="C1104" t="str">
            <v>Legal &amp;amp; General</v>
          </cell>
          <cell r="D1104">
            <v>12.335900000000001</v>
          </cell>
        </row>
        <row r="1105">
          <cell r="C1105" t="str">
            <v>Brambles</v>
          </cell>
          <cell r="D1105">
            <v>40.76</v>
          </cell>
        </row>
        <row r="1106">
          <cell r="C1106" t="str">
            <v>Brookfield Asset Management</v>
          </cell>
          <cell r="D1106">
            <v>100365</v>
          </cell>
        </row>
        <row r="1107">
          <cell r="C1107" t="str">
            <v>Kerry Group</v>
          </cell>
          <cell r="D1107">
            <v>268.24</v>
          </cell>
        </row>
        <row r="1108">
          <cell r="C1108" t="str">
            <v>Burlington Stores</v>
          </cell>
          <cell r="D1108">
            <v>91.2</v>
          </cell>
        </row>
        <row r="1109">
          <cell r="C1109" t="str">
            <v>Textron</v>
          </cell>
          <cell r="D1109">
            <v>117323</v>
          </cell>
        </row>
        <row r="1110">
          <cell r="C1110" t="str">
            <v>Carlsberg</v>
          </cell>
          <cell r="D1110">
            <v>8.6056799999999996</v>
          </cell>
        </row>
        <row r="1111">
          <cell r="C1111" t="str">
            <v>China Tourism Group Duty Free</v>
          </cell>
          <cell r="D1111">
            <v>21.44</v>
          </cell>
        </row>
        <row r="1112">
          <cell r="C1112" t="str">
            <v>ZTO Express</v>
          </cell>
          <cell r="D1112">
            <v>2.0029599999999999</v>
          </cell>
        </row>
        <row r="1113">
          <cell r="C1113" t="str">
            <v>Yankuang Energy (Yanzhou Coal Mining)</v>
          </cell>
          <cell r="D1113">
            <v>217752</v>
          </cell>
        </row>
        <row r="1114">
          <cell r="C1114" t="str">
            <v>Sartorius</v>
          </cell>
          <cell r="D1114">
            <v>392.24</v>
          </cell>
        </row>
        <row r="1115">
          <cell r="C1115" t="str">
            <v>Everest Group</v>
          </cell>
          <cell r="D1115">
            <v>12.7148</v>
          </cell>
        </row>
        <row r="1116">
          <cell r="C1116" t="str">
            <v>Coles Group</v>
          </cell>
          <cell r="D1116">
            <v>134.33000000000001</v>
          </cell>
        </row>
        <row r="1117">
          <cell r="C1117" t="str">
            <v>Williams-Sonoma</v>
          </cell>
          <cell r="D1117">
            <v>12.4041</v>
          </cell>
        </row>
        <row r="1118">
          <cell r="C1118" t="str">
            <v>Telenor</v>
          </cell>
          <cell r="D1118">
            <v>3.8731399999999998</v>
          </cell>
        </row>
        <row r="1119">
          <cell r="C1119" t="str">
            <v>Galaxy Entertainment</v>
          </cell>
          <cell r="D1119">
            <v>64.63</v>
          </cell>
        </row>
        <row r="1120">
          <cell r="C1120" t="str">
            <v>Ryan Specialty Group</v>
          </cell>
          <cell r="D1120">
            <v>215.32</v>
          </cell>
        </row>
        <row r="1121">
          <cell r="C1121" t="str">
            <v>Dassault Aviation</v>
          </cell>
          <cell r="D1121">
            <v>69.832599999999999</v>
          </cell>
        </row>
        <row r="1122">
          <cell r="C1122" t="str">
            <v>Britannia Industries</v>
          </cell>
          <cell r="D1122">
            <v>48.42</v>
          </cell>
        </row>
        <row r="1123">
          <cell r="C1123" t="str">
            <v>International Paper</v>
          </cell>
          <cell r="D1123">
            <v>71.53</v>
          </cell>
        </row>
        <row r="1124">
          <cell r="C1124" t="str">
            <v>Aptiv</v>
          </cell>
          <cell r="D1124">
            <v>224.34</v>
          </cell>
        </row>
        <row r="1125">
          <cell r="C1125" t="str">
            <v>LPL Financial</v>
          </cell>
          <cell r="D1125">
            <v>34.5</v>
          </cell>
        </row>
        <row r="1126">
          <cell r="C1126" t="str">
            <v>DraftKings</v>
          </cell>
          <cell r="D1126">
            <v>187445</v>
          </cell>
        </row>
        <row r="1127">
          <cell r="C1127" t="str">
            <v>Shimano</v>
          </cell>
          <cell r="D1127">
            <v>1.7535099999999999</v>
          </cell>
        </row>
        <row r="1128">
          <cell r="C1128" t="str">
            <v>Formosa Petrochemical</v>
          </cell>
          <cell r="D1128">
            <v>51.29</v>
          </cell>
        </row>
        <row r="1129">
          <cell r="C1129" t="str">
            <v>Pure Storage</v>
          </cell>
          <cell r="D1129">
            <v>1.18485</v>
          </cell>
        </row>
        <row r="1130">
          <cell r="C1130" t="str">
            <v>China Communications Construction</v>
          </cell>
          <cell r="D1130">
            <v>25.6814</v>
          </cell>
        </row>
        <row r="1131">
          <cell r="C1131" t="str">
            <v>Sekisui House</v>
          </cell>
          <cell r="D1131">
            <v>15.994300000000001</v>
          </cell>
        </row>
        <row r="1132">
          <cell r="C1132" t="str">
            <v>EDP Renováveis</v>
          </cell>
          <cell r="D1132">
            <v>4.9552300000000002</v>
          </cell>
        </row>
        <row r="1133">
          <cell r="C1133" t="str">
            <v>Snam</v>
          </cell>
          <cell r="D1133">
            <v>4.1686300000000003</v>
          </cell>
        </row>
        <row r="1134">
          <cell r="C1134" t="str">
            <v>PTT Exploration and Production</v>
          </cell>
          <cell r="D1134">
            <v>61.257899999999999</v>
          </cell>
        </row>
        <row r="1135">
          <cell r="C1135" t="str">
            <v>Moncler</v>
          </cell>
          <cell r="D1135">
            <v>10.5891</v>
          </cell>
        </row>
        <row r="1136">
          <cell r="C1136" t="str">
            <v>Unipol Gruppo</v>
          </cell>
          <cell r="D1136">
            <v>44.51</v>
          </cell>
        </row>
        <row r="1137">
          <cell r="C1137" t="str">
            <v>UDR Apartments</v>
          </cell>
          <cell r="D1137">
            <v>6.1076199999999998</v>
          </cell>
        </row>
        <row r="1138">
          <cell r="C1138" t="str">
            <v>Shenzhen Inovance</v>
          </cell>
          <cell r="D1138">
            <v>5.1838499999999996</v>
          </cell>
        </row>
        <row r="1139">
          <cell r="C1139" t="str">
            <v>Tata Power</v>
          </cell>
          <cell r="D1139">
            <v>11.44</v>
          </cell>
        </row>
        <row r="1140">
          <cell r="C1140" t="str">
            <v>Amcor</v>
          </cell>
          <cell r="D1140">
            <v>33.049599999999998</v>
          </cell>
        </row>
        <row r="1141">
          <cell r="C1141" t="str">
            <v>Traton</v>
          </cell>
          <cell r="D1141">
            <v>29.69</v>
          </cell>
        </row>
        <row r="1142">
          <cell r="C1142" t="str">
            <v>Tenaris</v>
          </cell>
          <cell r="D1142">
            <v>24.49</v>
          </cell>
        </row>
        <row r="1143">
          <cell r="C1143" t="str">
            <v>Brookfield Renewable Partners</v>
          </cell>
          <cell r="D1143">
            <v>121.04</v>
          </cell>
        </row>
        <row r="1144">
          <cell r="C1144" t="str">
            <v>Enphase Energy</v>
          </cell>
          <cell r="D1144">
            <v>2.08195</v>
          </cell>
        </row>
        <row r="1145">
          <cell r="C1145" t="str">
            <v>Guotai Junan Securities</v>
          </cell>
          <cell r="D1145">
            <v>13.9216</v>
          </cell>
        </row>
        <row r="1146">
          <cell r="C1146" t="str">
            <v>Kubota</v>
          </cell>
          <cell r="D1146">
            <v>39.770000000000003</v>
          </cell>
        </row>
        <row r="1147">
          <cell r="C1147" t="str">
            <v>AMH (American Homes 4 Rent)</v>
          </cell>
          <cell r="D1147">
            <v>10.7934</v>
          </cell>
        </row>
        <row r="1148">
          <cell r="C1148" t="str">
            <v>Seres Group</v>
          </cell>
          <cell r="D1148">
            <v>7.0497199999999998</v>
          </cell>
        </row>
        <row r="1149">
          <cell r="C1149" t="str">
            <v>Resona Holdings</v>
          </cell>
          <cell r="D1149">
            <v>26.46</v>
          </cell>
        </row>
        <row r="1150">
          <cell r="C1150" t="str">
            <v>Gen Digital</v>
          </cell>
          <cell r="D1150">
            <v>36073</v>
          </cell>
        </row>
        <row r="1151">
          <cell r="C1151" t="str">
            <v>Nippon Yūsen</v>
          </cell>
          <cell r="D1151">
            <v>19.5655</v>
          </cell>
        </row>
        <row r="1152">
          <cell r="C1152" t="str">
            <v>Nexon</v>
          </cell>
          <cell r="D1152">
            <v>59.161299999999997</v>
          </cell>
        </row>
        <row r="1153">
          <cell r="C1153" t="str">
            <v>Eicher Motors</v>
          </cell>
          <cell r="D1153">
            <v>264.43</v>
          </cell>
        </row>
        <row r="1154">
          <cell r="C1154" t="str">
            <v>Manhattan Associates</v>
          </cell>
          <cell r="D1154">
            <v>32.229999999999997</v>
          </cell>
        </row>
        <row r="1155">
          <cell r="C1155" t="str">
            <v>Rentokil Initial</v>
          </cell>
          <cell r="D1155">
            <v>20.879799999999999</v>
          </cell>
        </row>
        <row r="1156">
          <cell r="C1156" t="str">
            <v>Galp Energia</v>
          </cell>
          <cell r="D1156">
            <v>363.55</v>
          </cell>
        </row>
        <row r="1157">
          <cell r="C1157" t="str">
            <v>United Therapeutics</v>
          </cell>
          <cell r="D1157">
            <v>28.65</v>
          </cell>
        </row>
        <row r="1158">
          <cell r="C1158" t="str">
            <v>Marathon Oil</v>
          </cell>
          <cell r="D1158">
            <v>60.752299999999998</v>
          </cell>
        </row>
        <row r="1159">
          <cell r="C1159" t="str">
            <v>Divis Laboratories</v>
          </cell>
          <cell r="D1159">
            <v>37.409999999999997</v>
          </cell>
        </row>
        <row r="1160">
          <cell r="C1160" t="str">
            <v>James Hardie Industries</v>
          </cell>
          <cell r="D1160">
            <v>58.96</v>
          </cell>
        </row>
        <row r="1161">
          <cell r="C1161" t="str">
            <v>Fidelity National Financial</v>
          </cell>
          <cell r="D1161">
            <v>2.0636199999999998</v>
          </cell>
        </row>
        <row r="1162">
          <cell r="C1162" t="str">
            <v>China Merchants Securities</v>
          </cell>
          <cell r="D1162">
            <v>33.965899999999998</v>
          </cell>
        </row>
        <row r="1163">
          <cell r="C1163" t="str">
            <v>Sumitomo Realty &amp;amp; Development</v>
          </cell>
          <cell r="D1163">
            <v>422.84</v>
          </cell>
        </row>
        <row r="1164">
          <cell r="C1164" t="str">
            <v>FactSet</v>
          </cell>
          <cell r="D1164">
            <v>10.684799999999999</v>
          </cell>
        </row>
        <row r="1165">
          <cell r="C1165" t="str">
            <v>QBE Insurance</v>
          </cell>
          <cell r="D1165">
            <v>298441</v>
          </cell>
        </row>
        <row r="1166">
          <cell r="C1166" t="str">
            <v>MTU Aero Engines</v>
          </cell>
          <cell r="D1166">
            <v>4.08202</v>
          </cell>
        </row>
        <row r="1167">
          <cell r="C1167" t="str">
            <v>KPN</v>
          </cell>
          <cell r="D1167">
            <v>45.5199</v>
          </cell>
        </row>
        <row r="1168">
          <cell r="C1168" t="str">
            <v>Tourmaline Oil</v>
          </cell>
          <cell r="D1168">
            <v>13767</v>
          </cell>
        </row>
        <row r="1169">
          <cell r="C1169" t="str">
            <v>Repsol</v>
          </cell>
          <cell r="D1169">
            <v>43.31</v>
          </cell>
        </row>
        <row r="1170">
          <cell r="C1170" t="str">
            <v>GFL Environmental</v>
          </cell>
          <cell r="D1170">
            <v>29.43</v>
          </cell>
        </row>
        <row r="1171">
          <cell r="C1171" t="str">
            <v>News Corp</v>
          </cell>
          <cell r="D1171">
            <v>0.74053199999999997</v>
          </cell>
        </row>
        <row r="1172">
          <cell r="C1172" t="str">
            <v>Bank of Beijing</v>
          </cell>
          <cell r="D1172">
            <v>1.7823500000000001</v>
          </cell>
        </row>
        <row r="1173">
          <cell r="C1173" t="str">
            <v>CP All</v>
          </cell>
          <cell r="D1173">
            <v>100.51</v>
          </cell>
        </row>
        <row r="1174">
          <cell r="C1174" t="str">
            <v>InterContinental Hotels Group</v>
          </cell>
          <cell r="D1174">
            <v>133436</v>
          </cell>
        </row>
        <row r="1175">
          <cell r="C1175" t="str">
            <v>Next plc</v>
          </cell>
          <cell r="D1175">
            <v>33.552799999999998</v>
          </cell>
        </row>
        <row r="1176">
          <cell r="C1176" t="str">
            <v>TVS Motor</v>
          </cell>
          <cell r="D1176">
            <v>19.737100000000002</v>
          </cell>
        </row>
        <row r="1177">
          <cell r="C1177" t="str">
            <v>Cipla</v>
          </cell>
          <cell r="D1177">
            <v>165.84</v>
          </cell>
        </row>
        <row r="1178">
          <cell r="C1178" t="str">
            <v>Tenet Healthcare</v>
          </cell>
          <cell r="D1178">
            <v>86.13</v>
          </cell>
        </row>
        <row r="1179">
          <cell r="C1179" t="str">
            <v>Ritchie Bros. Auctioneers</v>
          </cell>
          <cell r="D1179">
            <v>4.8856400000000004</v>
          </cell>
        </row>
        <row r="1180">
          <cell r="C1180" t="str">
            <v>Santos</v>
          </cell>
          <cell r="D1180">
            <v>3.8084500000000001</v>
          </cell>
        </row>
        <row r="1181">
          <cell r="C1181" t="str">
            <v>Shandong Gold Mining</v>
          </cell>
          <cell r="D1181">
            <v>17.059999999999999</v>
          </cell>
        </row>
        <row r="1182">
          <cell r="C1182" t="str">
            <v>KeyCorp (KeyBank)</v>
          </cell>
          <cell r="D1182">
            <v>86.990200000000002</v>
          </cell>
        </row>
        <row r="1183">
          <cell r="C1183" t="str">
            <v>Kingspan Group</v>
          </cell>
          <cell r="D1183">
            <v>2.55986</v>
          </cell>
        </row>
        <row r="1184">
          <cell r="C1184" t="str">
            <v>Hansoh Pharma</v>
          </cell>
          <cell r="D1184">
            <v>28.031400000000001</v>
          </cell>
        </row>
        <row r="1185">
          <cell r="C1185" t="str">
            <v>Puig Brands</v>
          </cell>
          <cell r="D1185">
            <v>2329</v>
          </cell>
        </row>
        <row r="1186">
          <cell r="C1186" t="str">
            <v>Samvardhana Motherson</v>
          </cell>
          <cell r="D1186">
            <v>17.684200000000001</v>
          </cell>
        </row>
        <row r="1187">
          <cell r="C1187" t="str">
            <v>KEPCO</v>
          </cell>
          <cell r="D1187">
            <v>286.64999999999998</v>
          </cell>
        </row>
        <row r="1188">
          <cell r="C1188" t="str">
            <v>Reliance</v>
          </cell>
          <cell r="D1188">
            <v>102.36</v>
          </cell>
        </row>
        <row r="1189">
          <cell r="C1189" t="str">
            <v>Stanley Black &amp;amp; Decker</v>
          </cell>
          <cell r="D1189">
            <v>237.97</v>
          </cell>
        </row>
        <row r="1190">
          <cell r="C1190" t="str">
            <v>Universal Health Services</v>
          </cell>
          <cell r="D1190">
            <v>2</v>
          </cell>
        </row>
        <row r="1191">
          <cell r="C1191" t="str">
            <v>Al Dar Properties</v>
          </cell>
          <cell r="D1191">
            <v>23.26</v>
          </cell>
        </row>
        <row r="1192">
          <cell r="C1192" t="str">
            <v>Kimco Realty</v>
          </cell>
          <cell r="D1192">
            <v>3.5023599999999999</v>
          </cell>
        </row>
        <row r="1193">
          <cell r="C1193" t="str">
            <v>ZTE</v>
          </cell>
          <cell r="D1193">
            <v>206.48</v>
          </cell>
        </row>
        <row r="1194">
          <cell r="C1194" t="str">
            <v>IDEX</v>
          </cell>
          <cell r="D1194">
            <v>5.4010199999999999</v>
          </cell>
        </row>
        <row r="1195">
          <cell r="C1195" t="str">
            <v>ENEOS Holdings</v>
          </cell>
          <cell r="D1195">
            <v>46.469499999999996</v>
          </cell>
        </row>
        <row r="1196">
          <cell r="C1196" t="str">
            <v>Bunzl</v>
          </cell>
          <cell r="D1196">
            <v>63.19</v>
          </cell>
        </row>
        <row r="1197">
          <cell r="C1197" t="str">
            <v>Nutanix</v>
          </cell>
          <cell r="D1197">
            <v>22.28</v>
          </cell>
        </row>
        <row r="1198">
          <cell r="C1198" t="str">
            <v>Physicians Realty Trust</v>
          </cell>
          <cell r="D1198">
            <v>9.25</v>
          </cell>
        </row>
        <row r="1199">
          <cell r="C1199" t="str">
            <v>Telefonica Brasil</v>
          </cell>
          <cell r="D1199">
            <v>51.47</v>
          </cell>
        </row>
        <row r="1200">
          <cell r="C1200" t="str">
            <v>Bentley Systems</v>
          </cell>
          <cell r="D1200">
            <v>3.5763600000000002</v>
          </cell>
        </row>
        <row r="1201">
          <cell r="C1201" t="str">
            <v>Grupo Bimbo</v>
          </cell>
          <cell r="D1201">
            <v>7.63</v>
          </cell>
        </row>
        <row r="1202">
          <cell r="C1202" t="str">
            <v>International Container Terminal Services</v>
          </cell>
          <cell r="D1202">
            <v>35946</v>
          </cell>
        </row>
        <row r="1203">
          <cell r="C1203" t="str">
            <v>Industrivarden</v>
          </cell>
          <cell r="D1203">
            <v>9.34</v>
          </cell>
        </row>
        <row r="1204">
          <cell r="C1204" t="str">
            <v>Snap</v>
          </cell>
          <cell r="D1204">
            <v>11.436199999999999</v>
          </cell>
        </row>
        <row r="1205">
          <cell r="C1205" t="str">
            <v>SEGRO</v>
          </cell>
          <cell r="D1205">
            <v>2.9828100000000002</v>
          </cell>
        </row>
        <row r="1206">
          <cell r="C1206" t="str">
            <v>Bank of Baroda</v>
          </cell>
          <cell r="D1206">
            <v>101.84</v>
          </cell>
        </row>
        <row r="1207">
          <cell r="C1207" t="str">
            <v>Akamai</v>
          </cell>
          <cell r="D1207">
            <v>514.51</v>
          </cell>
        </row>
        <row r="1208">
          <cell r="C1208" t="str">
            <v>VAT Group</v>
          </cell>
          <cell r="D1208">
            <v>4.3989599999999998</v>
          </cell>
        </row>
        <row r="1209">
          <cell r="C1209" t="str">
            <v>WuXi AppTec</v>
          </cell>
          <cell r="D1209">
            <v>0.46</v>
          </cell>
        </row>
        <row r="1210">
          <cell r="C1210" t="str">
            <v>SM Prime Holdings</v>
          </cell>
          <cell r="D1210">
            <v>173079</v>
          </cell>
        </row>
        <row r="1211">
          <cell r="C1211" t="str">
            <v>OBIC</v>
          </cell>
          <cell r="D1211">
            <v>75163</v>
          </cell>
        </row>
        <row r="1212">
          <cell r="C1212" t="str">
            <v>Amundi</v>
          </cell>
          <cell r="D1212">
            <v>1.3902699999999999</v>
          </cell>
        </row>
        <row r="1213">
          <cell r="C1213" t="str">
            <v>Punjab National Bank</v>
          </cell>
          <cell r="D1213">
            <v>1.2299100000000001</v>
          </cell>
        </row>
        <row r="1214">
          <cell r="C1214" t="str">
            <v>Lenovo</v>
          </cell>
          <cell r="D1214">
            <v>1.5313000000000001</v>
          </cell>
        </row>
        <row r="1215">
          <cell r="C1215" t="str">
            <v>Weichai Power</v>
          </cell>
          <cell r="D1215">
            <v>11957</v>
          </cell>
        </row>
        <row r="1216">
          <cell r="C1216" t="str">
            <v>Suncorp</v>
          </cell>
          <cell r="D1216">
            <v>0.96339699999999995</v>
          </cell>
        </row>
        <row r="1217">
          <cell r="C1217" t="str">
            <v>Aluminum Corporation of China</v>
          </cell>
          <cell r="D1217">
            <v>8.9497800000000005</v>
          </cell>
        </row>
        <row r="1218">
          <cell r="C1218" t="str">
            <v>Arca Continental</v>
          </cell>
          <cell r="D1218">
            <v>7.0702400000000001</v>
          </cell>
        </row>
        <row r="1219">
          <cell r="C1219" t="str">
            <v>Rakuten</v>
          </cell>
          <cell r="D1219">
            <v>0.814384</v>
          </cell>
        </row>
        <row r="1220">
          <cell r="C1220" t="str">
            <v>Hong Kong and China Gas</v>
          </cell>
          <cell r="D1220">
            <v>3.11646</v>
          </cell>
        </row>
        <row r="1221">
          <cell r="C1221" t="str">
            <v>Henderson Land Development</v>
          </cell>
          <cell r="D1221">
            <v>33.4054</v>
          </cell>
        </row>
        <row r="1222">
          <cell r="C1222" t="str">
            <v>Lifco</v>
          </cell>
          <cell r="D1222">
            <v>1.1491199999999999</v>
          </cell>
        </row>
        <row r="1223">
          <cell r="C1223" t="str">
            <v>Budweiser APAC</v>
          </cell>
          <cell r="D1223">
            <v>25.366700000000002</v>
          </cell>
        </row>
        <row r="1224">
          <cell r="C1224" t="str">
            <v>Pan Pacific International Holdings</v>
          </cell>
          <cell r="D1224">
            <v>122.54</v>
          </cell>
        </row>
        <row r="1225">
          <cell r="C1225" t="str">
            <v>Revvity</v>
          </cell>
          <cell r="D1225">
            <v>23.9498</v>
          </cell>
        </row>
        <row r="1226">
          <cell r="C1226" t="str">
            <v>Aker BP</v>
          </cell>
          <cell r="D1226">
            <v>72.652100000000004</v>
          </cell>
        </row>
        <row r="1227">
          <cell r="C1227" t="str">
            <v>Secom</v>
          </cell>
          <cell r="D1227">
            <v>50.62</v>
          </cell>
        </row>
        <row r="1228">
          <cell r="C1228" t="str">
            <v>Dynatrace</v>
          </cell>
          <cell r="D1228">
            <v>46.98</v>
          </cell>
        </row>
        <row r="1229">
          <cell r="C1229" t="str">
            <v>On Holding</v>
          </cell>
          <cell r="D1229">
            <v>32.15</v>
          </cell>
        </row>
        <row r="1230">
          <cell r="C1230" t="str">
            <v>Brookfield Infrastructure Partners</v>
          </cell>
          <cell r="D1230">
            <v>2.4033699999999998</v>
          </cell>
        </row>
        <row r="1231">
          <cell r="C1231" t="str">
            <v>Wilmar International</v>
          </cell>
          <cell r="D1231">
            <v>83.09</v>
          </cell>
        </row>
        <row r="1232">
          <cell r="C1232" t="str">
            <v>CF Industries</v>
          </cell>
          <cell r="D1232">
            <v>116.25</v>
          </cell>
        </row>
        <row r="1233">
          <cell r="C1233" t="str">
            <v>RPM International</v>
          </cell>
          <cell r="D1233">
            <v>151.91999999999999</v>
          </cell>
        </row>
        <row r="1234">
          <cell r="C1234" t="str">
            <v>Hyatt Hotels</v>
          </cell>
          <cell r="D1234">
            <v>283.74</v>
          </cell>
        </row>
        <row r="1235">
          <cell r="C1235" t="str">
            <v>Snap-on</v>
          </cell>
          <cell r="D1235">
            <v>31.2</v>
          </cell>
        </row>
        <row r="1236">
          <cell r="C1236" t="str">
            <v>Conagra Brands</v>
          </cell>
          <cell r="D1236">
            <v>58.27</v>
          </cell>
        </row>
        <row r="1237">
          <cell r="C1237" t="str">
            <v>Alliant Energy</v>
          </cell>
          <cell r="D1237">
            <v>14.954599999999999</v>
          </cell>
        </row>
        <row r="1238">
          <cell r="C1238" t="str">
            <v>Lodha Group</v>
          </cell>
          <cell r="D1238">
            <v>6.9831899999999996</v>
          </cell>
        </row>
        <row r="1239">
          <cell r="C1239" t="str">
            <v>Power Assets</v>
          </cell>
          <cell r="D1239">
            <v>49.72</v>
          </cell>
        </row>
        <row r="1240">
          <cell r="C1240" t="str">
            <v>Campbell Soup</v>
          </cell>
          <cell r="D1240">
            <v>33.06</v>
          </cell>
        </row>
        <row r="1241">
          <cell r="C1241" t="str">
            <v>NiSource</v>
          </cell>
          <cell r="D1241">
            <v>28.61</v>
          </cell>
        </row>
        <row r="1242">
          <cell r="C1242" t="str">
            <v>Warner Music Group</v>
          </cell>
          <cell r="D1242">
            <v>6.3088300000000004</v>
          </cell>
        </row>
        <row r="1243">
          <cell r="C1243" t="str">
            <v>Nippon Paint</v>
          </cell>
          <cell r="D1243">
            <v>234.14</v>
          </cell>
        </row>
        <row r="1244">
          <cell r="C1244" t="str">
            <v>AspenTech</v>
          </cell>
          <cell r="D1244">
            <v>8.4815199999999997</v>
          </cell>
        </row>
        <row r="1245">
          <cell r="C1245" t="str">
            <v>JSW Energy</v>
          </cell>
          <cell r="D1245">
            <v>162734</v>
          </cell>
        </row>
        <row r="1246">
          <cell r="C1246" t="str">
            <v>Hyundai Mobis</v>
          </cell>
          <cell r="D1246">
            <v>31.0441</v>
          </cell>
        </row>
        <row r="1247">
          <cell r="C1247" t="str">
            <v>Saudi Arabian Fertilizer Company</v>
          </cell>
          <cell r="D1247">
            <v>1.9479500000000001</v>
          </cell>
        </row>
        <row r="1248">
          <cell r="C1248" t="str">
            <v>LONGi Green Energy Technology</v>
          </cell>
          <cell r="D1248">
            <v>96.657200000000003</v>
          </cell>
        </row>
        <row r="1249">
          <cell r="C1249" t="str">
            <v>Xero</v>
          </cell>
          <cell r="D1249">
            <v>1704.11</v>
          </cell>
        </row>
        <row r="1250">
          <cell r="C1250" t="str">
            <v>Shinkin Central Bank</v>
          </cell>
          <cell r="D1250">
            <v>34048</v>
          </cell>
        </row>
        <row r="1251">
          <cell r="C1251" t="str">
            <v>Nippon Sanso</v>
          </cell>
          <cell r="D1251">
            <v>5.4682899999999997</v>
          </cell>
        </row>
        <row r="1252">
          <cell r="C1252" t="str">
            <v>Indus Towers</v>
          </cell>
          <cell r="D1252">
            <v>32.9833</v>
          </cell>
        </row>
        <row r="1253">
          <cell r="C1253" t="str">
            <v>Bureau Veritas</v>
          </cell>
          <cell r="D1253">
            <v>38.58</v>
          </cell>
        </row>
        <row r="1254">
          <cell r="C1254" t="str">
            <v>Western Midstream</v>
          </cell>
          <cell r="D1254">
            <v>88.69</v>
          </cell>
        </row>
        <row r="1255">
          <cell r="C1255" t="str">
            <v>Pentair</v>
          </cell>
          <cell r="D1255">
            <v>168.73</v>
          </cell>
        </row>
        <row r="1256">
          <cell r="C1256" t="str">
            <v>Owens Corning</v>
          </cell>
          <cell r="D1256">
            <v>256.56</v>
          </cell>
        </row>
        <row r="1257">
          <cell r="C1257" t="str">
            <v>Nordson</v>
          </cell>
          <cell r="D1257">
            <v>2.5818099999999999</v>
          </cell>
        </row>
        <row r="1258">
          <cell r="C1258" t="str">
            <v>Uni-President Enterprises</v>
          </cell>
          <cell r="D1258">
            <v>1.7744599999999999</v>
          </cell>
        </row>
        <row r="1259">
          <cell r="C1259" t="str">
            <v>Huatai Securities</v>
          </cell>
          <cell r="D1259">
            <v>118.26</v>
          </cell>
        </row>
        <row r="1260">
          <cell r="C1260" t="str">
            <v>Natera</v>
          </cell>
          <cell r="D1260">
            <v>25.378599999999999</v>
          </cell>
        </row>
        <row r="1261">
          <cell r="C1261" t="str">
            <v>Leonardo</v>
          </cell>
          <cell r="D1261">
            <v>9.6426800000000004</v>
          </cell>
        </row>
        <row r="1262">
          <cell r="C1262" t="str">
            <v>Bank Leumi</v>
          </cell>
          <cell r="D1262">
            <v>17.360199999999999</v>
          </cell>
        </row>
        <row r="1263">
          <cell r="C1263" t="str">
            <v>Cholamandalam Investment and Finance</v>
          </cell>
          <cell r="D1263">
            <v>0.99865999999999999</v>
          </cell>
        </row>
        <row r="1264">
          <cell r="C1264" t="str">
            <v>Bank of Shanghai</v>
          </cell>
          <cell r="D1264">
            <v>6.0185700000000004</v>
          </cell>
        </row>
        <row r="1265">
          <cell r="C1265" t="str">
            <v>AIB Group (Allied Irish Banks)</v>
          </cell>
          <cell r="D1265">
            <v>9.4</v>
          </cell>
        </row>
        <row r="1266">
          <cell r="C1266" t="str">
            <v>UWM Holdings</v>
          </cell>
          <cell r="D1266">
            <v>144.07</v>
          </cell>
        </row>
        <row r="1267">
          <cell r="C1267" t="str">
            <v>Toll Brothers</v>
          </cell>
          <cell r="D1267">
            <v>220.76</v>
          </cell>
        </row>
        <row r="1268">
          <cell r="C1268" t="str">
            <v>Reinsurance Group of America</v>
          </cell>
          <cell r="D1268">
            <v>10.947900000000001</v>
          </cell>
        </row>
        <row r="1269">
          <cell r="C1269" t="str">
            <v>Informa plc</v>
          </cell>
          <cell r="D1269">
            <v>33.549999999999997</v>
          </cell>
        </row>
        <row r="1270">
          <cell r="C1270" t="str">
            <v>Viking Holdings</v>
          </cell>
          <cell r="D1270">
            <v>1.3992500000000001</v>
          </cell>
        </row>
        <row r="1271">
          <cell r="C1271" t="str">
            <v>Bank of Nanjing</v>
          </cell>
          <cell r="D1271">
            <v>414.21</v>
          </cell>
        </row>
        <row r="1272">
          <cell r="C1272" t="str">
            <v>Domino's Pizza</v>
          </cell>
          <cell r="D1272">
            <v>44.04</v>
          </cell>
        </row>
        <row r="1273">
          <cell r="C1273" t="str">
            <v>United Airlines Holdings</v>
          </cell>
          <cell r="D1273">
            <v>59.21</v>
          </cell>
        </row>
        <row r="1274">
          <cell r="C1274" t="str">
            <v>US Foods</v>
          </cell>
          <cell r="D1274">
            <v>2.37561</v>
          </cell>
        </row>
        <row r="1275">
          <cell r="C1275" t="str">
            <v>Grupo Financiero Inbursa</v>
          </cell>
          <cell r="D1275">
            <v>12.014699999999999</v>
          </cell>
        </row>
        <row r="1276">
          <cell r="C1276" t="str">
            <v>Adani Energy Solutions</v>
          </cell>
          <cell r="D1276">
            <v>14.508599999999999</v>
          </cell>
        </row>
        <row r="1277">
          <cell r="C1277" t="str">
            <v>Almarai</v>
          </cell>
          <cell r="D1277">
            <v>12.08</v>
          </cell>
        </row>
        <row r="1278">
          <cell r="C1278" t="str">
            <v>Viatris</v>
          </cell>
          <cell r="D1278">
            <v>1.7053400000000001</v>
          </cell>
        </row>
        <row r="1279">
          <cell r="C1279" t="str">
            <v>Chongqing Changan</v>
          </cell>
          <cell r="D1279">
            <v>8.8375299999999992</v>
          </cell>
        </row>
        <row r="1280">
          <cell r="C1280" t="str">
            <v>Oil India</v>
          </cell>
          <cell r="D1280">
            <v>11.45</v>
          </cell>
        </row>
        <row r="1281">
          <cell r="C1281" t="str">
            <v>CNH Industrial</v>
          </cell>
          <cell r="D1281">
            <v>43.837699999999998</v>
          </cell>
        </row>
        <row r="1282">
          <cell r="C1282" t="str">
            <v>OMV</v>
          </cell>
          <cell r="D1282">
            <v>27.06</v>
          </cell>
        </row>
        <row r="1283">
          <cell r="C1283" t="str">
            <v>BDO Unibank</v>
          </cell>
          <cell r="D1283">
            <v>38.218400000000003</v>
          </cell>
        </row>
        <row r="1284">
          <cell r="C1284" t="str">
            <v>Shriram Transport Finance</v>
          </cell>
          <cell r="D1284">
            <v>101.38</v>
          </cell>
        </row>
        <row r="1285">
          <cell r="C1285" t="str">
            <v>Bunge</v>
          </cell>
          <cell r="D1285">
            <v>2.16</v>
          </cell>
        </row>
        <row r="1286">
          <cell r="C1286" t="str">
            <v>Anhui Conch Cement</v>
          </cell>
          <cell r="D1286">
            <v>15.9832</v>
          </cell>
        </row>
        <row r="1287">
          <cell r="C1287" t="str">
            <v>Fortum</v>
          </cell>
          <cell r="D1287">
            <v>40.130000000000003</v>
          </cell>
        </row>
        <row r="1288">
          <cell r="C1288" t="str">
            <v>Carlyle Group</v>
          </cell>
          <cell r="D1288">
            <v>4.8067399999999996</v>
          </cell>
        </row>
        <row r="1289">
          <cell r="C1289" t="str">
            <v>Singapore Airlines</v>
          </cell>
          <cell r="D1289">
            <v>52.02</v>
          </cell>
        </row>
        <row r="1290">
          <cell r="C1290" t="str">
            <v>Gaming and Leisure Properties</v>
          </cell>
          <cell r="D1290">
            <v>130.6</v>
          </cell>
        </row>
        <row r="1291">
          <cell r="C1291" t="str">
            <v>Celanese</v>
          </cell>
          <cell r="D1291">
            <v>17.121700000000001</v>
          </cell>
        </row>
        <row r="1292">
          <cell r="C1292" t="str">
            <v>ABN AMRO</v>
          </cell>
          <cell r="D1292">
            <v>6.65</v>
          </cell>
        </row>
        <row r="1293">
          <cell r="C1293" t="str">
            <v>Tatneft</v>
          </cell>
          <cell r="D1293">
            <v>14.13</v>
          </cell>
        </row>
        <row r="1294">
          <cell r="C1294" t="str">
            <v>Rivian</v>
          </cell>
          <cell r="D1294">
            <v>19.671500000000002</v>
          </cell>
        </row>
        <row r="1295">
          <cell r="C1295" t="str">
            <v>ASICS Corporation</v>
          </cell>
          <cell r="D1295">
            <v>72.709999999999994</v>
          </cell>
        </row>
        <row r="1296">
          <cell r="C1296" t="str">
            <v>Equity LifeStyle Properties</v>
          </cell>
          <cell r="D1296">
            <v>202.77</v>
          </cell>
        </row>
        <row r="1297">
          <cell r="C1297" t="str">
            <v>Insulet</v>
          </cell>
          <cell r="D1297">
            <v>22.6526</v>
          </cell>
        </row>
        <row r="1298">
          <cell r="C1298" t="str">
            <v>Havells India</v>
          </cell>
          <cell r="D1298">
            <v>4.0462699999999998</v>
          </cell>
        </row>
        <row r="1299">
          <cell r="C1299" t="str">
            <v>CK Asset Holdings</v>
          </cell>
          <cell r="D1299">
            <v>14.313599999999999</v>
          </cell>
        </row>
        <row r="1300">
          <cell r="C1300" t="str">
            <v>Tata Consumer Products</v>
          </cell>
          <cell r="D1300">
            <v>91.01</v>
          </cell>
        </row>
        <row r="1301">
          <cell r="C1301" t="str">
            <v>Logitech</v>
          </cell>
          <cell r="D1301">
            <v>178.35</v>
          </cell>
        </row>
        <row r="1302">
          <cell r="C1302" t="str">
            <v>Credicorp</v>
          </cell>
          <cell r="D1302">
            <v>0.88144299999999998</v>
          </cell>
        </row>
        <row r="1303">
          <cell r="C1303" t="str">
            <v>E.SUN Bank</v>
          </cell>
          <cell r="D1303">
            <v>83.35</v>
          </cell>
        </row>
        <row r="1304">
          <cell r="C1304" t="str">
            <v>Graco</v>
          </cell>
          <cell r="D1304">
            <v>16.895099999999999</v>
          </cell>
        </row>
        <row r="1305">
          <cell r="C1305" t="str">
            <v>Mediobanca</v>
          </cell>
          <cell r="D1305">
            <v>41.565600000000003</v>
          </cell>
        </row>
        <row r="1306">
          <cell r="C1306" t="str">
            <v>Torrent Pharmaceuticals</v>
          </cell>
          <cell r="D1306">
            <v>18.884799999999998</v>
          </cell>
        </row>
        <row r="1307">
          <cell r="C1307" t="str">
            <v>Subaru</v>
          </cell>
          <cell r="D1307">
            <v>51.92</v>
          </cell>
        </row>
        <row r="1308">
          <cell r="C1308" t="str">
            <v>CNA Financial</v>
          </cell>
          <cell r="D1308">
            <v>174948</v>
          </cell>
        </row>
        <row r="1309">
          <cell r="C1309" t="str">
            <v>Pandora</v>
          </cell>
          <cell r="D1309">
            <v>21392</v>
          </cell>
        </row>
        <row r="1310">
          <cell r="C1310" t="str">
            <v>Bandai Namco</v>
          </cell>
          <cell r="D1310">
            <v>24.86</v>
          </cell>
        </row>
        <row r="1311">
          <cell r="C1311" t="str">
            <v>Toast</v>
          </cell>
          <cell r="D1311">
            <v>62.743600000000001</v>
          </cell>
        </row>
        <row r="1312">
          <cell r="C1312" t="str">
            <v>Metro</v>
          </cell>
          <cell r="D1312">
            <v>83.47</v>
          </cell>
        </row>
        <row r="1313">
          <cell r="C1313" t="str">
            <v>Dr. Reddy's</v>
          </cell>
          <cell r="D1313">
            <v>1.1086800000000001</v>
          </cell>
        </row>
        <row r="1314">
          <cell r="C1314" t="str">
            <v>China Railway Construction</v>
          </cell>
          <cell r="D1314">
            <v>5.4679799999999998</v>
          </cell>
        </row>
        <row r="1315">
          <cell r="C1315" t="str">
            <v>Koç Holding</v>
          </cell>
          <cell r="D1315">
            <v>56.69</v>
          </cell>
        </row>
        <row r="1316">
          <cell r="C1316" t="str">
            <v>Trimble</v>
          </cell>
          <cell r="D1316">
            <v>3.2960500000000001</v>
          </cell>
        </row>
        <row r="1317">
          <cell r="C1317" t="str">
            <v>GarantiBank</v>
          </cell>
          <cell r="D1317">
            <v>6.2365199999999996</v>
          </cell>
        </row>
        <row r="1318">
          <cell r="C1318" t="str">
            <v>JBS</v>
          </cell>
          <cell r="D1318">
            <v>35.69</v>
          </cell>
        </row>
        <row r="1319">
          <cell r="C1319" t="str">
            <v>Avangrid</v>
          </cell>
          <cell r="D1319">
            <v>45.063699999999997</v>
          </cell>
        </row>
        <row r="1320">
          <cell r="C1320" t="str">
            <v>Porsche SE</v>
          </cell>
          <cell r="D1320">
            <v>14.9633</v>
          </cell>
        </row>
        <row r="1321">
          <cell r="C1321" t="str">
            <v>Power Financial</v>
          </cell>
          <cell r="D1321">
            <v>0.84</v>
          </cell>
        </row>
        <row r="1322">
          <cell r="C1322" t="str">
            <v>Q Holding</v>
          </cell>
          <cell r="D1322">
            <v>134458</v>
          </cell>
        </row>
        <row r="1323">
          <cell r="C1323" t="str">
            <v>Santander Polska</v>
          </cell>
          <cell r="D1323">
            <v>0.84914299999999998</v>
          </cell>
        </row>
        <row r="1324">
          <cell r="C1324" t="str">
            <v>Hua Xia Bank</v>
          </cell>
          <cell r="D1324">
            <v>47.474299999999999</v>
          </cell>
        </row>
        <row r="1325">
          <cell r="C1325" t="str">
            <v>Renault</v>
          </cell>
          <cell r="D1325">
            <v>22.279599999999999</v>
          </cell>
        </row>
        <row r="1326">
          <cell r="C1326" t="str">
            <v>Tryg</v>
          </cell>
          <cell r="D1326">
            <v>0.72477199999999997</v>
          </cell>
        </row>
        <row r="1327">
          <cell r="C1327" t="str">
            <v>Indian Overseas Bank</v>
          </cell>
          <cell r="D1327">
            <v>51.801299999999998</v>
          </cell>
        </row>
        <row r="1328">
          <cell r="C1328" t="str">
            <v>OTP Bank</v>
          </cell>
          <cell r="D1328">
            <v>44.01</v>
          </cell>
        </row>
        <row r="1329">
          <cell r="C1329" t="str">
            <v>Affirm</v>
          </cell>
          <cell r="D1329">
            <v>115729</v>
          </cell>
        </row>
        <row r="1330">
          <cell r="C1330" t="str">
            <v>bioMérieux</v>
          </cell>
          <cell r="D1330">
            <v>59.14</v>
          </cell>
        </row>
        <row r="1331">
          <cell r="C1331" t="str">
            <v>Evergy</v>
          </cell>
          <cell r="D1331">
            <v>42.52</v>
          </cell>
        </row>
        <row r="1332">
          <cell r="C1332" t="str">
            <v>Equitable Holdings</v>
          </cell>
          <cell r="D1332">
            <v>54.814700000000002</v>
          </cell>
        </row>
        <row r="1333">
          <cell r="C1333" t="str">
            <v>Lundbergföretagen</v>
          </cell>
          <cell r="D1333">
            <v>0.98455499999999996</v>
          </cell>
        </row>
        <row r="1334">
          <cell r="C1334" t="str">
            <v>Air China</v>
          </cell>
          <cell r="D1334">
            <v>6.0017100000000001</v>
          </cell>
        </row>
        <row r="1335">
          <cell r="C1335" t="str">
            <v>Grupo Carso</v>
          </cell>
          <cell r="D1335">
            <v>13.4519</v>
          </cell>
        </row>
        <row r="1336">
          <cell r="C1336" t="str">
            <v>Zydus Lifesciences</v>
          </cell>
          <cell r="D1336">
            <v>0.97891300000000003</v>
          </cell>
        </row>
        <row r="1337">
          <cell r="C1337" t="str">
            <v>Huaneng Power</v>
          </cell>
          <cell r="D1337">
            <v>30.85</v>
          </cell>
        </row>
        <row r="1338">
          <cell r="C1338" t="str">
            <v>Smith &amp; Nephew</v>
          </cell>
          <cell r="D1338">
            <v>35824</v>
          </cell>
        </row>
        <row r="1339">
          <cell r="C1339" t="str">
            <v>Bouygues</v>
          </cell>
          <cell r="D1339">
            <v>67.514099999999999</v>
          </cell>
        </row>
        <row r="1340">
          <cell r="C1340" t="str">
            <v>Continental</v>
          </cell>
          <cell r="D1340">
            <v>1.3361400000000001</v>
          </cell>
        </row>
        <row r="1341">
          <cell r="C1341" t="str">
            <v>Celulosa Argentina</v>
          </cell>
          <cell r="D1341">
            <v>7.5989599999999999</v>
          </cell>
        </row>
        <row r="1342">
          <cell r="C1342" t="str">
            <v>Dabur</v>
          </cell>
          <cell r="D1342">
            <v>351.62</v>
          </cell>
        </row>
        <row r="1343">
          <cell r="C1343" t="str">
            <v>POOLCORP</v>
          </cell>
          <cell r="D1343">
            <v>362.31</v>
          </cell>
        </row>
        <row r="1344">
          <cell r="C1344" t="str">
            <v>Casey's General Stores</v>
          </cell>
          <cell r="D1344">
            <v>313.77</v>
          </cell>
        </row>
        <row r="1345">
          <cell r="C1345" t="str">
            <v>Morningstar</v>
          </cell>
          <cell r="D1345">
            <v>37.018099999999997</v>
          </cell>
        </row>
        <row r="1346">
          <cell r="C1346" t="str">
            <v>Coca-Cola HBC</v>
          </cell>
          <cell r="D1346">
            <v>254.79</v>
          </cell>
        </row>
        <row r="1347">
          <cell r="C1347" t="str">
            <v>RenaissanceRe</v>
          </cell>
          <cell r="D1347">
            <v>100.14</v>
          </cell>
        </row>
        <row r="1348">
          <cell r="C1348" t="str">
            <v>AECOM</v>
          </cell>
          <cell r="D1348">
            <v>95.82</v>
          </cell>
        </row>
        <row r="1349">
          <cell r="C1349" t="str">
            <v>SharkNinja</v>
          </cell>
          <cell r="D1349">
            <v>114.62</v>
          </cell>
        </row>
        <row r="1350">
          <cell r="C1350" t="str">
            <v>XPO Logistics</v>
          </cell>
          <cell r="D1350">
            <v>78.73</v>
          </cell>
        </row>
        <row r="1351">
          <cell r="C1351" t="str">
            <v>Okta</v>
          </cell>
          <cell r="D1351">
            <v>48.955500000000001</v>
          </cell>
        </row>
        <row r="1352">
          <cell r="C1352" t="str">
            <v>NN Group</v>
          </cell>
          <cell r="D1352">
            <v>0.33011800000000002</v>
          </cell>
        </row>
        <row r="1353">
          <cell r="C1353" t="str">
            <v>Astra International</v>
          </cell>
          <cell r="D1353">
            <v>125.2</v>
          </cell>
        </row>
        <row r="1354">
          <cell r="C1354" t="str">
            <v>Camden Property Trust</v>
          </cell>
          <cell r="D1354">
            <v>119953</v>
          </cell>
        </row>
        <row r="1355">
          <cell r="C1355" t="str">
            <v>Bajaj Holdings &amp;amp; Investment</v>
          </cell>
          <cell r="D1355">
            <v>97.521299999999997</v>
          </cell>
        </row>
        <row r="1356">
          <cell r="C1356" t="str">
            <v>Largan Precision</v>
          </cell>
          <cell r="D1356">
            <v>46.313600000000001</v>
          </cell>
        </row>
        <row r="1357">
          <cell r="C1357" t="str">
            <v>Hana Financial Group</v>
          </cell>
          <cell r="D1357">
            <v>84.55</v>
          </cell>
        </row>
        <row r="1358">
          <cell r="C1358" t="str">
            <v>CarMax</v>
          </cell>
          <cell r="D1358">
            <v>203255</v>
          </cell>
        </row>
        <row r="1359">
          <cell r="C1359" t="str">
            <v>Cochlear</v>
          </cell>
          <cell r="D1359">
            <v>51.51</v>
          </cell>
        </row>
        <row r="1360">
          <cell r="C1360" t="str">
            <v>Westrock</v>
          </cell>
          <cell r="D1360">
            <v>9963</v>
          </cell>
        </row>
        <row r="1361">
          <cell r="C1361" t="str">
            <v>Bank Hapoalim</v>
          </cell>
          <cell r="D1361">
            <v>21.08</v>
          </cell>
        </row>
        <row r="1362">
          <cell r="C1362" t="str">
            <v>Ares Capital</v>
          </cell>
          <cell r="D1362">
            <v>82.382300000000001</v>
          </cell>
        </row>
        <row r="1363">
          <cell r="C1363" t="str">
            <v>Knorr-Bremse</v>
          </cell>
          <cell r="D1363">
            <v>245.9</v>
          </cell>
        </row>
        <row r="1364">
          <cell r="C1364" t="str">
            <v>Clean Harbors</v>
          </cell>
          <cell r="D1364">
            <v>13.2714</v>
          </cell>
        </row>
        <row r="1365">
          <cell r="C1365" t="str">
            <v>Sage Group</v>
          </cell>
          <cell r="D1365">
            <v>265.89</v>
          </cell>
        </row>
        <row r="1366">
          <cell r="C1366" t="str">
            <v>monday.com</v>
          </cell>
          <cell r="D1366">
            <v>16.998200000000001</v>
          </cell>
        </row>
        <row r="1367">
          <cell r="C1367" t="str">
            <v>IndusInd Bank</v>
          </cell>
          <cell r="D1367">
            <v>59.847700000000003</v>
          </cell>
        </row>
        <row r="1368">
          <cell r="C1368" t="str">
            <v>Grupo Elektra</v>
          </cell>
          <cell r="D1368">
            <v>46.5672</v>
          </cell>
        </row>
        <row r="1369">
          <cell r="C1369" t="str">
            <v>Shionogi</v>
          </cell>
          <cell r="D1369">
            <v>72.69</v>
          </cell>
        </row>
        <row r="1370">
          <cell r="C1370" t="str">
            <v>Regency Centers</v>
          </cell>
          <cell r="D1370">
            <v>75.22</v>
          </cell>
        </row>
        <row r="1371">
          <cell r="C1371" t="str">
            <v>Boston Properties</v>
          </cell>
          <cell r="D1371">
            <v>43.19</v>
          </cell>
        </row>
        <row r="1372">
          <cell r="C1372" t="str">
            <v>Ally</v>
          </cell>
          <cell r="D1372">
            <v>0.78232199999999996</v>
          </cell>
        </row>
        <row r="1373">
          <cell r="C1373" t="str">
            <v>China Longyuan Power Group</v>
          </cell>
          <cell r="D1373">
            <v>76.47</v>
          </cell>
        </row>
        <row r="1374">
          <cell r="C1374" t="str">
            <v>Insmed</v>
          </cell>
          <cell r="D1374">
            <v>2.71889</v>
          </cell>
        </row>
        <row r="1375">
          <cell r="C1375" t="str">
            <v>China Resources Power Holdings</v>
          </cell>
          <cell r="D1375">
            <v>60.02</v>
          </cell>
        </row>
        <row r="1376">
          <cell r="C1376" t="str">
            <v>W. P. Carey</v>
          </cell>
          <cell r="D1376">
            <v>135.78</v>
          </cell>
        </row>
        <row r="1377">
          <cell r="C1377" t="str">
            <v>Sarepta Therapeutics</v>
          </cell>
          <cell r="D1377">
            <v>127.81</v>
          </cell>
        </row>
        <row r="1378">
          <cell r="C1378" t="str">
            <v>FTAI Aviation</v>
          </cell>
          <cell r="D1378">
            <v>72.725099999999998</v>
          </cell>
        </row>
        <row r="1379">
          <cell r="C1379" t="str">
            <v>Samsung Life Insurance</v>
          </cell>
          <cell r="D1379">
            <v>88.979799999999997</v>
          </cell>
        </row>
        <row r="1380">
          <cell r="C1380" t="str">
            <v>Sodexo</v>
          </cell>
          <cell r="D1380">
            <v>114.04</v>
          </cell>
        </row>
        <row r="1381">
          <cell r="C1381" t="str">
            <v>CAVA Group</v>
          </cell>
          <cell r="D1381">
            <v>22.128900000000002</v>
          </cell>
        </row>
        <row r="1382">
          <cell r="C1382" t="str">
            <v>Wärtsilä</v>
          </cell>
          <cell r="D1382">
            <v>22.255600000000001</v>
          </cell>
        </row>
        <row r="1383">
          <cell r="C1383" t="str">
            <v>Fisher &amp; Paykel Healthcare</v>
          </cell>
          <cell r="D1383">
            <v>65.063699999999997</v>
          </cell>
        </row>
        <row r="1384">
          <cell r="C1384" t="str">
            <v>Hero MotoCorp</v>
          </cell>
          <cell r="D1384">
            <v>0.18653</v>
          </cell>
        </row>
        <row r="1385">
          <cell r="C1385" t="str">
            <v>Vodafone Idea</v>
          </cell>
          <cell r="D1385">
            <v>0.817523</v>
          </cell>
        </row>
        <row r="1386">
          <cell r="C1386" t="str">
            <v>Bangkok Dusit Medical Services (BDMS)</v>
          </cell>
          <cell r="D1386">
            <v>35.826700000000002</v>
          </cell>
        </row>
        <row r="1387">
          <cell r="C1387" t="str">
            <v>Mitsui O.S.K. Lines</v>
          </cell>
          <cell r="D1387">
            <v>8.9824300000000008</v>
          </cell>
        </row>
        <row r="1388">
          <cell r="C1388" t="str">
            <v>ICICI Prulife</v>
          </cell>
          <cell r="D1388">
            <v>127.06</v>
          </cell>
        </row>
        <row r="1389">
          <cell r="C1389" t="str">
            <v>Neurocrine Biosciences</v>
          </cell>
          <cell r="D1389">
            <v>33.81</v>
          </cell>
        </row>
        <row r="1390">
          <cell r="C1390" t="str">
            <v>Yum China</v>
          </cell>
          <cell r="D1390">
            <v>130983</v>
          </cell>
        </row>
        <row r="1391">
          <cell r="C1391" t="str">
            <v>Aéroports de Paris</v>
          </cell>
          <cell r="D1391">
            <v>0.99709300000000001</v>
          </cell>
        </row>
        <row r="1392">
          <cell r="C1392" t="str">
            <v>Yuanta Financial Holding</v>
          </cell>
          <cell r="D1392">
            <v>34.2089</v>
          </cell>
        </row>
        <row r="1393">
          <cell r="C1393" t="str">
            <v>Halma</v>
          </cell>
          <cell r="D1393">
            <v>32.49</v>
          </cell>
        </row>
        <row r="1394">
          <cell r="C1394" t="str">
            <v>Flex</v>
          </cell>
          <cell r="D1394">
            <v>1.4619200000000001</v>
          </cell>
        </row>
        <row r="1395">
          <cell r="C1395" t="str">
            <v>IHH Healthcare</v>
          </cell>
          <cell r="D1395">
            <v>125.78</v>
          </cell>
        </row>
        <row r="1396">
          <cell r="C1396" t="str">
            <v>Lamar Advertising</v>
          </cell>
          <cell r="D1396">
            <v>150.91999999999999</v>
          </cell>
        </row>
        <row r="1397">
          <cell r="C1397" t="str">
            <v>DaVita</v>
          </cell>
          <cell r="D1397">
            <v>16.476700000000001</v>
          </cell>
        </row>
        <row r="1398">
          <cell r="C1398" t="str">
            <v>Sumitomo Denki Kōgyō</v>
          </cell>
          <cell r="D1398">
            <v>10268</v>
          </cell>
        </row>
        <row r="1399">
          <cell r="C1399" t="str">
            <v>Bank Albilad</v>
          </cell>
          <cell r="D1399">
            <v>38.880000000000003</v>
          </cell>
        </row>
        <row r="1400">
          <cell r="C1400" t="str">
            <v>Juniper Networks</v>
          </cell>
          <cell r="D1400">
            <v>71.02</v>
          </cell>
        </row>
        <row r="1401">
          <cell r="C1401" t="str">
            <v>U-Haul</v>
          </cell>
          <cell r="D1401">
            <v>242069</v>
          </cell>
        </row>
        <row r="1402">
          <cell r="C1402" t="str">
            <v>D'Ieteren Group</v>
          </cell>
          <cell r="D1402">
            <v>25.35</v>
          </cell>
        </row>
        <row r="1403">
          <cell r="C1403" t="str">
            <v>Banco de Chile</v>
          </cell>
          <cell r="D1403">
            <v>0.34630100000000003</v>
          </cell>
        </row>
        <row r="1404">
          <cell r="C1404" t="str">
            <v>Bank Negara Indonesia</v>
          </cell>
          <cell r="D1404">
            <v>1.36822</v>
          </cell>
        </row>
        <row r="1405">
          <cell r="C1405" t="str">
            <v>AIER Eye Hospital</v>
          </cell>
          <cell r="D1405">
            <v>5.6894900000000002</v>
          </cell>
        </row>
        <row r="1406">
          <cell r="C1406" t="str">
            <v>Rede D'Or Sao Luiz</v>
          </cell>
          <cell r="D1406">
            <v>3.22</v>
          </cell>
        </row>
        <row r="1407">
          <cell r="C1407" t="str">
            <v>Grab Holdings</v>
          </cell>
          <cell r="D1407">
            <v>237.74</v>
          </cell>
        </row>
        <row r="1408">
          <cell r="C1408" t="str">
            <v>Tetra Tech</v>
          </cell>
          <cell r="D1408">
            <v>9.74</v>
          </cell>
        </row>
        <row r="1409">
          <cell r="C1409" t="str">
            <v>Suzano</v>
          </cell>
          <cell r="D1409">
            <v>16.7849</v>
          </cell>
        </row>
        <row r="1410">
          <cell r="C1410" t="str">
            <v>ASUS</v>
          </cell>
          <cell r="D1410">
            <v>10.4133</v>
          </cell>
        </row>
        <row r="1411">
          <cell r="C1411" t="str">
            <v>Adevinta</v>
          </cell>
          <cell r="D1411">
            <v>6.5447899999999999</v>
          </cell>
        </row>
        <row r="1412">
          <cell r="C1412" t="str">
            <v>BB Seguridade Participações</v>
          </cell>
          <cell r="D1412">
            <v>65.66</v>
          </cell>
        </row>
        <row r="1413">
          <cell r="C1413" t="str">
            <v>Incyte</v>
          </cell>
          <cell r="D1413">
            <v>8.3020300000000002</v>
          </cell>
        </row>
        <row r="1414">
          <cell r="C1414" t="str">
            <v>CG Power and Industrial Solutions</v>
          </cell>
          <cell r="D1414">
            <v>55.3</v>
          </cell>
        </row>
        <row r="1415">
          <cell r="C1415" t="str">
            <v>Zillow</v>
          </cell>
          <cell r="D1415">
            <v>5.3681299999999998</v>
          </cell>
        </row>
        <row r="1416">
          <cell r="C1416" t="str">
            <v>Qatar Islamic Bank</v>
          </cell>
          <cell r="D1416">
            <v>3.29</v>
          </cell>
        </row>
        <row r="1417">
          <cell r="C1417" t="str">
            <v>Sirius XM</v>
          </cell>
          <cell r="D1417">
            <v>5.87629</v>
          </cell>
        </row>
        <row r="1418">
          <cell r="C1418" t="str">
            <v>Evergreen Marine</v>
          </cell>
          <cell r="D1418">
            <v>238676</v>
          </cell>
        </row>
        <row r="1419">
          <cell r="C1419" t="str">
            <v>Alteogen</v>
          </cell>
          <cell r="D1419">
            <v>25.543500000000002</v>
          </cell>
        </row>
        <row r="1420">
          <cell r="C1420" t="str">
            <v>ICICI Lombard</v>
          </cell>
          <cell r="D1420">
            <v>173.03</v>
          </cell>
        </row>
        <row r="1421">
          <cell r="C1421" t="str">
            <v>Jack Henry &amp;amp; Associates</v>
          </cell>
          <cell r="D1421">
            <v>353.52</v>
          </cell>
        </row>
        <row r="1422">
          <cell r="C1422" t="str">
            <v>Comfort Systems</v>
          </cell>
          <cell r="D1422">
            <v>23.595700000000001</v>
          </cell>
        </row>
        <row r="1423">
          <cell r="C1423" t="str">
            <v>SAAB AB</v>
          </cell>
          <cell r="D1423">
            <v>17.940000000000001</v>
          </cell>
        </row>
        <row r="1424">
          <cell r="C1424" t="str">
            <v>Plains All American Pipeline</v>
          </cell>
          <cell r="D1424">
            <v>334.75</v>
          </cell>
        </row>
        <row r="1425">
          <cell r="C1425" t="str">
            <v>ShockWave Medical</v>
          </cell>
          <cell r="D1425">
            <v>148.13</v>
          </cell>
        </row>
        <row r="1426">
          <cell r="C1426" t="str">
            <v>TFI International</v>
          </cell>
          <cell r="D1426">
            <v>160489</v>
          </cell>
        </row>
        <row r="1427">
          <cell r="C1427" t="str">
            <v>POSCO Chemical</v>
          </cell>
          <cell r="D1427">
            <v>17.595700000000001</v>
          </cell>
        </row>
        <row r="1428">
          <cell r="C1428" t="str">
            <v>United Spirits</v>
          </cell>
          <cell r="D1428">
            <v>3.44</v>
          </cell>
        </row>
        <row r="1429">
          <cell r="C1429" t="str">
            <v>Abu Dhabi Islamic Bank (ADIB)</v>
          </cell>
          <cell r="D1429">
            <v>29.67</v>
          </cell>
        </row>
        <row r="1430">
          <cell r="C1430" t="str">
            <v>AngloGold Ashanti</v>
          </cell>
          <cell r="D1430">
            <v>74.371099999999998</v>
          </cell>
        </row>
        <row r="1431">
          <cell r="C1431" t="str">
            <v>LG Electronics</v>
          </cell>
          <cell r="D1431">
            <v>0.99</v>
          </cell>
        </row>
        <row r="1432">
          <cell r="C1432" t="str">
            <v>Abu Dhabi National Oil Company (ADNOC)</v>
          </cell>
          <cell r="D1432">
            <v>0.804006</v>
          </cell>
        </row>
        <row r="1433">
          <cell r="C1433" t="str">
            <v>China Southern Airlines</v>
          </cell>
          <cell r="D1433">
            <v>13.74</v>
          </cell>
        </row>
        <row r="1434">
          <cell r="C1434" t="str">
            <v>Gold Fields</v>
          </cell>
          <cell r="D1434">
            <v>109.28</v>
          </cell>
        </row>
        <row r="1435">
          <cell r="C1435" t="str">
            <v>Jabil</v>
          </cell>
          <cell r="D1435">
            <v>15.067500000000001</v>
          </cell>
        </row>
        <row r="1436">
          <cell r="C1436" t="str">
            <v>Kirin Holdings</v>
          </cell>
          <cell r="D1436">
            <v>44.661099999999998</v>
          </cell>
        </row>
        <row r="1437">
          <cell r="C1437" t="str">
            <v>Cummins India</v>
          </cell>
          <cell r="D1437">
            <v>286.74</v>
          </cell>
        </row>
        <row r="1438">
          <cell r="C1438" t="str">
            <v>CyberArk</v>
          </cell>
          <cell r="D1438">
            <v>23.7</v>
          </cell>
        </row>
        <row r="1439">
          <cell r="C1439" t="str">
            <v>YPF </v>
          </cell>
          <cell r="D1439">
            <v>0.904505</v>
          </cell>
        </row>
        <row r="1440">
          <cell r="C1440" t="str">
            <v> (Yacimientos Petrolíferos Fiscales)</v>
          </cell>
          <cell r="D1440">
            <v>0.80955200000000005</v>
          </cell>
        </row>
        <row r="1441">
          <cell r="C1441" t="str">
            <v>Suzlon</v>
          </cell>
          <cell r="D1441">
            <v>59.95</v>
          </cell>
        </row>
        <row r="1442">
          <cell r="C1442" t="str">
            <v>Taiwan Cooperative Financial</v>
          </cell>
          <cell r="D1442">
            <v>125922</v>
          </cell>
        </row>
        <row r="1443">
          <cell r="C1443" t="str">
            <v>Jefferies Financial Group</v>
          </cell>
          <cell r="D1443">
            <v>148.77000000000001</v>
          </cell>
        </row>
        <row r="1444">
          <cell r="C1444" t="str">
            <v>Ecopro BM</v>
          </cell>
          <cell r="D1444">
            <v>17.13</v>
          </cell>
        </row>
        <row r="1445">
          <cell r="C1445" t="str">
            <v>Guidewire Software</v>
          </cell>
          <cell r="D1445">
            <v>6.1716600000000001</v>
          </cell>
        </row>
        <row r="1446">
          <cell r="C1446" t="str">
            <v>AES</v>
          </cell>
          <cell r="D1446">
            <v>27.230499999999999</v>
          </cell>
        </row>
        <row r="1447">
          <cell r="C1447" t="str">
            <v>Vodacom</v>
          </cell>
          <cell r="D1447">
            <v>32.61</v>
          </cell>
        </row>
        <row r="1448">
          <cell r="C1448" t="str">
            <v>SPEEH Hidroelectrica</v>
          </cell>
          <cell r="D1448">
            <v>81.259900000000002</v>
          </cell>
        </row>
        <row r="1449">
          <cell r="C1449" t="str">
            <v>Interpublic Group</v>
          </cell>
          <cell r="D1449">
            <v>2.2593999999999999</v>
          </cell>
        </row>
        <row r="1450">
          <cell r="C1450" t="str">
            <v>Polycab India</v>
          </cell>
          <cell r="D1450">
            <v>27.833100000000002</v>
          </cell>
        </row>
        <row r="1451">
          <cell r="C1451" t="str">
            <v>B3</v>
          </cell>
          <cell r="D1451">
            <v>114.68</v>
          </cell>
        </row>
        <row r="1452">
          <cell r="C1452" t="str">
            <v>Kakao</v>
          </cell>
          <cell r="D1452">
            <v>4.7324099999999998</v>
          </cell>
        </row>
        <row r="1453">
          <cell r="C1453" t="str">
            <v>J.M. Smucker Company</v>
          </cell>
          <cell r="D1453">
            <v>89.925799999999995</v>
          </cell>
        </row>
        <row r="1454">
          <cell r="C1454" t="str">
            <v>Link REIT</v>
          </cell>
          <cell r="D1454">
            <v>3.1</v>
          </cell>
        </row>
        <row r="1455">
          <cell r="C1455" t="str">
            <v>Konami Holdings</v>
          </cell>
          <cell r="D1455">
            <v>26.717700000000001</v>
          </cell>
        </row>
        <row r="1456">
          <cell r="C1456" t="str">
            <v>Telia Company</v>
          </cell>
          <cell r="D1456">
            <v>156.76</v>
          </cell>
        </row>
        <row r="1457">
          <cell r="C1457" t="str">
            <v>Lupin Limited</v>
          </cell>
          <cell r="D1457">
            <v>1.1300300000000001</v>
          </cell>
        </row>
        <row r="1458">
          <cell r="C1458" t="str">
            <v>Advanced Drainage Systems</v>
          </cell>
          <cell r="D1458">
            <v>1.68001</v>
          </cell>
        </row>
        <row r="1459">
          <cell r="C1459" t="str">
            <v>IDBI Bank</v>
          </cell>
          <cell r="D1459">
            <v>103.51</v>
          </cell>
        </row>
        <row r="1460">
          <cell r="C1460" t="str">
            <v>Dubai Islamic Bank</v>
          </cell>
          <cell r="D1460">
            <v>8.8197899999999994</v>
          </cell>
        </row>
        <row r="1461">
          <cell r="C1461" t="str">
            <v>C. H. Robinson</v>
          </cell>
          <cell r="D1461">
            <v>59.21</v>
          </cell>
        </row>
        <row r="1462">
          <cell r="C1462" t="str">
            <v>Turkish Airlines</v>
          </cell>
          <cell r="D1462">
            <v>255.23</v>
          </cell>
        </row>
        <row r="1463">
          <cell r="C1463" t="str">
            <v>DocuSign</v>
          </cell>
          <cell r="D1463">
            <v>5.1089500000000001</v>
          </cell>
        </row>
        <row r="1464">
          <cell r="C1464" t="str">
            <v>Jones Lang LaSalle</v>
          </cell>
          <cell r="D1464">
            <v>315.86</v>
          </cell>
        </row>
        <row r="1465">
          <cell r="C1465" t="str">
            <v>Insurance Australia Group</v>
          </cell>
          <cell r="D1465">
            <v>138.84</v>
          </cell>
        </row>
        <row r="1466">
          <cell r="C1466" t="str">
            <v>Curtiss-Wright</v>
          </cell>
          <cell r="D1466">
            <v>2.3277800000000002</v>
          </cell>
        </row>
        <row r="1467">
          <cell r="C1467" t="str">
            <v>Allegion</v>
          </cell>
          <cell r="D1467">
            <v>58583</v>
          </cell>
        </row>
        <row r="1468">
          <cell r="C1468" t="str">
            <v>Scentre Group</v>
          </cell>
          <cell r="D1468">
            <v>42.03</v>
          </cell>
        </row>
        <row r="1469">
          <cell r="C1469" t="str">
            <v>Recordati</v>
          </cell>
          <cell r="D1469">
            <v>1.33016</v>
          </cell>
        </row>
        <row r="1470">
          <cell r="C1470" t="str">
            <v>Magna International</v>
          </cell>
          <cell r="D1470">
            <v>104344</v>
          </cell>
        </row>
        <row r="1471">
          <cell r="C1471" t="str">
            <v>Canara Bank</v>
          </cell>
          <cell r="D1471">
            <v>112.44</v>
          </cell>
        </row>
        <row r="1472">
          <cell r="C1472" t="str">
            <v>Nemetschek</v>
          </cell>
          <cell r="D1472">
            <v>19.291799999999999</v>
          </cell>
        </row>
        <row r="1473">
          <cell r="C1473" t="str">
            <v>Floor &amp;amp; Decor</v>
          </cell>
          <cell r="D1473">
            <v>28.55</v>
          </cell>
        </row>
        <row r="1474">
          <cell r="C1474" t="str">
            <v>Sysmex</v>
          </cell>
          <cell r="D1474">
            <v>23.040700000000001</v>
          </cell>
        </row>
        <row r="1475">
          <cell r="C1475" t="str">
            <v>Chewy</v>
          </cell>
          <cell r="D1475">
            <v>22.746600000000001</v>
          </cell>
        </row>
        <row r="1476">
          <cell r="C1476" t="str">
            <v>Japan Exchange Group</v>
          </cell>
          <cell r="D1476">
            <v>83.72</v>
          </cell>
        </row>
        <row r="1477">
          <cell r="C1477" t="str">
            <v>kyowa Kirin</v>
          </cell>
          <cell r="D1477">
            <v>102.37</v>
          </cell>
        </row>
        <row r="1478">
          <cell r="C1478" t="str">
            <v>A. O. Smith</v>
          </cell>
          <cell r="D1478">
            <v>45.805199999999999</v>
          </cell>
        </row>
        <row r="1479">
          <cell r="C1479" t="str">
            <v>Eastman Chemical</v>
          </cell>
          <cell r="D1479">
            <v>18.500499999999999</v>
          </cell>
        </row>
        <row r="1480">
          <cell r="C1480" t="str">
            <v>Smurfit Kappa Group</v>
          </cell>
          <cell r="D1480">
            <v>16.79</v>
          </cell>
        </row>
        <row r="1481">
          <cell r="C1481" t="str">
            <v>Reece Group</v>
          </cell>
          <cell r="D1481">
            <v>77.95</v>
          </cell>
        </row>
        <row r="1482">
          <cell r="C1482" t="str">
            <v>Sabesp</v>
          </cell>
          <cell r="D1482">
            <v>0.85174899999999998</v>
          </cell>
        </row>
        <row r="1483">
          <cell r="C1483" t="str">
            <v>Coherent</v>
          </cell>
          <cell r="D1483">
            <v>58.264899999999997</v>
          </cell>
        </row>
        <row r="1484">
          <cell r="C1484" t="str">
            <v>First Financial Holding</v>
          </cell>
          <cell r="D1484">
            <v>41.860500000000002</v>
          </cell>
        </row>
        <row r="1485">
          <cell r="C1485" t="str">
            <v>Julius Bär</v>
          </cell>
          <cell r="D1485">
            <v>1.1268100000000001</v>
          </cell>
        </row>
        <row r="1486">
          <cell r="C1486" t="str">
            <v>Eisai</v>
          </cell>
          <cell r="D1486">
            <v>29.670100000000001</v>
          </cell>
        </row>
        <row r="1487">
          <cell r="C1487" t="str">
            <v>GMR Group</v>
          </cell>
          <cell r="D1487">
            <v>82.620699999999999</v>
          </cell>
        </row>
        <row r="1488">
          <cell r="C1488" t="str">
            <v>Mankind Pharma</v>
          </cell>
          <cell r="D1488">
            <v>10.3262</v>
          </cell>
        </row>
        <row r="1489">
          <cell r="C1489" t="str">
            <v>Apollo Hospitals</v>
          </cell>
          <cell r="D1489">
            <v>393.02</v>
          </cell>
        </row>
        <row r="1490">
          <cell r="C1490" t="str">
            <v>Northern Star</v>
          </cell>
          <cell r="D1490">
            <v>59.086199999999998</v>
          </cell>
        </row>
        <row r="1491">
          <cell r="C1491" t="str">
            <v>TopBuild</v>
          </cell>
          <cell r="D1491">
            <v>203.15</v>
          </cell>
        </row>
        <row r="1492">
          <cell r="C1492" t="str">
            <v>Mashreqbank</v>
          </cell>
          <cell r="D1492">
            <v>19.049299999999999</v>
          </cell>
        </row>
        <row r="1493">
          <cell r="C1493" t="str">
            <v>F5 Networks</v>
          </cell>
          <cell r="D1493">
            <v>91.581100000000006</v>
          </cell>
        </row>
        <row r="1494">
          <cell r="C1494" t="str">
            <v>AMEC</v>
          </cell>
          <cell r="D1494">
            <v>2.2799999999999998</v>
          </cell>
        </row>
        <row r="1495">
          <cell r="C1495" t="str">
            <v>Info Edge</v>
          </cell>
          <cell r="D1495">
            <v>43.416600000000003</v>
          </cell>
        </row>
        <row r="1496">
          <cell r="C1496" t="str">
            <v>International Consolidated Airlines</v>
          </cell>
          <cell r="D1496">
            <v>1.30193</v>
          </cell>
        </row>
        <row r="1497">
          <cell r="C1497" t="str">
            <v>Colgate-Palmolive India</v>
          </cell>
          <cell r="D1497">
            <v>193.52</v>
          </cell>
        </row>
        <row r="1498">
          <cell r="C1498" t="str">
            <v>China Merchants Shekou Industrial Zone</v>
          </cell>
          <cell r="D1498">
            <v>51.83</v>
          </cell>
        </row>
        <row r="1499">
          <cell r="C1499" t="str">
            <v>Ubiquiti</v>
          </cell>
          <cell r="D1499">
            <v>73.989999999999995</v>
          </cell>
        </row>
        <row r="1500">
          <cell r="C1500" t="str">
            <v>CubeSmart</v>
          </cell>
          <cell r="D1500">
            <v>11.573499999999999</v>
          </cell>
        </row>
        <row r="1501">
          <cell r="C1501" t="str">
            <v>Bio-Techne</v>
          </cell>
          <cell r="D1501">
            <v>74.64</v>
          </cell>
        </row>
        <row r="1502">
          <cell r="C1502" t="str">
            <v>Jindal Steel &amp;amp; Power</v>
          </cell>
          <cell r="D1502">
            <v>84.07</v>
          </cell>
        </row>
        <row r="1503">
          <cell r="C1503" t="str">
            <v>Performance Food Group</v>
          </cell>
          <cell r="D1503">
            <v>19.62</v>
          </cell>
        </row>
        <row r="1504">
          <cell r="C1504" t="str">
            <v>East West Bancorp</v>
          </cell>
          <cell r="D1504">
            <v>44</v>
          </cell>
        </row>
        <row r="1505">
          <cell r="C1505" t="str">
            <v>Albertsons</v>
          </cell>
          <cell r="D1505">
            <v>82.879499999999993</v>
          </cell>
        </row>
        <row r="1506">
          <cell r="C1506" t="str">
            <v>Bank of the Philippine Islands</v>
          </cell>
          <cell r="D1506">
            <v>4.6731100000000003</v>
          </cell>
        </row>
        <row r="1507">
          <cell r="C1507" t="str">
            <v>Nitto Denko</v>
          </cell>
          <cell r="D1507">
            <v>1342.4</v>
          </cell>
        </row>
        <row r="1508">
          <cell r="C1508" t="str">
            <v>Shanghai Airport (AVINEX)</v>
          </cell>
          <cell r="D1508">
            <v>6.7397499999999999</v>
          </cell>
        </row>
        <row r="1509">
          <cell r="C1509" t="str">
            <v>Coca-Cola Consolidated</v>
          </cell>
          <cell r="D1509">
            <v>14.24</v>
          </cell>
        </row>
        <row r="1510">
          <cell r="C1510" t="str">
            <v>Origin Energy</v>
          </cell>
          <cell r="D1510">
            <v>11.462400000000001</v>
          </cell>
        </row>
        <row r="1511">
          <cell r="C1511" t="str">
            <v>Permian Resources</v>
          </cell>
          <cell r="D1511">
            <v>127959</v>
          </cell>
        </row>
        <row r="1512">
          <cell r="C1512" t="str">
            <v>Bank of Ireland Group</v>
          </cell>
          <cell r="D1512">
            <v>61.302100000000003</v>
          </cell>
        </row>
        <row r="1513">
          <cell r="C1513" t="str">
            <v>Solar Industries India</v>
          </cell>
          <cell r="D1513">
            <v>245.17</v>
          </cell>
        </row>
        <row r="1514">
          <cell r="C1514" t="str">
            <v>Covestro</v>
          </cell>
          <cell r="D1514">
            <v>42.83</v>
          </cell>
        </row>
        <row r="1515">
          <cell r="C1515" t="str">
            <v>Teleflex</v>
          </cell>
          <cell r="D1515">
            <v>90.096900000000005</v>
          </cell>
        </row>
        <row r="1516">
          <cell r="C1516" t="str">
            <v>Ovintiv</v>
          </cell>
          <cell r="D1516">
            <v>1.1463699999999999</v>
          </cell>
        </row>
        <row r="1517">
          <cell r="C1517" t="str">
            <v>Oracle Corp Japan</v>
          </cell>
          <cell r="D1517">
            <v>18.238099999999999</v>
          </cell>
        </row>
        <row r="1518">
          <cell r="C1518" t="str">
            <v>NHPC Limited</v>
          </cell>
          <cell r="D1518">
            <v>2.1476700000000002</v>
          </cell>
        </row>
        <row r="1519">
          <cell r="C1519" t="str">
            <v>Jerónimo Martins</v>
          </cell>
          <cell r="D1519">
            <v>19.238099999999999</v>
          </cell>
        </row>
        <row r="1520">
          <cell r="C1520" t="str">
            <v>Banco Sabadell</v>
          </cell>
          <cell r="D1520">
            <v>0.107256</v>
          </cell>
        </row>
        <row r="1521">
          <cell r="C1521" t="str">
            <v>Computershare</v>
          </cell>
          <cell r="D1521">
            <v>26.84</v>
          </cell>
        </row>
        <row r="1522">
          <cell r="C1522" t="str">
            <v>Enel Américas</v>
          </cell>
          <cell r="D1522">
            <v>20.6295</v>
          </cell>
        </row>
        <row r="1523">
          <cell r="C1523" t="str">
            <v>TechnipFMC</v>
          </cell>
          <cell r="D1523">
            <v>31.4284</v>
          </cell>
        </row>
        <row r="1524">
          <cell r="C1524" t="str">
            <v>Hotai Motor</v>
          </cell>
          <cell r="D1524">
            <v>13.99</v>
          </cell>
        </row>
        <row r="1525">
          <cell r="C1525" t="str">
            <v>Indutrade</v>
          </cell>
          <cell r="D1525">
            <v>491.09</v>
          </cell>
        </row>
        <row r="1526">
          <cell r="C1526" t="str">
            <v>Severstal</v>
          </cell>
          <cell r="D1526">
            <v>200.76</v>
          </cell>
        </row>
        <row r="1527">
          <cell r="C1527" t="str">
            <v>Kinsale Capital Group</v>
          </cell>
          <cell r="D1527">
            <v>1004.75</v>
          </cell>
        </row>
        <row r="1528">
          <cell r="C1528" t="str">
            <v>EPAM Systems</v>
          </cell>
          <cell r="D1528">
            <v>37.590000000000003</v>
          </cell>
        </row>
        <row r="1529">
          <cell r="C1529" t="str">
            <v>Rational AG</v>
          </cell>
          <cell r="D1529">
            <v>386294</v>
          </cell>
        </row>
        <row r="1530">
          <cell r="C1530" t="str">
            <v>MGM Resorts</v>
          </cell>
          <cell r="D1530">
            <v>61.69</v>
          </cell>
        </row>
        <row r="1531">
          <cell r="C1531" t="str">
            <v>BOSCH India</v>
          </cell>
          <cell r="D1531">
            <v>1.1311599999999999</v>
          </cell>
        </row>
        <row r="1532">
          <cell r="C1532" t="str">
            <v>Exact Sciences</v>
          </cell>
          <cell r="D1532">
            <v>14.28</v>
          </cell>
        </row>
        <row r="1533">
          <cell r="C1533" t="str">
            <v>Geely</v>
          </cell>
          <cell r="D1533">
            <v>19.39</v>
          </cell>
        </row>
        <row r="1534">
          <cell r="C1534" t="str">
            <v>Mobileye</v>
          </cell>
          <cell r="D1534">
            <v>139.22</v>
          </cell>
        </row>
        <row r="1535">
          <cell r="C1535" t="str">
            <v>Fresenius Medical Care</v>
          </cell>
          <cell r="D1535">
            <v>170.1</v>
          </cell>
        </row>
        <row r="1536">
          <cell r="C1536" t="str">
            <v>ITT</v>
          </cell>
          <cell r="D1536">
            <v>38.304499999999997</v>
          </cell>
        </row>
        <row r="1537">
          <cell r="C1537" t="str">
            <v>Penske Automotive</v>
          </cell>
          <cell r="D1537">
            <v>80.092799999999997</v>
          </cell>
        </row>
        <row r="1538">
          <cell r="C1538" t="str">
            <v>Admiral Group</v>
          </cell>
          <cell r="D1538">
            <v>19.2</v>
          </cell>
        </row>
        <row r="1539">
          <cell r="C1539" t="str">
            <v>Unibail-Rodamco-Westfield</v>
          </cell>
          <cell r="D1539">
            <v>244662</v>
          </cell>
        </row>
        <row r="1540">
          <cell r="C1540" t="str">
            <v>Symbotic</v>
          </cell>
          <cell r="D1540">
            <v>50.92</v>
          </cell>
        </row>
        <row r="1541">
          <cell r="C1541" t="str">
            <v>Krafton</v>
          </cell>
          <cell r="D1541">
            <v>386.11</v>
          </cell>
        </row>
        <row r="1542">
          <cell r="C1542" t="str">
            <v>Rexford Industrial</v>
          </cell>
          <cell r="D1542">
            <v>27.798100000000002</v>
          </cell>
        </row>
        <row r="1543">
          <cell r="C1543" t="str">
            <v>Wingstop Restaurants</v>
          </cell>
          <cell r="D1543">
            <v>78.27</v>
          </cell>
        </row>
        <row r="1544">
          <cell r="C1544" t="str">
            <v>Seven Group Holdings</v>
          </cell>
          <cell r="D1544">
            <v>36.599699999999999</v>
          </cell>
        </row>
        <row r="1545">
          <cell r="C1545" t="str">
            <v> (SGH)</v>
          </cell>
          <cell r="D1545">
            <v>1.96702</v>
          </cell>
        </row>
        <row r="1546">
          <cell r="C1546" t="str">
            <v>Service Corporation International</v>
          </cell>
          <cell r="D1546">
            <v>1.4159299999999999</v>
          </cell>
        </row>
        <row r="1547">
          <cell r="C1547" t="str">
            <v>Suntory</v>
          </cell>
          <cell r="D1547">
            <v>67.959999999999994</v>
          </cell>
        </row>
        <row r="1548">
          <cell r="C1548" t="str">
            <v>BIDV  (Commercial Bank for Investment and Development of Vietnam)</v>
          </cell>
          <cell r="D1548">
            <v>45.451500000000003</v>
          </cell>
        </row>
        <row r="1549">
          <cell r="C1549" t="str">
            <v>Nan Ya Plastics</v>
          </cell>
          <cell r="D1549">
            <v>168.75</v>
          </cell>
        </row>
        <row r="1550">
          <cell r="C1550" t="str">
            <v>nVent Electric</v>
          </cell>
          <cell r="D1550">
            <v>15.019600000000001</v>
          </cell>
        </row>
        <row r="1551">
          <cell r="C1551" t="str">
            <v>Grupo ACS</v>
          </cell>
          <cell r="D1551">
            <v>133.62</v>
          </cell>
        </row>
        <row r="1552">
          <cell r="C1552" t="str">
            <v>Texas Roadhouse</v>
          </cell>
          <cell r="D1552">
            <v>11.9598</v>
          </cell>
        </row>
        <row r="1553">
          <cell r="C1553" t="str">
            <v>Isuzu</v>
          </cell>
          <cell r="D1553">
            <v>173.74</v>
          </cell>
        </row>
        <row r="1554">
          <cell r="C1554" t="str">
            <v>American Financial Group</v>
          </cell>
          <cell r="D1554">
            <v>11.213699999999999</v>
          </cell>
        </row>
        <row r="1555">
          <cell r="C1555" t="str">
            <v>INWIT</v>
          </cell>
          <cell r="D1555">
            <v>5.6030699999999998</v>
          </cell>
        </row>
        <row r="1556">
          <cell r="C1556" t="str">
            <v>NICE</v>
          </cell>
          <cell r="D1556">
            <v>8875</v>
          </cell>
        </row>
        <row r="1557">
          <cell r="C1557" t="str">
            <v>Vivendi</v>
          </cell>
          <cell r="D1557">
            <v>167.81</v>
          </cell>
        </row>
        <row r="1558">
          <cell r="C1558" t="str">
            <v>Norsk Hydro</v>
          </cell>
          <cell r="D1558">
            <v>22.9026</v>
          </cell>
        </row>
        <row r="1559">
          <cell r="C1559" t="str">
            <v>ZoomInfo</v>
          </cell>
          <cell r="D1559">
            <v>1.84423</v>
          </cell>
        </row>
        <row r="1560">
          <cell r="C1560" t="str">
            <v>Regal Rexnord</v>
          </cell>
          <cell r="D1560">
            <v>53.97</v>
          </cell>
        </row>
        <row r="1561">
          <cell r="C1561" t="str">
            <v>JDE Peet's</v>
          </cell>
          <cell r="D1561">
            <v>9.0399999999999991</v>
          </cell>
        </row>
        <row r="1562">
          <cell r="C1562" t="str">
            <v>Swire Properties</v>
          </cell>
          <cell r="D1562">
            <v>10.5</v>
          </cell>
        </row>
        <row r="1563">
          <cell r="C1563" t="str">
            <v>Molson Coors</v>
          </cell>
          <cell r="D1563">
            <v>282.77</v>
          </cell>
        </row>
        <row r="1564">
          <cell r="C1564" t="str">
            <v>Kinross Gold</v>
          </cell>
          <cell r="D1564">
            <v>9.2229500000000009</v>
          </cell>
        </row>
        <row r="1565">
          <cell r="C1565" t="str">
            <v>Ayala Corporation</v>
          </cell>
          <cell r="D1565">
            <v>64.11</v>
          </cell>
        </row>
        <row r="1566">
          <cell r="C1566" t="str">
            <v>Huntington Ingalls Industries</v>
          </cell>
          <cell r="D1566">
            <v>1.4495400000000001</v>
          </cell>
        </row>
        <row r="1567">
          <cell r="C1567" t="str">
            <v>Davide Campari-Milano</v>
          </cell>
          <cell r="D1567">
            <v>46.58</v>
          </cell>
        </row>
        <row r="1568">
          <cell r="C1568" t="str">
            <v>Solventum</v>
          </cell>
          <cell r="D1568">
            <v>106776</v>
          </cell>
        </row>
        <row r="1569">
          <cell r="C1569" t="str">
            <v>Union Bank of India</v>
          </cell>
          <cell r="D1569">
            <v>0.99</v>
          </cell>
        </row>
        <row r="1570">
          <cell r="C1570" t="str">
            <v>Pilgrim's Pride</v>
          </cell>
          <cell r="D1570">
            <v>60.96</v>
          </cell>
        </row>
        <row r="1571">
          <cell r="C1571" t="str">
            <v>Euronext</v>
          </cell>
          <cell r="D1571">
            <v>18.483699999999999</v>
          </cell>
        </row>
        <row r="1572">
          <cell r="C1572" t="str">
            <v>Pure Health Holding</v>
          </cell>
          <cell r="D1572">
            <v>37.0289</v>
          </cell>
        </row>
        <row r="1573">
          <cell r="C1573" t="str">
            <v>Catalent</v>
          </cell>
          <cell r="D1573">
            <v>57.079700000000003</v>
          </cell>
        </row>
        <row r="1574">
          <cell r="C1574" t="str">
            <v>ARC Resources</v>
          </cell>
          <cell r="D1574">
            <v>355.27</v>
          </cell>
        </row>
        <row r="1575">
          <cell r="C1575" t="str">
            <v>Kazatomprom</v>
          </cell>
          <cell r="D1575">
            <v>115.89</v>
          </cell>
        </row>
        <row r="1576">
          <cell r="C1576" t="str">
            <v>Eurofins Scientific</v>
          </cell>
          <cell r="D1576">
            <v>7.7224000000000004</v>
          </cell>
        </row>
        <row r="1577">
          <cell r="C1577" t="str">
            <v>Medpace</v>
          </cell>
          <cell r="D1577">
            <v>0.79704900000000001</v>
          </cell>
        </row>
        <row r="1578">
          <cell r="C1578" t="str">
            <v>Qorvo</v>
          </cell>
          <cell r="D1578">
            <v>193.61</v>
          </cell>
        </row>
        <row r="1579">
          <cell r="C1579" t="str">
            <v>Indian Hotels Company</v>
          </cell>
          <cell r="D1579">
            <v>303911</v>
          </cell>
        </row>
        <row r="1580">
          <cell r="C1580" t="str">
            <v>Hua Nan Financial Holdings</v>
          </cell>
          <cell r="D1580">
            <v>4.6618199999999996</v>
          </cell>
        </row>
        <row r="1581">
          <cell r="C1581" t="str">
            <v>Lincoln Electric</v>
          </cell>
          <cell r="D1581">
            <v>41.59</v>
          </cell>
        </row>
        <row r="1582">
          <cell r="C1582" t="str">
            <v>Shree Cement</v>
          </cell>
          <cell r="D1582">
            <v>1.62266</v>
          </cell>
        </row>
        <row r="1583">
          <cell r="C1583" t="str">
            <v>New China Life Insurance</v>
          </cell>
          <cell r="D1583">
            <v>54.54</v>
          </cell>
        </row>
        <row r="1584">
          <cell r="C1584" t="str">
            <v>LKQ Corporation</v>
          </cell>
          <cell r="D1584">
            <v>90.41</v>
          </cell>
        </row>
        <row r="1585">
          <cell r="C1585" t="str">
            <v>CapitaLand Mall Trust</v>
          </cell>
          <cell r="D1585">
            <v>63778</v>
          </cell>
        </row>
        <row r="1586">
          <cell r="C1586" t="str">
            <v>UL Solutions</v>
          </cell>
          <cell r="D1586">
            <v>9.9031599999999997</v>
          </cell>
        </row>
        <row r="1587">
          <cell r="C1587" t="str">
            <v>Crown Holdings</v>
          </cell>
          <cell r="D1587">
            <v>9.0945499999999999</v>
          </cell>
        </row>
        <row r="1588">
          <cell r="C1588" t="str">
            <v>AkzoNobel</v>
          </cell>
          <cell r="D1588">
            <v>488.12</v>
          </cell>
        </row>
        <row r="1589">
          <cell r="C1589" t="str">
            <v>Adani Total Gas</v>
          </cell>
          <cell r="D1589">
            <v>1.47</v>
          </cell>
        </row>
        <row r="1590">
          <cell r="C1590" t="str">
            <v>Banque Saudi Fransi</v>
          </cell>
          <cell r="D1590">
            <v>18.717400000000001</v>
          </cell>
        </row>
        <row r="1591">
          <cell r="C1591" t="str">
            <v>CACI</v>
          </cell>
          <cell r="D1591">
            <v>8.4901199999999992</v>
          </cell>
        </row>
        <row r="1592">
          <cell r="C1592" t="str">
            <v>ADNOC Logistics &amp;amp; Services</v>
          </cell>
          <cell r="D1592">
            <v>0</v>
          </cell>
        </row>
        <row r="1593">
          <cell r="C1593" t="str">
            <v>Aurobindo Pharma</v>
          </cell>
          <cell r="D1593">
            <v>28.49</v>
          </cell>
        </row>
        <row r="1594">
          <cell r="C1594" t="str">
            <v>Swire Pacific</v>
          </cell>
          <cell r="D1594">
            <v>37.612099999999998</v>
          </cell>
        </row>
        <row r="1595">
          <cell r="C1595" t="str">
            <v>Ahli United Bank</v>
          </cell>
          <cell r="D1595">
            <v>209.24</v>
          </cell>
        </row>
        <row r="1596">
          <cell r="C1596" t="str">
            <v>Apache Corporation</v>
          </cell>
          <cell r="D1596">
            <v>96.827699999999993</v>
          </cell>
        </row>
        <row r="1597">
          <cell r="C1597" t="str">
            <v>Emera</v>
          </cell>
          <cell r="D1597">
            <v>90.25</v>
          </cell>
        </row>
        <row r="1598">
          <cell r="C1598" t="str">
            <v>Swatch</v>
          </cell>
          <cell r="D1598">
            <v>1.3455299999999999</v>
          </cell>
        </row>
        <row r="1599">
          <cell r="C1599" t="str">
            <v>HELLA</v>
          </cell>
          <cell r="D1599">
            <v>41.002499999999998</v>
          </cell>
        </row>
        <row r="1600">
          <cell r="C1600" t="str">
            <v>Albemarle</v>
          </cell>
          <cell r="D1600">
            <v>11.2399</v>
          </cell>
        </row>
        <row r="1601">
          <cell r="C1601" t="str">
            <v>PChem (Petronas Chemicals Group)</v>
          </cell>
          <cell r="D1601">
            <v>156.62</v>
          </cell>
        </row>
        <row r="1602">
          <cell r="C1602" t="str">
            <v>Bank Pekao (Bank Polska Kasa Opieki)</v>
          </cell>
          <cell r="D1602">
            <v>74.300899999999999</v>
          </cell>
        </row>
        <row r="1603">
          <cell r="C1603" t="str">
            <v>Kikkoman</v>
          </cell>
          <cell r="D1603">
            <v>1.33779</v>
          </cell>
        </row>
        <row r="1604">
          <cell r="C1604" t="str">
            <v>Houlihan Lokey</v>
          </cell>
          <cell r="D1604">
            <v>31.155799999999999</v>
          </cell>
        </row>
        <row r="1605">
          <cell r="C1605" t="str">
            <v>Brenntag</v>
          </cell>
          <cell r="D1605">
            <v>38.99</v>
          </cell>
        </row>
        <row r="1606">
          <cell r="C1606" t="str">
            <v>China Steel</v>
          </cell>
          <cell r="D1606">
            <v>16.1158</v>
          </cell>
        </row>
        <row r="1607">
          <cell r="C1607" t="str">
            <v>Swedish Orphan Biovitrum</v>
          </cell>
          <cell r="D1607">
            <v>3.15225</v>
          </cell>
        </row>
        <row r="1608">
          <cell r="C1608" t="str">
            <v>Essential Utilities</v>
          </cell>
          <cell r="D1608">
            <v>101976</v>
          </cell>
        </row>
        <row r="1609">
          <cell r="C1609" t="str">
            <v>Carrefour</v>
          </cell>
          <cell r="D1609">
            <v>76.19</v>
          </cell>
        </row>
        <row r="1610">
          <cell r="C1610" t="str">
            <v>SCB (Siam Commercial Bank)</v>
          </cell>
          <cell r="D1610">
            <v>519.63</v>
          </cell>
        </row>
        <row r="1611">
          <cell r="C1611" t="str">
            <v>Pro Medicus</v>
          </cell>
          <cell r="D1611">
            <v>96.17</v>
          </cell>
        </row>
        <row r="1612">
          <cell r="C1612" t="str">
            <v>Elastic NV</v>
          </cell>
          <cell r="D1612">
            <v>2.9108700000000001</v>
          </cell>
        </row>
        <row r="1613">
          <cell r="C1613" t="str">
            <v>Murphy USA</v>
          </cell>
          <cell r="D1613">
            <v>4.9977900000000002</v>
          </cell>
        </row>
        <row r="1614">
          <cell r="C1614" t="str">
            <v>MakeMyTrip</v>
          </cell>
          <cell r="D1614">
            <v>3.40605</v>
          </cell>
        </row>
        <row r="1615">
          <cell r="C1615" t="str">
            <v>Nissan</v>
          </cell>
          <cell r="D1615">
            <v>79.959999999999994</v>
          </cell>
        </row>
        <row r="1616">
          <cell r="C1616" t="str">
            <v>Hindustan Petroleum</v>
          </cell>
          <cell r="D1616">
            <v>49.2</v>
          </cell>
        </row>
        <row r="1617">
          <cell r="C1617" t="str">
            <v>ST Engineering</v>
          </cell>
          <cell r="D1617">
            <v>3.5007700000000002</v>
          </cell>
        </row>
        <row r="1618">
          <cell r="C1618" t="str">
            <v>BJ's Wholesale Club</v>
          </cell>
          <cell r="D1618">
            <v>20.239999999999998</v>
          </cell>
        </row>
        <row r="1619">
          <cell r="C1619" t="str">
            <v>Pershing Square Holdings</v>
          </cell>
          <cell r="D1619">
            <v>171.26</v>
          </cell>
        </row>
        <row r="1620">
          <cell r="C1620" t="str">
            <v>Taiwan Mobile</v>
          </cell>
          <cell r="D1620">
            <v>57.55</v>
          </cell>
        </row>
        <row r="1621">
          <cell r="C1621" t="str">
            <v>Franklin Resources</v>
          </cell>
          <cell r="D1621">
            <v>213.22</v>
          </cell>
        </row>
        <row r="1622">
          <cell r="C1622" t="str">
            <v>Ralph Lauren</v>
          </cell>
          <cell r="D1622">
            <v>38.799999999999997</v>
          </cell>
        </row>
        <row r="1623">
          <cell r="C1623" t="str">
            <v>Legend Biotech</v>
          </cell>
          <cell r="D1623">
            <v>0.52710599999999996</v>
          </cell>
        </row>
        <row r="1624">
          <cell r="C1624" t="str">
            <v>Onto Innovation</v>
          </cell>
          <cell r="D1624">
            <v>0.89624800000000004</v>
          </cell>
        </row>
        <row r="1625">
          <cell r="C1625" t="str">
            <v>Sociedad Química y Minera</v>
          </cell>
          <cell r="D1625">
            <v>0.53459299999999998</v>
          </cell>
        </row>
        <row r="1626">
          <cell r="C1626" t="str">
            <v>Vanke</v>
          </cell>
          <cell r="D1626">
            <v>12.5769</v>
          </cell>
        </row>
        <row r="1627">
          <cell r="C1627" t="str">
            <v>Celcomdigi</v>
          </cell>
          <cell r="D1627">
            <v>0.30344100000000002</v>
          </cell>
        </row>
        <row r="1628">
          <cell r="C1628" t="str">
            <v>China Eastern Airlines</v>
          </cell>
          <cell r="D1628">
            <v>16.878699999999998</v>
          </cell>
        </row>
        <row r="1629">
          <cell r="C1629" t="str">
            <v>First Quantum Minerals</v>
          </cell>
          <cell r="D1629">
            <v>8.16</v>
          </cell>
        </row>
        <row r="1630">
          <cell r="C1630" t="str">
            <v>True Corporation</v>
          </cell>
          <cell r="D1630">
            <v>64.978499999999997</v>
          </cell>
        </row>
        <row r="1631">
          <cell r="C1631" t="str">
            <v>Novatek Microelectronics</v>
          </cell>
          <cell r="D1631">
            <v>39.54</v>
          </cell>
        </row>
        <row r="1632">
          <cell r="C1632" t="str">
            <v>Korea Electric Power</v>
          </cell>
          <cell r="D1632">
            <v>68.48</v>
          </cell>
        </row>
        <row r="1633">
          <cell r="C1633" t="str">
            <v>Intertek</v>
          </cell>
          <cell r="D1633">
            <v>17072</v>
          </cell>
        </row>
        <row r="1634">
          <cell r="C1634" t="str">
            <v>Omega Healthcare</v>
          </cell>
          <cell r="D1634">
            <v>12.069100000000001</v>
          </cell>
        </row>
        <row r="1635">
          <cell r="C1635" t="str">
            <v>Skechers</v>
          </cell>
          <cell r="D1635">
            <v>104.05</v>
          </cell>
        </row>
        <row r="1636">
          <cell r="C1636" t="str">
            <v>FinecoBank</v>
          </cell>
          <cell r="D1636">
            <v>59388</v>
          </cell>
        </row>
        <row r="1637">
          <cell r="C1637" t="str">
            <v>Powszechny Zakład Ubezpieczeń</v>
          </cell>
          <cell r="D1637">
            <v>2.0742400000000001</v>
          </cell>
        </row>
        <row r="1638">
          <cell r="C1638" t="str">
            <v>Sprouts Farmers Market</v>
          </cell>
          <cell r="D1638">
            <v>9.8514599999999994</v>
          </cell>
        </row>
        <row r="1639">
          <cell r="C1639" t="str">
            <v>Wiwynn</v>
          </cell>
          <cell r="D1639">
            <v>0.38801200000000002</v>
          </cell>
        </row>
        <row r="1640">
          <cell r="C1640" t="str">
            <v>CapitaLand Investment Limited</v>
          </cell>
          <cell r="D1640">
            <v>121.42</v>
          </cell>
        </row>
        <row r="1641">
          <cell r="C1641" t="str">
            <v>Allegro.eu</v>
          </cell>
          <cell r="D1641">
            <v>130209</v>
          </cell>
        </row>
        <row r="1642">
          <cell r="C1642" t="str">
            <v>Türkiye Is Bankasi</v>
          </cell>
          <cell r="D1642">
            <v>13.468500000000001</v>
          </cell>
        </row>
        <row r="1643">
          <cell r="C1643" t="str">
            <v>TD Synnex</v>
          </cell>
          <cell r="D1643">
            <v>22.216100000000001</v>
          </cell>
        </row>
        <row r="1644">
          <cell r="C1644" t="str">
            <v>BE Semiconductor</v>
          </cell>
          <cell r="D1644">
            <v>42235</v>
          </cell>
        </row>
        <row r="1645">
          <cell r="C1645" t="str">
            <v>Etihad Etisalat (Mobily)</v>
          </cell>
          <cell r="D1645">
            <v>7.3473100000000002</v>
          </cell>
        </row>
        <row r="1646">
          <cell r="C1646" t="str">
            <v>Evonik Industries</v>
          </cell>
          <cell r="D1646">
            <v>48.911200000000001</v>
          </cell>
        </row>
        <row r="1647">
          <cell r="C1647" t="str">
            <v>Edenred</v>
          </cell>
          <cell r="D1647">
            <v>55.49</v>
          </cell>
        </row>
        <row r="1648">
          <cell r="C1648" t="str">
            <v>Daiwa Securities Group</v>
          </cell>
          <cell r="D1648">
            <v>47.77</v>
          </cell>
        </row>
        <row r="1649">
          <cell r="C1649" t="str">
            <v>ASR Nederland</v>
          </cell>
          <cell r="D1649">
            <v>5.1473500000000003</v>
          </cell>
        </row>
        <row r="1650">
          <cell r="C1650" t="str">
            <v>Unum</v>
          </cell>
          <cell r="D1650">
            <v>1.61649</v>
          </cell>
        </row>
        <row r="1651">
          <cell r="C1651" t="str">
            <v>WPP</v>
          </cell>
          <cell r="D1651">
            <v>20.535699999999999</v>
          </cell>
        </row>
        <row r="1652">
          <cell r="C1652" t="str">
            <v>Arab National Bank</v>
          </cell>
          <cell r="D1652">
            <v>4.9143100000000004</v>
          </cell>
        </row>
        <row r="1653">
          <cell r="C1653" t="str">
            <v>Formosa Plastics</v>
          </cell>
          <cell r="D1653">
            <v>4.9854500000000002</v>
          </cell>
        </row>
        <row r="1654">
          <cell r="C1654" t="str">
            <v>Yageo</v>
          </cell>
          <cell r="D1654">
            <v>18.989699999999999</v>
          </cell>
        </row>
        <row r="1655">
          <cell r="C1655" t="str">
            <v>(HLBank) Hong Leong Bank</v>
          </cell>
          <cell r="D1655">
            <v>42.080199999999998</v>
          </cell>
        </row>
        <row r="1656">
          <cell r="C1656" t="str">
            <v>Sanlam</v>
          </cell>
          <cell r="D1656">
            <v>3.92475</v>
          </cell>
        </row>
        <row r="1657">
          <cell r="C1657" t="str">
            <v>Red Eléctrica</v>
          </cell>
          <cell r="D1657">
            <v>12578.8</v>
          </cell>
        </row>
        <row r="1658">
          <cell r="C1658" t="str">
            <v>Accor</v>
          </cell>
          <cell r="D1658">
            <v>6.7911999999999999</v>
          </cell>
        </row>
        <row r="1659">
          <cell r="C1659" t="str">
            <v>Meridian Energy</v>
          </cell>
          <cell r="D1659">
            <v>197.75</v>
          </cell>
        </row>
        <row r="1660">
          <cell r="C1660" t="str">
            <v>Lotus Bakeries</v>
          </cell>
          <cell r="D1660">
            <v>138.97</v>
          </cell>
        </row>
        <row r="1661">
          <cell r="C1661" t="str">
            <v>Banco BPM</v>
          </cell>
          <cell r="D1661">
            <v>2.8287399999999998</v>
          </cell>
        </row>
        <row r="1662">
          <cell r="C1662" t="str">
            <v>Charles River Laboratories</v>
          </cell>
          <cell r="D1662">
            <v>61.48</v>
          </cell>
        </row>
        <row r="1663">
          <cell r="C1663" t="str">
            <v>Churchill Downs</v>
          </cell>
          <cell r="D1663">
            <v>0.40566400000000002</v>
          </cell>
        </row>
        <row r="1664">
          <cell r="C1664" t="str">
            <v>Far EasTone</v>
          </cell>
          <cell r="D1664">
            <v>67.19</v>
          </cell>
        </row>
        <row r="1665">
          <cell r="C1665" t="str">
            <v>New Oriental</v>
          </cell>
          <cell r="D1665">
            <v>153.19</v>
          </cell>
        </row>
        <row r="1666">
          <cell r="C1666" t="str">
            <v>Thai Beverage</v>
          </cell>
          <cell r="D1666">
            <v>57.103700000000003</v>
          </cell>
        </row>
        <row r="1667">
          <cell r="C1667" t="str">
            <v>Bruker</v>
          </cell>
          <cell r="D1667">
            <v>196.35</v>
          </cell>
        </row>
        <row r="1668">
          <cell r="C1668" t="str">
            <v>AptarGroup</v>
          </cell>
          <cell r="D1668">
            <v>45.71</v>
          </cell>
        </row>
        <row r="1669">
          <cell r="C1669" t="str">
            <v>CCL Industries</v>
          </cell>
          <cell r="D1669">
            <v>95.46</v>
          </cell>
        </row>
        <row r="1670">
          <cell r="C1670" t="str">
            <v>Assurant</v>
          </cell>
          <cell r="D1670">
            <v>12.821899999999999</v>
          </cell>
        </row>
        <row r="1671">
          <cell r="C1671" t="str">
            <v>Qiagen</v>
          </cell>
          <cell r="D1671">
            <v>33.749499999999998</v>
          </cell>
        </row>
        <row r="1672">
          <cell r="C1672" t="str">
            <v>Parsons</v>
          </cell>
          <cell r="D1672">
            <v>6.11</v>
          </cell>
        </row>
        <row r="1673">
          <cell r="C1673" t="str">
            <v>Stora Enso</v>
          </cell>
          <cell r="D1673">
            <v>20.16</v>
          </cell>
        </row>
        <row r="1674">
          <cell r="C1674" t="str">
            <v>Severn Trent</v>
          </cell>
          <cell r="D1674">
            <v>3.1100500000000002</v>
          </cell>
        </row>
        <row r="1675">
          <cell r="C1675" t="str">
            <v>AEGON</v>
          </cell>
          <cell r="D1675">
            <v>62.76</v>
          </cell>
        </row>
        <row r="1676">
          <cell r="C1676" t="str">
            <v>Annaly Capital Management</v>
          </cell>
          <cell r="D1676">
            <v>24.5868</v>
          </cell>
        </row>
        <row r="1677">
          <cell r="C1677" t="str">
            <v>China Resources Beer</v>
          </cell>
          <cell r="D1677">
            <v>121256</v>
          </cell>
        </row>
        <row r="1678">
          <cell r="C1678" t="str">
            <v>Twilio</v>
          </cell>
          <cell r="D1678">
            <v>3.13</v>
          </cell>
        </row>
        <row r="1679">
          <cell r="C1679" t="str">
            <v>Osaka Gas</v>
          </cell>
          <cell r="D1679">
            <v>15.15</v>
          </cell>
        </row>
        <row r="1680">
          <cell r="C1680" t="str">
            <v>Ipsen</v>
          </cell>
          <cell r="D1680">
            <v>86.97</v>
          </cell>
        </row>
        <row r="1681">
          <cell r="C1681" t="str">
            <v>Ooredoo</v>
          </cell>
          <cell r="D1681">
            <v>10286</v>
          </cell>
        </row>
        <row r="1682">
          <cell r="C1682" t="str">
            <v>Brookfield Property Partners</v>
          </cell>
          <cell r="D1682">
            <v>20.793800000000001</v>
          </cell>
        </row>
        <row r="1683">
          <cell r="C1683" t="str">
            <v>Amdocs</v>
          </cell>
          <cell r="D1683">
            <v>11.171099999999999</v>
          </cell>
        </row>
        <row r="1684">
          <cell r="C1684" t="str">
            <v>Max Healthcare Institute</v>
          </cell>
          <cell r="D1684">
            <v>23.42</v>
          </cell>
        </row>
        <row r="1685">
          <cell r="C1685" t="str">
            <v>Torrent Power</v>
          </cell>
          <cell r="D1685">
            <v>7.7182300000000001</v>
          </cell>
        </row>
        <row r="1686">
          <cell r="C1686" t="str">
            <v>Auto Trader Group</v>
          </cell>
          <cell r="D1686">
            <v>4.2128199999999998</v>
          </cell>
        </row>
        <row r="1687">
          <cell r="C1687" t="str">
            <v>GameStop</v>
          </cell>
          <cell r="D1687">
            <v>375.83</v>
          </cell>
        </row>
        <row r="1688">
          <cell r="C1688" t="str">
            <v>Marico</v>
          </cell>
          <cell r="D1688">
            <v>87.52</v>
          </cell>
        </row>
        <row r="1689">
          <cell r="C1689" t="str">
            <v>Kasikornbank</v>
          </cell>
          <cell r="D1689">
            <v>166.65</v>
          </cell>
        </row>
        <row r="1690">
          <cell r="C1690" t="str">
            <v>Saia</v>
          </cell>
          <cell r="D1690">
            <v>4.9304100000000002</v>
          </cell>
        </row>
        <row r="1691">
          <cell r="C1691" t="str">
            <v>Pinnacle West Capital</v>
          </cell>
          <cell r="D1691">
            <v>28.293800000000001</v>
          </cell>
        </row>
        <row r="1692">
          <cell r="C1692" t="str">
            <v>Woodward</v>
          </cell>
          <cell r="D1692">
            <v>187822</v>
          </cell>
        </row>
        <row r="1693">
          <cell r="C1693" t="str">
            <v>NIBE Industrier</v>
          </cell>
          <cell r="D1693">
            <v>67.77</v>
          </cell>
        </row>
        <row r="1694">
          <cell r="C1694" t="str">
            <v>Ford Otosan</v>
          </cell>
          <cell r="D1694">
            <v>38.244900000000001</v>
          </cell>
        </row>
        <row r="1695">
          <cell r="C1695" t="str">
            <v>BKW AG</v>
          </cell>
          <cell r="D1695">
            <v>216978</v>
          </cell>
        </row>
        <row r="1696">
          <cell r="C1696" t="str">
            <v>Roku</v>
          </cell>
          <cell r="D1696">
            <v>18.41</v>
          </cell>
        </row>
        <row r="1697">
          <cell r="C1697" t="str">
            <v>Mizrahi-Tefahot</v>
          </cell>
          <cell r="D1697">
            <v>14.6296</v>
          </cell>
        </row>
        <row r="1698">
          <cell r="C1698" t="str">
            <v>Hanwha Aerospace</v>
          </cell>
          <cell r="D1698">
            <v>79.41</v>
          </cell>
        </row>
        <row r="1699">
          <cell r="C1699" t="str">
            <v>XP Inc.</v>
          </cell>
          <cell r="D1699">
            <v>72.7</v>
          </cell>
        </row>
        <row r="1700">
          <cell r="C1700" t="str">
            <v>“K” Line</v>
          </cell>
          <cell r="D1700">
            <v>7.2446900000000003</v>
          </cell>
        </row>
        <row r="1701">
          <cell r="C1701" t="str">
            <v>Fortune Brands Innovations</v>
          </cell>
          <cell r="D1701">
            <v>18.0336</v>
          </cell>
        </row>
        <row r="1702">
          <cell r="C1702" t="str">
            <v>Globus Medical</v>
          </cell>
          <cell r="D1702">
            <v>1151</v>
          </cell>
        </row>
        <row r="1703">
          <cell r="C1703" t="str">
            <v>Idemitsu Kosan</v>
          </cell>
          <cell r="D1703">
            <v>76.718400000000003</v>
          </cell>
        </row>
        <row r="1704">
          <cell r="C1704" t="str">
            <v>Getlink</v>
          </cell>
          <cell r="D1704">
            <v>104786</v>
          </cell>
        </row>
        <row r="1705">
          <cell r="C1705" t="str">
            <v>PMetal (Press Metal Aluminium)</v>
          </cell>
          <cell r="D1705">
            <v>155.13999999999999</v>
          </cell>
        </row>
        <row r="1706">
          <cell r="C1706" t="str">
            <v>GBL</v>
          </cell>
          <cell r="D1706">
            <v>7.0599800000000004</v>
          </cell>
        </row>
        <row r="1707">
          <cell r="C1707" t="str">
            <v>Eiffage</v>
          </cell>
          <cell r="D1707">
            <v>74.489999999999995</v>
          </cell>
        </row>
        <row r="1708">
          <cell r="C1708" t="str">
            <v>Mohawk Industries</v>
          </cell>
          <cell r="D1708">
            <v>1.27095</v>
          </cell>
        </row>
        <row r="1709">
          <cell r="C1709" t="str">
            <v>Asahi Kasei</v>
          </cell>
          <cell r="D1709">
            <v>33145</v>
          </cell>
        </row>
        <row r="1710">
          <cell r="C1710" t="str">
            <v>Chesapeake Energy</v>
          </cell>
          <cell r="D1710">
            <v>35.549999999999997</v>
          </cell>
        </row>
        <row r="1711">
          <cell r="C1711" t="str">
            <v>Hong Kong Telecom</v>
          </cell>
          <cell r="D1711">
            <v>24.928899999999999</v>
          </cell>
        </row>
        <row r="1712">
          <cell r="C1712" t="str">
            <v>Shimadzu</v>
          </cell>
          <cell r="D1712">
            <v>13.8789</v>
          </cell>
        </row>
        <row r="1713">
          <cell r="C1713" t="str">
            <v>APi Group</v>
          </cell>
          <cell r="D1713">
            <v>60.03</v>
          </cell>
        </row>
        <row r="1714">
          <cell r="C1714" t="str">
            <v>Tōkyō Gas</v>
          </cell>
          <cell r="D1714">
            <v>109.82</v>
          </cell>
        </row>
        <row r="1715">
          <cell r="C1715" t="str">
            <v>Svenska Cellulosa Aktiebolaget (SCA)</v>
          </cell>
          <cell r="D1715">
            <v>0.913269</v>
          </cell>
        </row>
        <row r="1716">
          <cell r="C1716" t="str">
            <v>Reddit</v>
          </cell>
          <cell r="D1716">
            <v>20.65</v>
          </cell>
        </row>
        <row r="1717">
          <cell r="C1717" t="str">
            <v>Light &amp;amp; Wonder</v>
          </cell>
          <cell r="D1717">
            <v>3.0274700000000001</v>
          </cell>
        </row>
        <row r="1718">
          <cell r="C1718" t="str">
            <v>CP Axtra</v>
          </cell>
          <cell r="D1718">
            <v>2.2043599999999999</v>
          </cell>
        </row>
        <row r="1719">
          <cell r="C1719" t="str">
            <v>Banco Santander-Chile</v>
          </cell>
          <cell r="D1719">
            <v>48.03</v>
          </cell>
        </row>
        <row r="1720">
          <cell r="C1720" t="str">
            <v>Ooredoo Qatar</v>
          </cell>
          <cell r="D1720">
            <v>25.619199999999999</v>
          </cell>
        </row>
        <row r="1721">
          <cell r="C1721" t="str">
            <v>Ascendas Reit</v>
          </cell>
          <cell r="D1721">
            <v>4.7252999999999998</v>
          </cell>
        </row>
        <row r="1722">
          <cell r="C1722" t="str">
            <v>Core &amp;amp; Main</v>
          </cell>
          <cell r="D1722">
            <v>115</v>
          </cell>
        </row>
        <row r="1723">
          <cell r="C1723" t="str">
            <v>Carsales</v>
          </cell>
          <cell r="D1723">
            <v>36.630000000000003</v>
          </cell>
        </row>
        <row r="1724">
          <cell r="C1724" t="str">
            <v>EVE Energy</v>
          </cell>
          <cell r="D1724">
            <v>34.697099999999999</v>
          </cell>
        </row>
        <row r="1725">
          <cell r="C1725" t="str">
            <v>Federal Realty Investment Trust</v>
          </cell>
          <cell r="D1725">
            <v>3.0202800000000001</v>
          </cell>
        </row>
        <row r="1726">
          <cell r="C1726" t="str">
            <v>Aramark</v>
          </cell>
          <cell r="D1726">
            <v>6658</v>
          </cell>
        </row>
        <row r="1727">
          <cell r="C1727" t="str">
            <v>Godrej Properties</v>
          </cell>
          <cell r="D1727">
            <v>92.6</v>
          </cell>
        </row>
        <row r="1728">
          <cell r="C1728" t="str">
            <v>JD Health</v>
          </cell>
          <cell r="D1728">
            <v>37.21</v>
          </cell>
        </row>
        <row r="1729">
          <cell r="C1729" t="str">
            <v>Barratt Developments</v>
          </cell>
          <cell r="D1729">
            <v>2.1247799999999999</v>
          </cell>
        </row>
        <row r="1730">
          <cell r="C1730" t="str">
            <v>The Toro Company</v>
          </cell>
          <cell r="D1730">
            <v>21.136700000000001</v>
          </cell>
        </row>
        <row r="1731">
          <cell r="C1731" t="str">
            <v>Match Group</v>
          </cell>
          <cell r="D1731">
            <v>12697</v>
          </cell>
        </row>
        <row r="1732">
          <cell r="C1732" t="str">
            <v>South32</v>
          </cell>
          <cell r="D1732">
            <v>118.23</v>
          </cell>
        </row>
        <row r="1733">
          <cell r="C1733" t="str">
            <v>PB Fintech</v>
          </cell>
          <cell r="D1733">
            <v>0.26419399999999998</v>
          </cell>
        </row>
        <row r="1734">
          <cell r="C1734" t="str">
            <v>HMM</v>
          </cell>
          <cell r="D1734">
            <v>30.44</v>
          </cell>
        </row>
        <row r="1735">
          <cell r="C1735" t="str">
            <v>TKO Group</v>
          </cell>
          <cell r="D1735">
            <v>4.94848</v>
          </cell>
        </row>
        <row r="1736">
          <cell r="C1736" t="str">
            <v>China Zheshang Bank</v>
          </cell>
          <cell r="D1736">
            <v>0.75016400000000005</v>
          </cell>
        </row>
        <row r="1737">
          <cell r="C1737" t="str">
            <v>Huazhu Hotels</v>
          </cell>
          <cell r="D1737">
            <v>68.16</v>
          </cell>
        </row>
        <row r="1738">
          <cell r="C1738" t="str">
            <v>Türkiye Petrol Rafinerileri</v>
          </cell>
          <cell r="D1738">
            <v>8.3856400000000004</v>
          </cell>
        </row>
        <row r="1739">
          <cell r="C1739" t="str">
            <v>Sinopac Financial Holdings</v>
          </cell>
          <cell r="D1739">
            <v>9.2479600000000008</v>
          </cell>
        </row>
        <row r="1740">
          <cell r="C1740" t="str">
            <v>Hasbro</v>
          </cell>
          <cell r="D1740">
            <v>20.150400000000001</v>
          </cell>
        </row>
        <row r="1741">
          <cell r="C1741" t="str">
            <v>Tsingtao</v>
          </cell>
          <cell r="D1741">
            <v>17391</v>
          </cell>
        </row>
        <row r="1742">
          <cell r="C1742" t="str">
            <v>Wise PLC</v>
          </cell>
          <cell r="D1742">
            <v>20.421099999999999</v>
          </cell>
        </row>
        <row r="1743">
          <cell r="C1743" t="str">
            <v>ANA Holdings</v>
          </cell>
          <cell r="D1743">
            <v>15.8492</v>
          </cell>
        </row>
        <row r="1744">
          <cell r="C1744" t="str">
            <v>Shoprite</v>
          </cell>
          <cell r="D1744">
            <v>23.8201</v>
          </cell>
        </row>
        <row r="1745">
          <cell r="C1745" t="str">
            <v>Alstom</v>
          </cell>
          <cell r="D1745">
            <v>51.420400000000001</v>
          </cell>
        </row>
        <row r="1746">
          <cell r="C1746" t="str">
            <v>BİM Birleşik Mağazalar</v>
          </cell>
          <cell r="D1746">
            <v>10.9086</v>
          </cell>
        </row>
        <row r="1747">
          <cell r="C1747" t="str">
            <v>Deutsche Wohnen</v>
          </cell>
          <cell r="D1747">
            <v>81.99</v>
          </cell>
        </row>
        <row r="1748">
          <cell r="C1748" t="str">
            <v>ageas</v>
          </cell>
          <cell r="D1748">
            <v>22.211500000000001</v>
          </cell>
        </row>
        <row r="1749">
          <cell r="C1749" t="str">
            <v>Advantech</v>
          </cell>
          <cell r="D1749">
            <v>105.05</v>
          </cell>
        </row>
        <row r="1750">
          <cell r="C1750" t="str">
            <v>Stantec</v>
          </cell>
          <cell r="D1750">
            <v>40.97</v>
          </cell>
        </row>
        <row r="1751">
          <cell r="C1751" t="str">
            <v>Saputo</v>
          </cell>
          <cell r="D1751">
            <v>31.763100000000001</v>
          </cell>
        </row>
        <row r="1752">
          <cell r="C1752" t="str">
            <v>Globe Life</v>
          </cell>
          <cell r="D1752">
            <v>245.74</v>
          </cell>
        </row>
        <row r="1753">
          <cell r="C1753" t="str">
            <v>Tapestry</v>
          </cell>
          <cell r="D1753">
            <v>103</v>
          </cell>
        </row>
        <row r="1754">
          <cell r="C1754" t="str">
            <v>ZOZO</v>
          </cell>
          <cell r="D1754">
            <v>156.53</v>
          </cell>
        </row>
        <row r="1755">
          <cell r="C1755" t="str">
            <v>Evercore</v>
          </cell>
          <cell r="D1755">
            <v>23.445699999999999</v>
          </cell>
        </row>
        <row r="1756">
          <cell r="C1756" t="str">
            <v>BWX Technologies</v>
          </cell>
          <cell r="D1756">
            <v>12.443899999999999</v>
          </cell>
        </row>
        <row r="1757">
          <cell r="C1757" t="str">
            <v>Generac Power Systems</v>
          </cell>
          <cell r="D1757">
            <v>12.98</v>
          </cell>
        </row>
        <row r="1758">
          <cell r="C1758" t="str">
            <v>Muthoot Finance</v>
          </cell>
          <cell r="D1758">
            <v>157083</v>
          </cell>
        </row>
        <row r="1759">
          <cell r="C1759" t="str">
            <v>Chubu Electric Power</v>
          </cell>
          <cell r="D1759">
            <v>61.670099999999998</v>
          </cell>
        </row>
        <row r="1760">
          <cell r="C1760" t="str">
            <v>Summit Therapeutics</v>
          </cell>
          <cell r="D1760">
            <v>162.78</v>
          </cell>
        </row>
        <row r="1761">
          <cell r="C1761" t="str">
            <v>Dixon Technologies</v>
          </cell>
          <cell r="D1761">
            <v>72.197500000000005</v>
          </cell>
        </row>
        <row r="1762">
          <cell r="C1762" t="str">
            <v>Persistent Systems</v>
          </cell>
          <cell r="D1762">
            <v>1.81087</v>
          </cell>
        </row>
        <row r="1763">
          <cell r="C1763" t="str">
            <v>Paycom</v>
          </cell>
          <cell r="D1763">
            <v>49.14</v>
          </cell>
        </row>
        <row r="1764">
          <cell r="C1764" t="str">
            <v>ING Bank Slaski</v>
          </cell>
          <cell r="D1764">
            <v>49.9</v>
          </cell>
        </row>
        <row r="1765">
          <cell r="C1765" t="str">
            <v>JD Sports Fashion</v>
          </cell>
          <cell r="D1765">
            <v>93.05</v>
          </cell>
        </row>
        <row r="1766">
          <cell r="C1766" t="str">
            <v>HF Sinclair</v>
          </cell>
          <cell r="D1766">
            <v>0.72845700000000002</v>
          </cell>
        </row>
        <row r="1767">
          <cell r="C1767" t="str">
            <v>Birkenstock</v>
          </cell>
          <cell r="D1767">
            <v>131681</v>
          </cell>
        </row>
        <row r="1768">
          <cell r="C1768" t="str">
            <v>HealthSouth</v>
          </cell>
          <cell r="D1768">
            <v>4.9837600000000002</v>
          </cell>
        </row>
        <row r="1769">
          <cell r="C1769" t="str">
            <v>WH Group</v>
          </cell>
          <cell r="D1769">
            <v>42.307499999999997</v>
          </cell>
        </row>
        <row r="1770">
          <cell r="C1770" t="str">
            <v>Zealand Pharma</v>
          </cell>
          <cell r="D1770">
            <v>4.0199999999999996</v>
          </cell>
        </row>
        <row r="1771">
          <cell r="C1771" t="str">
            <v>MTN Group</v>
          </cell>
          <cell r="D1771">
            <v>18.010000000000002</v>
          </cell>
        </row>
        <row r="1772">
          <cell r="C1772" t="str">
            <v>Demant</v>
          </cell>
          <cell r="D1772">
            <v>8.7988</v>
          </cell>
        </row>
        <row r="1773">
          <cell r="C1773" t="str">
            <v>Lucid Motors</v>
          </cell>
          <cell r="D1773">
            <v>48.073300000000003</v>
          </cell>
        </row>
        <row r="1774">
          <cell r="C1774" t="str">
            <v>Mowi</v>
          </cell>
          <cell r="D1774">
            <v>163369</v>
          </cell>
        </row>
        <row r="1775">
          <cell r="C1775" t="str">
            <v>President Chain Store (PSCS)</v>
          </cell>
          <cell r="D1775">
            <v>26.3461</v>
          </cell>
        </row>
        <row r="1776">
          <cell r="C1776" t="str">
            <v>Tube Investments of India</v>
          </cell>
          <cell r="D1776">
            <v>61.9816</v>
          </cell>
        </row>
        <row r="1777">
          <cell r="C1777" t="str">
            <v>IMCD</v>
          </cell>
          <cell r="D1777">
            <v>140.16999999999999</v>
          </cell>
        </row>
        <row r="1778">
          <cell r="C1778" t="str">
            <v>Sagax</v>
          </cell>
          <cell r="D1778">
            <v>1.0721700000000001</v>
          </cell>
        </row>
        <row r="1779">
          <cell r="C1779" t="str">
            <v>Bupa Arabia for Cooperative Insurance Company</v>
          </cell>
          <cell r="D1779">
            <v>35.869999999999997</v>
          </cell>
        </row>
        <row r="1780">
          <cell r="C1780" t="str">
            <v>Royal Gold</v>
          </cell>
          <cell r="D1780">
            <v>0.27</v>
          </cell>
        </row>
        <row r="1781">
          <cell r="C1781" t="str">
            <v>Sino Land</v>
          </cell>
          <cell r="D1781">
            <v>337.32</v>
          </cell>
        </row>
        <row r="1782">
          <cell r="C1782" t="str">
            <v>Old Republic International</v>
          </cell>
          <cell r="D1782">
            <v>34.78</v>
          </cell>
        </row>
        <row r="1783">
          <cell r="C1783" t="str">
            <v>Surgutneftegas</v>
          </cell>
          <cell r="D1783">
            <v>209747</v>
          </cell>
        </row>
        <row r="1784">
          <cell r="C1784" t="str">
            <v>Bio-Rad Laboratories</v>
          </cell>
          <cell r="D1784">
            <v>212.57</v>
          </cell>
        </row>
        <row r="1785">
          <cell r="C1785" t="str">
            <v>Aisin Seiki</v>
          </cell>
          <cell r="D1785">
            <v>29.984400000000001</v>
          </cell>
        </row>
        <row r="1786">
          <cell r="C1786" t="str">
            <v>Hikari Tsushin</v>
          </cell>
          <cell r="D1786">
            <v>69.36</v>
          </cell>
        </row>
        <row r="1787">
          <cell r="C1787" t="str">
            <v>Duolingo</v>
          </cell>
          <cell r="D1787">
            <v>35.89</v>
          </cell>
        </row>
        <row r="1788">
          <cell r="C1788" t="str">
            <v>Toppan</v>
          </cell>
          <cell r="D1788">
            <v>148.43</v>
          </cell>
        </row>
        <row r="1789">
          <cell r="C1789" t="str">
            <v>KBR</v>
          </cell>
          <cell r="D1789">
            <v>13.88</v>
          </cell>
        </row>
        <row r="1790">
          <cell r="C1790" t="str">
            <v>Instacart (Maplebear Inc.)</v>
          </cell>
          <cell r="D1790">
            <v>38.964199999999998</v>
          </cell>
        </row>
        <row r="1791">
          <cell r="C1791" t="str">
            <v>Chord Energy</v>
          </cell>
          <cell r="D1791">
            <v>77397</v>
          </cell>
        </row>
        <row r="1792">
          <cell r="C1792" t="str">
            <v>Pearson</v>
          </cell>
          <cell r="D1792">
            <v>24.55</v>
          </cell>
        </row>
        <row r="1793">
          <cell r="C1793" t="str">
            <v>Trelleborg AB</v>
          </cell>
          <cell r="D1793">
            <v>433149</v>
          </cell>
        </row>
        <row r="1794">
          <cell r="C1794" t="str">
            <v>Arabian Internet and Communications Services</v>
          </cell>
          <cell r="D1794">
            <v>18.414899999999999</v>
          </cell>
        </row>
        <row r="1795">
          <cell r="C1795" t="str">
            <v>Gap Inc.</v>
          </cell>
          <cell r="D1795">
            <v>193.72</v>
          </cell>
        </row>
        <row r="1796">
          <cell r="C1796" t="str">
            <v>Rockwool</v>
          </cell>
          <cell r="D1796">
            <v>13.915100000000001</v>
          </cell>
        </row>
        <row r="1797">
          <cell r="C1797" t="str">
            <v>InPost</v>
          </cell>
          <cell r="D1797">
            <v>106974</v>
          </cell>
        </row>
        <row r="1798">
          <cell r="C1798" t="str">
            <v>Universal Display Corporation</v>
          </cell>
          <cell r="D1798">
            <v>7.8376299999999999</v>
          </cell>
        </row>
        <row r="1799">
          <cell r="C1799" t="str">
            <v>Orient Overseas Container Line</v>
          </cell>
          <cell r="D1799">
            <v>12.751799999999999</v>
          </cell>
        </row>
        <row r="1800">
          <cell r="C1800" t="str">
            <v>Banque Cantonale Vaudoise</v>
          </cell>
          <cell r="D1800">
            <v>2.28993</v>
          </cell>
        </row>
        <row r="1801">
          <cell r="C1801" t="str">
            <v>Fastighets AB Balder</v>
          </cell>
          <cell r="D1801">
            <v>59.2575</v>
          </cell>
        </row>
        <row r="1802">
          <cell r="C1802" t="str">
            <v>Obayashi</v>
          </cell>
          <cell r="D1802">
            <v>242.39</v>
          </cell>
        </row>
        <row r="1803">
          <cell r="C1803" t="str">
            <v>Emaar Development</v>
          </cell>
          <cell r="D1803">
            <v>6.7658899999999997</v>
          </cell>
        </row>
        <row r="1804">
          <cell r="C1804" t="str">
            <v>LG Corp</v>
          </cell>
          <cell r="D1804">
            <v>166.62</v>
          </cell>
        </row>
        <row r="1805">
          <cell r="C1805" t="str">
            <v>MarketAxess</v>
          </cell>
          <cell r="D1805">
            <v>80.955299999999994</v>
          </cell>
        </row>
        <row r="1806">
          <cell r="C1806" t="str">
            <v>Indian Bank</v>
          </cell>
          <cell r="D1806">
            <v>2.4643299999999999</v>
          </cell>
        </row>
        <row r="1807">
          <cell r="C1807" t="str">
            <v>Wix.com</v>
          </cell>
          <cell r="D1807">
            <v>13383</v>
          </cell>
        </row>
        <row r="1808">
          <cell r="C1808" t="str">
            <v>KT&amp;amp;G (Korea Tobacco)</v>
          </cell>
          <cell r="D1808">
            <v>0.48</v>
          </cell>
        </row>
        <row r="1809">
          <cell r="C1809" t="str">
            <v>Kingdom Holding</v>
          </cell>
          <cell r="D1809">
            <v>1.6826300000000001</v>
          </cell>
        </row>
        <row r="1810">
          <cell r="C1810" t="str">
            <v>United Utilities</v>
          </cell>
          <cell r="D1810">
            <v>3.1725699999999999</v>
          </cell>
        </row>
        <row r="1811">
          <cell r="C1811" t="str">
            <v>Ayala Land</v>
          </cell>
          <cell r="D1811">
            <v>204.36</v>
          </cell>
        </row>
        <row r="1812">
          <cell r="C1812" t="str">
            <v>Hai Di Lao Hot Pot</v>
          </cell>
          <cell r="D1812">
            <v>52.43</v>
          </cell>
        </row>
        <row r="1813">
          <cell r="C1813" t="str">
            <v>Wistron Corporation</v>
          </cell>
          <cell r="D1813">
            <v>28.57</v>
          </cell>
        </row>
        <row r="1814">
          <cell r="C1814" t="str">
            <v>Elbit Systems</v>
          </cell>
          <cell r="D1814">
            <v>19.214400000000001</v>
          </cell>
        </row>
        <row r="1815">
          <cell r="C1815" t="str">
            <v>Tempur Sealy</v>
          </cell>
          <cell r="D1815">
            <v>186.4</v>
          </cell>
        </row>
        <row r="1816">
          <cell r="C1816" t="str">
            <v>The Mosaic Company</v>
          </cell>
          <cell r="D1816">
            <v>21.706700000000001</v>
          </cell>
        </row>
        <row r="1817">
          <cell r="C1817" t="str">
            <v>Great Eastern</v>
          </cell>
          <cell r="D1817">
            <v>120261</v>
          </cell>
        </row>
        <row r="1818">
          <cell r="C1818" t="str">
            <v>EastGroup Properties</v>
          </cell>
          <cell r="D1818">
            <v>30.5867</v>
          </cell>
        </row>
        <row r="1819">
          <cell r="C1819" t="str">
            <v>Capcom</v>
          </cell>
          <cell r="D1819">
            <v>4.4920499999999999</v>
          </cell>
        </row>
        <row r="1820">
          <cell r="C1820" t="str">
            <v>Hochtief</v>
          </cell>
          <cell r="D1820">
            <v>158.38</v>
          </cell>
        </row>
        <row r="1821">
          <cell r="C1821" t="str">
            <v>SRF Limited</v>
          </cell>
          <cell r="D1821">
            <v>19.011299999999999</v>
          </cell>
        </row>
        <row r="1822">
          <cell r="C1822" t="str">
            <v>Marks &amp;amp; Spencer</v>
          </cell>
          <cell r="D1822">
            <v>12.23</v>
          </cell>
        </row>
        <row r="1823">
          <cell r="C1823" t="str">
            <v>Crane Co.</v>
          </cell>
          <cell r="D1823">
            <v>57.17</v>
          </cell>
        </row>
        <row r="1824">
          <cell r="C1824" t="str">
            <v>West Japan Railway</v>
          </cell>
          <cell r="D1824">
            <v>88.14</v>
          </cell>
        </row>
        <row r="1825">
          <cell r="C1825" t="str">
            <v>Roivant Sciences</v>
          </cell>
          <cell r="D1825">
            <v>12214</v>
          </cell>
        </row>
        <row r="1826">
          <cell r="C1826" t="str">
            <v>Dayforce</v>
          </cell>
          <cell r="D1826">
            <v>80.760000000000005</v>
          </cell>
        </row>
        <row r="1827">
          <cell r="C1827" t="str">
            <v>Stifel</v>
          </cell>
          <cell r="D1827">
            <v>23.711099999999998</v>
          </cell>
        </row>
        <row r="1828">
          <cell r="C1828" t="str">
            <v>Banca Mediolanum</v>
          </cell>
          <cell r="D1828">
            <v>18.730499999999999</v>
          </cell>
        </row>
        <row r="1829">
          <cell r="C1829" t="str">
            <v>Vaxcyte</v>
          </cell>
          <cell r="D1829">
            <v>81.680000000000007</v>
          </cell>
        </row>
        <row r="1830">
          <cell r="C1830" t="str">
            <v>Otsuka</v>
          </cell>
          <cell r="D1830">
            <v>29.93</v>
          </cell>
        </row>
        <row r="1831">
          <cell r="C1831" t="str">
            <v>Sonic Healthcare</v>
          </cell>
          <cell r="D1831">
            <v>3.0585499999999999</v>
          </cell>
        </row>
        <row r="1832">
          <cell r="C1832" t="str">
            <v>Western Alliance Bancorporation</v>
          </cell>
          <cell r="D1832">
            <v>54.93</v>
          </cell>
        </row>
        <row r="1833">
          <cell r="C1833" t="str">
            <v>Graphic Packaging</v>
          </cell>
          <cell r="D1833">
            <v>93.511700000000005</v>
          </cell>
        </row>
        <row r="1834">
          <cell r="C1834" t="str">
            <v>Ashok Leyland</v>
          </cell>
          <cell r="D1834">
            <v>70.55</v>
          </cell>
        </row>
        <row r="1835">
          <cell r="C1835" t="str">
            <v>New York Times</v>
          </cell>
          <cell r="D1835">
            <v>15.878500000000001</v>
          </cell>
        </row>
        <row r="1836">
          <cell r="C1836" t="str">
            <v>CTS Eventim</v>
          </cell>
          <cell r="D1836">
            <v>161.4</v>
          </cell>
        </row>
        <row r="1837">
          <cell r="C1837" t="str">
            <v>Henry Schein</v>
          </cell>
          <cell r="D1837">
            <v>36.229999999999997</v>
          </cell>
        </row>
        <row r="1838">
          <cell r="C1838" t="str">
            <v>Accton Technology</v>
          </cell>
          <cell r="D1838">
            <v>113.13</v>
          </cell>
        </row>
        <row r="1839">
          <cell r="C1839" t="str">
            <v>Paylocity</v>
          </cell>
          <cell r="D1839">
            <v>33.309199999999997</v>
          </cell>
        </row>
        <row r="1840">
          <cell r="C1840" t="str">
            <v>Woori Financial Group</v>
          </cell>
          <cell r="D1840">
            <v>22.308700000000002</v>
          </cell>
        </row>
        <row r="1841">
          <cell r="C1841" t="str">
            <v>MasTec</v>
          </cell>
          <cell r="D1841">
            <v>3.83833</v>
          </cell>
        </row>
        <row r="1842">
          <cell r="C1842" t="str">
            <v>Makita</v>
          </cell>
          <cell r="D1842">
            <v>59.38</v>
          </cell>
        </row>
        <row r="1843">
          <cell r="C1843" t="str">
            <v>Shiseido</v>
          </cell>
          <cell r="D1843">
            <v>11125</v>
          </cell>
        </row>
        <row r="1844">
          <cell r="C1844" t="str">
            <v>Sainsbury's</v>
          </cell>
          <cell r="D1844">
            <v>263.23</v>
          </cell>
        </row>
        <row r="1845">
          <cell r="C1845" t="str">
            <v>Tempus AI</v>
          </cell>
          <cell r="D1845">
            <v>1.71113</v>
          </cell>
        </row>
        <row r="1846">
          <cell r="C1846" t="str">
            <v>Indian Railway Catering &amp; Tourism</v>
          </cell>
          <cell r="D1846">
            <v>61.92</v>
          </cell>
        </row>
        <row r="1847">
          <cell r="C1847" t="str">
            <v>Primerica</v>
          </cell>
          <cell r="D1847">
            <v>6.13</v>
          </cell>
        </row>
        <row r="1848">
          <cell r="C1848" t="str">
            <v>Akbank</v>
          </cell>
          <cell r="D1848">
            <v>16.59</v>
          </cell>
        </row>
        <row r="1849">
          <cell r="C1849" t="str">
            <v>Lamb Weston</v>
          </cell>
          <cell r="D1849">
            <v>61.25</v>
          </cell>
        </row>
        <row r="1850">
          <cell r="C1850" t="str">
            <v>Cemex</v>
          </cell>
          <cell r="D1850">
            <v>63.31</v>
          </cell>
        </row>
        <row r="1851">
          <cell r="C1851" t="str">
            <v>First Horizon National</v>
          </cell>
          <cell r="D1851">
            <v>3.5386799999999998</v>
          </cell>
        </row>
        <row r="1852">
          <cell r="C1852" t="str">
            <v>Liberty Broadband</v>
          </cell>
          <cell r="D1852">
            <v>8.8856699999999993</v>
          </cell>
        </row>
        <row r="1853">
          <cell r="C1853" t="str">
            <v>H&amp;amp;R Block</v>
          </cell>
          <cell r="D1853">
            <v>38.03</v>
          </cell>
        </row>
        <row r="1854">
          <cell r="C1854" t="str">
            <v>Falabella</v>
          </cell>
          <cell r="D1854">
            <v>1619.32</v>
          </cell>
        </row>
        <row r="1855">
          <cell r="C1855" t="str">
            <v>Orkla</v>
          </cell>
          <cell r="D1855">
            <v>1.54</v>
          </cell>
        </row>
        <row r="1856">
          <cell r="C1856" t="str">
            <v>Celsius Holdings</v>
          </cell>
          <cell r="D1856">
            <v>17.7242</v>
          </cell>
        </row>
        <row r="1857">
          <cell r="C1857" t="str">
            <v>Barry Callebaut</v>
          </cell>
          <cell r="D1857">
            <v>2.9176799999999998</v>
          </cell>
        </row>
        <row r="1858">
          <cell r="C1858" t="str">
            <v>Novolipetsk Steel</v>
          </cell>
          <cell r="D1858">
            <v>8.28932</v>
          </cell>
        </row>
        <row r="1859">
          <cell r="C1859" t="str">
            <v>Gjensidige Forsikring</v>
          </cell>
          <cell r="D1859">
            <v>31861</v>
          </cell>
        </row>
        <row r="1860">
          <cell r="C1860" t="str">
            <v>Wharf REIC</v>
          </cell>
          <cell r="D1860">
            <v>23.03</v>
          </cell>
        </row>
        <row r="1861">
          <cell r="C1861" t="str">
            <v>Singapore Exchange</v>
          </cell>
          <cell r="D1861">
            <v>0.281584</v>
          </cell>
        </row>
        <row r="1862">
          <cell r="C1862" t="str">
            <v>TMX Group</v>
          </cell>
          <cell r="D1862">
            <v>16.750399999999999</v>
          </cell>
        </row>
        <row r="1863">
          <cell r="C1863" t="str">
            <v>SK Telecom</v>
          </cell>
          <cell r="D1863">
            <v>1.6900999999999999</v>
          </cell>
        </row>
        <row r="1864">
          <cell r="C1864" t="str">
            <v>Yes Bank</v>
          </cell>
          <cell r="D1864">
            <v>18.927299999999999</v>
          </cell>
        </row>
        <row r="1865">
          <cell r="C1865" t="str">
            <v>T&amp;amp;D Holdings</v>
          </cell>
          <cell r="D1865">
            <v>243.65</v>
          </cell>
        </row>
        <row r="1866">
          <cell r="C1866" t="str">
            <v>Centrica</v>
          </cell>
          <cell r="D1866">
            <v>73.590599999999995</v>
          </cell>
        </row>
        <row r="1867">
          <cell r="C1867" t="str">
            <v>Bharat Forge</v>
          </cell>
          <cell r="D1867">
            <v>586.16999999999996</v>
          </cell>
        </row>
        <row r="1868">
          <cell r="C1868" t="str">
            <v>Fabrinet</v>
          </cell>
          <cell r="D1868">
            <v>67.63</v>
          </cell>
        </row>
        <row r="1869">
          <cell r="C1869" t="str">
            <v>Alkem Laboratories</v>
          </cell>
          <cell r="D1869">
            <v>193118</v>
          </cell>
        </row>
        <row r="1870">
          <cell r="C1870" t="str">
            <v>Chemed</v>
          </cell>
          <cell r="D1870">
            <v>13.784800000000001</v>
          </cell>
        </row>
        <row r="1871">
          <cell r="C1871" t="str">
            <v>SEI Investments</v>
          </cell>
          <cell r="D1871">
            <v>63.56</v>
          </cell>
        </row>
        <row r="1872">
          <cell r="C1872" t="str">
            <v>Bâloise</v>
          </cell>
          <cell r="D1872">
            <v>72.73</v>
          </cell>
        </row>
        <row r="1873">
          <cell r="C1873" t="str">
            <v>JFE Holdings</v>
          </cell>
          <cell r="D1873">
            <v>59.27</v>
          </cell>
        </row>
        <row r="1874">
          <cell r="C1874" t="str">
            <v>Futu Holdings</v>
          </cell>
          <cell r="D1874">
            <v>6.9791100000000004</v>
          </cell>
        </row>
        <row r="1875">
          <cell r="C1875" t="str">
            <v>Donaldson</v>
          </cell>
          <cell r="D1875">
            <v>134.31</v>
          </cell>
        </row>
        <row r="1876">
          <cell r="C1876" t="str">
            <v>Procore</v>
          </cell>
          <cell r="D1876">
            <v>202.24</v>
          </cell>
        </row>
        <row r="1877">
          <cell r="C1877" t="str">
            <v>Nexi</v>
          </cell>
          <cell r="D1877">
            <v>17.203800000000001</v>
          </cell>
        </row>
        <row r="1878">
          <cell r="C1878" t="str">
            <v>Ingredion</v>
          </cell>
          <cell r="D1878">
            <v>297.85000000000002</v>
          </cell>
        </row>
        <row r="1879">
          <cell r="C1879" t="str">
            <v>Globant</v>
          </cell>
          <cell r="D1879">
            <v>112505</v>
          </cell>
        </row>
        <row r="1880">
          <cell r="C1880" t="str">
            <v>Beijer Ref</v>
          </cell>
          <cell r="D1880">
            <v>31.1374</v>
          </cell>
        </row>
        <row r="1881">
          <cell r="C1881" t="str">
            <v>RBC Bearings</v>
          </cell>
          <cell r="D1881">
            <v>146.16999999999999</v>
          </cell>
        </row>
        <row r="1882">
          <cell r="C1882" t="str">
            <v>Swiss Prime Site</v>
          </cell>
          <cell r="D1882">
            <v>37.909999999999997</v>
          </cell>
        </row>
        <row r="1883">
          <cell r="C1883" t="str">
            <v>Delivery Hero</v>
          </cell>
          <cell r="D1883">
            <v>13.542400000000001</v>
          </cell>
        </row>
        <row r="1884">
          <cell r="C1884" t="str">
            <v>Crocs</v>
          </cell>
          <cell r="D1884">
            <v>1.94303</v>
          </cell>
        </row>
        <row r="1885">
          <cell r="C1885" t="str">
            <v>U.S. Steel</v>
          </cell>
          <cell r="D1885">
            <v>1.00163</v>
          </cell>
        </row>
        <row r="1886">
          <cell r="C1886" t="str">
            <v>Doosan Enerbility</v>
          </cell>
          <cell r="D1886">
            <v>21.624500000000001</v>
          </cell>
        </row>
        <row r="1887">
          <cell r="C1887" t="str">
            <v>MISC Berhad</v>
          </cell>
          <cell r="D1887">
            <v>257.75</v>
          </cell>
        </row>
        <row r="1888">
          <cell r="C1888" t="str">
            <v>Kunlun Energy Company</v>
          </cell>
          <cell r="D1888">
            <v>29.910499999999999</v>
          </cell>
        </row>
        <row r="1889">
          <cell r="C1889" t="str">
            <v>Prestige Group</v>
          </cell>
          <cell r="D1889">
            <v>0.74276600000000004</v>
          </cell>
        </row>
        <row r="1890">
          <cell r="C1890" t="str">
            <v>Eagle Materials</v>
          </cell>
          <cell r="D1890">
            <v>151.36000000000001</v>
          </cell>
        </row>
        <row r="1891">
          <cell r="C1891" t="str">
            <v>Klépierre</v>
          </cell>
          <cell r="D1891">
            <v>46.99</v>
          </cell>
        </row>
        <row r="1892">
          <cell r="C1892" t="str">
            <v>Indofood CBP</v>
          </cell>
          <cell r="D1892">
            <v>100.89</v>
          </cell>
        </row>
        <row r="1893">
          <cell r="C1893" t="str">
            <v>The Ensign Group</v>
          </cell>
          <cell r="D1893">
            <v>32974</v>
          </cell>
        </row>
        <row r="1894">
          <cell r="C1894" t="str">
            <v>NNN REIT</v>
          </cell>
          <cell r="D1894">
            <v>18.912500000000001</v>
          </cell>
        </row>
        <row r="1895">
          <cell r="C1895" t="str">
            <v>Descartes Systems</v>
          </cell>
          <cell r="D1895">
            <v>16.7224</v>
          </cell>
        </row>
        <row r="1896">
          <cell r="C1896" t="str">
            <v>Yaskawa</v>
          </cell>
          <cell r="D1896">
            <v>23.345500000000001</v>
          </cell>
        </row>
        <row r="1897">
          <cell r="C1897" t="str">
            <v>SKF (Svenska Kullagerfabriken)</v>
          </cell>
          <cell r="D1897">
            <v>50.07</v>
          </cell>
        </row>
        <row r="1898">
          <cell r="C1898" t="str">
            <v>Realtek</v>
          </cell>
          <cell r="D1898">
            <v>3.20383</v>
          </cell>
        </row>
        <row r="1899">
          <cell r="C1899" t="str">
            <v>Washington H. Soul Pattinson and Company (Soul Patts)</v>
          </cell>
          <cell r="D1899">
            <v>4.8755499999999996</v>
          </cell>
        </row>
        <row r="1900">
          <cell r="C1900" t="str">
            <v>Fluor Corporation</v>
          </cell>
          <cell r="D1900">
            <v>18187</v>
          </cell>
        </row>
        <row r="1901">
          <cell r="C1901" t="str">
            <v>Pegatron</v>
          </cell>
          <cell r="D1901">
            <v>31.82</v>
          </cell>
        </row>
        <row r="1902">
          <cell r="C1902" t="str">
            <v>General Insurance Corporation of India</v>
          </cell>
          <cell r="D1902">
            <v>1.0438000000000001</v>
          </cell>
        </row>
        <row r="1903">
          <cell r="C1903" t="str">
            <v>Kajima</v>
          </cell>
          <cell r="D1903">
            <v>47.6</v>
          </cell>
        </row>
        <row r="1904">
          <cell r="C1904" t="str">
            <v>OpenText</v>
          </cell>
          <cell r="D1904">
            <v>76.88</v>
          </cell>
        </row>
        <row r="1905">
          <cell r="C1905" t="str">
            <v>GAC (Guangzhou Automobile Group)</v>
          </cell>
          <cell r="D1905">
            <v>31.623100000000001</v>
          </cell>
        </row>
        <row r="1906">
          <cell r="C1906" t="str">
            <v>Viper Energy Partners</v>
          </cell>
          <cell r="D1906">
            <v>4.7225400000000004</v>
          </cell>
        </row>
        <row r="1907">
          <cell r="C1907" t="str">
            <v>Wynn Resorts</v>
          </cell>
          <cell r="D1907">
            <v>6.5594799999999998</v>
          </cell>
        </row>
        <row r="1908">
          <cell r="C1908" t="str">
            <v>Addtech AB</v>
          </cell>
          <cell r="D1908">
            <v>19.322900000000001</v>
          </cell>
        </row>
        <row r="1909">
          <cell r="C1909" t="str">
            <v>Keppel</v>
          </cell>
          <cell r="D1909">
            <v>0.85285900000000003</v>
          </cell>
        </row>
        <row r="1910">
          <cell r="C1910" t="str">
            <v>Empresas Copec</v>
          </cell>
          <cell r="D1910">
            <v>7.99</v>
          </cell>
        </row>
        <row r="1911">
          <cell r="C1911" t="str">
            <v>Mondi</v>
          </cell>
          <cell r="D1911">
            <v>18.768699999999999</v>
          </cell>
        </row>
        <row r="1912">
          <cell r="C1912" t="str">
            <v>Chow Tai Fook</v>
          </cell>
          <cell r="D1912">
            <v>2.86049</v>
          </cell>
        </row>
        <row r="1913">
          <cell r="C1913" t="str">
            <v>SoFi</v>
          </cell>
          <cell r="D1913">
            <v>64046</v>
          </cell>
        </row>
        <row r="1914">
          <cell r="C1914" t="str">
            <v>CTP N.V.</v>
          </cell>
          <cell r="D1914">
            <v>177.68</v>
          </cell>
        </row>
        <row r="1915">
          <cell r="C1915" t="str">
            <v>Volvo Car</v>
          </cell>
          <cell r="D1915">
            <v>6.1434300000000004</v>
          </cell>
        </row>
        <row r="1916">
          <cell r="C1916" t="str">
            <v>Ecopro</v>
          </cell>
          <cell r="D1916">
            <v>52.38</v>
          </cell>
        </row>
        <row r="1917">
          <cell r="C1917" t="str">
            <v>Grupo Aeroportuario del Pacífico</v>
          </cell>
          <cell r="D1917">
            <v>8.6676300000000008</v>
          </cell>
        </row>
        <row r="1918">
          <cell r="C1918" t="str">
            <v>DS Smith</v>
          </cell>
          <cell r="D1918">
            <v>0.50323499999999999</v>
          </cell>
        </row>
        <row r="1919">
          <cell r="C1919" t="str">
            <v>Knight-Swift</v>
          </cell>
          <cell r="D1919">
            <v>20.9268</v>
          </cell>
        </row>
        <row r="1920">
          <cell r="C1920" t="str">
            <v>Yamaha Motor</v>
          </cell>
          <cell r="D1920">
            <v>150.93</v>
          </cell>
        </row>
        <row r="1921">
          <cell r="C1921" t="str">
            <v>China Development Financial</v>
          </cell>
          <cell r="D1921">
            <v>48.137500000000003</v>
          </cell>
        </row>
        <row r="1922">
          <cell r="C1922" t="str">
            <v>MinebeaMitsumi</v>
          </cell>
          <cell r="D1922">
            <v>149.79</v>
          </cell>
        </row>
        <row r="1923">
          <cell r="C1923" t="str">
            <v>Repligen</v>
          </cell>
          <cell r="D1923">
            <v>25.190300000000001</v>
          </cell>
        </row>
        <row r="1924">
          <cell r="C1924" t="str">
            <v>Randstad</v>
          </cell>
          <cell r="D1924">
            <v>4.2334399999999999</v>
          </cell>
        </row>
        <row r="1925">
          <cell r="C1925" t="str">
            <v>e.l.f. Cosmetics</v>
          </cell>
          <cell r="D1925">
            <v>27.48</v>
          </cell>
        </row>
        <row r="1926">
          <cell r="C1926" t="str">
            <v>Bid Corp</v>
          </cell>
          <cell r="D1926">
            <v>4.9108200000000002</v>
          </cell>
        </row>
        <row r="1927">
          <cell r="C1927" t="str">
            <v>PetGas (Petronas Gas)</v>
          </cell>
          <cell r="D1927">
            <v>231.99</v>
          </cell>
        </row>
        <row r="1928">
          <cell r="C1928" t="str">
            <v>Endeavor Group</v>
          </cell>
          <cell r="D1928">
            <v>35.908799999999999</v>
          </cell>
        </row>
        <row r="1929">
          <cell r="C1929" t="str">
            <v>RaiaDrogasil</v>
          </cell>
          <cell r="D1929">
            <v>3.6</v>
          </cell>
        </row>
        <row r="1930">
          <cell r="C1930" t="str">
            <v>AppFolio</v>
          </cell>
          <cell r="D1930">
            <v>31.46</v>
          </cell>
        </row>
        <row r="1931">
          <cell r="C1931" t="str">
            <v>Dai Nippon Printing</v>
          </cell>
          <cell r="D1931">
            <v>10147</v>
          </cell>
        </row>
        <row r="1932">
          <cell r="C1932" t="str">
            <v>VinFast Auto</v>
          </cell>
          <cell r="D1932">
            <v>26.99</v>
          </cell>
        </row>
        <row r="1933">
          <cell r="C1933" t="str">
            <v>Klaviyo</v>
          </cell>
          <cell r="D1933">
            <v>32.1</v>
          </cell>
        </row>
        <row r="1934">
          <cell r="C1934" t="str">
            <v>Metso</v>
          </cell>
          <cell r="D1934">
            <v>23163</v>
          </cell>
        </row>
        <row r="1935">
          <cell r="C1935" t="str">
            <v>Antero Resources</v>
          </cell>
          <cell r="D1935">
            <v>3.3580700000000001</v>
          </cell>
        </row>
        <row r="1936">
          <cell r="C1936" t="str">
            <v>Alcoa</v>
          </cell>
          <cell r="D1936">
            <v>33.090000000000003</v>
          </cell>
        </row>
        <row r="1937">
          <cell r="C1937" t="str">
            <v>Patanjali Foods</v>
          </cell>
          <cell r="D1937">
            <v>21.178699999999999</v>
          </cell>
        </row>
        <row r="1938">
          <cell r="C1938" t="str">
            <v>Vår Energi</v>
          </cell>
          <cell r="D1938">
            <v>20.714400000000001</v>
          </cell>
        </row>
        <row r="1939">
          <cell r="C1939" t="str">
            <v>Bancolombia</v>
          </cell>
          <cell r="D1939">
            <v>30.5716</v>
          </cell>
        </row>
        <row r="1940">
          <cell r="C1940" t="str">
            <v>Jardine Cycle &amp;amp; Carriage</v>
          </cell>
          <cell r="D1940">
            <v>2.2814199999999998</v>
          </cell>
        </row>
        <row r="1941">
          <cell r="C1941" t="str">
            <v>Element Fleet Management</v>
          </cell>
          <cell r="D1941">
            <v>400287</v>
          </cell>
        </row>
        <row r="1942">
          <cell r="C1942" t="str">
            <v>Boliden</v>
          </cell>
          <cell r="D1942">
            <v>158048</v>
          </cell>
        </row>
        <row r="1943">
          <cell r="C1943" t="str">
            <v>Eurobank Ergasias Services and Holdings</v>
          </cell>
          <cell r="D1943">
            <v>10.332700000000001</v>
          </cell>
        </row>
        <row r="1944">
          <cell r="C1944" t="str">
            <v>Korea Zinc</v>
          </cell>
          <cell r="D1944">
            <v>0.65407300000000002</v>
          </cell>
        </row>
        <row r="1945">
          <cell r="C1945" t="str">
            <v>Helvetia Holding</v>
          </cell>
          <cell r="D1945">
            <v>3.75</v>
          </cell>
        </row>
        <row r="1946">
          <cell r="C1946" t="str">
            <v>Industrial Bank of Korea (IBK)</v>
          </cell>
          <cell r="D1946">
            <v>20.1831</v>
          </cell>
        </row>
        <row r="1947">
          <cell r="C1947" t="str">
            <v>Everbright Securities Company</v>
          </cell>
          <cell r="D1947">
            <v>57.65</v>
          </cell>
        </row>
        <row r="1948">
          <cell r="C1948" t="str">
            <v>Hongkong Land</v>
          </cell>
          <cell r="D1948">
            <v>29</v>
          </cell>
        </row>
        <row r="1949">
          <cell r="C1949" t="str">
            <v>Skanska</v>
          </cell>
          <cell r="D1949">
            <v>5.8067000000000002</v>
          </cell>
        </row>
        <row r="1950">
          <cell r="C1950" t="str">
            <v>Ciena</v>
          </cell>
          <cell r="D1950">
            <v>27.39</v>
          </cell>
        </row>
        <row r="1951">
          <cell r="C1951" t="str">
            <v>Americold</v>
          </cell>
          <cell r="D1951">
            <v>670793</v>
          </cell>
        </row>
        <row r="1952">
          <cell r="C1952" t="str">
            <v>Mitsubishi Chemical Holdings</v>
          </cell>
          <cell r="D1952">
            <v>63.96</v>
          </cell>
        </row>
        <row r="1953">
          <cell r="C1953" t="str">
            <v>Brixmor Property Group</v>
          </cell>
          <cell r="D1953">
            <v>72.709999999999994</v>
          </cell>
        </row>
        <row r="1954">
          <cell r="C1954" t="str">
            <v>BELIMO Holding</v>
          </cell>
          <cell r="D1954">
            <v>5.13354</v>
          </cell>
        </row>
        <row r="1955">
          <cell r="C1955" t="str">
            <v>Commerce Bancshares</v>
          </cell>
          <cell r="D1955">
            <v>109981</v>
          </cell>
        </row>
        <row r="1956">
          <cell r="C1956" t="str">
            <v>Mueller Industries</v>
          </cell>
          <cell r="D1956">
            <v>102.47</v>
          </cell>
        </row>
        <row r="1957">
          <cell r="C1957" t="str">
            <v>Toray Industries</v>
          </cell>
          <cell r="D1957">
            <v>8.6252300000000002</v>
          </cell>
        </row>
        <row r="1958">
          <cell r="C1958" t="str">
            <v>Gecina</v>
          </cell>
          <cell r="D1958">
            <v>1.4323300000000001</v>
          </cell>
        </row>
        <row r="1959">
          <cell r="C1959" t="str">
            <v>Autoliv</v>
          </cell>
          <cell r="D1959">
            <v>228.31</v>
          </cell>
        </row>
        <row r="1960">
          <cell r="C1960" t="str">
            <v>SBI Card</v>
          </cell>
          <cell r="D1960">
            <v>6.3258900000000002</v>
          </cell>
        </row>
        <row r="1961">
          <cell r="C1961" t="str">
            <v>ENKA</v>
          </cell>
          <cell r="D1961">
            <v>44.96</v>
          </cell>
        </row>
        <row r="1962">
          <cell r="C1962" t="str">
            <v>FTI Consulting</v>
          </cell>
          <cell r="D1962">
            <v>83.454099999999997</v>
          </cell>
        </row>
        <row r="1963">
          <cell r="C1963" t="str">
            <v>Melrose Industries</v>
          </cell>
          <cell r="D1963">
            <v>67.370400000000004</v>
          </cell>
        </row>
        <row r="1964">
          <cell r="C1964" t="str">
            <v>Cerevel Therapeutics</v>
          </cell>
          <cell r="D1964">
            <v>140.72</v>
          </cell>
        </row>
        <row r="1965">
          <cell r="C1965" t="str">
            <v>Dino Polska</v>
          </cell>
          <cell r="D1965">
            <v>64.58</v>
          </cell>
        </row>
        <row r="1966">
          <cell r="C1966" t="str">
            <v>Azrieli Group</v>
          </cell>
          <cell r="D1966">
            <v>2.6291199999999999</v>
          </cell>
        </row>
        <row r="1967">
          <cell r="C1967" t="str">
            <v>Bright Horizons</v>
          </cell>
          <cell r="D1967">
            <v>37.64</v>
          </cell>
        </row>
        <row r="1968">
          <cell r="C1968" t="str">
            <v>FMC</v>
          </cell>
          <cell r="D1968">
            <v>9.3800000000000008</v>
          </cell>
        </row>
        <row r="1969">
          <cell r="C1969" t="str">
            <v>Wharf Holdings</v>
          </cell>
          <cell r="D1969">
            <v>1.74644</v>
          </cell>
        </row>
        <row r="1970">
          <cell r="C1970" t="str">
            <v>Caesars Entertainment</v>
          </cell>
          <cell r="D1970">
            <v>301.08</v>
          </cell>
        </row>
        <row r="1971">
          <cell r="C1971" t="str">
            <v>Coty</v>
          </cell>
          <cell r="D1971">
            <v>152.84</v>
          </cell>
        </row>
        <row r="1972">
          <cell r="C1972" t="str">
            <v>Edison</v>
          </cell>
          <cell r="D1972">
            <v>53.614899999999999</v>
          </cell>
        </row>
        <row r="1973">
          <cell r="C1973" t="str">
            <v>Lithia Motors</v>
          </cell>
          <cell r="D1973">
            <v>6.7758700000000003</v>
          </cell>
        </row>
        <row r="1974">
          <cell r="C1974" t="str">
            <v>Hamilton Lane</v>
          </cell>
          <cell r="D1974">
            <v>47.43</v>
          </cell>
        </row>
        <row r="1975">
          <cell r="C1975" t="str">
            <v>PI Industries</v>
          </cell>
          <cell r="D1975">
            <v>165.38</v>
          </cell>
        </row>
        <row r="1976">
          <cell r="C1976" t="str">
            <v>Siam Cement</v>
          </cell>
          <cell r="D1976">
            <v>243681</v>
          </cell>
        </row>
        <row r="1977">
          <cell r="C1977" t="str">
            <v>Webster Financial</v>
          </cell>
          <cell r="D1977">
            <v>4.04</v>
          </cell>
        </row>
        <row r="1978">
          <cell r="C1978" t="str">
            <v>WESCO International</v>
          </cell>
          <cell r="D1978">
            <v>41.224299999999999</v>
          </cell>
        </row>
        <row r="1979">
          <cell r="C1979" t="str">
            <v>Sofina</v>
          </cell>
          <cell r="D1979">
            <v>23.654800000000002</v>
          </cell>
        </row>
        <row r="1980">
          <cell r="C1980" t="str">
            <v>NIO</v>
          </cell>
          <cell r="D1980">
            <v>27908</v>
          </cell>
        </row>
        <row r="1981">
          <cell r="C1981" t="str">
            <v>Omron</v>
          </cell>
          <cell r="D1981">
            <v>3.3969399999999998</v>
          </cell>
        </row>
        <row r="1982">
          <cell r="C1982" t="str">
            <v>Smiths Group</v>
          </cell>
          <cell r="D1982">
            <v>32.9</v>
          </cell>
        </row>
        <row r="1983">
          <cell r="C1983" t="str">
            <v>Intermediate Capital Group (ICG)</v>
          </cell>
          <cell r="D1983">
            <v>180.05</v>
          </cell>
        </row>
        <row r="1984">
          <cell r="C1984" t="str">
            <v>Stockland</v>
          </cell>
          <cell r="D1984">
            <v>19.28</v>
          </cell>
        </row>
        <row r="1985">
          <cell r="C1985" t="str">
            <v>Amkor Technology</v>
          </cell>
          <cell r="D1985">
            <v>63.85</v>
          </cell>
        </row>
        <row r="1986">
          <cell r="C1986" t="str">
            <v>FirstService</v>
          </cell>
          <cell r="D1986">
            <v>92.75</v>
          </cell>
        </row>
        <row r="1987">
          <cell r="C1987" t="str">
            <v>Alamos Gold</v>
          </cell>
          <cell r="D1987">
            <v>1924.08</v>
          </cell>
        </row>
        <row r="1988">
          <cell r="C1988" t="str">
            <v>Halozyme Therapeutics</v>
          </cell>
          <cell r="D1988">
            <v>37.35</v>
          </cell>
        </row>
        <row r="1989">
          <cell r="C1989" t="str">
            <v>Allison Transmission</v>
          </cell>
          <cell r="D1989">
            <v>20277</v>
          </cell>
        </row>
        <row r="1990">
          <cell r="C1990" t="str">
            <v>Boubyan Bank</v>
          </cell>
          <cell r="D1990">
            <v>2.94</v>
          </cell>
        </row>
        <row r="1991">
          <cell r="C1991" t="str">
            <v>Hess Midstream</v>
          </cell>
          <cell r="D1991">
            <v>21.112300000000001</v>
          </cell>
        </row>
        <row r="1992">
          <cell r="C1992" t="str">
            <v>Kesko</v>
          </cell>
          <cell r="D1992">
            <v>10.210000000000001</v>
          </cell>
        </row>
        <row r="1993">
          <cell r="C1993" t="str">
            <v>MBME GROUP</v>
          </cell>
          <cell r="D1993">
            <v>123139</v>
          </cell>
        </row>
        <row r="1994">
          <cell r="C1994" t="str">
            <v>SIG Combibloc</v>
          </cell>
          <cell r="D1994">
            <v>109539</v>
          </cell>
        </row>
        <row r="1995">
          <cell r="C1995" t="str">
            <v>AGNC Investment</v>
          </cell>
          <cell r="D1995">
            <v>10.360900000000001</v>
          </cell>
        </row>
        <row r="1996">
          <cell r="C1996" t="str">
            <v>Daito Trust Construction</v>
          </cell>
          <cell r="D1996">
            <v>14.000500000000001</v>
          </cell>
        </row>
        <row r="1997">
          <cell r="C1997" t="str">
            <v>Elia Group</v>
          </cell>
          <cell r="D1997">
            <v>269.39</v>
          </cell>
        </row>
        <row r="1998">
          <cell r="C1998" t="str">
            <v>Lundin Mining</v>
          </cell>
          <cell r="D1998">
            <v>6.9609300000000003</v>
          </cell>
        </row>
        <row r="1999">
          <cell r="C1999" t="str">
            <v>UNO Minda</v>
          </cell>
          <cell r="D1999">
            <v>96954</v>
          </cell>
        </row>
        <row r="2000">
          <cell r="C2000" t="str">
            <v>Grupo Aeroportuario del Sureste</v>
          </cell>
          <cell r="D2000">
            <v>44.9557</v>
          </cell>
        </row>
        <row r="2001">
          <cell r="C2001" t="str">
            <v>Jabal Omar Development</v>
          </cell>
          <cell r="D2001">
            <v>63.028500000000001</v>
          </cell>
        </row>
        <row r="2002">
          <cell r="C2002" t="str">
            <v>Topicus</v>
          </cell>
          <cell r="D2002">
            <v>41.426400000000001</v>
          </cell>
        </row>
        <row r="2003">
          <cell r="C2003" t="str">
            <v>Phoenix Mills</v>
          </cell>
          <cell r="D2003">
            <v>30.627500000000001</v>
          </cell>
        </row>
        <row r="2004">
          <cell r="C2004" t="str">
            <v>Supreme Industries</v>
          </cell>
          <cell r="D2004">
            <v>49.983400000000003</v>
          </cell>
        </row>
        <row r="2005">
          <cell r="C2005" t="str">
            <v>ASX</v>
          </cell>
          <cell r="D2005">
            <v>119.23</v>
          </cell>
        </row>
        <row r="2006">
          <cell r="C2006" t="str">
            <v>Dentsu</v>
          </cell>
          <cell r="D2006">
            <v>30.883199999999999</v>
          </cell>
        </row>
        <row r="2007">
          <cell r="C2007" t="str">
            <v>Elisa</v>
          </cell>
          <cell r="D2007">
            <v>1.3690500000000001</v>
          </cell>
        </row>
        <row r="2008">
          <cell r="C2008" t="str">
            <v>MKS Instruments</v>
          </cell>
          <cell r="D2008">
            <v>36.5</v>
          </cell>
        </row>
        <row r="2009">
          <cell r="C2009" t="str">
            <v>AAK</v>
          </cell>
          <cell r="D2009">
            <v>29.04</v>
          </cell>
        </row>
        <row r="2010">
          <cell r="C2010" t="str">
            <v>Formosa Chemicals &amp;amp; Fibre</v>
          </cell>
          <cell r="D2010">
            <v>4.1539000000000001</v>
          </cell>
        </row>
        <row r="2011">
          <cell r="C2011" t="str">
            <v>Axalta</v>
          </cell>
          <cell r="D2011">
            <v>9.25</v>
          </cell>
        </row>
        <row r="2012">
          <cell r="C2012" t="str">
            <v>AST SpaceMobile</v>
          </cell>
          <cell r="D2012">
            <v>5.5930099999999996</v>
          </cell>
        </row>
        <row r="2013">
          <cell r="C2013" t="str">
            <v>Bangkok Bank</v>
          </cell>
          <cell r="D2013">
            <v>5.4223699999999999</v>
          </cell>
        </row>
        <row r="2014">
          <cell r="C2014" t="str">
            <v>Walgreens Boots Alliance</v>
          </cell>
          <cell r="D2014">
            <v>4.67</v>
          </cell>
        </row>
        <row r="2015">
          <cell r="C2015" t="str">
            <v>BPER Banca</v>
          </cell>
          <cell r="D2015">
            <v>63.88</v>
          </cell>
        </row>
        <row r="2016">
          <cell r="C2016" t="str">
            <v>FPT Corporation</v>
          </cell>
          <cell r="D2016">
            <v>6.8106200000000001</v>
          </cell>
        </row>
        <row r="2017">
          <cell r="C2017" t="str">
            <v>Aurora Innovation</v>
          </cell>
          <cell r="D2017">
            <v>39.56</v>
          </cell>
        </row>
        <row r="2018">
          <cell r="C2018" t="str">
            <v>Allegheny Technologies</v>
          </cell>
          <cell r="D2018">
            <v>25.14</v>
          </cell>
        </row>
        <row r="2019">
          <cell r="C2019" t="str">
            <v>Berger Paints</v>
          </cell>
          <cell r="D2019">
            <v>8.8382900000000006</v>
          </cell>
        </row>
        <row r="2020">
          <cell r="C2020" t="str">
            <v>OGE Energy</v>
          </cell>
          <cell r="D2020">
            <v>25.850300000000001</v>
          </cell>
        </row>
        <row r="2021">
          <cell r="C2021" t="str">
            <v>Dropbox</v>
          </cell>
          <cell r="D2021">
            <v>15.92</v>
          </cell>
        </row>
        <row r="2022">
          <cell r="C2022" t="str">
            <v>Bankinter</v>
          </cell>
          <cell r="D2022">
            <v>8.6857500000000005</v>
          </cell>
        </row>
        <row r="2023">
          <cell r="C2023" t="str">
            <v>DSME (Daewoo Shipbuilding)</v>
          </cell>
          <cell r="D2023">
            <v>138.44999999999999</v>
          </cell>
        </row>
        <row r="2024">
          <cell r="C2024" t="str">
            <v>TIM S.A.</v>
          </cell>
          <cell r="D2024">
            <v>2.7965100000000001</v>
          </cell>
        </row>
        <row r="2025">
          <cell r="C2025" t="str">
            <v>National Bank of Greece</v>
          </cell>
          <cell r="D2025">
            <v>10.924200000000001</v>
          </cell>
        </row>
        <row r="2026">
          <cell r="C2026" t="str">
            <v>Ascendis Pharma</v>
          </cell>
          <cell r="D2026">
            <v>68.86</v>
          </cell>
        </row>
        <row r="2027">
          <cell r="C2027" t="str">
            <v>UnipolSai Assicurazioni</v>
          </cell>
          <cell r="D2027">
            <v>15.7447</v>
          </cell>
        </row>
        <row r="2028">
          <cell r="C2028" t="str">
            <v>Choice Properties REIT</v>
          </cell>
          <cell r="D2028">
            <v>109.23</v>
          </cell>
        </row>
        <row r="2029">
          <cell r="C2029" t="str">
            <v>Berry Global</v>
          </cell>
          <cell r="D2029">
            <v>46.537399999999998</v>
          </cell>
        </row>
        <row r="2030">
          <cell r="C2030" t="str">
            <v>Monotaro</v>
          </cell>
          <cell r="D2030">
            <v>16.5352</v>
          </cell>
        </row>
        <row r="2031">
          <cell r="C2031" t="str">
            <v>MACOM</v>
          </cell>
          <cell r="D2031">
            <v>205.12</v>
          </cell>
        </row>
        <row r="2032">
          <cell r="C2032" t="str">
            <v>GEA Group</v>
          </cell>
          <cell r="D2032">
            <v>1.7528900000000001</v>
          </cell>
        </row>
        <row r="2033">
          <cell r="C2033" t="str">
            <v>KakaoBank</v>
          </cell>
          <cell r="D2033">
            <v>17.89</v>
          </cell>
        </row>
        <row r="2034">
          <cell r="C2034" t="str">
            <v>Applied Industrial Technologies</v>
          </cell>
          <cell r="D2034">
            <v>10.306100000000001</v>
          </cell>
        </row>
        <row r="2035">
          <cell r="C2035" t="str">
            <v>Central Pattana</v>
          </cell>
          <cell r="D2035">
            <v>202.32</v>
          </cell>
        </row>
        <row r="2036">
          <cell r="C2036" t="str">
            <v>Norwegian Cruise Line</v>
          </cell>
          <cell r="D2036">
            <v>26.057600000000001</v>
          </cell>
        </row>
        <row r="2037">
          <cell r="C2037" t="str">
            <v>Hulic</v>
          </cell>
          <cell r="D2037">
            <v>58.598799999999997</v>
          </cell>
        </row>
        <row r="2038">
          <cell r="C2038" t="str">
            <v>Penumbra</v>
          </cell>
          <cell r="D2038">
            <v>4.6100000000000003</v>
          </cell>
        </row>
        <row r="2039">
          <cell r="C2039" t="str">
            <v>Nissin Foods</v>
          </cell>
          <cell r="D2039">
            <v>191.02</v>
          </cell>
        </row>
        <row r="2040">
          <cell r="C2040" t="str">
            <v>Diploma plc</v>
          </cell>
          <cell r="D2040">
            <v>7.3715700000000002</v>
          </cell>
        </row>
        <row r="2041">
          <cell r="C2041" t="str">
            <v>BRF</v>
          </cell>
          <cell r="D2041">
            <v>65342</v>
          </cell>
        </row>
        <row r="2042">
          <cell r="C2042" t="str">
            <v>WEX</v>
          </cell>
          <cell r="D2042">
            <v>254.7</v>
          </cell>
        </row>
        <row r="2043">
          <cell r="C2043" t="str">
            <v>Localiza</v>
          </cell>
          <cell r="D2043">
            <v>5.1104900000000004</v>
          </cell>
        </row>
        <row r="2044">
          <cell r="C2044" t="str">
            <v>Saudi Tadawul Group Holding Company</v>
          </cell>
          <cell r="D2044">
            <v>1.7141</v>
          </cell>
        </row>
        <row r="2045">
          <cell r="C2045" t="str">
            <v>Acuity Brands</v>
          </cell>
          <cell r="D2045">
            <v>9.4624699999999997</v>
          </cell>
        </row>
        <row r="2046">
          <cell r="C2046" t="str">
            <v>Unimicron</v>
          </cell>
          <cell r="D2046">
            <v>0.18771399999999999</v>
          </cell>
        </row>
        <row r="2047">
          <cell r="C2047" t="str">
            <v>Aselsan</v>
          </cell>
          <cell r="D2047">
            <v>50.2791</v>
          </cell>
        </row>
        <row r="2048">
          <cell r="C2048" t="str">
            <v>Jindal Stainless</v>
          </cell>
          <cell r="D2048">
            <v>2.4304700000000001</v>
          </cell>
        </row>
        <row r="2049">
          <cell r="C2049" t="str">
            <v>Alfamart</v>
          </cell>
          <cell r="D2049">
            <v>25.5</v>
          </cell>
        </row>
        <row r="2050">
          <cell r="C2050" t="str">
            <v>Samsung Electro-Mechanics</v>
          </cell>
          <cell r="D2050">
            <v>6.5082300000000002</v>
          </cell>
        </row>
        <row r="2051">
          <cell r="C2051" t="str">
            <v>Intouch Holdings</v>
          </cell>
          <cell r="D2051">
            <v>105496</v>
          </cell>
        </row>
        <row r="2052">
          <cell r="C2052" t="str">
            <v>LATAM Airlines</v>
          </cell>
          <cell r="D2052">
            <v>59.729399999999998</v>
          </cell>
        </row>
        <row r="2053">
          <cell r="C2053" t="str">
            <v>Lufthansa</v>
          </cell>
          <cell r="D2053">
            <v>2.6555499999999999</v>
          </cell>
        </row>
        <row r="2054">
          <cell r="C2054" t="str">
            <v>Yuhan</v>
          </cell>
          <cell r="D2054">
            <v>145.69</v>
          </cell>
        </row>
        <row r="2055">
          <cell r="C2055" t="str">
            <v>Trend Micro</v>
          </cell>
          <cell r="D2055">
            <v>1.03224</v>
          </cell>
        </row>
        <row r="2056">
          <cell r="C2056" t="str">
            <v>National Mineral Development Corporation</v>
          </cell>
          <cell r="D2056">
            <v>16.64</v>
          </cell>
        </row>
        <row r="2057">
          <cell r="C2057" t="str">
            <v>Cirrus Logic</v>
          </cell>
          <cell r="D2057">
            <v>59.706400000000002</v>
          </cell>
        </row>
        <row r="2058">
          <cell r="C2058" t="str">
            <v>Taiwan Cement</v>
          </cell>
          <cell r="D2058">
            <v>34.07</v>
          </cell>
        </row>
        <row r="2059">
          <cell r="C2059" t="str">
            <v>Nedbank</v>
          </cell>
          <cell r="D2059">
            <v>3.37296</v>
          </cell>
        </row>
        <row r="2060">
          <cell r="C2060" t="str">
            <v>SK Innovation</v>
          </cell>
          <cell r="D2060">
            <v>1.7099599999999999</v>
          </cell>
        </row>
        <row r="2061">
          <cell r="C2061" t="str">
            <v>BorgWarner</v>
          </cell>
          <cell r="D2061">
            <v>11294</v>
          </cell>
        </row>
        <row r="2062">
          <cell r="C2062" t="str">
            <v>China Resources Gas Group</v>
          </cell>
          <cell r="D2062">
            <v>3.4627400000000002</v>
          </cell>
        </row>
        <row r="2063">
          <cell r="C2063" t="str">
            <v>Emirates Integrated Telecommunications Company</v>
          </cell>
          <cell r="D2063">
            <v>73.28</v>
          </cell>
        </row>
        <row r="2064">
          <cell r="C2064" t="str">
            <v>Tele2</v>
          </cell>
          <cell r="D2064">
            <v>0.937504</v>
          </cell>
        </row>
        <row r="2065">
          <cell r="C2065" t="str">
            <v>Zhuzhou CRRC Times Electric</v>
          </cell>
          <cell r="D2065">
            <v>4487.74</v>
          </cell>
        </row>
        <row r="2066">
          <cell r="C2066" t="str">
            <v>Intra-Cellular Therapies</v>
          </cell>
          <cell r="D2066">
            <v>95.51</v>
          </cell>
        </row>
        <row r="2067">
          <cell r="C2067" t="str">
            <v>China Oilfield Services</v>
          </cell>
          <cell r="D2067">
            <v>0.91573199999999999</v>
          </cell>
        </row>
        <row r="2068">
          <cell r="C2068" t="str">
            <v>Nippon Building Fund</v>
          </cell>
          <cell r="D2068">
            <v>2.51796</v>
          </cell>
        </row>
        <row r="2069">
          <cell r="C2069" t="str">
            <v>Aaon</v>
          </cell>
          <cell r="D2069">
            <v>183.06</v>
          </cell>
        </row>
        <row r="2070">
          <cell r="C2070" t="str">
            <v>Yapı Kredi</v>
          </cell>
          <cell r="D2070">
            <v>56.73</v>
          </cell>
        </row>
        <row r="2071">
          <cell r="C2071" t="str">
            <v>Mapfre</v>
          </cell>
          <cell r="D2071">
            <v>38.554200000000002</v>
          </cell>
        </row>
        <row r="2072">
          <cell r="C2072" t="str">
            <v>Simpson Manufacturing Company</v>
          </cell>
          <cell r="D2072">
            <v>3.3507600000000002</v>
          </cell>
        </row>
        <row r="2073">
          <cell r="C2073" t="str">
            <v>First Industrial Realty Trust</v>
          </cell>
          <cell r="D2073">
            <v>0.53912300000000002</v>
          </cell>
        </row>
        <row r="2074">
          <cell r="C2074" t="str">
            <v>DWS Group</v>
          </cell>
          <cell r="D2074">
            <v>17.09</v>
          </cell>
        </row>
        <row r="2075">
          <cell r="C2075" t="str">
            <v>Petrovietnam Gas</v>
          </cell>
          <cell r="D2075">
            <v>21.137899999999998</v>
          </cell>
        </row>
        <row r="2076">
          <cell r="C2076" t="str">
            <v>Krung Thai Bank</v>
          </cell>
          <cell r="D2076">
            <v>99.57</v>
          </cell>
        </row>
        <row r="2077">
          <cell r="C2077" t="str">
            <v>Invesco</v>
          </cell>
          <cell r="D2077">
            <v>1.34406</v>
          </cell>
        </row>
        <row r="2078">
          <cell r="C2078" t="str">
            <v>Oberoi Realty</v>
          </cell>
          <cell r="D2078">
            <v>104.94</v>
          </cell>
        </row>
        <row r="2079">
          <cell r="C2079" t="str">
            <v>Pinnacle Financial Partners</v>
          </cell>
          <cell r="D2079">
            <v>27.9389</v>
          </cell>
        </row>
        <row r="2080">
          <cell r="C2080" t="str">
            <v>Tingyi (master kang)</v>
          </cell>
          <cell r="D2080">
            <v>90.36</v>
          </cell>
        </row>
        <row r="2081">
          <cell r="C2081" t="str">
            <v>Weatherford International</v>
          </cell>
          <cell r="D2081">
            <v>360.13</v>
          </cell>
        </row>
        <row r="2082">
          <cell r="C2082" t="str">
            <v>Sumitomo Metal Mining</v>
          </cell>
          <cell r="D2082">
            <v>15.47</v>
          </cell>
        </row>
        <row r="2083">
          <cell r="C2083" t="str">
            <v>Altair Engineering</v>
          </cell>
          <cell r="D2083">
            <v>78.59</v>
          </cell>
        </row>
        <row r="2084">
          <cell r="C2084" t="str">
            <v>Abbott India</v>
          </cell>
          <cell r="D2084">
            <v>149.61000000000001</v>
          </cell>
        </row>
        <row r="2085">
          <cell r="C2085" t="str">
            <v>Elanco</v>
          </cell>
          <cell r="D2085">
            <v>0.487348</v>
          </cell>
        </row>
        <row r="2086">
          <cell r="C2086" t="str">
            <v>DT Midstream</v>
          </cell>
          <cell r="D2086">
            <v>25.583600000000001</v>
          </cell>
        </row>
        <row r="2087">
          <cell r="C2087" t="str">
            <v>Talen Energy</v>
          </cell>
          <cell r="D2087">
            <v>81.93</v>
          </cell>
        </row>
        <row r="2088">
          <cell r="C2088" t="str">
            <v>Chongqing Rural Commercial Bank</v>
          </cell>
          <cell r="D2088">
            <v>1.12988</v>
          </cell>
        </row>
        <row r="2089">
          <cell r="C2089" t="str">
            <v>AltaGas</v>
          </cell>
          <cell r="D2089">
            <v>7.25</v>
          </cell>
        </row>
        <row r="2090">
          <cell r="C2090" t="str">
            <v>Acadia Healthcare</v>
          </cell>
          <cell r="D2090">
            <v>57.11</v>
          </cell>
        </row>
        <row r="2091">
          <cell r="C2091" t="str">
            <v>Longfor Group</v>
          </cell>
          <cell r="D2091">
            <v>19.27</v>
          </cell>
        </row>
        <row r="2092">
          <cell r="C2092" t="str">
            <v>Full Truck Alliance</v>
          </cell>
          <cell r="D2092">
            <v>23.9</v>
          </cell>
        </row>
        <row r="2093">
          <cell r="C2093" t="str">
            <v>Comerica</v>
          </cell>
          <cell r="D2093">
            <v>7.3371700000000004</v>
          </cell>
        </row>
        <row r="2094">
          <cell r="C2094" t="str">
            <v>Levi Strauss</v>
          </cell>
          <cell r="D2094">
            <v>140.62</v>
          </cell>
        </row>
        <row r="2095">
          <cell r="C2095" t="str">
            <v>Liberty Media</v>
          </cell>
          <cell r="D2095">
            <v>163.13999999999999</v>
          </cell>
        </row>
        <row r="2096">
          <cell r="C2096" t="str">
            <v>Kalyan Jewellers India</v>
          </cell>
          <cell r="D2096">
            <v>24.91</v>
          </cell>
        </row>
        <row r="2097">
          <cell r="C2097" t="str">
            <v>Middleby</v>
          </cell>
          <cell r="D2097">
            <v>0.414246</v>
          </cell>
        </row>
        <row r="2098">
          <cell r="C2098" t="str">
            <v>SPX Corporation</v>
          </cell>
          <cell r="D2098">
            <v>147.57</v>
          </cell>
        </row>
        <row r="2099">
          <cell r="C2099" t="str">
            <v>Informatica</v>
          </cell>
          <cell r="D2099">
            <v>47.4</v>
          </cell>
        </row>
        <row r="2100">
          <cell r="C2100" t="str">
            <v>Sino Biopharmaceutical</v>
          </cell>
          <cell r="D2100">
            <v>53.912500000000001</v>
          </cell>
        </row>
        <row r="2101">
          <cell r="C2101" t="str">
            <v>Abercrombie &amp;amp; Fitch</v>
          </cell>
          <cell r="D2101">
            <v>28.54</v>
          </cell>
        </row>
        <row r="2102">
          <cell r="C2102" t="str">
            <v>GitLab</v>
          </cell>
          <cell r="D2102">
            <v>3.3766400000000001</v>
          </cell>
        </row>
        <row r="2103">
          <cell r="C2103" t="str">
            <v>Croda International</v>
          </cell>
          <cell r="D2103">
            <v>1.0020100000000001</v>
          </cell>
        </row>
        <row r="2104">
          <cell r="C2104" t="str">
            <v>Leonardo DRS</v>
          </cell>
          <cell r="D2104">
            <v>0.57825099999999996</v>
          </cell>
        </row>
        <row r="2105">
          <cell r="C2105" t="str">
            <v>The Lottery Corporation</v>
          </cell>
          <cell r="D2105">
            <v>25.245899999999999</v>
          </cell>
        </row>
        <row r="2106">
          <cell r="C2106" t="str">
            <v>Salik Company</v>
          </cell>
          <cell r="D2106">
            <v>23.123699999999999</v>
          </cell>
        </row>
        <row r="2107">
          <cell r="C2107" t="str">
            <v>Taishin Financial Holdings</v>
          </cell>
          <cell r="D2107">
            <v>199.74</v>
          </cell>
        </row>
        <row r="2108">
          <cell r="C2108" t="str">
            <v>Rexel</v>
          </cell>
          <cell r="D2108">
            <v>4.5478699999999996</v>
          </cell>
        </row>
        <row r="2109">
          <cell r="C2109" t="str">
            <v>Acciona Energías Renovables</v>
          </cell>
          <cell r="D2109">
            <v>2.1141000000000001</v>
          </cell>
        </row>
        <row r="2110">
          <cell r="C2110" t="str">
            <v>SPS Commerce</v>
          </cell>
          <cell r="D2110">
            <v>23.56</v>
          </cell>
        </row>
        <row r="2111">
          <cell r="C2111" t="str">
            <v>Chailease Holding</v>
          </cell>
          <cell r="D2111">
            <v>14.932600000000001</v>
          </cell>
        </row>
        <row r="2112">
          <cell r="C2112" t="str">
            <v>Taylor Wimpey</v>
          </cell>
          <cell r="D2112">
            <v>40367</v>
          </cell>
        </row>
        <row r="2113">
          <cell r="C2113" t="str">
            <v>SentinelOne</v>
          </cell>
          <cell r="D2113">
            <v>10.47</v>
          </cell>
        </row>
        <row r="2114">
          <cell r="C2114" t="str">
            <v>Bharti Hexacom</v>
          </cell>
          <cell r="D2114">
            <v>6.5278999999999998</v>
          </cell>
        </row>
        <row r="2115">
          <cell r="C2115" t="str">
            <v>Française des Jeux</v>
          </cell>
          <cell r="D2115">
            <v>40.58</v>
          </cell>
        </row>
        <row r="2116">
          <cell r="C2116" t="str">
            <v>Paramount Global</v>
          </cell>
          <cell r="D2116">
            <v>54.17</v>
          </cell>
        </row>
        <row r="2117">
          <cell r="C2117" t="str">
            <v>ENN Energy</v>
          </cell>
          <cell r="D2117">
            <v>144.26</v>
          </cell>
        </row>
        <row r="2118">
          <cell r="C2118" t="str">
            <v>STAG Industrial</v>
          </cell>
          <cell r="D2118">
            <v>0.61614999999999998</v>
          </cell>
        </row>
        <row r="2119">
          <cell r="C2119" t="str">
            <v>Sunoco</v>
          </cell>
          <cell r="D2119">
            <v>101012</v>
          </cell>
        </row>
        <row r="2120">
          <cell r="C2120" t="str">
            <v>Colliers International</v>
          </cell>
          <cell r="D2120">
            <v>7.4233099999999999</v>
          </cell>
        </row>
        <row r="2121">
          <cell r="C2121" t="str">
            <v>Genting Singapore</v>
          </cell>
          <cell r="D2121">
            <v>52.669400000000003</v>
          </cell>
        </row>
        <row r="2122">
          <cell r="C2122" t="str">
            <v>Spirax-Sarco Engineering</v>
          </cell>
          <cell r="D2122">
            <v>26.03</v>
          </cell>
        </row>
        <row r="2123">
          <cell r="C2123" t="str">
            <v>Phoenix Group</v>
          </cell>
          <cell r="D2123">
            <v>45.63</v>
          </cell>
        </row>
        <row r="2124">
          <cell r="C2124" t="str">
            <v>Orion Corporation</v>
          </cell>
          <cell r="D2124">
            <v>29.128399999999999</v>
          </cell>
        </row>
        <row r="2125">
          <cell r="C2125" t="str">
            <v>Exelixis</v>
          </cell>
          <cell r="D2125">
            <v>102.5</v>
          </cell>
        </row>
        <row r="2126">
          <cell r="C2126" t="str">
            <v>Gildan</v>
          </cell>
          <cell r="D2126">
            <v>121.67</v>
          </cell>
        </row>
        <row r="2127">
          <cell r="C2127" t="str">
            <v>Yara International</v>
          </cell>
          <cell r="D2127">
            <v>97.09</v>
          </cell>
        </row>
        <row r="2128">
          <cell r="C2128" t="str">
            <v>Banco Popular</v>
          </cell>
          <cell r="D2128">
            <v>4.5405300000000004</v>
          </cell>
        </row>
        <row r="2129">
          <cell r="C2129" t="str">
            <v>Universal Forest Products</v>
          </cell>
          <cell r="D2129">
            <v>1.3614299999999999</v>
          </cell>
        </row>
        <row r="2130">
          <cell r="C2130" t="str">
            <v>South State Corp</v>
          </cell>
          <cell r="D2130">
            <v>106.47</v>
          </cell>
        </row>
        <row r="2131">
          <cell r="C2131" t="str">
            <v>Qantas Airways</v>
          </cell>
          <cell r="D2131">
            <v>0.67042500000000005</v>
          </cell>
        </row>
        <row r="2132">
          <cell r="C2132" t="str">
            <v>Emirates Islamic Bank</v>
          </cell>
          <cell r="D2132">
            <v>12.88</v>
          </cell>
        </row>
        <row r="2133">
          <cell r="C2133" t="str">
            <v>Lantheus Holdings</v>
          </cell>
          <cell r="D2133">
            <v>24.408899999999999</v>
          </cell>
        </row>
        <row r="2134">
          <cell r="C2134" t="str">
            <v>YTL Corporation Berhad</v>
          </cell>
          <cell r="D2134">
            <v>0.89856400000000003</v>
          </cell>
        </row>
        <row r="2135">
          <cell r="C2135" t="str">
            <v>UiPath</v>
          </cell>
          <cell r="D2135">
            <v>73.010000000000005</v>
          </cell>
        </row>
        <row r="2136">
          <cell r="C2136" t="str">
            <v>SBI Holdings</v>
          </cell>
          <cell r="D2136">
            <v>135183</v>
          </cell>
        </row>
        <row r="2137">
          <cell r="C2137" t="str">
            <v>YTL Power International</v>
          </cell>
          <cell r="D2137">
            <v>16.794799999999999</v>
          </cell>
        </row>
        <row r="2138">
          <cell r="C2138" t="str">
            <v>Agree Realty</v>
          </cell>
          <cell r="D2138">
            <v>133.88999999999999</v>
          </cell>
        </row>
        <row r="2139">
          <cell r="C2139" t="str">
            <v>Acciona</v>
          </cell>
          <cell r="D2139">
            <v>86.172399999999996</v>
          </cell>
        </row>
        <row r="2140">
          <cell r="C2140" t="str">
            <v>Japan Airlines</v>
          </cell>
          <cell r="D2140">
            <v>1.0606800000000001</v>
          </cell>
        </row>
        <row r="2141">
          <cell r="C2141" t="str">
            <v>Glaukos</v>
          </cell>
          <cell r="D2141">
            <v>47.01</v>
          </cell>
        </row>
        <row r="2142">
          <cell r="C2142" t="str">
            <v>Linde India</v>
          </cell>
          <cell r="D2142">
            <v>5.8118699999999999</v>
          </cell>
        </row>
        <row r="2143">
          <cell r="C2143" t="str">
            <v>Sime Darby Plantation</v>
          </cell>
          <cell r="D2143">
            <v>30.586400000000001</v>
          </cell>
        </row>
        <row r="2144">
          <cell r="C2144" t="str">
            <v>Schaeffler India</v>
          </cell>
          <cell r="D2144">
            <v>20.21</v>
          </cell>
        </row>
        <row r="2145">
          <cell r="C2145" t="str">
            <v>Banca Monte dei Paschi di Siena</v>
          </cell>
          <cell r="D2145">
            <v>89.431600000000003</v>
          </cell>
        </row>
        <row r="2146">
          <cell r="C2146" t="str">
            <v>Hankyu Hanshin Holdings</v>
          </cell>
          <cell r="D2146">
            <v>49.56</v>
          </cell>
        </row>
        <row r="2147">
          <cell r="C2147" t="str">
            <v>Pan American Silver</v>
          </cell>
          <cell r="D2147">
            <v>12.1942</v>
          </cell>
        </row>
        <row r="2148">
          <cell r="C2148" t="str">
            <v>Toromont</v>
          </cell>
          <cell r="D2148">
            <v>76.765699999999995</v>
          </cell>
        </row>
        <row r="2149">
          <cell r="C2149" t="str">
            <v>Zions Bancorporation</v>
          </cell>
          <cell r="D2149">
            <v>8.0500000000000007</v>
          </cell>
        </row>
        <row r="2150">
          <cell r="C2150" t="str">
            <v>Tokyu</v>
          </cell>
          <cell r="D2150">
            <v>47.68</v>
          </cell>
        </row>
        <row r="2151">
          <cell r="C2151" t="str">
            <v>iA Financial</v>
          </cell>
          <cell r="D2151">
            <v>83.1</v>
          </cell>
        </row>
        <row r="2152">
          <cell r="C2152" t="str">
            <v>XPeng</v>
          </cell>
          <cell r="D2152">
            <v>2.5911900000000001</v>
          </cell>
        </row>
        <row r="2153">
          <cell r="C2153" t="str">
            <v>Ionis Pharmaceuticals</v>
          </cell>
          <cell r="D2153">
            <v>1.6693499999999999</v>
          </cell>
        </row>
        <row r="2154">
          <cell r="C2154" t="str">
            <v>Shift4 Payments</v>
          </cell>
          <cell r="D2154">
            <v>2.3315800000000002</v>
          </cell>
        </row>
        <row r="2155">
          <cell r="C2155" t="str">
            <v>Wan Hai Lines</v>
          </cell>
          <cell r="D2155">
            <v>32.198500000000003</v>
          </cell>
        </row>
        <row r="2156">
          <cell r="C2156" t="str">
            <v>Vinhomes</v>
          </cell>
          <cell r="D2156">
            <v>38.54</v>
          </cell>
        </row>
        <row r="2157">
          <cell r="C2157" t="str">
            <v>Sinopharm</v>
          </cell>
          <cell r="D2157">
            <v>29.88</v>
          </cell>
        </row>
        <row r="2158">
          <cell r="C2158" t="str">
            <v>Amplifon</v>
          </cell>
          <cell r="D2158">
            <v>4.4946799999999998</v>
          </cell>
        </row>
        <row r="2159">
          <cell r="C2159" t="str">
            <v>WillScot</v>
          </cell>
          <cell r="D2159">
            <v>15.1439</v>
          </cell>
        </row>
        <row r="2160">
          <cell r="C2160" t="str">
            <v>Range Resources</v>
          </cell>
          <cell r="D2160">
            <v>108.8</v>
          </cell>
        </row>
        <row r="2161">
          <cell r="C2161" t="str">
            <v>Schroders</v>
          </cell>
          <cell r="D2161">
            <v>144.77000000000001</v>
          </cell>
        </row>
        <row r="2162">
          <cell r="C2162" t="str">
            <v>GlobalWafers</v>
          </cell>
          <cell r="D2162">
            <v>55.93</v>
          </cell>
        </row>
        <row r="2163">
          <cell r="C2163" t="str">
            <v>Wintrust Financial</v>
          </cell>
          <cell r="D2163">
            <v>18.778700000000001</v>
          </cell>
        </row>
        <row r="2164">
          <cell r="C2164" t="str">
            <v>Carpenter Technology</v>
          </cell>
          <cell r="D2164">
            <v>68173</v>
          </cell>
        </row>
        <row r="2165">
          <cell r="C2165" t="str">
            <v>BellRing Brands</v>
          </cell>
          <cell r="D2165">
            <v>31.33</v>
          </cell>
        </row>
        <row r="2166">
          <cell r="C2166" t="str">
            <v>Japan Post Insurance</v>
          </cell>
          <cell r="D2166">
            <v>14.65</v>
          </cell>
        </row>
        <row r="2167">
          <cell r="C2167" t="str">
            <v>L&amp;amp;T Technology Services</v>
          </cell>
          <cell r="D2167">
            <v>3.89337</v>
          </cell>
        </row>
        <row r="2168">
          <cell r="C2168" t="str">
            <v>Gentex</v>
          </cell>
          <cell r="D2168">
            <v>198.07</v>
          </cell>
        </row>
        <row r="2169">
          <cell r="C2169" t="str">
            <v>KT Corporation</v>
          </cell>
          <cell r="D2169">
            <v>2.61199</v>
          </cell>
        </row>
        <row r="2170">
          <cell r="C2170" t="str">
            <v>Rumo</v>
          </cell>
          <cell r="D2170">
            <v>182.63</v>
          </cell>
        </row>
        <row r="2171">
          <cell r="C2171" t="str">
            <v>Meritage Homes</v>
          </cell>
          <cell r="D2171">
            <v>1.4261299999999999</v>
          </cell>
        </row>
        <row r="2172">
          <cell r="C2172" t="str">
            <v>Medibank</v>
          </cell>
          <cell r="D2172">
            <v>35.9176</v>
          </cell>
        </row>
        <row r="2173">
          <cell r="C2173" t="str">
            <v>MSA Safety</v>
          </cell>
          <cell r="D2173">
            <v>3855</v>
          </cell>
        </row>
        <row r="2174">
          <cell r="C2174" t="str">
            <v>China State Construction International</v>
          </cell>
          <cell r="D2174">
            <v>18.21</v>
          </cell>
        </row>
        <row r="2175">
          <cell r="C2175" t="str">
            <v>KGHM Polska Miedź</v>
          </cell>
          <cell r="D2175">
            <v>233601</v>
          </cell>
        </row>
        <row r="2176">
          <cell r="C2176" t="str">
            <v>Ganfeng Lithium</v>
          </cell>
          <cell r="D2176">
            <v>28.8</v>
          </cell>
        </row>
        <row r="2177">
          <cell r="C2177" t="str">
            <v>VF Corporation</v>
          </cell>
          <cell r="D2177">
            <v>96.230800000000002</v>
          </cell>
        </row>
        <row r="2178">
          <cell r="C2178" t="str">
            <v>Zurich Airport</v>
          </cell>
          <cell r="D2178">
            <v>115.98</v>
          </cell>
        </row>
        <row r="2179">
          <cell r="C2179" t="str">
            <v>Frontier Communications</v>
          </cell>
          <cell r="D2179">
            <v>95.499799999999993</v>
          </cell>
        </row>
        <row r="2180">
          <cell r="C2180" t="str">
            <v>LEG Immobilien</v>
          </cell>
          <cell r="D2180">
            <v>6.0939800000000002</v>
          </cell>
        </row>
        <row r="2181">
          <cell r="C2181" t="str">
            <v>Jazz Pharmaceuticals</v>
          </cell>
          <cell r="D2181">
            <v>9.34</v>
          </cell>
        </row>
        <row r="2182">
          <cell r="C2182" t="str">
            <v>Bachem</v>
          </cell>
          <cell r="D2182">
            <v>14.87</v>
          </cell>
        </row>
        <row r="2183">
          <cell r="C2183" t="str">
            <v>Equatorial Energia</v>
          </cell>
          <cell r="D2183">
            <v>135.08000000000001</v>
          </cell>
        </row>
        <row r="2184">
          <cell r="C2184" t="str">
            <v>Grifols</v>
          </cell>
          <cell r="D2184">
            <v>112.23</v>
          </cell>
        </row>
        <row r="2185">
          <cell r="C2185" t="str">
            <v>Antero Midstream</v>
          </cell>
          <cell r="D2185">
            <v>57.06</v>
          </cell>
        </row>
        <row r="2186">
          <cell r="C2186" t="str">
            <v>Arrow Electronics</v>
          </cell>
          <cell r="D2186">
            <v>2.27921</v>
          </cell>
        </row>
        <row r="2187">
          <cell r="C2187" t="str">
            <v>Cullen/Frost Bankers</v>
          </cell>
          <cell r="D2187">
            <v>88.52</v>
          </cell>
        </row>
        <row r="2188">
          <cell r="C2188" t="str">
            <v>PhosAgro</v>
          </cell>
          <cell r="D2188">
            <v>39.173200000000001</v>
          </cell>
        </row>
        <row r="2189">
          <cell r="C2189" t="str">
            <v>A2A</v>
          </cell>
          <cell r="D2189">
            <v>19.209700000000002</v>
          </cell>
        </row>
        <row r="2190">
          <cell r="C2190" t="str">
            <v>West Fraser Timber</v>
          </cell>
          <cell r="D2190">
            <v>42.63</v>
          </cell>
        </row>
        <row r="2191">
          <cell r="C2191" t="str">
            <v>Buzzi Unicem</v>
          </cell>
          <cell r="D2191">
            <v>40.5</v>
          </cell>
        </row>
        <row r="2192">
          <cell r="C2192" t="str">
            <v>Daifuku</v>
          </cell>
          <cell r="D2192">
            <v>64.12</v>
          </cell>
        </row>
        <row r="2193">
          <cell r="C2193" t="str">
            <v>Revolution Medicines</v>
          </cell>
          <cell r="D2193">
            <v>109274</v>
          </cell>
        </row>
        <row r="2194">
          <cell r="C2194" t="str">
            <v>Summit Materials</v>
          </cell>
          <cell r="D2194">
            <v>0.230436</v>
          </cell>
        </row>
        <row r="2195">
          <cell r="C2195" t="str">
            <v>Viking Therapeutics</v>
          </cell>
          <cell r="D2195">
            <v>19.14</v>
          </cell>
        </row>
        <row r="2196">
          <cell r="C2196" t="str">
            <v>Teleperformance</v>
          </cell>
          <cell r="D2196">
            <v>2.4771299999999998</v>
          </cell>
        </row>
        <row r="2197">
          <cell r="C2197" t="str">
            <v>Adaro Energy</v>
          </cell>
          <cell r="D2197">
            <v>3817.29</v>
          </cell>
        </row>
        <row r="2198">
          <cell r="C2198" t="str">
            <v>Liberty Global</v>
          </cell>
          <cell r="D2198">
            <v>56.72</v>
          </cell>
        </row>
        <row r="2199">
          <cell r="C2199" t="str">
            <v>Nykaa</v>
          </cell>
          <cell r="D2199">
            <v>217.07</v>
          </cell>
        </row>
        <row r="2200">
          <cell r="C2200" t="str">
            <v>LPP SA</v>
          </cell>
          <cell r="D2200">
            <v>70.668199999999999</v>
          </cell>
        </row>
        <row r="2201">
          <cell r="C2201" t="str">
            <v>Matador Resources</v>
          </cell>
          <cell r="D2201">
            <v>177.98</v>
          </cell>
        </row>
        <row r="2202">
          <cell r="C2202" t="str">
            <v>Insight Enterprises</v>
          </cell>
          <cell r="D2202">
            <v>2.02061</v>
          </cell>
        </row>
        <row r="2203">
          <cell r="C2203" t="str">
            <v>Lawson</v>
          </cell>
          <cell r="D2203">
            <v>34.369999999999997</v>
          </cell>
        </row>
        <row r="2204">
          <cell r="C2204" t="str">
            <v>AutoNation</v>
          </cell>
          <cell r="D2204">
            <v>154.1</v>
          </cell>
        </row>
        <row r="2205">
          <cell r="C2205" t="str">
            <v>Yang Ming</v>
          </cell>
          <cell r="D2205">
            <v>165614</v>
          </cell>
        </row>
        <row r="2206">
          <cell r="C2206" t="str">
            <v>Vornado Realty Trust</v>
          </cell>
          <cell r="D2206">
            <v>6.38</v>
          </cell>
        </row>
        <row r="2207">
          <cell r="C2207" t="str">
            <v>RLI Corp.</v>
          </cell>
          <cell r="D2207">
            <v>107.91</v>
          </cell>
        </row>
        <row r="2208">
          <cell r="C2208" t="str">
            <v>mBank</v>
          </cell>
          <cell r="D2208">
            <v>0.89393199999999995</v>
          </cell>
        </row>
        <row r="2209">
          <cell r="C2209" t="str">
            <v>Southwestern Energy</v>
          </cell>
          <cell r="D2209">
            <v>67.33</v>
          </cell>
        </row>
        <row r="2210">
          <cell r="C2210" t="str">
            <v>Oshkosh Corporation</v>
          </cell>
          <cell r="D2210">
            <v>11.510300000000001</v>
          </cell>
        </row>
        <row r="2211">
          <cell r="C2211" t="str">
            <v>Maxis Berhad</v>
          </cell>
          <cell r="D2211">
            <v>37.031100000000002</v>
          </cell>
        </row>
        <row r="2212">
          <cell r="C2212" t="str">
            <v>Taylor Morrison</v>
          </cell>
          <cell r="D2212">
            <v>73.58</v>
          </cell>
        </row>
        <row r="2213">
          <cell r="C2213" t="str">
            <v>Container Corporation of India</v>
          </cell>
          <cell r="D2213">
            <v>6.0743799999999997</v>
          </cell>
        </row>
        <row r="2214">
          <cell r="C2214" t="str">
            <v>Mphasis</v>
          </cell>
          <cell r="D2214">
            <v>39.229999999999997</v>
          </cell>
        </row>
        <row r="2215">
          <cell r="C2215" t="str">
            <v>Prosperity Bancshares</v>
          </cell>
          <cell r="D2215">
            <v>4.7029399999999999</v>
          </cell>
        </row>
        <row r="2216">
          <cell r="C2216" t="str">
            <v>CPFL Energia</v>
          </cell>
          <cell r="D2216">
            <v>17.77</v>
          </cell>
        </row>
        <row r="2217">
          <cell r="C2217" t="str">
            <v>Genpact</v>
          </cell>
          <cell r="D2217">
            <v>1644.74</v>
          </cell>
        </row>
        <row r="2218">
          <cell r="C2218" t="str">
            <v>Auckland Airport</v>
          </cell>
          <cell r="D2218">
            <v>8.3462499999999995</v>
          </cell>
        </row>
        <row r="2219">
          <cell r="C2219" t="str">
            <v>NOV</v>
          </cell>
          <cell r="D2219">
            <v>10.62</v>
          </cell>
        </row>
        <row r="2220">
          <cell r="C2220" t="str">
            <v>Compagnie de l'Odet</v>
          </cell>
          <cell r="D2220">
            <v>0.40321299999999999</v>
          </cell>
        </row>
        <row r="2221">
          <cell r="C2221" t="str">
            <v>Petro Rio</v>
          </cell>
          <cell r="D2221">
            <v>7.1203900000000004</v>
          </cell>
        </row>
        <row r="2222">
          <cell r="C2222" t="str">
            <v>American Airlines</v>
          </cell>
          <cell r="D2222">
            <v>70.83</v>
          </cell>
        </row>
        <row r="2223">
          <cell r="C2223" t="str">
            <v>Shin Kong Financial Holding</v>
          </cell>
          <cell r="D2223">
            <v>29.407800000000002</v>
          </cell>
        </row>
        <row r="2224">
          <cell r="C2224" t="str">
            <v>Spring Airlines</v>
          </cell>
          <cell r="D2224">
            <v>70295</v>
          </cell>
        </row>
        <row r="2225">
          <cell r="C2225" t="str">
            <v>Voya Financial</v>
          </cell>
          <cell r="D2225">
            <v>0.45971000000000001</v>
          </cell>
        </row>
        <row r="2226">
          <cell r="C2226" t="str">
            <v>IGM Financial</v>
          </cell>
          <cell r="D2226">
            <v>14.7493</v>
          </cell>
        </row>
        <row r="2227">
          <cell r="C2227" t="str">
            <v>DCC plc</v>
          </cell>
          <cell r="D2227">
            <v>7.4114799999999995E-2</v>
          </cell>
        </row>
        <row r="2228">
          <cell r="C2228" t="str">
            <v>Banco Comercial Português (Millennium bcp)</v>
          </cell>
          <cell r="D2228">
            <v>119.92</v>
          </cell>
        </row>
        <row r="2229">
          <cell r="C2229" t="str">
            <v>Ono Pharmaceutical</v>
          </cell>
          <cell r="D2229">
            <v>93.014300000000006</v>
          </cell>
        </row>
        <row r="2230">
          <cell r="C2230" t="str">
            <v>Barito Pacific</v>
          </cell>
          <cell r="D2230">
            <v>63.74</v>
          </cell>
        </row>
        <row r="2231">
          <cell r="C2231" t="str">
            <v>Kirby Corporation</v>
          </cell>
          <cell r="D2231">
            <v>0.521976</v>
          </cell>
        </row>
        <row r="2232">
          <cell r="C2232" t="str">
            <v>Arkema</v>
          </cell>
          <cell r="D2232">
            <v>40.380000000000003</v>
          </cell>
        </row>
        <row r="2233">
          <cell r="C2233" t="str">
            <v>Trex</v>
          </cell>
          <cell r="D2233">
            <v>24.3491</v>
          </cell>
        </row>
        <row r="2234">
          <cell r="C2234" t="str">
            <v>Zoomlion</v>
          </cell>
          <cell r="D2234">
            <v>79.56</v>
          </cell>
        </row>
        <row r="2235">
          <cell r="C2235" t="str">
            <v>Cognex</v>
          </cell>
          <cell r="D2235">
            <v>65.424899999999994</v>
          </cell>
        </row>
        <row r="2236">
          <cell r="C2236" t="str">
            <v>International Games System</v>
          </cell>
          <cell r="D2236">
            <v>14.584099999999999</v>
          </cell>
        </row>
        <row r="2237">
          <cell r="C2237" t="str">
            <v>HealthEquity</v>
          </cell>
          <cell r="D2237">
            <v>30.6754</v>
          </cell>
        </row>
        <row r="2238">
          <cell r="C2238" t="str">
            <v>The Berkeley Group</v>
          </cell>
          <cell r="D2238">
            <v>81.209999999999994</v>
          </cell>
        </row>
        <row r="2239">
          <cell r="C2239" t="str">
            <v>Hargreaves Lansdown</v>
          </cell>
          <cell r="D2239">
            <v>21.5807</v>
          </cell>
        </row>
        <row r="2240">
          <cell r="C2240" t="str">
            <v>Schibsted</v>
          </cell>
          <cell r="D2240">
            <v>11.469799999999999</v>
          </cell>
        </row>
        <row r="2241">
          <cell r="C2241" t="str">
            <v>Planet Fitness</v>
          </cell>
          <cell r="D2241">
            <v>13.65</v>
          </cell>
        </row>
        <row r="2242">
          <cell r="C2242" t="str">
            <v>Persimmon</v>
          </cell>
          <cell r="D2242">
            <v>12.2582</v>
          </cell>
        </row>
        <row r="2243">
          <cell r="C2243" t="str">
            <v>NEXTDC</v>
          </cell>
          <cell r="D2243">
            <v>20.7956</v>
          </cell>
        </row>
        <row r="2244">
          <cell r="C2244" t="str">
            <v>Amer Sports</v>
          </cell>
          <cell r="D2244">
            <v>16.2043</v>
          </cell>
        </row>
        <row r="2245">
          <cell r="C2245" t="str">
            <v>Merlin Properties</v>
          </cell>
          <cell r="D2245">
            <v>12.4969</v>
          </cell>
        </row>
        <row r="2246">
          <cell r="C2246" t="str">
            <v>Voltas</v>
          </cell>
          <cell r="D2246">
            <v>39.116599999999998</v>
          </cell>
        </row>
        <row r="2247">
          <cell r="C2247" t="str">
            <v>OTE Group</v>
          </cell>
          <cell r="D2247">
            <v>29.9192</v>
          </cell>
        </row>
        <row r="2248">
          <cell r="C2248" t="str">
            <v>Howden Joinery</v>
          </cell>
          <cell r="D2248">
            <v>5.5420600000000002</v>
          </cell>
        </row>
        <row r="2249">
          <cell r="C2249" t="str">
            <v>AtkinsRéalis</v>
          </cell>
          <cell r="D2249">
            <v>7.0986599999999997</v>
          </cell>
        </row>
        <row r="2250">
          <cell r="C2250" t="str">
            <v>Keyera</v>
          </cell>
          <cell r="D2250">
            <v>21.22</v>
          </cell>
        </row>
        <row r="2251">
          <cell r="C2251" t="str">
            <v>Israel Discount Bank</v>
          </cell>
          <cell r="D2251">
            <v>51.974600000000002</v>
          </cell>
        </row>
        <row r="2252">
          <cell r="C2252" t="str">
            <v>Lundbeck</v>
          </cell>
          <cell r="D2252">
            <v>1.23489</v>
          </cell>
        </row>
        <row r="2253">
          <cell r="C2253" t="str">
            <v>Confluent</v>
          </cell>
          <cell r="D2253">
            <v>1.50223</v>
          </cell>
        </row>
        <row r="2254">
          <cell r="C2254" t="str">
            <v>SalMar ASA</v>
          </cell>
          <cell r="D2254">
            <v>26.332699999999999</v>
          </cell>
        </row>
        <row r="2255">
          <cell r="C2255" t="str">
            <v>Qatar Gas Transport Company</v>
          </cell>
          <cell r="D2255">
            <v>181.7</v>
          </cell>
        </row>
        <row r="2256">
          <cell r="C2256" t="str">
            <v>Vicinity Centres</v>
          </cell>
          <cell r="D2256">
            <v>0.57840499999999995</v>
          </cell>
        </row>
        <row r="2257">
          <cell r="C2257" t="str">
            <v>The Weir Group</v>
          </cell>
          <cell r="D2257">
            <v>2.62514</v>
          </cell>
        </row>
        <row r="2258">
          <cell r="C2258" t="str">
            <v>Vail Resorts</v>
          </cell>
          <cell r="D2258">
            <v>64.290000000000006</v>
          </cell>
        </row>
        <row r="2259">
          <cell r="C2259" t="str">
            <v>Want Want China</v>
          </cell>
          <cell r="D2259">
            <v>24.805700000000002</v>
          </cell>
        </row>
        <row r="2260">
          <cell r="C2260" t="str">
            <v>Aditya Birla Capital</v>
          </cell>
          <cell r="D2260">
            <v>36.78</v>
          </cell>
        </row>
        <row r="2261">
          <cell r="C2261" t="str">
            <v>Essent Group</v>
          </cell>
          <cell r="D2261">
            <v>3.7306900000000001</v>
          </cell>
        </row>
        <row r="2262">
          <cell r="C2262" t="str">
            <v>Meiji Holdings</v>
          </cell>
          <cell r="D2262">
            <v>1608.09</v>
          </cell>
        </row>
        <row r="2263">
          <cell r="C2263" t="str">
            <v>Doximity</v>
          </cell>
          <cell r="D2263">
            <v>97.05</v>
          </cell>
        </row>
        <row r="2264">
          <cell r="C2264" t="str">
            <v>Kingfisher</v>
          </cell>
          <cell r="D2264">
            <v>71.36</v>
          </cell>
        </row>
        <row r="2265">
          <cell r="C2265" t="str">
            <v>Madras Rubber Factory</v>
          </cell>
          <cell r="D2265">
            <v>33.94</v>
          </cell>
        </row>
        <row r="2266">
          <cell r="C2266" t="str">
            <v>Louisiana-Pacific</v>
          </cell>
          <cell r="D2266">
            <v>91.04</v>
          </cell>
        </row>
        <row r="2267">
          <cell r="C2267" t="str">
            <v>Dolby</v>
          </cell>
          <cell r="D2267">
            <v>155.4</v>
          </cell>
        </row>
        <row r="2268">
          <cell r="C2268" t="str">
            <v>HashiCorp</v>
          </cell>
          <cell r="D2268">
            <v>30.76</v>
          </cell>
        </row>
        <row r="2269">
          <cell r="C2269" t="str">
            <v>AGCO</v>
          </cell>
          <cell r="D2269">
            <v>72.399699999999996</v>
          </cell>
        </row>
        <row r="2270">
          <cell r="C2270" t="str">
            <v>Commvault</v>
          </cell>
          <cell r="D2270">
            <v>10.8123</v>
          </cell>
        </row>
        <row r="2271">
          <cell r="C2271" t="str">
            <v>Bath &amp;amp; Body Works</v>
          </cell>
          <cell r="D2271">
            <v>68.598500000000001</v>
          </cell>
        </row>
        <row r="2272">
          <cell r="C2272" t="str">
            <v>Carl Zeiss Meditec</v>
          </cell>
          <cell r="D2272">
            <v>89.97</v>
          </cell>
        </row>
        <row r="2273">
          <cell r="C2273" t="str">
            <v>SG Holdings</v>
          </cell>
          <cell r="D2273">
            <v>115.77</v>
          </cell>
        </row>
        <row r="2274">
          <cell r="C2274" t="str">
            <v>Bombardier</v>
          </cell>
          <cell r="D2274">
            <v>37.871299999999998</v>
          </cell>
        </row>
        <row r="2275">
          <cell r="C2275" t="str">
            <v>Jackson Financial</v>
          </cell>
          <cell r="D2275">
            <v>48.8</v>
          </cell>
        </row>
        <row r="2276">
          <cell r="C2276" t="str">
            <v>Post Holdings</v>
          </cell>
          <cell r="D2276">
            <v>20.84</v>
          </cell>
        </row>
        <row r="2277">
          <cell r="C2277" t="str">
            <v>Whitbread</v>
          </cell>
          <cell r="D2277">
            <v>25.909099999999999</v>
          </cell>
        </row>
        <row r="2278">
          <cell r="C2278" t="str">
            <v>Smartsheet</v>
          </cell>
          <cell r="D2278">
            <v>272.2</v>
          </cell>
        </row>
        <row r="2279">
          <cell r="C2279" t="str">
            <v>Starwood Property Trust</v>
          </cell>
          <cell r="D2279">
            <v>43.06</v>
          </cell>
        </row>
        <row r="2280">
          <cell r="C2280" t="str">
            <v>Zalando</v>
          </cell>
          <cell r="D2280">
            <v>13.6745</v>
          </cell>
        </row>
        <row r="2281">
          <cell r="C2281" t="str">
            <v>Littelfuse</v>
          </cell>
          <cell r="D2281">
            <v>40.344900000000003</v>
          </cell>
        </row>
        <row r="2282">
          <cell r="C2282" t="str">
            <v>Astera Labs</v>
          </cell>
          <cell r="D2282">
            <v>104.95</v>
          </cell>
        </row>
        <row r="2283">
          <cell r="C2283" t="str">
            <v>Castellum</v>
          </cell>
          <cell r="D2283">
            <v>6.1944499999999998</v>
          </cell>
        </row>
        <row r="2284">
          <cell r="C2284" t="str">
            <v>SPIE</v>
          </cell>
          <cell r="D2284">
            <v>27.851500000000001</v>
          </cell>
        </row>
        <row r="2285">
          <cell r="C2285" t="str">
            <v>BOK Financial</v>
          </cell>
          <cell r="D2285">
            <v>3.7734399999999999</v>
          </cell>
        </row>
        <row r="2286">
          <cell r="C2286" t="str">
            <v>Sunny Optical</v>
          </cell>
          <cell r="D2286">
            <v>79.88</v>
          </cell>
        </row>
        <row r="2287">
          <cell r="C2287" t="str">
            <v>Empire Company</v>
          </cell>
          <cell r="D2287">
            <v>10.78</v>
          </cell>
        </row>
        <row r="2288">
          <cell r="C2288" t="str">
            <v>Sembcorp</v>
          </cell>
          <cell r="D2288">
            <v>57.08</v>
          </cell>
        </row>
        <row r="2289">
          <cell r="C2289" t="str">
            <v>AXIS Capital</v>
          </cell>
          <cell r="D2289">
            <v>30.664899999999999</v>
          </cell>
        </row>
        <row r="2290">
          <cell r="C2290" t="str">
            <v>CCC Intelligent Solutions</v>
          </cell>
          <cell r="D2290">
            <v>3.3471700000000002</v>
          </cell>
        </row>
        <row r="2291">
          <cell r="C2291" t="str">
            <v>Cytokinetics</v>
          </cell>
          <cell r="D2291">
            <v>2.8144200000000001</v>
          </cell>
        </row>
        <row r="2292">
          <cell r="C2292" t="str">
            <v>Banco de Crédito e Inversiones</v>
          </cell>
          <cell r="D2292">
            <v>16.062799999999999</v>
          </cell>
        </row>
        <row r="2293">
          <cell r="C2293" t="str">
            <v>Hudco</v>
          </cell>
          <cell r="D2293">
            <v>11.683400000000001</v>
          </cell>
        </row>
        <row r="2294">
          <cell r="C2294" t="str">
            <v>M&amp;G plc</v>
          </cell>
          <cell r="D2294">
            <v>1.7031499999999999</v>
          </cell>
        </row>
        <row r="2295">
          <cell r="C2295" t="str">
            <v>MatsukiyoCocokara</v>
          </cell>
          <cell r="D2295">
            <v>130.59</v>
          </cell>
        </row>
        <row r="2296">
          <cell r="C2296" t="str">
            <v>Securitas AB</v>
          </cell>
          <cell r="D2296">
            <v>69.040000000000006</v>
          </cell>
        </row>
        <row r="2297">
          <cell r="C2297" t="str">
            <v>Mengniu Dairy</v>
          </cell>
          <cell r="D2297">
            <v>12.54</v>
          </cell>
        </row>
        <row r="2298">
          <cell r="C2298" t="str">
            <v>SAIC</v>
          </cell>
          <cell r="D2298">
            <v>23398</v>
          </cell>
        </row>
        <row r="2299">
          <cell r="C2299" t="str">
            <v>Terreno Realty</v>
          </cell>
          <cell r="D2299">
            <v>18.342600000000001</v>
          </cell>
        </row>
        <row r="2300">
          <cell r="C2300" t="str">
            <v>Vipshop</v>
          </cell>
          <cell r="D2300">
            <v>14.678900000000001</v>
          </cell>
        </row>
        <row r="2301">
          <cell r="C2301" t="str">
            <v>Tata Communications</v>
          </cell>
          <cell r="D2301">
            <v>31.623699999999999</v>
          </cell>
        </row>
        <row r="2302">
          <cell r="C2302" t="str">
            <v>Gruma (Maseca)</v>
          </cell>
          <cell r="D2302">
            <v>31.427900000000001</v>
          </cell>
        </row>
        <row r="2303">
          <cell r="C2303" t="str">
            <v>Fomento de Construcciones y Contratas</v>
          </cell>
          <cell r="D2303">
            <v>6.9017299999999997</v>
          </cell>
        </row>
        <row r="2304">
          <cell r="C2304" t="str">
            <v>OCI</v>
          </cell>
          <cell r="D2304">
            <v>98.098799999999997</v>
          </cell>
        </row>
        <row r="2305">
          <cell r="C2305" t="str">
            <v>AGC</v>
          </cell>
          <cell r="D2305">
            <v>31.5</v>
          </cell>
        </row>
        <row r="2306">
          <cell r="C2306" t="str">
            <v>Infratil</v>
          </cell>
          <cell r="D2306">
            <v>488385</v>
          </cell>
        </row>
        <row r="2307">
          <cell r="C2307" t="str">
            <v>Brunello Cucinelli</v>
          </cell>
          <cell r="D2307">
            <v>74.16</v>
          </cell>
        </row>
        <row r="2308">
          <cell r="C2308" t="str">
            <v>Reynolds Consumer</v>
          </cell>
          <cell r="D2308">
            <v>0.79</v>
          </cell>
        </row>
        <row r="2309">
          <cell r="C2309" t="str">
            <v>Ypsomed</v>
          </cell>
          <cell r="D2309">
            <v>144986</v>
          </cell>
        </row>
        <row r="2310">
          <cell r="C2310" t="str">
            <v>Loar Holdings</v>
          </cell>
          <cell r="D2310">
            <v>7.29</v>
          </cell>
        </row>
        <row r="2311">
          <cell r="C2311" t="str">
            <v>Americana Restaurants International</v>
          </cell>
          <cell r="D2311">
            <v>41.73</v>
          </cell>
        </row>
        <row r="2312">
          <cell r="C2312" t="str">
            <v>PSP Swiss Property</v>
          </cell>
          <cell r="D2312">
            <v>46.12</v>
          </cell>
        </row>
        <row r="2313">
          <cell r="C2313" t="str">
            <v>ADT</v>
          </cell>
          <cell r="D2313">
            <v>1.3</v>
          </cell>
        </row>
        <row r="2314">
          <cell r="C2314" t="str">
            <v>Darling Ingredients</v>
          </cell>
          <cell r="D2314">
            <v>83.017499999999998</v>
          </cell>
        </row>
        <row r="2315">
          <cell r="C2315" t="str">
            <v>Synovus</v>
          </cell>
          <cell r="D2315">
            <v>14.36</v>
          </cell>
        </row>
        <row r="2316">
          <cell r="C2316" t="str">
            <v>Abu Dhabi Ports</v>
          </cell>
          <cell r="D2316">
            <v>19.785599999999999</v>
          </cell>
        </row>
        <row r="2317">
          <cell r="C2317" t="str">
            <v>Alchip Technologies</v>
          </cell>
          <cell r="D2317">
            <v>16.37</v>
          </cell>
        </row>
        <row r="2318">
          <cell r="C2318" t="str">
            <v>EnLink Midstream</v>
          </cell>
          <cell r="D2318">
            <v>1.77796</v>
          </cell>
        </row>
        <row r="2319">
          <cell r="C2319" t="str">
            <v>Raiffeisen Bank International</v>
          </cell>
          <cell r="D2319">
            <v>1528.14</v>
          </cell>
        </row>
        <row r="2320">
          <cell r="C2320" t="str">
            <v>Unity Software</v>
          </cell>
          <cell r="D2320">
            <v>73284</v>
          </cell>
        </row>
        <row r="2321">
          <cell r="C2321" t="str">
            <v>Vingroup Company</v>
          </cell>
          <cell r="D2321">
            <v>33.67</v>
          </cell>
        </row>
        <row r="2322">
          <cell r="C2322" t="str">
            <v>Zain (Mobile Telecommunications Company)</v>
          </cell>
          <cell r="D2322">
            <v>9.6322200000000002</v>
          </cell>
        </row>
        <row r="2323">
          <cell r="C2323" t="str">
            <v>Arcadis</v>
          </cell>
          <cell r="D2323">
            <v>7.48238</v>
          </cell>
        </row>
        <row r="2324">
          <cell r="C2324" t="str">
            <v>Ternium</v>
          </cell>
          <cell r="D2324">
            <v>179</v>
          </cell>
        </row>
        <row r="2325">
          <cell r="C2325" t="str">
            <v>M3, Inc</v>
          </cell>
          <cell r="D2325">
            <v>136</v>
          </cell>
        </row>
        <row r="2326">
          <cell r="C2326" t="str">
            <v>Investec</v>
          </cell>
          <cell r="D2326">
            <v>25.43</v>
          </cell>
        </row>
        <row r="2327">
          <cell r="C2327" t="str">
            <v>Hainan Airlines</v>
          </cell>
          <cell r="D2327">
            <v>5.1360099999999997</v>
          </cell>
        </row>
        <row r="2328">
          <cell r="C2328" t="str">
            <v>Freshpet</v>
          </cell>
          <cell r="D2328">
            <v>1.55182</v>
          </cell>
        </row>
        <row r="2329">
          <cell r="C2329" t="str">
            <v>MGIC Investment</v>
          </cell>
          <cell r="D2329">
            <v>0.88065199999999999</v>
          </cell>
        </row>
        <row r="2330">
          <cell r="C2330" t="str">
            <v>APA Group</v>
          </cell>
          <cell r="D2330">
            <v>1.0257400000000001</v>
          </cell>
        </row>
        <row r="2331">
          <cell r="C2331" t="str">
            <v>ESR</v>
          </cell>
          <cell r="D2331">
            <v>1.5944499999999999</v>
          </cell>
        </row>
        <row r="2332">
          <cell r="C2332" t="str">
            <v>IDFC FIRST Bank</v>
          </cell>
          <cell r="D2332">
            <v>183.28</v>
          </cell>
        </row>
        <row r="2333">
          <cell r="C2333" t="str">
            <v>Hoa Phat Group</v>
          </cell>
          <cell r="D2333">
            <v>38.316800000000001</v>
          </cell>
        </row>
        <row r="2334">
          <cell r="C2334" t="str">
            <v>Steel Authority of India</v>
          </cell>
          <cell r="D2334">
            <v>4.3806000000000003</v>
          </cell>
        </row>
        <row r="2335">
          <cell r="C2335" t="str">
            <v>Novanta</v>
          </cell>
          <cell r="D2335">
            <v>3.26</v>
          </cell>
        </row>
        <row r="2336">
          <cell r="C2336" t="str">
            <v>Toho Co.</v>
          </cell>
          <cell r="D2336">
            <v>8.0469000000000008</v>
          </cell>
        </row>
        <row r="2337">
          <cell r="C2337" t="str">
            <v>Petronet LNG</v>
          </cell>
          <cell r="D2337">
            <v>63.8</v>
          </cell>
        </row>
        <row r="2338">
          <cell r="C2338" t="str">
            <v>Gerdau</v>
          </cell>
          <cell r="D2338">
            <v>1.0195799999999999</v>
          </cell>
        </row>
        <row r="2339">
          <cell r="C2339" t="str">
            <v>ENGIE Brasil</v>
          </cell>
          <cell r="D2339">
            <v>9.7601399999999998</v>
          </cell>
        </row>
        <row r="2340">
          <cell r="C2340" t="str">
            <v>First American</v>
          </cell>
          <cell r="D2340">
            <v>43.358699999999999</v>
          </cell>
        </row>
        <row r="2341">
          <cell r="C2341" t="str">
            <v>Cathay Pacific</v>
          </cell>
          <cell r="D2341">
            <v>116.65</v>
          </cell>
        </row>
        <row r="2342">
          <cell r="C2342" t="str">
            <v>A1 Telekom Austria</v>
          </cell>
          <cell r="D2342">
            <v>196.7</v>
          </cell>
        </row>
        <row r="2343">
          <cell r="C2343" t="str">
            <v>IHI Corporation</v>
          </cell>
          <cell r="D2343">
            <v>38.820099999999996</v>
          </cell>
        </row>
        <row r="2344">
          <cell r="C2344" t="str">
            <v>Lear Corporation</v>
          </cell>
          <cell r="D2344">
            <v>49.88</v>
          </cell>
        </row>
        <row r="2345">
          <cell r="C2345" t="str">
            <v>Watts Water Technologies</v>
          </cell>
          <cell r="D2345">
            <v>62.67</v>
          </cell>
        </row>
        <row r="2346">
          <cell r="C2346" t="str">
            <v>Canadian Apartment Properties REIT</v>
          </cell>
          <cell r="D2346">
            <v>42.798699999999997</v>
          </cell>
        </row>
        <row r="2347">
          <cell r="C2347" t="str">
            <v>Flowserve</v>
          </cell>
          <cell r="D2347">
            <v>24.086600000000001</v>
          </cell>
        </row>
        <row r="2348">
          <cell r="C2348" t="str">
            <v>Robert Half</v>
          </cell>
          <cell r="D2348">
            <v>17.8</v>
          </cell>
        </row>
        <row r="2349">
          <cell r="C2349" t="str">
            <v>Neoen</v>
          </cell>
          <cell r="D2349">
            <v>47.36</v>
          </cell>
        </row>
        <row r="2350">
          <cell r="C2350" t="str">
            <v>Lumine Group</v>
          </cell>
          <cell r="D2350">
            <v>33749</v>
          </cell>
        </row>
        <row r="2351">
          <cell r="C2351" t="str">
            <v>Healthcare Realty</v>
          </cell>
          <cell r="D2351">
            <v>170459</v>
          </cell>
        </row>
        <row r="2352">
          <cell r="C2352" t="str">
            <v>Lattice Semiconductor</v>
          </cell>
          <cell r="D2352">
            <v>18.98</v>
          </cell>
        </row>
        <row r="2353">
          <cell r="C2353" t="str">
            <v>Balkrishna Industries</v>
          </cell>
          <cell r="D2353">
            <v>29.040299999999998</v>
          </cell>
        </row>
        <row r="2354">
          <cell r="C2354" t="str">
            <v>Canadian Tire</v>
          </cell>
          <cell r="D2354">
            <v>65.104500000000002</v>
          </cell>
        </row>
        <row r="2355">
          <cell r="C2355" t="str">
            <v>Mattel</v>
          </cell>
          <cell r="D2355">
            <v>198.74</v>
          </cell>
        </row>
        <row r="2356">
          <cell r="C2356" t="str">
            <v>Kobe Bussan</v>
          </cell>
          <cell r="D2356">
            <v>40.911499999999997</v>
          </cell>
        </row>
        <row r="2357">
          <cell r="C2357" t="str">
            <v>Andritz</v>
          </cell>
          <cell r="D2357">
            <v>0.57999999999999996</v>
          </cell>
        </row>
        <row r="2358">
          <cell r="C2358" t="str">
            <v>Ackermans &amp;amp; Van Haaren</v>
          </cell>
          <cell r="D2358">
            <v>223.55</v>
          </cell>
        </row>
        <row r="2359">
          <cell r="C2359" t="str">
            <v>Holmen</v>
          </cell>
          <cell r="D2359">
            <v>26.74</v>
          </cell>
        </row>
        <row r="2360">
          <cell r="C2360" t="str">
            <v>Multiply Group</v>
          </cell>
          <cell r="D2360">
            <v>79.024199999999993</v>
          </cell>
        </row>
        <row r="2361">
          <cell r="C2361" t="str">
            <v>Nova Measuring Instruments</v>
          </cell>
          <cell r="D2361">
            <v>182.56</v>
          </cell>
        </row>
        <row r="2362">
          <cell r="C2362" t="str">
            <v>Element Solutions</v>
          </cell>
          <cell r="D2362">
            <v>3.61348</v>
          </cell>
        </row>
        <row r="2363">
          <cell r="C2363" t="str">
            <v>Georg Fischer</v>
          </cell>
          <cell r="D2363">
            <v>24.454699999999999</v>
          </cell>
        </row>
        <row r="2364">
          <cell r="C2364" t="str">
            <v>Landstar System</v>
          </cell>
          <cell r="D2364">
            <v>28.116099999999999</v>
          </cell>
        </row>
        <row r="2365">
          <cell r="C2365" t="str">
            <v>Endeavour Group</v>
          </cell>
          <cell r="D2365">
            <v>2.0499999999999998</v>
          </cell>
        </row>
        <row r="2366">
          <cell r="C2366" t="str">
            <v>United Breweries</v>
          </cell>
          <cell r="D2366">
            <v>43.207700000000003</v>
          </cell>
        </row>
        <row r="2367">
          <cell r="C2367" t="str">
            <v>Ramsay Health Care</v>
          </cell>
          <cell r="D2367">
            <v>51.508800000000001</v>
          </cell>
        </row>
        <row r="2368">
          <cell r="C2368" t="str">
            <v>Cemig</v>
          </cell>
          <cell r="D2368">
            <v>7.0942800000000004</v>
          </cell>
        </row>
        <row r="2369">
          <cell r="C2369" t="str">
            <v>PUMA</v>
          </cell>
          <cell r="D2369">
            <v>1.75092</v>
          </cell>
        </row>
        <row r="2370">
          <cell r="C2370" t="str">
            <v>Colruyt</v>
          </cell>
          <cell r="D2370">
            <v>4.2555500000000004</v>
          </cell>
        </row>
        <row r="2371">
          <cell r="C2371" t="str">
            <v>Savola Group</v>
          </cell>
          <cell r="D2371">
            <v>3.1373500000000001</v>
          </cell>
        </row>
        <row r="2372">
          <cell r="C2372" t="str">
            <v>United Tractors</v>
          </cell>
          <cell r="D2372">
            <v>33.898699999999998</v>
          </cell>
        </row>
        <row r="2373">
          <cell r="C2373" t="str">
            <v>L'Occitane International</v>
          </cell>
          <cell r="D2373">
            <v>141.86000000000001</v>
          </cell>
        </row>
        <row r="2374">
          <cell r="C2374" t="str">
            <v>Convatec Group</v>
          </cell>
          <cell r="D2374">
            <v>80.0107</v>
          </cell>
        </row>
        <row r="2375">
          <cell r="C2375" t="str">
            <v>Komerční banka</v>
          </cell>
          <cell r="D2375">
            <v>196981</v>
          </cell>
        </row>
        <row r="2376">
          <cell r="C2376" t="str">
            <v>SiteOne Landscape Supply</v>
          </cell>
          <cell r="D2376">
            <v>1.40422</v>
          </cell>
        </row>
        <row r="2377">
          <cell r="C2377" t="str">
            <v>SAL Saudi Logistics Services</v>
          </cell>
          <cell r="D2377">
            <v>21.05</v>
          </cell>
        </row>
        <row r="2378">
          <cell r="C2378" t="str">
            <v>Procter &amp;amp; Gamble India</v>
          </cell>
          <cell r="D2378">
            <v>3.3292700000000002</v>
          </cell>
        </row>
        <row r="2379">
          <cell r="C2379" t="str">
            <v>Bank of India</v>
          </cell>
          <cell r="D2379">
            <v>121.55</v>
          </cell>
        </row>
        <row r="2380">
          <cell r="C2380" t="str">
            <v>Yakult</v>
          </cell>
          <cell r="D2380">
            <v>55.09</v>
          </cell>
        </row>
        <row r="2381">
          <cell r="C2381" t="str">
            <v>GPT Group</v>
          </cell>
          <cell r="D2381">
            <v>56.6</v>
          </cell>
        </row>
        <row r="2382">
          <cell r="C2382" t="str">
            <v>Modine Manufacturing</v>
          </cell>
          <cell r="D2382">
            <v>104.97</v>
          </cell>
        </row>
        <row r="2383">
          <cell r="C2383" t="str">
            <v>Etsy</v>
          </cell>
          <cell r="D2383">
            <v>1.5005200000000001</v>
          </cell>
        </row>
        <row r="2384">
          <cell r="C2384" t="str">
            <v>Varonis</v>
          </cell>
          <cell r="D2384">
            <v>15.1564</v>
          </cell>
        </row>
        <row r="2385">
          <cell r="C2385" t="str">
            <v>ESAB</v>
          </cell>
          <cell r="D2385">
            <v>19.850000000000001</v>
          </cell>
        </row>
        <row r="2386">
          <cell r="C2386" t="str">
            <v>China Merchants Port</v>
          </cell>
          <cell r="D2386">
            <v>0.72894700000000001</v>
          </cell>
        </row>
        <row r="2387">
          <cell r="C2387" t="str">
            <v>Sekisui Chemical</v>
          </cell>
          <cell r="D2387">
            <v>83.798500000000004</v>
          </cell>
        </row>
        <row r="2388">
          <cell r="C2388" t="str">
            <v>Old National Bank</v>
          </cell>
          <cell r="D2388">
            <v>2.3521000000000001</v>
          </cell>
        </row>
        <row r="2389">
          <cell r="C2389" t="str">
            <v>Central Bank of India</v>
          </cell>
          <cell r="D2389">
            <v>42.085599999999999</v>
          </cell>
        </row>
        <row r="2390">
          <cell r="C2390" t="str">
            <v>Hyundai Glovis</v>
          </cell>
          <cell r="D2390">
            <v>13.27</v>
          </cell>
        </row>
        <row r="2391">
          <cell r="C2391" t="str">
            <v>SITC International</v>
          </cell>
          <cell r="D2391">
            <v>3.8445900000000002</v>
          </cell>
        </row>
        <row r="2392">
          <cell r="C2392" t="str">
            <v>The Company for Cooperative Insurance</v>
          </cell>
          <cell r="D2392">
            <v>45.48</v>
          </cell>
        </row>
        <row r="2393">
          <cell r="C2393" t="str">
            <v>Icahn Enterprises</v>
          </cell>
          <cell r="D2393">
            <v>17.287500000000001</v>
          </cell>
        </row>
        <row r="2394">
          <cell r="C2394" t="str">
            <v>Vanguard International Semiconductor</v>
          </cell>
          <cell r="D2394">
            <v>83.71</v>
          </cell>
        </row>
        <row r="2395">
          <cell r="C2395" t="str">
            <v>Squarespace</v>
          </cell>
          <cell r="D2395">
            <v>145.24</v>
          </cell>
        </row>
        <row r="2396">
          <cell r="C2396" t="str">
            <v>OPAP (Organization of Football Prognostics)</v>
          </cell>
          <cell r="D2396">
            <v>55.709099999999999</v>
          </cell>
        </row>
        <row r="2397">
          <cell r="C2397" t="str">
            <v>KB Home</v>
          </cell>
          <cell r="D2397">
            <v>222.31</v>
          </cell>
        </row>
        <row r="2398">
          <cell r="C2398" t="str">
            <v>Ryder</v>
          </cell>
          <cell r="D2398">
            <v>7.73447</v>
          </cell>
        </row>
        <row r="2399">
          <cell r="C2399" t="str">
            <v>Covivio</v>
          </cell>
          <cell r="D2399">
            <v>62.1511</v>
          </cell>
        </row>
        <row r="2400">
          <cell r="C2400" t="str">
            <v>Installed Building Products</v>
          </cell>
          <cell r="D2400">
            <v>107.86</v>
          </cell>
        </row>
        <row r="2401">
          <cell r="C2401" t="str">
            <v>Treasury Wine Estates</v>
          </cell>
          <cell r="D2401">
            <v>33.229999999999997</v>
          </cell>
        </row>
        <row r="2402">
          <cell r="C2402" t="str">
            <v>Toyo Suisan</v>
          </cell>
          <cell r="D2402">
            <v>117.52</v>
          </cell>
        </row>
        <row r="2403">
          <cell r="C2403" t="str">
            <v>Casella Waste Systems</v>
          </cell>
          <cell r="D2403">
            <v>1.5904</v>
          </cell>
        </row>
        <row r="2404">
          <cell r="C2404" t="str">
            <v>Embraer</v>
          </cell>
          <cell r="D2404">
            <v>54.7</v>
          </cell>
        </row>
        <row r="2405">
          <cell r="C2405" t="str">
            <v>Masimo</v>
          </cell>
          <cell r="D2405">
            <v>19.9999</v>
          </cell>
        </row>
        <row r="2406">
          <cell r="C2406" t="str">
            <v>SJVN</v>
          </cell>
          <cell r="D2406">
            <v>3.3563399999999999</v>
          </cell>
        </row>
        <row r="2407">
          <cell r="C2407" t="str">
            <v>StepStone Group</v>
          </cell>
          <cell r="D2407">
            <v>7.05</v>
          </cell>
        </row>
        <row r="2408">
          <cell r="C2408" t="str">
            <v>SCSK Corporation</v>
          </cell>
          <cell r="D2408">
            <v>13.06</v>
          </cell>
        </row>
        <row r="2409">
          <cell r="C2409" t="str">
            <v>TPG Telecom</v>
          </cell>
          <cell r="D2409">
            <v>0.55168300000000003</v>
          </cell>
        </row>
        <row r="2410">
          <cell r="C2410" t="str">
            <v>Turkcell</v>
          </cell>
          <cell r="D2410">
            <v>34626</v>
          </cell>
        </row>
        <row r="2411">
          <cell r="C2411" t="str">
            <v>Cleveland-Cliffs</v>
          </cell>
          <cell r="D2411">
            <v>9.8452300000000008</v>
          </cell>
        </row>
        <row r="2412">
          <cell r="C2412" t="str">
            <v>Chang Hwa Commercial Bank</v>
          </cell>
          <cell r="D2412">
            <v>13.4872</v>
          </cell>
        </row>
        <row r="2413">
          <cell r="C2413" t="str">
            <v>EVN Group</v>
          </cell>
          <cell r="D2413">
            <v>103.96</v>
          </cell>
        </row>
        <row r="2414">
          <cell r="C2414" t="str">
            <v>Beazley</v>
          </cell>
          <cell r="D2414">
            <v>4.9736099999999999</v>
          </cell>
        </row>
        <row r="2415">
          <cell r="C2415" t="str">
            <v>Ebara Corporation</v>
          </cell>
          <cell r="D2415">
            <v>78.7</v>
          </cell>
        </row>
        <row r="2416">
          <cell r="C2416" t="str">
            <v>Ryman Hospitality Properties</v>
          </cell>
          <cell r="D2416">
            <v>2.9726499999999998</v>
          </cell>
        </row>
        <row r="2417">
          <cell r="C2417" t="str">
            <v>Australian Foundation Investment Company</v>
          </cell>
          <cell r="D2417">
            <v>0.38603100000000001</v>
          </cell>
        </row>
        <row r="2418">
          <cell r="C2418" t="str">
            <v>Wyndham Hotels &amp;amp; Resorts</v>
          </cell>
          <cell r="D2418">
            <v>24.035499999999999</v>
          </cell>
        </row>
        <row r="2419">
          <cell r="C2419" t="str">
            <v>Vinamilk (Vietnam Dairy Products)</v>
          </cell>
          <cell r="D2419">
            <v>2.8365900000000002</v>
          </cell>
        </row>
        <row r="2420">
          <cell r="C2420" t="str">
            <v>Alibaba Health Information Technology</v>
          </cell>
          <cell r="D2420">
            <v>20.9697</v>
          </cell>
        </row>
        <row r="2421">
          <cell r="C2421" t="str">
            <v>IMI plc</v>
          </cell>
          <cell r="D2421">
            <v>53.59</v>
          </cell>
        </row>
        <row r="2422">
          <cell r="C2422" t="str">
            <v>JAC Motors</v>
          </cell>
          <cell r="D2422">
            <v>42.63</v>
          </cell>
        </row>
        <row r="2423">
          <cell r="C2423" t="str">
            <v>Coromandel</v>
          </cell>
          <cell r="D2423">
            <v>8.2634299999999996</v>
          </cell>
        </row>
        <row r="2424">
          <cell r="C2424" t="str">
            <v>Commercial Metals Company</v>
          </cell>
          <cell r="D2424">
            <v>13.9802</v>
          </cell>
        </row>
        <row r="2425">
          <cell r="C2425" t="str">
            <v>The AZEK Company</v>
          </cell>
          <cell r="D2425">
            <v>22.891100000000002</v>
          </cell>
        </row>
        <row r="2426">
          <cell r="C2426" t="str">
            <v>Land Securities Group</v>
          </cell>
          <cell r="D2426">
            <v>82.361800000000002</v>
          </cell>
        </row>
        <row r="2427">
          <cell r="C2427" t="str">
            <v>BlueScope Steel</v>
          </cell>
          <cell r="D2427">
            <v>10.398400000000001</v>
          </cell>
        </row>
        <row r="2428">
          <cell r="C2428" t="str">
            <v>Astral Poly Technik</v>
          </cell>
          <cell r="D2428">
            <v>12.569100000000001</v>
          </cell>
        </row>
        <row r="2429">
          <cell r="C2429" t="str">
            <v>eMemory Technology</v>
          </cell>
          <cell r="D2429">
            <v>114955</v>
          </cell>
        </row>
        <row r="2430">
          <cell r="C2430" t="str">
            <v>Ricoh Company</v>
          </cell>
          <cell r="D2430">
            <v>9.67</v>
          </cell>
        </row>
        <row r="2431">
          <cell r="C2431" t="str">
            <v>Unite Group (Unite Students)</v>
          </cell>
          <cell r="D2431">
            <v>144251</v>
          </cell>
        </row>
        <row r="2432">
          <cell r="C2432" t="str">
            <v>DiaSorin</v>
          </cell>
          <cell r="D2432">
            <v>7.4920900000000001</v>
          </cell>
        </row>
        <row r="2433">
          <cell r="C2433" t="str">
            <v>Harmony Gold</v>
          </cell>
          <cell r="D2433">
            <v>8.2137700000000002</v>
          </cell>
        </row>
        <row r="2434">
          <cell r="C2434" t="str">
            <v>Hitachi Energy India</v>
          </cell>
          <cell r="D2434">
            <v>17.3583</v>
          </cell>
        </row>
        <row r="2435">
          <cell r="C2435" t="str">
            <v>ALD Automotive</v>
          </cell>
          <cell r="D2435">
            <v>24.78</v>
          </cell>
        </row>
        <row r="2436">
          <cell r="C2436" t="str">
            <v>AU Small Finance Bank</v>
          </cell>
          <cell r="D2436">
            <v>1.2580899999999999</v>
          </cell>
        </row>
        <row r="2437">
          <cell r="C2437" t="str">
            <v>Korean Air Lines</v>
          </cell>
          <cell r="D2437">
            <v>7.63</v>
          </cell>
        </row>
        <row r="2438">
          <cell r="C2438" t="str">
            <v>Clearwater Analytics</v>
          </cell>
          <cell r="D2438">
            <v>1.13306</v>
          </cell>
        </row>
        <row r="2439">
          <cell r="C2439" t="str">
            <v>Shanghai Commercial and Savings Bank</v>
          </cell>
          <cell r="D2439">
            <v>206.94</v>
          </cell>
        </row>
        <row r="2440">
          <cell r="C2440" t="str">
            <v>MOL Group</v>
          </cell>
          <cell r="D2440">
            <v>34.82</v>
          </cell>
        </row>
        <row r="2441">
          <cell r="C2441" t="str">
            <v>Far Eastern New Century</v>
          </cell>
          <cell r="D2441">
            <v>6.07273</v>
          </cell>
        </row>
        <row r="2442">
          <cell r="C2442" t="str">
            <v>Badger Meter</v>
          </cell>
          <cell r="D2442">
            <v>70.88</v>
          </cell>
        </row>
        <row r="2443">
          <cell r="C2443" t="str">
            <v>Rubrik</v>
          </cell>
          <cell r="D2443">
            <v>95.54</v>
          </cell>
        </row>
        <row r="2444">
          <cell r="C2444" t="str">
            <v>Pirelli</v>
          </cell>
          <cell r="D2444">
            <v>2.0097399999999999</v>
          </cell>
        </row>
        <row r="2445">
          <cell r="C2445" t="str">
            <v>Pegasystems</v>
          </cell>
          <cell r="D2445">
            <v>93.81</v>
          </cell>
        </row>
        <row r="2446">
          <cell r="C2446" t="str">
            <v>Blueprint Medicines</v>
          </cell>
          <cell r="D2446">
            <v>0.76226899999999997</v>
          </cell>
        </row>
        <row r="2447">
          <cell r="C2447" t="str">
            <v>Pilbara Minerals</v>
          </cell>
          <cell r="D2447">
            <v>39.67</v>
          </cell>
        </row>
        <row r="2448">
          <cell r="C2448" t="str">
            <v>Mr. Cooper Group</v>
          </cell>
          <cell r="D2448">
            <v>50.92</v>
          </cell>
        </row>
        <row r="2449">
          <cell r="C2449" t="str">
            <v>VPBank (Vietnam Prosperity Joint Stock Commercial Bank)</v>
          </cell>
          <cell r="D2449">
            <v>127.59</v>
          </cell>
        </row>
        <row r="2450">
          <cell r="C2450" t="str">
            <v>PACS Group</v>
          </cell>
          <cell r="D2450">
            <v>61.33</v>
          </cell>
        </row>
        <row r="2451">
          <cell r="C2451" t="str">
            <v>Celestica</v>
          </cell>
          <cell r="D2451">
            <v>10.721399999999999</v>
          </cell>
        </row>
        <row r="2452">
          <cell r="C2452" t="str">
            <v>Choice Hotels International</v>
          </cell>
          <cell r="D2452">
            <v>1.10493</v>
          </cell>
        </row>
        <row r="2453">
          <cell r="C2453" t="str">
            <v>Civitas Resources</v>
          </cell>
          <cell r="D2453">
            <v>1.5655399999999999</v>
          </cell>
        </row>
        <row r="2454">
          <cell r="C2454" t="str">
            <v>Yanbu National Petrochemical</v>
          </cell>
          <cell r="D2454">
            <v>0.67972200000000005</v>
          </cell>
        </row>
        <row r="2455">
          <cell r="C2455" t="str">
            <v>EVA Air</v>
          </cell>
          <cell r="D2455">
            <v>5.4620600000000001</v>
          </cell>
        </row>
        <row r="2456">
          <cell r="C2456" t="str">
            <v>Telekom Malaysia</v>
          </cell>
          <cell r="D2456">
            <v>14.38</v>
          </cell>
        </row>
        <row r="2457">
          <cell r="C2457" t="str">
            <v>HK Electric Investments</v>
          </cell>
          <cell r="D2457">
            <v>39.792200000000001</v>
          </cell>
        </row>
        <row r="2458">
          <cell r="C2458" t="str">
            <v>ADES Holding Company</v>
          </cell>
          <cell r="D2458">
            <v>37.61</v>
          </cell>
        </row>
        <row r="2459">
          <cell r="C2459" t="str">
            <v>Bilibili</v>
          </cell>
          <cell r="D2459">
            <v>75771</v>
          </cell>
        </row>
        <row r="2460">
          <cell r="C2460" t="str">
            <v>SCHOTT Pharma</v>
          </cell>
          <cell r="D2460">
            <v>7.08</v>
          </cell>
        </row>
        <row r="2461">
          <cell r="C2461" t="str">
            <v>Janus Henderson</v>
          </cell>
          <cell r="D2461">
            <v>8.6183700000000005</v>
          </cell>
        </row>
        <row r="2462">
          <cell r="C2462" t="str">
            <v>BAWAG Group</v>
          </cell>
          <cell r="D2462">
            <v>13.46</v>
          </cell>
        </row>
        <row r="2463">
          <cell r="C2463" t="str">
            <v>National Marine Dredging</v>
          </cell>
          <cell r="D2463">
            <v>50.05</v>
          </cell>
        </row>
        <row r="2464">
          <cell r="C2464" t="str">
            <v>BOC Aviation</v>
          </cell>
          <cell r="D2464">
            <v>40.67</v>
          </cell>
        </row>
        <row r="2465">
          <cell r="C2465" t="str">
            <v>Aspen Pharmacare</v>
          </cell>
          <cell r="D2465">
            <v>26.6829</v>
          </cell>
        </row>
        <row r="2466">
          <cell r="C2466" t="str">
            <v>GXO Logistics</v>
          </cell>
          <cell r="D2466">
            <v>21.88</v>
          </cell>
        </row>
        <row r="2467">
          <cell r="C2467" t="str">
            <v>Nextracker</v>
          </cell>
          <cell r="D2467">
            <v>17.839600000000001</v>
          </cell>
        </row>
        <row r="2468">
          <cell r="C2468" t="str">
            <v>Warehouses De Pauw</v>
          </cell>
          <cell r="D2468">
            <v>14.11</v>
          </cell>
        </row>
        <row r="2469">
          <cell r="C2469" t="str">
            <v>Stevanato</v>
          </cell>
          <cell r="D2469">
            <v>133746</v>
          </cell>
        </row>
        <row r="2470">
          <cell r="C2470" t="str">
            <v>Vistry Group</v>
          </cell>
          <cell r="D2470">
            <v>95.420199999999994</v>
          </cell>
        </row>
        <row r="2471">
          <cell r="C2471" t="str">
            <v>R1 RCM</v>
          </cell>
          <cell r="D2471">
            <v>31.13</v>
          </cell>
        </row>
        <row r="2472">
          <cell r="C2472" t="str">
            <v>Financière de Tubize</v>
          </cell>
          <cell r="D2472">
            <v>16.3568</v>
          </cell>
        </row>
        <row r="2473">
          <cell r="C2473" t="str">
            <v>Tata Elxsi</v>
          </cell>
          <cell r="D2473">
            <v>35258</v>
          </cell>
        </row>
        <row r="2474">
          <cell r="C2474" t="str">
            <v>ChampionX</v>
          </cell>
          <cell r="D2474">
            <v>39.17</v>
          </cell>
        </row>
        <row r="2475">
          <cell r="C2475" t="str">
            <v>Sweco</v>
          </cell>
          <cell r="D2475">
            <v>84.53</v>
          </cell>
        </row>
        <row r="2476">
          <cell r="C2476" t="str">
            <v>Luberef (Saudi Aramco Base Oil Company)</v>
          </cell>
          <cell r="D2476">
            <v>58.28</v>
          </cell>
        </row>
        <row r="2477">
          <cell r="C2477" t="str">
            <v>Galicia Financial Group</v>
          </cell>
          <cell r="D2477">
            <v>4.59</v>
          </cell>
        </row>
        <row r="2478">
          <cell r="C2478" t="str">
            <v>Timken Company</v>
          </cell>
          <cell r="D2478">
            <v>149928</v>
          </cell>
        </row>
        <row r="2479">
          <cell r="C2479" t="str">
            <v>Red Rock Resorts</v>
          </cell>
          <cell r="D2479">
            <v>49.41</v>
          </cell>
        </row>
        <row r="2480">
          <cell r="C2480" t="str">
            <v>Israel Chemicals</v>
          </cell>
          <cell r="D2480">
            <v>46.74</v>
          </cell>
        </row>
        <row r="2481">
          <cell r="C2481" t="str">
            <v>VZ Holding</v>
          </cell>
          <cell r="D2481">
            <v>151811</v>
          </cell>
        </row>
        <row r="2482">
          <cell r="C2482" t="str">
            <v>OneMain Financial</v>
          </cell>
          <cell r="D2482">
            <v>0.71</v>
          </cell>
        </row>
        <row r="2483">
          <cell r="C2483" t="str">
            <v>National Storage</v>
          </cell>
          <cell r="D2483">
            <v>36.54</v>
          </cell>
        </row>
        <row r="2484">
          <cell r="C2484" t="str">
            <v>SFS Group</v>
          </cell>
          <cell r="D2484">
            <v>32.28</v>
          </cell>
        </row>
        <row r="2485">
          <cell r="C2485" t="str">
            <v>Fertiglobe</v>
          </cell>
          <cell r="D2485">
            <v>53.843499999999999</v>
          </cell>
        </row>
        <row r="2486">
          <cell r="C2486" t="str">
            <v>EXL Service</v>
          </cell>
          <cell r="D2486">
            <v>38.69</v>
          </cell>
        </row>
        <row r="2487">
          <cell r="C2487" t="str">
            <v>Cadence Bancorp</v>
          </cell>
          <cell r="D2487">
            <v>157732</v>
          </cell>
        </row>
        <row r="2488">
          <cell r="C2488" t="str">
            <v>JB Hi-Fi</v>
          </cell>
          <cell r="D2488">
            <v>0.63186799999999999</v>
          </cell>
        </row>
        <row r="2489">
          <cell r="C2489" t="str">
            <v>Vertex</v>
          </cell>
          <cell r="D2489">
            <v>21.648399999999999</v>
          </cell>
        </row>
        <row r="2490">
          <cell r="C2490" t="str">
            <v>Reply</v>
          </cell>
          <cell r="D2490">
            <v>52.152099999999997</v>
          </cell>
        </row>
        <row r="2491">
          <cell r="C2491" t="str">
            <v>Masraf Al Rayan</v>
          </cell>
          <cell r="D2491">
            <v>26.516300000000001</v>
          </cell>
        </row>
        <row r="2492">
          <cell r="C2492" t="str">
            <v>KPIT Technologies</v>
          </cell>
          <cell r="D2492">
            <v>34.567900000000002</v>
          </cell>
        </row>
        <row r="2493">
          <cell r="C2493" t="str">
            <v>Thermax</v>
          </cell>
          <cell r="D2493">
            <v>54.56</v>
          </cell>
        </row>
        <row r="2494">
          <cell r="C2494" t="str">
            <v>ALK-Abelló</v>
          </cell>
          <cell r="D2494">
            <v>5.8415100000000004</v>
          </cell>
        </row>
        <row r="2495">
          <cell r="C2495" t="str">
            <v>TOTO</v>
          </cell>
          <cell r="D2495">
            <v>12.017899999999999</v>
          </cell>
        </row>
        <row r="2496">
          <cell r="C2496" t="str">
            <v>Bill.com</v>
          </cell>
          <cell r="D2496">
            <v>11.94</v>
          </cell>
        </row>
        <row r="2497">
          <cell r="C2497" t="str">
            <v>B&amp;M European Value Retail</v>
          </cell>
          <cell r="D2497">
            <v>137968</v>
          </cell>
        </row>
        <row r="2498">
          <cell r="C2498" t="str">
            <v>Orica</v>
          </cell>
          <cell r="D2498">
            <v>0.26439699999999999</v>
          </cell>
        </row>
        <row r="2499">
          <cell r="C2499" t="str">
            <v>Rithm Capital</v>
          </cell>
          <cell r="D2499">
            <v>43.851199999999999</v>
          </cell>
        </row>
        <row r="2500">
          <cell r="C2500" t="str">
            <v>HYBE</v>
          </cell>
          <cell r="D2500">
            <v>37.04</v>
          </cell>
        </row>
        <row r="2501">
          <cell r="C2501" t="str">
            <v>Telecom Italia</v>
          </cell>
          <cell r="D2501">
            <v>3.5058099999999999</v>
          </cell>
        </row>
        <row r="2502">
          <cell r="C2502" t="str">
            <v>McDonald's Japan</v>
          </cell>
          <cell r="D2502">
            <v>20.653700000000001</v>
          </cell>
        </row>
        <row r="2503">
          <cell r="C2503" t="str">
            <v>Chiba Bank</v>
          </cell>
          <cell r="D2503">
            <v>38.741300000000003</v>
          </cell>
        </row>
        <row r="2504">
          <cell r="C2504" t="str">
            <v>Quiñenco</v>
          </cell>
          <cell r="D2504">
            <v>26.08</v>
          </cell>
        </row>
        <row r="2505">
          <cell r="C2505" t="str">
            <v>Glenmark Pharmaceuticals</v>
          </cell>
          <cell r="D2505">
            <v>26.95</v>
          </cell>
        </row>
        <row r="2506">
          <cell r="C2506" t="str">
            <v>Avolta AG</v>
          </cell>
          <cell r="D2506">
            <v>38.549999999999997</v>
          </cell>
        </row>
        <row r="2507">
          <cell r="C2507" t="str">
            <v>Kite Realty</v>
          </cell>
          <cell r="D2507">
            <v>24.715399999999999</v>
          </cell>
        </row>
        <row r="2508">
          <cell r="C2508" t="str">
            <v>PLDT</v>
          </cell>
          <cell r="D2508">
            <v>107142</v>
          </cell>
        </row>
        <row r="2509">
          <cell r="C2509" t="str">
            <v>Sensata Technologies</v>
          </cell>
          <cell r="D2509">
            <v>26.41</v>
          </cell>
        </row>
        <row r="2510">
          <cell r="C2510" t="str">
            <v>Elis</v>
          </cell>
          <cell r="D2510">
            <v>1.40649</v>
          </cell>
        </row>
        <row r="2511">
          <cell r="C2511" t="str">
            <v>SK Group</v>
          </cell>
          <cell r="D2511">
            <v>4015.71</v>
          </cell>
        </row>
        <row r="2512">
          <cell r="C2512" t="str">
            <v>Zeta Global</v>
          </cell>
          <cell r="D2512">
            <v>34.909999999999997</v>
          </cell>
        </row>
        <row r="2513">
          <cell r="C2513" t="str">
            <v>Ola Electric Mobility</v>
          </cell>
          <cell r="D2513">
            <v>1.6133500000000001</v>
          </cell>
        </row>
        <row r="2514">
          <cell r="C2514" t="str">
            <v>Japan Real Estate Investment</v>
          </cell>
          <cell r="D2514">
            <v>2.79</v>
          </cell>
        </row>
        <row r="2515">
          <cell r="C2515" t="str">
            <v>Credo Technology</v>
          </cell>
          <cell r="D2515">
            <v>24922</v>
          </cell>
        </row>
        <row r="2516">
          <cell r="C2516" t="str">
            <v>Becle</v>
          </cell>
          <cell r="D2516">
            <v>16.43</v>
          </cell>
        </row>
        <row r="2517">
          <cell r="C2517" t="str">
            <v>WuXi Biologics</v>
          </cell>
          <cell r="D2517">
            <v>94.49</v>
          </cell>
        </row>
        <row r="2518">
          <cell r="C2518" t="str">
            <v>TIS</v>
          </cell>
          <cell r="D2518">
            <v>1.2708900000000001</v>
          </cell>
        </row>
        <row r="2519">
          <cell r="C2519" t="str">
            <v>Bausch + Lomb</v>
          </cell>
          <cell r="D2519">
            <v>26.030799999999999</v>
          </cell>
        </row>
        <row r="2520">
          <cell r="C2520" t="str">
            <v>Federal Signal</v>
          </cell>
          <cell r="D2520">
            <v>0.93098700000000001</v>
          </cell>
        </row>
        <row r="2521">
          <cell r="C2521" t="str">
            <v>New Hope Liuhe</v>
          </cell>
          <cell r="D2521">
            <v>24.805499999999999</v>
          </cell>
        </row>
        <row r="2522">
          <cell r="C2522" t="str">
            <v>Hikma Pharmaceuticals</v>
          </cell>
          <cell r="D2522">
            <v>285.76</v>
          </cell>
        </row>
        <row r="2523">
          <cell r="C2523" t="str">
            <v>IOI Corporation Berhad</v>
          </cell>
          <cell r="D2523">
            <v>105.11</v>
          </cell>
        </row>
        <row r="2524">
          <cell r="C2524" t="str">
            <v>Quebecor</v>
          </cell>
          <cell r="D2524">
            <v>24.548400000000001</v>
          </cell>
        </row>
        <row r="2525">
          <cell r="C2525" t="str">
            <v>Valmont Industries</v>
          </cell>
          <cell r="D2525">
            <v>22.35</v>
          </cell>
        </row>
        <row r="2526">
          <cell r="C2526" t="str">
            <v>Cabot Corporation</v>
          </cell>
          <cell r="D2526">
            <v>7.2933500000000002</v>
          </cell>
        </row>
        <row r="2527">
          <cell r="C2527" t="str">
            <v>Nestle Malaysia</v>
          </cell>
          <cell r="D2527">
            <v>26.638200000000001</v>
          </cell>
        </row>
        <row r="2528">
          <cell r="C2528" t="str">
            <v>Organon</v>
          </cell>
          <cell r="D2528">
            <v>34.42</v>
          </cell>
        </row>
        <row r="2529">
          <cell r="C2529" t="str">
            <v>Rightmove</v>
          </cell>
          <cell r="D2529">
            <v>203.76</v>
          </cell>
        </row>
        <row r="2530">
          <cell r="C2530" t="str">
            <v>Axfood</v>
          </cell>
          <cell r="D2530">
            <v>177.03</v>
          </cell>
        </row>
        <row r="2531">
          <cell r="C2531" t="str">
            <v>Global-e</v>
          </cell>
          <cell r="D2531">
            <v>35</v>
          </cell>
        </row>
        <row r="2532">
          <cell r="C2532" t="str">
            <v>AeroVironment</v>
          </cell>
          <cell r="D2532">
            <v>7.2177699999999998</v>
          </cell>
        </row>
        <row r="2533">
          <cell r="C2533" t="str">
            <v>Balchem</v>
          </cell>
          <cell r="D2533">
            <v>466.53</v>
          </cell>
        </row>
        <row r="2534">
          <cell r="C2534" t="str">
            <v>Globe Telecom, Inc.</v>
          </cell>
          <cell r="D2534">
            <v>33.939799999999998</v>
          </cell>
        </row>
        <row r="2535">
          <cell r="C2535" t="str">
            <v>Bumrungrad Hospital</v>
          </cell>
          <cell r="D2535">
            <v>1315.7</v>
          </cell>
        </row>
        <row r="2536">
          <cell r="C2536" t="str">
            <v>Credit Acceptance</v>
          </cell>
          <cell r="D2536">
            <v>22</v>
          </cell>
        </row>
        <row r="2537">
          <cell r="C2537" t="str">
            <v>Adecco Group</v>
          </cell>
          <cell r="D2537">
            <v>37.28</v>
          </cell>
        </row>
        <row r="2538">
          <cell r="C2538" t="str">
            <v>Siegfried Holding</v>
          </cell>
          <cell r="D2538">
            <v>4.0939199999999998</v>
          </cell>
        </row>
        <row r="2539">
          <cell r="C2539" t="str">
            <v>Metropolitan Bank (Metrobank)</v>
          </cell>
          <cell r="D2539">
            <v>107.26</v>
          </cell>
        </row>
        <row r="2540">
          <cell r="C2540" t="str">
            <v>Murphy Oil</v>
          </cell>
          <cell r="D2540">
            <v>2.8691300000000002</v>
          </cell>
        </row>
        <row r="2541">
          <cell r="C2541" t="str">
            <v>Mercury NZ</v>
          </cell>
          <cell r="D2541">
            <v>17.88</v>
          </cell>
        </row>
        <row r="2542">
          <cell r="C2542" t="str">
            <v>Thor Industries</v>
          </cell>
          <cell r="D2542">
            <v>15539</v>
          </cell>
        </row>
        <row r="2543">
          <cell r="C2543" t="str">
            <v>Evolution Mining</v>
          </cell>
          <cell r="D2543">
            <v>0.45329700000000001</v>
          </cell>
        </row>
        <row r="2544">
          <cell r="C2544" t="str">
            <v>CAE</v>
          </cell>
          <cell r="D2544">
            <v>28.96</v>
          </cell>
        </row>
        <row r="2545">
          <cell r="C2545" t="str">
            <v>Bharat Dynamics</v>
          </cell>
          <cell r="D2545">
            <v>2.3220900000000002</v>
          </cell>
        </row>
        <row r="2546">
          <cell r="C2546" t="str">
            <v>Mesaieed Petrochemical Holding Company</v>
          </cell>
          <cell r="D2546">
            <v>104565</v>
          </cell>
        </row>
        <row r="2547">
          <cell r="C2547" t="str">
            <v>Clearway Energy</v>
          </cell>
          <cell r="D2547">
            <v>93.0762</v>
          </cell>
        </row>
        <row r="2548">
          <cell r="C2548" t="str">
            <v>Federal Bank</v>
          </cell>
          <cell r="D2548">
            <v>2.0268000000000002</v>
          </cell>
        </row>
        <row r="2549">
          <cell r="C2549" t="str">
            <v>Groupe SEB</v>
          </cell>
          <cell r="D2549">
            <v>8.5810899999999997</v>
          </cell>
        </row>
        <row r="2550">
          <cell r="C2550" t="str">
            <v>Amorepacific</v>
          </cell>
          <cell r="D2550">
            <v>14.770799999999999</v>
          </cell>
        </row>
        <row r="2551">
          <cell r="C2551" t="str">
            <v>Cencosud</v>
          </cell>
          <cell r="D2551">
            <v>6.9525800000000002</v>
          </cell>
        </row>
        <row r="2552">
          <cell r="C2552" t="str">
            <v>Discovery Limited</v>
          </cell>
          <cell r="D2552">
            <v>39.08</v>
          </cell>
        </row>
        <row r="2553">
          <cell r="C2553" t="str">
            <v>Silergy</v>
          </cell>
          <cell r="D2553">
            <v>20.23</v>
          </cell>
        </row>
        <row r="2554">
          <cell r="C2554" t="str">
            <v>Ayvens</v>
          </cell>
          <cell r="D2554">
            <v>12.46</v>
          </cell>
        </row>
        <row r="2555">
          <cell r="C2555" t="str">
            <v>Apartment Income REIT</v>
          </cell>
          <cell r="D2555">
            <v>78.810699999999997</v>
          </cell>
        </row>
        <row r="2556">
          <cell r="C2556" t="str">
            <v>FS KKR Capital</v>
          </cell>
          <cell r="D2556">
            <v>20.796500000000002</v>
          </cell>
        </row>
        <row r="2557">
          <cell r="C2557" t="str">
            <v>Kanzhun</v>
          </cell>
          <cell r="D2557">
            <v>0.45785100000000001</v>
          </cell>
        </row>
        <row r="2558">
          <cell r="C2558" t="str">
            <v>Eurazeo</v>
          </cell>
          <cell r="D2558">
            <v>128993</v>
          </cell>
        </row>
        <row r="2559">
          <cell r="C2559" t="str">
            <v>Getinge</v>
          </cell>
          <cell r="D2559">
            <v>0.75551000000000001</v>
          </cell>
        </row>
        <row r="2560">
          <cell r="C2560" t="str">
            <v>China Power International Development</v>
          </cell>
          <cell r="D2560">
            <v>507121</v>
          </cell>
        </row>
        <row r="2561">
          <cell r="C2561" t="str">
            <v>Nexans</v>
          </cell>
          <cell r="D2561">
            <v>75.715699999999998</v>
          </cell>
        </row>
        <row r="2562">
          <cell r="C2562" t="str">
            <v>Hapvida</v>
          </cell>
          <cell r="D2562">
            <v>1.5227299999999999</v>
          </cell>
        </row>
        <row r="2563">
          <cell r="C2563" t="str">
            <v>Page Industries</v>
          </cell>
          <cell r="D2563">
            <v>7.6943599999999996</v>
          </cell>
        </row>
        <row r="2564">
          <cell r="C2564" t="str">
            <v>Scout24</v>
          </cell>
          <cell r="D2564">
            <v>30.352599999999999</v>
          </cell>
        </row>
        <row r="2565">
          <cell r="C2565" t="str">
            <v>Airtel Africa</v>
          </cell>
          <cell r="D2565">
            <v>0.72472300000000001</v>
          </cell>
        </row>
        <row r="2566">
          <cell r="C2566" t="str">
            <v>Saudi International Petrochemical Company (Sipchem)</v>
          </cell>
          <cell r="D2566">
            <v>96.68</v>
          </cell>
        </row>
        <row r="2567">
          <cell r="C2567" t="str">
            <v>Richter Gedeon</v>
          </cell>
          <cell r="D2567">
            <v>100.29</v>
          </cell>
        </row>
        <row r="2568">
          <cell r="C2568" t="str">
            <v>Charoen Pokphand Foods</v>
          </cell>
          <cell r="D2568">
            <v>15.0025</v>
          </cell>
        </row>
        <row r="2569">
          <cell r="C2569" t="str">
            <v>Merit Medical</v>
          </cell>
          <cell r="D2569">
            <v>4.3173899999999996</v>
          </cell>
        </row>
        <row r="2570">
          <cell r="C2570" t="str">
            <v>Whirlpool</v>
          </cell>
          <cell r="D2570">
            <v>195.12</v>
          </cell>
        </row>
        <row r="2571">
          <cell r="C2571" t="str">
            <v>Isetan Mitsukoshi Holdings</v>
          </cell>
          <cell r="D2571">
            <v>70.089299999999994</v>
          </cell>
        </row>
        <row r="2572">
          <cell r="C2572" t="str">
            <v>Adani Wilmar</v>
          </cell>
          <cell r="D2572">
            <v>0.14693500000000001</v>
          </cell>
        </row>
        <row r="2573">
          <cell r="C2573" t="str">
            <v>Krystal Biotech</v>
          </cell>
          <cell r="D2573">
            <v>90.6</v>
          </cell>
        </row>
        <row r="2574">
          <cell r="C2574" t="str">
            <v>Saudi Research and Media Group</v>
          </cell>
          <cell r="D2574">
            <v>4.5</v>
          </cell>
        </row>
        <row r="2575">
          <cell r="C2575" t="str">
            <v>Unilever Indonesia</v>
          </cell>
          <cell r="D2575">
            <v>168.06</v>
          </cell>
        </row>
        <row r="2576">
          <cell r="C2576" t="str">
            <v>Beacon Roofing Supply</v>
          </cell>
          <cell r="D2576">
            <v>31.91</v>
          </cell>
        </row>
        <row r="2577">
          <cell r="C2577" t="str">
            <v>Jollibee</v>
          </cell>
          <cell r="D2577">
            <v>19.899999999999999</v>
          </cell>
        </row>
        <row r="2578">
          <cell r="C2578" t="str">
            <v>TransMedics Group</v>
          </cell>
          <cell r="D2578">
            <v>52.27</v>
          </cell>
        </row>
        <row r="2579">
          <cell r="C2579" t="str">
            <v>Essential Properties Realty Trust</v>
          </cell>
          <cell r="D2579">
            <v>15.5975</v>
          </cell>
        </row>
        <row r="2580">
          <cell r="C2580" t="str">
            <v>Luckin Coffee</v>
          </cell>
          <cell r="D2580">
            <v>92.26</v>
          </cell>
        </row>
        <row r="2581">
          <cell r="C2581" t="str">
            <v>Silgan Holdings</v>
          </cell>
          <cell r="D2581">
            <v>70189</v>
          </cell>
        </row>
        <row r="2582">
          <cell r="C2582" t="str">
            <v>Seek Limited</v>
          </cell>
          <cell r="D2582">
            <v>1039.1400000000001</v>
          </cell>
        </row>
        <row r="2583">
          <cell r="C2583" t="str">
            <v>Maximus</v>
          </cell>
          <cell r="D2583">
            <v>27.84</v>
          </cell>
        </row>
        <row r="2584">
          <cell r="C2584" t="str">
            <v>Konecranes</v>
          </cell>
          <cell r="D2584">
            <v>56.57</v>
          </cell>
        </row>
        <row r="2585">
          <cell r="C2585" t="str">
            <v>Emmi AG</v>
          </cell>
          <cell r="D2585">
            <v>1.0121</v>
          </cell>
        </row>
        <row r="2586">
          <cell r="C2586" t="str">
            <v>Home BancShares</v>
          </cell>
          <cell r="D2586">
            <v>16.332100000000001</v>
          </cell>
        </row>
        <row r="2587">
          <cell r="C2587" t="str">
            <v>Sonoco</v>
          </cell>
          <cell r="D2587">
            <v>27737</v>
          </cell>
        </row>
        <row r="2588">
          <cell r="C2588" t="str">
            <v>CSN Mineração</v>
          </cell>
          <cell r="D2588">
            <v>3.8465799999999999</v>
          </cell>
        </row>
        <row r="2589">
          <cell r="C2589" t="str">
            <v>The Bidvest Group</v>
          </cell>
          <cell r="D2589">
            <v>32.43</v>
          </cell>
        </row>
        <row r="2590">
          <cell r="C2590" t="str">
            <v>Mouwasat Medical Services Company</v>
          </cell>
          <cell r="D2590">
            <v>85.13</v>
          </cell>
        </row>
        <row r="2591">
          <cell r="C2591" t="str">
            <v>Hera Group</v>
          </cell>
          <cell r="D2591">
            <v>126.76</v>
          </cell>
        </row>
        <row r="2592">
          <cell r="C2592" t="str">
            <v>Zurn Water Solutions</v>
          </cell>
          <cell r="D2592">
            <v>35.549999999999997</v>
          </cell>
        </row>
        <row r="2593">
          <cell r="C2593" t="str">
            <v>Nuvalent</v>
          </cell>
          <cell r="D2593">
            <v>90.98</v>
          </cell>
        </row>
        <row r="2594">
          <cell r="C2594" t="str">
            <v>Armstrong World Industries</v>
          </cell>
          <cell r="D2594">
            <v>108</v>
          </cell>
        </row>
        <row r="2595">
          <cell r="C2595" t="str">
            <v>Enact Holdings</v>
          </cell>
          <cell r="D2595">
            <v>5.0393699999999999</v>
          </cell>
        </row>
        <row r="2596">
          <cell r="C2596" t="str">
            <v>Selective Insurance</v>
          </cell>
          <cell r="D2596">
            <v>1.0486</v>
          </cell>
        </row>
        <row r="2597">
          <cell r="C2597" t="str">
            <v>PennyMac</v>
          </cell>
          <cell r="D2597">
            <v>0.45663399999999998</v>
          </cell>
        </row>
        <row r="2598">
          <cell r="C2598" t="str">
            <v>Kuala Lumpur Kepong</v>
          </cell>
          <cell r="D2598">
            <v>45.96</v>
          </cell>
        </row>
        <row r="2599">
          <cell r="C2599" t="str">
            <v>Mapletree Commercial Trust</v>
          </cell>
          <cell r="D2599">
            <v>98.69</v>
          </cell>
        </row>
        <row r="2600">
          <cell r="C2600" t="str">
            <v>PTT Oil and Retail Business</v>
          </cell>
          <cell r="D2600">
            <v>170.88</v>
          </cell>
        </row>
        <row r="2601">
          <cell r="C2601" t="str">
            <v>Vopak</v>
          </cell>
          <cell r="D2601">
            <v>60.02</v>
          </cell>
        </row>
        <row r="2602">
          <cell r="C2602" t="str">
            <v>Phillips-Van Heusen</v>
          </cell>
          <cell r="D2602">
            <v>3.70689</v>
          </cell>
        </row>
        <row r="2603">
          <cell r="C2603" t="str">
            <v>Nexstar Media Group</v>
          </cell>
          <cell r="D2603">
            <v>573.77</v>
          </cell>
        </row>
        <row r="2604">
          <cell r="C2604" t="str">
            <v>Boyd Gaming</v>
          </cell>
          <cell r="D2604">
            <v>338.97</v>
          </cell>
        </row>
        <row r="2605">
          <cell r="C2605" t="str">
            <v>Tianqi Lithium</v>
          </cell>
          <cell r="D2605">
            <v>59.26</v>
          </cell>
        </row>
        <row r="2606">
          <cell r="C2606" t="str">
            <v>NewMarket Corp</v>
          </cell>
          <cell r="D2606">
            <v>320.73</v>
          </cell>
        </row>
        <row r="2607">
          <cell r="C2607" t="str">
            <v>Dillard's</v>
          </cell>
          <cell r="D2607">
            <v>90.44</v>
          </cell>
        </row>
        <row r="2608">
          <cell r="C2608" t="str">
            <v>Stericycle</v>
          </cell>
          <cell r="D2608">
            <v>108.27</v>
          </cell>
        </row>
        <row r="2609">
          <cell r="C2609" t="str">
            <v>CorVel Corporation</v>
          </cell>
          <cell r="D2609">
            <v>89.56</v>
          </cell>
        </row>
        <row r="2610">
          <cell r="C2610" t="str">
            <v>Freedom Holding</v>
          </cell>
          <cell r="D2610">
            <v>1.0467</v>
          </cell>
        </row>
        <row r="2611">
          <cell r="C2611" t="str">
            <v>Exponent</v>
          </cell>
          <cell r="D2611">
            <v>23.69</v>
          </cell>
        </row>
        <row r="2612">
          <cell r="C2612" t="str">
            <v>Ollie's Bargain Outlet</v>
          </cell>
          <cell r="D2612">
            <v>32.020000000000003</v>
          </cell>
        </row>
        <row r="2613">
          <cell r="C2613" t="str">
            <v>Dukhan Bank</v>
          </cell>
          <cell r="D2613">
            <v>32.1</v>
          </cell>
        </row>
        <row r="2614">
          <cell r="C2614" t="str">
            <v>Kyndryl</v>
          </cell>
          <cell r="D2614">
            <v>179.82</v>
          </cell>
        </row>
        <row r="2615">
          <cell r="C2615" t="str">
            <v>Option Care Health</v>
          </cell>
          <cell r="D2615">
            <v>77.373699999999999</v>
          </cell>
        </row>
        <row r="2616">
          <cell r="C2616" t="str">
            <v>Lincoln National Corporation</v>
          </cell>
          <cell r="D2616">
            <v>2.6779000000000002</v>
          </cell>
        </row>
        <row r="2617">
          <cell r="C2617" t="str">
            <v>Inspire Medical Systems</v>
          </cell>
          <cell r="D2617">
            <v>59.76</v>
          </cell>
        </row>
        <row r="2618">
          <cell r="C2618" t="str">
            <v>Oberbank</v>
          </cell>
          <cell r="D2618">
            <v>147342</v>
          </cell>
        </row>
        <row r="2619">
          <cell r="C2619" t="str">
            <v>LondonMetric Property</v>
          </cell>
          <cell r="D2619">
            <v>38.15</v>
          </cell>
        </row>
        <row r="2620">
          <cell r="C2620" t="str">
            <v>National Fuel Gas</v>
          </cell>
          <cell r="D2620">
            <v>6.2970499999999996</v>
          </cell>
        </row>
        <row r="2621">
          <cell r="C2621" t="str">
            <v>Gaztransport &amp; Technigaz</v>
          </cell>
          <cell r="D2621">
            <v>1.38043</v>
          </cell>
        </row>
        <row r="2622">
          <cell r="C2622" t="str">
            <v>Noble Corporation</v>
          </cell>
          <cell r="D2622">
            <v>7.45</v>
          </cell>
        </row>
        <row r="2623">
          <cell r="C2623" t="str">
            <v>Akeso</v>
          </cell>
          <cell r="D2623">
            <v>42.2</v>
          </cell>
        </row>
        <row r="2624">
          <cell r="C2624" t="str">
            <v>Mirvac Group</v>
          </cell>
          <cell r="D2624">
            <v>36.15</v>
          </cell>
        </row>
        <row r="2625">
          <cell r="C2625" t="str">
            <v>Copel</v>
          </cell>
          <cell r="D2625">
            <v>10.305899999999999</v>
          </cell>
        </row>
        <row r="2626">
          <cell r="C2626" t="str">
            <v>Valvoline</v>
          </cell>
          <cell r="D2626">
            <v>0.49119600000000002</v>
          </cell>
        </row>
        <row r="2627">
          <cell r="C2627" t="str">
            <v>Radian Group</v>
          </cell>
          <cell r="D2627">
            <v>43.041899999999998</v>
          </cell>
        </row>
        <row r="2628">
          <cell r="C2628" t="str">
            <v>Worley</v>
          </cell>
          <cell r="D2628">
            <v>54.61</v>
          </cell>
        </row>
        <row r="2629">
          <cell r="C2629" t="str">
            <v>Bosideng</v>
          </cell>
          <cell r="D2629">
            <v>101.91</v>
          </cell>
        </row>
        <row r="2630">
          <cell r="C2630" t="str">
            <v>Bechtle</v>
          </cell>
          <cell r="D2630">
            <v>12.42</v>
          </cell>
        </row>
        <row r="2631">
          <cell r="C2631" t="str">
            <v>Magnit</v>
          </cell>
          <cell r="D2631">
            <v>23.779599999999999</v>
          </cell>
        </row>
        <row r="2632">
          <cell r="C2632" t="str">
            <v>Idacorp</v>
          </cell>
          <cell r="D2632">
            <v>0.59055100000000005</v>
          </cell>
        </row>
        <row r="2633">
          <cell r="C2633" t="str">
            <v>Equitrans Midstream</v>
          </cell>
          <cell r="D2633">
            <v>8.4800299999999993</v>
          </cell>
        </row>
        <row r="2634">
          <cell r="C2634" t="str">
            <v>Rohto Pharmaceutical</v>
          </cell>
          <cell r="D2634">
            <v>0.67156400000000005</v>
          </cell>
        </row>
        <row r="2635">
          <cell r="C2635" t="str">
            <v>Axiata Group</v>
          </cell>
          <cell r="D2635">
            <v>2.58283</v>
          </cell>
        </row>
        <row r="2636">
          <cell r="C2636" t="str">
            <v>Entain</v>
          </cell>
          <cell r="D2636">
            <v>27.037199999999999</v>
          </cell>
        </row>
        <row r="2637">
          <cell r="C2637" t="str">
            <v>Indosat</v>
          </cell>
          <cell r="D2637">
            <v>7.1666800000000004</v>
          </cell>
        </row>
        <row r="2638">
          <cell r="C2638" t="str">
            <v>Sabancı Holding</v>
          </cell>
          <cell r="D2638">
            <v>247.13</v>
          </cell>
        </row>
        <row r="2639">
          <cell r="C2639" t="str">
            <v>AirTAC International</v>
          </cell>
          <cell r="D2639">
            <v>53.873800000000003</v>
          </cell>
        </row>
        <row r="2640">
          <cell r="C2640" t="str">
            <v>Capstone Copper</v>
          </cell>
          <cell r="D2640">
            <v>14.98</v>
          </cell>
        </row>
        <row r="2641">
          <cell r="C2641" t="str">
            <v>Madrigal Pharmaceuticals</v>
          </cell>
          <cell r="D2641">
            <v>4.3196599999999998</v>
          </cell>
        </row>
        <row r="2642">
          <cell r="C2642" t="str">
            <v>Al Rajhi Company for Cooperative Insurance</v>
          </cell>
          <cell r="D2642">
            <v>35.03</v>
          </cell>
        </row>
        <row r="2643">
          <cell r="C2643" t="str">
            <v>F.N.B. Corporation</v>
          </cell>
          <cell r="D2643">
            <v>70.569900000000004</v>
          </cell>
        </row>
        <row r="2644">
          <cell r="C2644" t="str">
            <v>Piraeus Financial Holdings</v>
          </cell>
          <cell r="D2644">
            <v>46.6877</v>
          </cell>
        </row>
        <row r="2645">
          <cell r="C2645" t="str">
            <v>Vontier</v>
          </cell>
          <cell r="D2645">
            <v>93.41</v>
          </cell>
        </row>
        <row r="2646">
          <cell r="C2646" t="str">
            <v>Onex</v>
          </cell>
          <cell r="D2646">
            <v>607.88</v>
          </cell>
        </row>
        <row r="2647">
          <cell r="C2647" t="str">
            <v>S-OIL</v>
          </cell>
          <cell r="D2647">
            <v>120.09</v>
          </cell>
        </row>
        <row r="2648">
          <cell r="C2648" t="str">
            <v>Skyline Champion</v>
          </cell>
          <cell r="D2648">
            <v>24.14</v>
          </cell>
        </row>
        <row r="2649">
          <cell r="C2649" t="str">
            <v>Honeywell Automation India</v>
          </cell>
          <cell r="D2649">
            <v>45.63</v>
          </cell>
        </row>
        <row r="2650">
          <cell r="C2650" t="str">
            <v>FirstCash</v>
          </cell>
          <cell r="D2650">
            <v>0.94951399999999997</v>
          </cell>
        </row>
        <row r="2651">
          <cell r="C2651" t="str">
            <v>Frontline</v>
          </cell>
          <cell r="D2651">
            <v>8.2568800000000007</v>
          </cell>
        </row>
        <row r="2652">
          <cell r="C2652" t="str">
            <v>SM Energy</v>
          </cell>
          <cell r="D2652">
            <v>72.38</v>
          </cell>
        </row>
        <row r="2653">
          <cell r="C2653" t="str">
            <v>Sunway</v>
          </cell>
          <cell r="D2653">
            <v>47.3</v>
          </cell>
        </row>
        <row r="2654">
          <cell r="C2654" t="str">
            <v>Technoprobe</v>
          </cell>
          <cell r="D2654">
            <v>19.8918</v>
          </cell>
        </row>
        <row r="2655">
          <cell r="C2655" t="str">
            <v>Bombardier Recreational Products</v>
          </cell>
          <cell r="D2655">
            <v>7.1362100000000002</v>
          </cell>
        </row>
        <row r="2656">
          <cell r="C2656" t="str">
            <v>Glacier Bancorp</v>
          </cell>
          <cell r="D2656">
            <v>0.20164799999999999</v>
          </cell>
        </row>
        <row r="2657">
          <cell r="C2657" t="str">
            <v>MEG Energy</v>
          </cell>
          <cell r="D2657">
            <v>24.91</v>
          </cell>
        </row>
        <row r="2658">
          <cell r="C2658" t="str">
            <v>UPL</v>
          </cell>
          <cell r="D2658">
            <v>7.25</v>
          </cell>
        </row>
        <row r="2659">
          <cell r="C2659" t="str">
            <v>Ezdan Holding Group</v>
          </cell>
          <cell r="D2659">
            <v>27.168800000000001</v>
          </cell>
        </row>
        <row r="2660">
          <cell r="C2660" t="str">
            <v>UGI Corporation</v>
          </cell>
          <cell r="D2660">
            <v>5.25</v>
          </cell>
        </row>
        <row r="2661">
          <cell r="C2661" t="str">
            <v>Fresnillo</v>
          </cell>
          <cell r="D2661">
            <v>5.4501500000000001E-2</v>
          </cell>
        </row>
        <row r="2662">
          <cell r="C2662" t="str">
            <v>Mineral Resources</v>
          </cell>
          <cell r="D2662">
            <v>2.13707</v>
          </cell>
        </row>
        <row r="2663">
          <cell r="C2663" t="str">
            <v>Lumen</v>
          </cell>
          <cell r="D2663">
            <v>10.846500000000001</v>
          </cell>
        </row>
        <row r="2664">
          <cell r="C2664" t="str">
            <v>TMBThanachart Bank (ttb)</v>
          </cell>
          <cell r="D2664">
            <v>122.4</v>
          </cell>
        </row>
        <row r="2665">
          <cell r="C2665" t="str">
            <v>Tritax Big Box REIT</v>
          </cell>
          <cell r="D2665">
            <v>4.5634000000000001E-2</v>
          </cell>
        </row>
        <row r="2666">
          <cell r="C2666" t="str">
            <v>Tokyo Century</v>
          </cell>
          <cell r="D2666">
            <v>17.846800000000002</v>
          </cell>
        </row>
        <row r="2667">
          <cell r="C2667" t="str">
            <v>Chart Industries</v>
          </cell>
          <cell r="D2667">
            <v>357.05</v>
          </cell>
        </row>
        <row r="2668">
          <cell r="C2668" t="str">
            <v>Sampoerna</v>
          </cell>
          <cell r="D2668">
            <v>12</v>
          </cell>
        </row>
        <row r="2669">
          <cell r="C2669" t="str">
            <v>Subsea 7</v>
          </cell>
          <cell r="D2669">
            <v>2.4317700000000002</v>
          </cell>
        </row>
        <row r="2670">
          <cell r="C2670" t="str">
            <v>Swissquote</v>
          </cell>
          <cell r="D2670">
            <v>1.8675900000000001</v>
          </cell>
        </row>
        <row r="2671">
          <cell r="C2671" t="str">
            <v>Dun &amp;amp; Bradstreet</v>
          </cell>
          <cell r="D2671">
            <v>146.99</v>
          </cell>
        </row>
        <row r="2672">
          <cell r="C2672" t="str">
            <v>Trina Solar</v>
          </cell>
          <cell r="D2672">
            <v>7.8562700000000003</v>
          </cell>
        </row>
        <row r="2673">
          <cell r="C2673" t="str">
            <v>Mapletree Industrial Trust</v>
          </cell>
          <cell r="D2673">
            <v>0.74624000000000001</v>
          </cell>
        </row>
        <row r="2674">
          <cell r="C2674" t="str">
            <v>Hanover Insurance Group</v>
          </cell>
          <cell r="D2674">
            <v>25.18</v>
          </cell>
        </row>
        <row r="2675">
          <cell r="C2675" t="str">
            <v>AGL Energy</v>
          </cell>
          <cell r="D2675">
            <v>28.628299999999999</v>
          </cell>
        </row>
        <row r="2676">
          <cell r="C2676" t="str">
            <v>Bank of Maharashtra</v>
          </cell>
          <cell r="D2676">
            <v>0.93668700000000005</v>
          </cell>
        </row>
        <row r="2677">
          <cell r="C2677" t="str">
            <v>Columbia Banking System</v>
          </cell>
          <cell r="D2677">
            <v>50.36</v>
          </cell>
        </row>
        <row r="2678">
          <cell r="C2678" t="str">
            <v>Valmet</v>
          </cell>
          <cell r="D2678">
            <v>8.3597900000000003</v>
          </cell>
        </row>
        <row r="2679">
          <cell r="C2679" t="str">
            <v>Taiwan High Speed Rail</v>
          </cell>
          <cell r="D2679">
            <v>135.62</v>
          </cell>
        </row>
        <row r="2680">
          <cell r="C2680" t="str">
            <v>ACI Worldwide</v>
          </cell>
          <cell r="D2680">
            <v>18.8095</v>
          </cell>
        </row>
        <row r="2681">
          <cell r="C2681" t="str">
            <v>Mazda</v>
          </cell>
          <cell r="D2681">
            <v>38.869999999999997</v>
          </cell>
        </row>
        <row r="2682">
          <cell r="C2682" t="str">
            <v>Boise Cascade</v>
          </cell>
          <cell r="D2682">
            <v>4.8856400000000004</v>
          </cell>
        </row>
        <row r="2683">
          <cell r="C2683" t="str">
            <v>MISUMI Group</v>
          </cell>
          <cell r="D2683">
            <v>0.314583</v>
          </cell>
        </row>
        <row r="2684">
          <cell r="C2684" t="str">
            <v>United Bankshares</v>
          </cell>
          <cell r="D2684">
            <v>56.78</v>
          </cell>
        </row>
        <row r="2685">
          <cell r="C2685" t="str">
            <v>Dexus</v>
          </cell>
          <cell r="D2685">
            <v>15.4505</v>
          </cell>
        </row>
        <row r="2686">
          <cell r="C2686" t="str">
            <v>Charoen Pokphand Indonesia</v>
          </cell>
          <cell r="D2686">
            <v>337.63</v>
          </cell>
        </row>
        <row r="2687">
          <cell r="C2687" t="str">
            <v>Ultragenyx</v>
          </cell>
          <cell r="D2687">
            <v>0.86907800000000002</v>
          </cell>
        </row>
        <row r="2688">
          <cell r="C2688" t="str">
            <v>Hiscox</v>
          </cell>
          <cell r="D2688">
            <v>0.332951</v>
          </cell>
        </row>
        <row r="2689">
          <cell r="C2689" t="str">
            <v>CSW Industrials</v>
          </cell>
          <cell r="D2689">
            <v>25.69</v>
          </cell>
        </row>
        <row r="2690">
          <cell r="C2690" t="str">
            <v>Central Retail Corporation</v>
          </cell>
          <cell r="D2690">
            <v>27.85</v>
          </cell>
        </row>
        <row r="2691">
          <cell r="C2691" t="str">
            <v>Emperador Brandy</v>
          </cell>
          <cell r="D2691">
            <v>79.05</v>
          </cell>
        </row>
        <row r="2692">
          <cell r="C2692" t="str">
            <v>MDU Resources</v>
          </cell>
          <cell r="D2692">
            <v>36.57</v>
          </cell>
        </row>
        <row r="2693">
          <cell r="C2693" t="str">
            <v>BridgeBio Pharma</v>
          </cell>
          <cell r="D2693">
            <v>1.04095</v>
          </cell>
        </row>
        <row r="2694">
          <cell r="C2694" t="str">
            <v>Brunswick Corporation</v>
          </cell>
          <cell r="D2694">
            <v>27.778600000000001</v>
          </cell>
        </row>
        <row r="2695">
          <cell r="C2695" t="str">
            <v>First Financial Bankshares</v>
          </cell>
          <cell r="D2695">
            <v>153929</v>
          </cell>
        </row>
        <row r="2696">
          <cell r="C2696" t="str">
            <v>Mapletree Logistics Trust</v>
          </cell>
          <cell r="D2696">
            <v>72.72</v>
          </cell>
        </row>
        <row r="2697">
          <cell r="C2697" t="str">
            <v>ACC</v>
          </cell>
          <cell r="D2697">
            <v>63.29</v>
          </cell>
        </row>
        <row r="2698">
          <cell r="C2698" t="str">
            <v>Sulzer</v>
          </cell>
          <cell r="D2698">
            <v>3.1587299999999998</v>
          </cell>
        </row>
        <row r="2699">
          <cell r="C2699" t="str">
            <v>Southwest Gas</v>
          </cell>
          <cell r="D2699">
            <v>44103</v>
          </cell>
        </row>
        <row r="2700">
          <cell r="C2700" t="str">
            <v>Hexcel</v>
          </cell>
          <cell r="D2700">
            <v>44</v>
          </cell>
        </row>
        <row r="2701">
          <cell r="C2701" t="str">
            <v>New India Assurance</v>
          </cell>
          <cell r="D2701">
            <v>42.55</v>
          </cell>
        </row>
        <row r="2702">
          <cell r="C2702" t="str">
            <v>Grupo Catalana Occidente</v>
          </cell>
          <cell r="D2702">
            <v>80.024500000000003</v>
          </cell>
        </row>
        <row r="2703">
          <cell r="C2703" t="str">
            <v>Avidity Biosciences</v>
          </cell>
          <cell r="D2703">
            <v>37.625700000000002</v>
          </cell>
        </row>
        <row r="2704">
          <cell r="C2704" t="str">
            <v>Wayfair</v>
          </cell>
          <cell r="D2704">
            <v>1.55853</v>
          </cell>
        </row>
        <row r="2705">
          <cell r="C2705" t="str">
            <v>DKSH Holding</v>
          </cell>
          <cell r="D2705">
            <v>173.83</v>
          </cell>
        </row>
        <row r="2706">
          <cell r="C2706" t="str">
            <v>Mytilineos</v>
          </cell>
          <cell r="D2706">
            <v>1.64724</v>
          </cell>
        </row>
        <row r="2707">
          <cell r="C2707" t="str">
            <v>Commercial International Bank</v>
          </cell>
          <cell r="D2707">
            <v>9.5104900000000008</v>
          </cell>
        </row>
        <row r="2708">
          <cell r="C2708" t="str">
            <v>Affiliated Managers Group</v>
          </cell>
          <cell r="D2708">
            <v>24.285799999999998</v>
          </cell>
        </row>
        <row r="2709">
          <cell r="C2709" t="str">
            <v>Nanya Technology</v>
          </cell>
          <cell r="D2709">
            <v>23.7727</v>
          </cell>
        </row>
        <row r="2710">
          <cell r="C2710" t="str">
            <v>St. James's Place</v>
          </cell>
          <cell r="D2710">
            <v>25.1983</v>
          </cell>
        </row>
        <row r="2711">
          <cell r="C2711" t="str">
            <v>Hitachi Construction Machinery</v>
          </cell>
          <cell r="D2711">
            <v>15.6989</v>
          </cell>
        </row>
        <row r="2712">
          <cell r="C2712" t="str">
            <v>Sojitz Corporation</v>
          </cell>
          <cell r="D2712">
            <v>16.43</v>
          </cell>
        </row>
        <row r="2713">
          <cell r="C2713" t="str">
            <v>Canadian Utilities</v>
          </cell>
          <cell r="D2713">
            <v>46.27</v>
          </cell>
        </row>
        <row r="2714">
          <cell r="C2714" t="str">
            <v>Clariant</v>
          </cell>
          <cell r="D2714">
            <v>25.61</v>
          </cell>
        </row>
        <row r="2715">
          <cell r="C2715" t="str">
            <v>MINISO Group</v>
          </cell>
          <cell r="D2715">
            <v>28.49</v>
          </cell>
        </row>
        <row r="2716">
          <cell r="C2716" t="str">
            <v>Air Lease Corporation</v>
          </cell>
          <cell r="D2716">
            <v>8.58826</v>
          </cell>
        </row>
        <row r="2717">
          <cell r="C2717" t="str">
            <v>Magnolia Oil &amp;amp; Gas</v>
          </cell>
          <cell r="D2717">
            <v>10.6036</v>
          </cell>
        </row>
        <row r="2718">
          <cell r="C2718" t="str">
            <v>Brookfield Renewable</v>
          </cell>
          <cell r="D2718">
            <v>21.055399999999999</v>
          </cell>
        </row>
        <row r="2719">
          <cell r="C2719" t="str">
            <v>Motilal Oswal Financial Services</v>
          </cell>
          <cell r="D2719">
            <v>43.439799999999998</v>
          </cell>
        </row>
        <row r="2720">
          <cell r="C2720" t="str">
            <v>ALS Global</v>
          </cell>
          <cell r="D2720">
            <v>25.29</v>
          </cell>
        </row>
        <row r="2721">
          <cell r="C2721" t="str">
            <v>Endeavour Mining</v>
          </cell>
          <cell r="D2721">
            <v>43.67</v>
          </cell>
        </row>
        <row r="2722">
          <cell r="C2722" t="str">
            <v>Strabag</v>
          </cell>
          <cell r="D2722">
            <v>4.2827999999999999</v>
          </cell>
        </row>
        <row r="2723">
          <cell r="C2723" t="str">
            <v>Dentsply Sirona</v>
          </cell>
          <cell r="D2723">
            <v>175.96</v>
          </cell>
        </row>
        <row r="2724">
          <cell r="C2724" t="str">
            <v>Olin</v>
          </cell>
          <cell r="D2724">
            <v>1.3466199999999999</v>
          </cell>
        </row>
        <row r="2725">
          <cell r="C2725" t="str">
            <v>Biocon</v>
          </cell>
          <cell r="D2725">
            <v>1.63365</v>
          </cell>
        </row>
        <row r="2726">
          <cell r="C2726" t="str">
            <v>Dycom Industries</v>
          </cell>
          <cell r="D2726">
            <v>1.71268</v>
          </cell>
        </row>
        <row r="2727">
          <cell r="C2727" t="str">
            <v>MGM China Holdings</v>
          </cell>
          <cell r="D2727">
            <v>102.83</v>
          </cell>
        </row>
        <row r="2728">
          <cell r="C2728" t="str">
            <v>Kimberly-Clark de México</v>
          </cell>
          <cell r="D2728">
            <v>11.3286</v>
          </cell>
        </row>
        <row r="2729">
          <cell r="C2729" t="str">
            <v>Commercial Bank of Dubai</v>
          </cell>
          <cell r="D2729">
            <v>95.103099999999998</v>
          </cell>
        </row>
        <row r="2730">
          <cell r="C2730" t="str">
            <v>TriNet</v>
          </cell>
          <cell r="D2730">
            <v>7.7557900000000002</v>
          </cell>
        </row>
        <row r="2731">
          <cell r="C2731" t="str">
            <v>Frasers Group</v>
          </cell>
          <cell r="D2731">
            <v>20913</v>
          </cell>
        </row>
        <row r="2732">
          <cell r="C2732" t="str">
            <v>NKT A/S</v>
          </cell>
          <cell r="D2732">
            <v>44.589399999999998</v>
          </cell>
        </row>
        <row r="2733">
          <cell r="C2733" t="str">
            <v>Jubilant FoodWorks</v>
          </cell>
          <cell r="D2733">
            <v>34.950000000000003</v>
          </cell>
        </row>
        <row r="2734">
          <cell r="C2734" t="str">
            <v>Azelis Group</v>
          </cell>
          <cell r="D2734">
            <v>7.14208</v>
          </cell>
        </row>
        <row r="2735">
          <cell r="C2735" t="str">
            <v>Banca Generali</v>
          </cell>
          <cell r="D2735">
            <v>1760.89</v>
          </cell>
        </row>
        <row r="2736">
          <cell r="C2736" t="str">
            <v>Sealed Air</v>
          </cell>
          <cell r="D2736">
            <v>1.0666500000000001</v>
          </cell>
        </row>
        <row r="2737">
          <cell r="C2737" t="str">
            <v>Tokyu Fudosan Holdings</v>
          </cell>
          <cell r="D2737">
            <v>38.742100000000001</v>
          </cell>
        </row>
        <row r="2738">
          <cell r="C2738" t="str">
            <v>Nippon Prologis REIT</v>
          </cell>
          <cell r="D2738">
            <v>20.461600000000001</v>
          </cell>
        </row>
        <row r="2739">
          <cell r="C2739" t="str">
            <v>Romgaz</v>
          </cell>
          <cell r="D2739">
            <v>60.351500000000001</v>
          </cell>
        </row>
        <row r="2740">
          <cell r="C2740" t="str">
            <v>KION Group</v>
          </cell>
          <cell r="D2740">
            <v>1.40968</v>
          </cell>
        </row>
        <row r="2741">
          <cell r="C2741" t="str">
            <v>ABC-Mart</v>
          </cell>
          <cell r="D2741">
            <v>15.502800000000001</v>
          </cell>
        </row>
        <row r="2742">
          <cell r="C2742" t="str">
            <v>Flughafen Wien (Vienna Airport)</v>
          </cell>
          <cell r="D2742">
            <v>376.76</v>
          </cell>
        </row>
        <row r="2743">
          <cell r="C2743" t="str">
            <v>Asia Cement</v>
          </cell>
          <cell r="D2743">
            <v>103.59</v>
          </cell>
        </row>
        <row r="2744">
          <cell r="C2744" t="str">
            <v>Technology One</v>
          </cell>
          <cell r="D2744">
            <v>18954</v>
          </cell>
        </row>
        <row r="2745">
          <cell r="C2745" t="str">
            <v>Group 1 Automotive</v>
          </cell>
          <cell r="D2745">
            <v>75.662199999999999</v>
          </cell>
        </row>
        <row r="2746">
          <cell r="C2746" t="str">
            <v>UMB Financial</v>
          </cell>
          <cell r="D2746">
            <v>69.550700000000006</v>
          </cell>
        </row>
        <row r="2747">
          <cell r="C2747" t="str">
            <v>Ambu</v>
          </cell>
          <cell r="D2747">
            <v>1.0903400000000001</v>
          </cell>
        </row>
        <row r="2748">
          <cell r="C2748" t="str">
            <v>Coforge</v>
          </cell>
          <cell r="D2748">
            <v>34.099699999999999</v>
          </cell>
        </row>
        <row r="2749">
          <cell r="C2749" t="str">
            <v>Temenos</v>
          </cell>
          <cell r="D2749">
            <v>18.54</v>
          </cell>
        </row>
        <row r="2750">
          <cell r="C2750" t="str">
            <v>FAW Car</v>
          </cell>
          <cell r="D2750">
            <v>0.67013</v>
          </cell>
        </row>
        <row r="2751">
          <cell r="C2751" t="str">
            <v>Fuchs Petrolub</v>
          </cell>
          <cell r="D2751">
            <v>141.1</v>
          </cell>
        </row>
        <row r="2752">
          <cell r="C2752" t="str">
            <v>EchoStar</v>
          </cell>
          <cell r="D2752">
            <v>59.909399999999998</v>
          </cell>
        </row>
        <row r="2753">
          <cell r="C2753" t="str">
            <v>Bank Muscat</v>
          </cell>
          <cell r="D2753">
            <v>32.465400000000002</v>
          </cell>
        </row>
        <row r="2754">
          <cell r="C2754" t="str">
            <v>GATX</v>
          </cell>
          <cell r="D2754">
            <v>639946</v>
          </cell>
        </row>
        <row r="2755">
          <cell r="C2755" t="str">
            <v>Vienna Airport</v>
          </cell>
          <cell r="D2755">
            <v>5.3978099999999998</v>
          </cell>
        </row>
        <row r="2756">
          <cell r="C2756" t="str">
            <v>RTL Group</v>
          </cell>
          <cell r="D2756">
            <v>209.05</v>
          </cell>
        </row>
        <row r="2757">
          <cell r="C2757" t="str">
            <v>Copenhagen Airport</v>
          </cell>
          <cell r="D2757">
            <v>3.4510800000000001</v>
          </cell>
        </row>
        <row r="2758">
          <cell r="C2758" t="str">
            <v>British Land</v>
          </cell>
          <cell r="D2758">
            <v>36.96</v>
          </cell>
        </row>
        <row r="2759">
          <cell r="C2759" t="str">
            <v>MSG Sports</v>
          </cell>
          <cell r="D2759">
            <v>30.3507</v>
          </cell>
        </row>
        <row r="2760">
          <cell r="C2760" t="str">
            <v>Atlas Arteria</v>
          </cell>
          <cell r="D2760">
            <v>1.7874399999999999</v>
          </cell>
        </row>
        <row r="2761">
          <cell r="C2761" t="str">
            <v>Phillips Edison &amp;amp; Company</v>
          </cell>
          <cell r="D2761">
            <v>5.8785600000000002</v>
          </cell>
        </row>
        <row r="2762">
          <cell r="C2762" t="str">
            <v>Makkah Construction &amp;amp; Development</v>
          </cell>
          <cell r="D2762">
            <v>45.963500000000003</v>
          </cell>
        </row>
        <row r="2763">
          <cell r="C2763" t="str">
            <v>Coca-Cola İçecek</v>
          </cell>
          <cell r="D2763">
            <v>20.958600000000001</v>
          </cell>
        </row>
        <row r="2764">
          <cell r="C2764" t="str">
            <v>Exide Industries</v>
          </cell>
          <cell r="D2764">
            <v>7.2387800000000002</v>
          </cell>
        </row>
        <row r="2765">
          <cell r="C2765" t="str">
            <v>Escorts Kubota</v>
          </cell>
          <cell r="D2765">
            <v>80.215400000000002</v>
          </cell>
        </row>
        <row r="2766">
          <cell r="C2766" t="str">
            <v>Clicks Group</v>
          </cell>
          <cell r="D2766">
            <v>326</v>
          </cell>
        </row>
        <row r="2767">
          <cell r="C2767" t="str">
            <v>Gujarat Gas</v>
          </cell>
          <cell r="D2767">
            <v>52.13</v>
          </cell>
        </row>
        <row r="2768">
          <cell r="C2768" t="str">
            <v>Jyske Bank</v>
          </cell>
          <cell r="D2768">
            <v>6.5810300000000002</v>
          </cell>
        </row>
        <row r="2769">
          <cell r="C2769" t="str">
            <v>Enstar Group</v>
          </cell>
          <cell r="D2769">
            <v>1.4193800000000001</v>
          </cell>
        </row>
        <row r="2770">
          <cell r="C2770" t="str">
            <v>Vista Oil &amp;amp; Gas</v>
          </cell>
          <cell r="D2770">
            <v>6.86</v>
          </cell>
        </row>
        <row r="2771">
          <cell r="C2771" t="str">
            <v>Fortis Healthcare</v>
          </cell>
          <cell r="D2771">
            <v>54.978700000000003</v>
          </cell>
        </row>
        <row r="2772">
          <cell r="C2772" t="str">
            <v>Türk Telekom</v>
          </cell>
          <cell r="D2772">
            <v>18.7514</v>
          </cell>
        </row>
        <row r="2773">
          <cell r="C2773" t="str">
            <v>Clarivate</v>
          </cell>
          <cell r="D2773">
            <v>18.269100000000002</v>
          </cell>
        </row>
        <row r="2774">
          <cell r="C2774" t="str">
            <v>KEI Industries</v>
          </cell>
          <cell r="D2774">
            <v>48.11</v>
          </cell>
        </row>
        <row r="2775">
          <cell r="C2775" t="str">
            <v>Ryohin Keikaku</v>
          </cell>
          <cell r="D2775">
            <v>26215</v>
          </cell>
        </row>
        <row r="2776">
          <cell r="C2776" t="str">
            <v>Asahi Intecc</v>
          </cell>
          <cell r="D2776">
            <v>41.28</v>
          </cell>
        </row>
        <row r="2777">
          <cell r="C2777" t="str">
            <v>Portland General Electric</v>
          </cell>
          <cell r="D2777">
            <v>22.691800000000001</v>
          </cell>
        </row>
        <row r="2778">
          <cell r="C2778" t="str">
            <v>Fukuoka Financial Group</v>
          </cell>
          <cell r="D2778">
            <v>20.6922</v>
          </cell>
        </row>
        <row r="2779">
          <cell r="C2779" t="str">
            <v>Tenable</v>
          </cell>
          <cell r="D2779">
            <v>37.44</v>
          </cell>
        </row>
        <row r="2780">
          <cell r="C2780" t="str">
            <v>Sanwa Holdings</v>
          </cell>
          <cell r="D2780">
            <v>55.313800000000001</v>
          </cell>
        </row>
        <row r="2781">
          <cell r="C2781" t="str">
            <v>PrairieSky Royalty</v>
          </cell>
          <cell r="D2781">
            <v>22.970800000000001</v>
          </cell>
        </row>
        <row r="2782">
          <cell r="C2782" t="str">
            <v>Harley-Davidson</v>
          </cell>
          <cell r="D2782">
            <v>43.35</v>
          </cell>
        </row>
        <row r="2783">
          <cell r="C2783" t="str">
            <v>Topdanmark</v>
          </cell>
          <cell r="D2783">
            <v>16.7</v>
          </cell>
        </row>
        <row r="2784">
          <cell r="C2784" t="str">
            <v>Strathcona Resources</v>
          </cell>
          <cell r="D2784">
            <v>7.6871600000000004</v>
          </cell>
        </row>
        <row r="2785">
          <cell r="C2785" t="str">
            <v>Bank OZK</v>
          </cell>
          <cell r="D2785">
            <v>75.23</v>
          </cell>
        </row>
        <row r="2786">
          <cell r="C2786" t="str">
            <v>Marathon Digital Holdings</v>
          </cell>
          <cell r="D2786">
            <v>4.3307099999999998</v>
          </cell>
        </row>
        <row r="2787">
          <cell r="C2787" t="str">
            <v>Darktrace</v>
          </cell>
          <cell r="D2787">
            <v>44.19</v>
          </cell>
        </row>
        <row r="2788">
          <cell r="C2788" t="str">
            <v>Concentrix</v>
          </cell>
          <cell r="D2788">
            <v>245.64</v>
          </cell>
        </row>
        <row r="2789">
          <cell r="C2789" t="str">
            <v>Hong Leong Financial Group</v>
          </cell>
          <cell r="D2789">
            <v>12844</v>
          </cell>
        </row>
        <row r="2790">
          <cell r="C2790" t="str">
            <v>Tower Semiconductor</v>
          </cell>
          <cell r="D2790">
            <v>7.61</v>
          </cell>
        </row>
        <row r="2791">
          <cell r="C2791" t="str">
            <v>Asbury Automotive Group</v>
          </cell>
          <cell r="D2791">
            <v>66.290000000000006</v>
          </cell>
        </row>
        <row r="2792">
          <cell r="C2792" t="str">
            <v>Public Power Corporation</v>
          </cell>
          <cell r="D2792">
            <v>34.554200000000002</v>
          </cell>
        </row>
        <row r="2793">
          <cell r="C2793" t="str">
            <v>Sasol</v>
          </cell>
          <cell r="D2793">
            <v>110.93</v>
          </cell>
        </row>
        <row r="2794">
          <cell r="C2794" t="str">
            <v>RadNet</v>
          </cell>
          <cell r="D2794">
            <v>52.2042</v>
          </cell>
        </row>
        <row r="2795">
          <cell r="C2795" t="str">
            <v>Ibiden</v>
          </cell>
          <cell r="D2795">
            <v>23.24</v>
          </cell>
        </row>
        <row r="2796">
          <cell r="C2796" t="str">
            <v>Brink's</v>
          </cell>
          <cell r="D2796">
            <v>10.2784</v>
          </cell>
        </row>
        <row r="2797">
          <cell r="C2797" t="str">
            <v>Accelleron Industries</v>
          </cell>
          <cell r="D2797">
            <v>55.18</v>
          </cell>
        </row>
        <row r="2798">
          <cell r="C2798" t="str">
            <v>Flowers Foods</v>
          </cell>
          <cell r="D2798">
            <v>8.0399999999999991</v>
          </cell>
        </row>
        <row r="2799">
          <cell r="C2799" t="str">
            <v>RS Group</v>
          </cell>
          <cell r="D2799">
            <v>62.547899999999998</v>
          </cell>
        </row>
        <row r="2800">
          <cell r="C2800" t="str">
            <v>Avnet</v>
          </cell>
          <cell r="D2800">
            <v>123.5</v>
          </cell>
        </row>
        <row r="2801">
          <cell r="C2801" t="str">
            <v>TAL Education Group</v>
          </cell>
          <cell r="D2801">
            <v>1.73692</v>
          </cell>
        </row>
        <row r="2802">
          <cell r="C2802" t="str">
            <v>GMO Payment Gateway</v>
          </cell>
          <cell r="D2802">
            <v>107.91</v>
          </cell>
        </row>
        <row r="2803">
          <cell r="C2803" t="str">
            <v>PJT Partners</v>
          </cell>
          <cell r="D2803">
            <v>4.3781299999999996</v>
          </cell>
        </row>
        <row r="2804">
          <cell r="C2804" t="str">
            <v>Gamuda Berhad</v>
          </cell>
          <cell r="D2804">
            <v>1.8801399999999999</v>
          </cell>
        </row>
        <row r="2805">
          <cell r="C2805" t="str">
            <v>Euronet Worldwide</v>
          </cell>
          <cell r="D2805">
            <v>17.4377</v>
          </cell>
        </row>
        <row r="2806">
          <cell r="C2806" t="str">
            <v>Steadfast Group</v>
          </cell>
          <cell r="D2806">
            <v>51.227200000000003</v>
          </cell>
        </row>
        <row r="2807">
          <cell r="C2807" t="str">
            <v>Li Ning Company</v>
          </cell>
          <cell r="D2807">
            <v>23.52</v>
          </cell>
        </row>
        <row r="2808">
          <cell r="C2808" t="str">
            <v>APL Apollo</v>
          </cell>
          <cell r="D2808">
            <v>31.9222</v>
          </cell>
        </row>
        <row r="2809">
          <cell r="C2809" t="str">
            <v>AIA Engineering</v>
          </cell>
          <cell r="D2809">
            <v>3.65408</v>
          </cell>
        </row>
        <row r="2810">
          <cell r="C2810" t="str">
            <v>Life Time Group</v>
          </cell>
          <cell r="D2810">
            <v>4.7046299999999999</v>
          </cell>
        </row>
        <row r="2811">
          <cell r="C2811" t="str">
            <v>De' Longhi</v>
          </cell>
          <cell r="D2811">
            <v>12.4849</v>
          </cell>
        </row>
        <row r="2812">
          <cell r="C2812" t="str">
            <v>Yancoal</v>
          </cell>
          <cell r="D2812">
            <v>0.710341</v>
          </cell>
        </row>
        <row r="2813">
          <cell r="C2813" t="str">
            <v>Bank AlJazira</v>
          </cell>
          <cell r="D2813">
            <v>1010.43</v>
          </cell>
        </row>
        <row r="2814">
          <cell r="C2814" t="str">
            <v>Rohm</v>
          </cell>
          <cell r="D2814">
            <v>44.72</v>
          </cell>
        </row>
        <row r="2815">
          <cell r="C2815" t="str">
            <v>Punjab &amp;amp; Sind Bank</v>
          </cell>
          <cell r="D2815">
            <v>3.3812000000000002</v>
          </cell>
        </row>
        <row r="2816">
          <cell r="C2816" t="str">
            <v>Nomura Real Estate Master Fund</v>
          </cell>
          <cell r="D2816">
            <v>30.71</v>
          </cell>
        </row>
        <row r="2817">
          <cell r="C2817" t="str">
            <v>Rambus</v>
          </cell>
          <cell r="D2817">
            <v>9.8800000000000008</v>
          </cell>
        </row>
        <row r="2818">
          <cell r="C2818" t="str">
            <v>PPB Group Berhad</v>
          </cell>
          <cell r="D2818">
            <v>20.0623</v>
          </cell>
        </row>
        <row r="2819">
          <cell r="C2819" t="str">
            <v>Virtu Financial</v>
          </cell>
          <cell r="D2819">
            <v>20.78</v>
          </cell>
        </row>
        <row r="2820">
          <cell r="C2820" t="str">
            <v>BGC Group</v>
          </cell>
          <cell r="D2820">
            <v>22.06</v>
          </cell>
        </row>
        <row r="2821">
          <cell r="C2821" t="str">
            <v>Lundin Gold</v>
          </cell>
          <cell r="D2821">
            <v>425342</v>
          </cell>
        </row>
        <row r="2822">
          <cell r="C2822" t="str">
            <v>Independence Realty Trust</v>
          </cell>
          <cell r="D2822">
            <v>11.67</v>
          </cell>
        </row>
        <row r="2823">
          <cell r="C2823" t="str">
            <v>Sallie Mae</v>
          </cell>
          <cell r="D2823">
            <v>55.62</v>
          </cell>
        </row>
        <row r="2824">
          <cell r="C2824" t="str">
            <v>3M India</v>
          </cell>
          <cell r="D2824">
            <v>32.6</v>
          </cell>
        </row>
        <row r="2825">
          <cell r="C2825" t="str">
            <v>Lyft</v>
          </cell>
          <cell r="D2825">
            <v>0.33659099999999997</v>
          </cell>
        </row>
        <row r="2826">
          <cell r="C2826" t="str">
            <v>U.S. Cellular</v>
          </cell>
          <cell r="D2826">
            <v>1.4188000000000001</v>
          </cell>
        </row>
        <row r="2827">
          <cell r="C2827" t="str">
            <v>Box</v>
          </cell>
          <cell r="D2827">
            <v>58.77</v>
          </cell>
        </row>
        <row r="2828">
          <cell r="C2828" t="str">
            <v>Indoritel</v>
          </cell>
          <cell r="D2828">
            <v>4.7600199999999999</v>
          </cell>
        </row>
        <row r="2829">
          <cell r="C2829" t="str">
            <v>Erdemir</v>
          </cell>
          <cell r="D2829">
            <v>95.0702</v>
          </cell>
        </row>
        <row r="2830">
          <cell r="C2830" t="str">
            <v>Banco Macro</v>
          </cell>
          <cell r="D2830">
            <v>18.16</v>
          </cell>
        </row>
        <row r="2831">
          <cell r="C2831" t="str">
            <v>SSAB</v>
          </cell>
          <cell r="D2831">
            <v>52.47</v>
          </cell>
        </row>
        <row r="2832">
          <cell r="C2832" t="str">
            <v>GamaLife</v>
          </cell>
          <cell r="D2832">
            <v>4.3131899999999996</v>
          </cell>
        </row>
        <row r="2833">
          <cell r="C2833" t="str">
            <v>Gates Industrial Corp</v>
          </cell>
          <cell r="D2833">
            <v>103.86</v>
          </cell>
        </row>
        <row r="2834">
          <cell r="C2834" t="str">
            <v>California Resources Corporation</v>
          </cell>
          <cell r="D2834">
            <v>95.302300000000002</v>
          </cell>
        </row>
        <row r="2835">
          <cell r="C2835" t="str">
            <v>Qatar Electricity &amp;amp; Water Company</v>
          </cell>
          <cell r="D2835">
            <v>38.9</v>
          </cell>
        </row>
        <row r="2836">
          <cell r="C2836" t="str">
            <v>Franklin Electric</v>
          </cell>
          <cell r="D2836">
            <v>1844.24</v>
          </cell>
        </row>
        <row r="2837">
          <cell r="C2837" t="str">
            <v>Wacker Chemie</v>
          </cell>
          <cell r="D2837">
            <v>34.718600000000002</v>
          </cell>
        </row>
        <row r="2838">
          <cell r="C2838" t="str">
            <v>Apellis Pharmaceuticals</v>
          </cell>
          <cell r="D2838">
            <v>6.6604599999999996</v>
          </cell>
        </row>
        <row r="2839">
          <cell r="C2839" t="str">
            <v>White Mountains Insurance Group</v>
          </cell>
          <cell r="D2839">
            <v>47.3812</v>
          </cell>
        </row>
        <row r="2840">
          <cell r="C2840" t="str">
            <v>Deepak Nitrite</v>
          </cell>
          <cell r="D2840">
            <v>34.099699999999999</v>
          </cell>
        </row>
        <row r="2841">
          <cell r="C2841" t="str">
            <v>Shimizu Corporation</v>
          </cell>
          <cell r="D2841">
            <v>80.73</v>
          </cell>
        </row>
        <row r="2842">
          <cell r="C2842" t="str">
            <v>CD Projekt</v>
          </cell>
          <cell r="D2842">
            <v>168.1</v>
          </cell>
        </row>
        <row r="2843">
          <cell r="C2843" t="str">
            <v>Immofinanz</v>
          </cell>
          <cell r="D2843">
            <v>39.827199999999998</v>
          </cell>
        </row>
        <row r="2844">
          <cell r="C2844" t="str">
            <v>Columbia Sportswear</v>
          </cell>
          <cell r="D2844">
            <v>33.26</v>
          </cell>
        </row>
        <row r="2845">
          <cell r="C2845" t="str">
            <v>Impinj</v>
          </cell>
          <cell r="D2845">
            <v>7.4170800000000003</v>
          </cell>
        </row>
        <row r="2846">
          <cell r="C2846" t="str">
            <v>Bellway</v>
          </cell>
          <cell r="D2846">
            <v>84.65</v>
          </cell>
        </row>
        <row r="2847">
          <cell r="C2847" t="str">
            <v>Nuvei</v>
          </cell>
          <cell r="D2847">
            <v>10.7911</v>
          </cell>
        </row>
        <row r="2848">
          <cell r="C2848" t="str">
            <v>Paytm</v>
          </cell>
          <cell r="D2848">
            <v>3.8310200000000001</v>
          </cell>
        </row>
        <row r="2849">
          <cell r="C2849" t="str">
            <v>Polaris</v>
          </cell>
          <cell r="D2849">
            <v>253.7</v>
          </cell>
        </row>
        <row r="2850">
          <cell r="C2850" t="str">
            <v>Storebrand</v>
          </cell>
          <cell r="D2850">
            <v>27.0288</v>
          </cell>
        </row>
        <row r="2851">
          <cell r="C2851" t="str">
            <v>Kunlun Tech</v>
          </cell>
          <cell r="D2851">
            <v>34.136899999999997</v>
          </cell>
        </row>
        <row r="2852">
          <cell r="C2852" t="str">
            <v>Restoration Hardware</v>
          </cell>
          <cell r="D2852">
            <v>170.76</v>
          </cell>
        </row>
        <row r="2853">
          <cell r="C2853" t="str">
            <v>Parkland Corp</v>
          </cell>
          <cell r="D2853">
            <v>66.790000000000006</v>
          </cell>
        </row>
        <row r="2854">
          <cell r="C2854" t="str">
            <v>Nissan Chemical</v>
          </cell>
          <cell r="D2854">
            <v>43.926200000000001</v>
          </cell>
        </row>
        <row r="2855">
          <cell r="C2855" t="str">
            <v>Lancaster Colony Corporation</v>
          </cell>
          <cell r="D2855">
            <v>4.16</v>
          </cell>
        </row>
        <row r="2856">
          <cell r="C2856" t="str">
            <v>Moelis &amp;amp; Company</v>
          </cell>
          <cell r="D2856">
            <v>6.2366299999999999</v>
          </cell>
        </row>
        <row r="2857">
          <cell r="C2857" t="str">
            <v>Interpump Group</v>
          </cell>
          <cell r="D2857">
            <v>24.737500000000001</v>
          </cell>
        </row>
        <row r="2858">
          <cell r="C2858" t="str">
            <v>Ultrapar Participacoes</v>
          </cell>
          <cell r="D2858">
            <v>36.07</v>
          </cell>
        </row>
        <row r="2859">
          <cell r="C2859" t="str">
            <v>easyJet</v>
          </cell>
          <cell r="D2859">
            <v>27.11</v>
          </cell>
        </row>
        <row r="2860">
          <cell r="C2860" t="str">
            <v>Fluidra</v>
          </cell>
          <cell r="D2860">
            <v>28.45</v>
          </cell>
        </row>
        <row r="2861">
          <cell r="C2861" t="str">
            <v>Select Medical Holdings</v>
          </cell>
          <cell r="D2861">
            <v>2.8588800000000001</v>
          </cell>
        </row>
        <row r="2862">
          <cell r="C2862" t="str">
            <v>Schneider</v>
          </cell>
          <cell r="D2862">
            <v>31</v>
          </cell>
        </row>
        <row r="2863">
          <cell r="C2863" t="str">
            <v>Alkermes</v>
          </cell>
          <cell r="D2863">
            <v>34.851399999999998</v>
          </cell>
        </row>
        <row r="2864">
          <cell r="C2864" t="str">
            <v>Sumitomo Chemical</v>
          </cell>
          <cell r="D2864">
            <v>85.66</v>
          </cell>
        </row>
        <row r="2865">
          <cell r="C2865" t="str">
            <v>Dutch Bros</v>
          </cell>
          <cell r="D2865">
            <v>50.536099999999998</v>
          </cell>
        </row>
        <row r="2866">
          <cell r="C2866" t="str">
            <v>Global Unichip Corp.</v>
          </cell>
          <cell r="D2866">
            <v>11.260300000000001</v>
          </cell>
        </row>
        <row r="2867">
          <cell r="C2867" t="str">
            <v>H.B. Fuller</v>
          </cell>
          <cell r="D2867">
            <v>19.5764</v>
          </cell>
        </row>
        <row r="2868">
          <cell r="C2868" t="str">
            <v>Fraport</v>
          </cell>
          <cell r="D2868">
            <v>1.29789</v>
          </cell>
        </row>
        <row r="2869">
          <cell r="C2869" t="str">
            <v>ASM Pacific Technology</v>
          </cell>
          <cell r="D2869">
            <v>12.7971</v>
          </cell>
        </row>
        <row r="2870">
          <cell r="C2870" t="str">
            <v>Ampol</v>
          </cell>
          <cell r="D2870">
            <v>88.7</v>
          </cell>
        </row>
        <row r="2871">
          <cell r="C2871" t="str">
            <v>China Taiping Insurance</v>
          </cell>
          <cell r="D2871">
            <v>12.759399999999999</v>
          </cell>
        </row>
        <row r="2872">
          <cell r="C2872" t="str">
            <v>360 One Wam</v>
          </cell>
          <cell r="D2872">
            <v>138.30000000000001</v>
          </cell>
        </row>
        <row r="2873">
          <cell r="C2873" t="str">
            <v>Tidewater</v>
          </cell>
          <cell r="D2873">
            <v>53.73</v>
          </cell>
        </row>
        <row r="2874">
          <cell r="C2874" t="str">
            <v>IG Group</v>
          </cell>
          <cell r="D2874">
            <v>9.8051200000000005</v>
          </cell>
        </row>
        <row r="2875">
          <cell r="C2875" t="str">
            <v>Matson</v>
          </cell>
          <cell r="D2875">
            <v>125.17</v>
          </cell>
        </row>
        <row r="2876">
          <cell r="C2876" t="str">
            <v>Hancock Whitney</v>
          </cell>
          <cell r="D2876">
            <v>46.09</v>
          </cell>
        </row>
        <row r="2877">
          <cell r="C2877" t="str">
            <v>Charter Hall Group</v>
          </cell>
          <cell r="D2877">
            <v>30.81</v>
          </cell>
        </row>
        <row r="2878">
          <cell r="C2878" t="str">
            <v>Qualys</v>
          </cell>
          <cell r="D2878">
            <v>2.61199</v>
          </cell>
        </row>
        <row r="2879">
          <cell r="C2879" t="str">
            <v>Dyne Therapeutics</v>
          </cell>
          <cell r="D2879">
            <v>82.24</v>
          </cell>
        </row>
        <row r="2880">
          <cell r="C2880" t="str">
            <v>Rayonier</v>
          </cell>
          <cell r="D2880">
            <v>6.5929599999999997</v>
          </cell>
        </row>
        <row r="2881">
          <cell r="C2881" t="str">
            <v>Qube Holdings</v>
          </cell>
          <cell r="D2881">
            <v>35.471400000000003</v>
          </cell>
        </row>
        <row r="2882">
          <cell r="C2882" t="str">
            <v>MSC Industrial Direct</v>
          </cell>
          <cell r="D2882">
            <v>8.1540099999999995</v>
          </cell>
        </row>
        <row r="2883">
          <cell r="C2883" t="str">
            <v>Indraprastha Gas</v>
          </cell>
          <cell r="D2883">
            <v>29.88</v>
          </cell>
        </row>
        <row r="2884">
          <cell r="C2884" t="str">
            <v>Nahdi Medical Company</v>
          </cell>
          <cell r="D2884">
            <v>16.801100000000002</v>
          </cell>
        </row>
        <row r="2885">
          <cell r="C2885" t="str">
            <v>Bendigo and Adelaide Bank</v>
          </cell>
          <cell r="D2885">
            <v>0.84644699999999995</v>
          </cell>
        </row>
        <row r="2886">
          <cell r="C2886" t="str">
            <v>CareTrust REIT</v>
          </cell>
          <cell r="D2886">
            <v>102.22</v>
          </cell>
        </row>
        <row r="2887">
          <cell r="C2887" t="str">
            <v>JSC Halyk Bank</v>
          </cell>
          <cell r="D2887">
            <v>45.636400000000002</v>
          </cell>
        </row>
        <row r="2888">
          <cell r="C2888" t="str">
            <v>China Gas</v>
          </cell>
          <cell r="D2888">
            <v>46.31</v>
          </cell>
        </row>
        <row r="2889">
          <cell r="C2889" t="str">
            <v>Itron</v>
          </cell>
          <cell r="D2889">
            <v>20.52</v>
          </cell>
        </row>
        <row r="2890">
          <cell r="C2890" t="str">
            <v>Mainfreight</v>
          </cell>
          <cell r="D2890">
            <v>9.5</v>
          </cell>
        </row>
        <row r="2891">
          <cell r="C2891" t="str">
            <v>New Jersey Resources</v>
          </cell>
          <cell r="D2891">
            <v>17.685400000000001</v>
          </cell>
        </row>
        <row r="2892">
          <cell r="C2892" t="str">
            <v>Sunrun</v>
          </cell>
          <cell r="D2892">
            <v>289.83999999999997</v>
          </cell>
        </row>
        <row r="2893">
          <cell r="C2893" t="str">
            <v>Cosan</v>
          </cell>
          <cell r="D2893">
            <v>15.479200000000001</v>
          </cell>
        </row>
        <row r="2894">
          <cell r="C2894" t="str">
            <v>Glanbia plc</v>
          </cell>
          <cell r="D2894">
            <v>33.7836</v>
          </cell>
        </row>
        <row r="2895">
          <cell r="C2895" t="str">
            <v>Encore Wire</v>
          </cell>
          <cell r="D2895">
            <v>11.184200000000001</v>
          </cell>
        </row>
        <row r="2896">
          <cell r="C2896" t="str">
            <v>Tomra</v>
          </cell>
          <cell r="D2896">
            <v>5.6261700000000001</v>
          </cell>
        </row>
        <row r="2897">
          <cell r="C2897" t="str">
            <v>BSE</v>
          </cell>
          <cell r="D2897">
            <v>44.78</v>
          </cell>
        </row>
        <row r="2898">
          <cell r="C2898" t="str">
            <v>Inchcape</v>
          </cell>
          <cell r="D2898">
            <v>5.9954000000000001</v>
          </cell>
        </row>
        <row r="2899">
          <cell r="C2899" t="str">
            <v>Italgas</v>
          </cell>
          <cell r="D2899">
            <v>36.11</v>
          </cell>
        </row>
        <row r="2900">
          <cell r="C2900" t="str">
            <v>Braze</v>
          </cell>
          <cell r="D2900">
            <v>7.6025900000000002</v>
          </cell>
        </row>
        <row r="2901">
          <cell r="C2901" t="str">
            <v>Argo Investments</v>
          </cell>
          <cell r="D2901">
            <v>1.22827</v>
          </cell>
        </row>
        <row r="2902">
          <cell r="C2902" t="str">
            <v>Alaska Airlines</v>
          </cell>
          <cell r="D2902">
            <v>3.28098</v>
          </cell>
        </row>
        <row r="2903">
          <cell r="C2903" t="str">
            <v>Whitecap Resources</v>
          </cell>
          <cell r="D2903">
            <v>27.61</v>
          </cell>
        </row>
        <row r="2904">
          <cell r="C2904" t="str">
            <v>Pepkor</v>
          </cell>
          <cell r="D2904">
            <v>1.12225</v>
          </cell>
        </row>
        <row r="2905">
          <cell r="C2905" t="str">
            <v>NLC India</v>
          </cell>
          <cell r="D2905">
            <v>913967</v>
          </cell>
        </row>
        <row r="2906">
          <cell r="C2906" t="str">
            <v>Verra Mobility</v>
          </cell>
          <cell r="D2906">
            <v>11606</v>
          </cell>
        </row>
        <row r="2907">
          <cell r="C2907" t="str">
            <v>The Commercial Bank (P.S.Q.C.)</v>
          </cell>
          <cell r="D2907">
            <v>27.22</v>
          </cell>
        </row>
        <row r="2908">
          <cell r="C2908" t="str">
            <v>GLP J-REIT</v>
          </cell>
          <cell r="D2908">
            <v>12.837300000000001</v>
          </cell>
        </row>
        <row r="2909">
          <cell r="C2909" t="str">
            <v>Aboitiz Power</v>
          </cell>
          <cell r="D2909">
            <v>30.9</v>
          </cell>
        </row>
        <row r="2910">
          <cell r="C2910" t="str">
            <v>Waystar</v>
          </cell>
          <cell r="D2910">
            <v>2.99451</v>
          </cell>
        </row>
        <row r="2911">
          <cell r="C2911" t="str">
            <v>Santen Pharmaceutical</v>
          </cell>
          <cell r="D2911">
            <v>9061</v>
          </cell>
        </row>
        <row r="2912">
          <cell r="C2912" t="str">
            <v>Immunovant</v>
          </cell>
          <cell r="D2912">
            <v>0.49385800000000002</v>
          </cell>
        </row>
        <row r="2913">
          <cell r="C2913" t="str">
            <v>Qatar International Islamic Bank</v>
          </cell>
          <cell r="D2913">
            <v>137308</v>
          </cell>
        </row>
        <row r="2914">
          <cell r="C2914" t="str">
            <v>Tohoku Electric Power</v>
          </cell>
          <cell r="D2914">
            <v>22.39</v>
          </cell>
        </row>
        <row r="2915">
          <cell r="C2915" t="str">
            <v>Taiwan Business Bank</v>
          </cell>
          <cell r="D2915">
            <v>50.11</v>
          </cell>
        </row>
        <row r="2916">
          <cell r="C2916" t="str">
            <v>Games Workshop Group</v>
          </cell>
          <cell r="D2916">
            <v>89.36</v>
          </cell>
        </row>
        <row r="2917">
          <cell r="C2917" t="str">
            <v>International Game Technology</v>
          </cell>
          <cell r="D2917">
            <v>8068.97</v>
          </cell>
        </row>
        <row r="2918">
          <cell r="C2918" t="str">
            <v>Lazard</v>
          </cell>
          <cell r="D2918">
            <v>178623</v>
          </cell>
        </row>
        <row r="2919">
          <cell r="C2919" t="str">
            <v>Cohen &amp;amp; Steers</v>
          </cell>
          <cell r="D2919">
            <v>24.53</v>
          </cell>
        </row>
        <row r="2920">
          <cell r="C2920" t="str">
            <v>Compagnie du Cambodge</v>
          </cell>
          <cell r="D2920">
            <v>0.47707300000000002</v>
          </cell>
        </row>
        <row r="2921">
          <cell r="C2921" t="str">
            <v>DEME Group</v>
          </cell>
          <cell r="D2921">
            <v>0.79542800000000002</v>
          </cell>
        </row>
        <row r="2922">
          <cell r="C2922" t="str">
            <v>Allegro MicroSystems</v>
          </cell>
          <cell r="D2922">
            <v>74.53</v>
          </cell>
        </row>
        <row r="2923">
          <cell r="C2923" t="str">
            <v>Mr D.I.Y. Group</v>
          </cell>
          <cell r="D2923">
            <v>52.78</v>
          </cell>
        </row>
        <row r="2924">
          <cell r="C2924" t="str">
            <v>Minor International</v>
          </cell>
          <cell r="D2924">
            <v>20.636700000000001</v>
          </cell>
        </row>
        <row r="2925">
          <cell r="C2925" t="str">
            <v>Ormat Technologies</v>
          </cell>
          <cell r="D2925">
            <v>87.929699999999997</v>
          </cell>
        </row>
        <row r="2926">
          <cell r="C2926" t="str">
            <v>IAC/InterActiveCorp</v>
          </cell>
          <cell r="D2926">
            <v>0.705372</v>
          </cell>
        </row>
        <row r="2927">
          <cell r="C2927" t="str">
            <v>JCDecaux</v>
          </cell>
          <cell r="D2927">
            <v>49.13</v>
          </cell>
        </row>
        <row r="2928">
          <cell r="C2928" t="str">
            <v>Laboratorios Farmaceuticos Rovi</v>
          </cell>
          <cell r="D2928">
            <v>74.209999999999994</v>
          </cell>
        </row>
        <row r="2929">
          <cell r="C2929" t="str">
            <v>China Resources Pharmaceutical Group</v>
          </cell>
          <cell r="D2929">
            <v>2.0699999999999998</v>
          </cell>
        </row>
        <row r="2930">
          <cell r="C2930" t="str">
            <v>Avient</v>
          </cell>
          <cell r="D2930">
            <v>7.23</v>
          </cell>
        </row>
        <row r="2931">
          <cell r="C2931" t="str">
            <v>Q2</v>
          </cell>
          <cell r="D2931">
            <v>4.7773700000000003</v>
          </cell>
        </row>
        <row r="2932">
          <cell r="C2932" t="str">
            <v>Universal Robina Corporation</v>
          </cell>
          <cell r="D2932">
            <v>0.997587</v>
          </cell>
        </row>
        <row r="2933">
          <cell r="C2933" t="str">
            <v>Veren</v>
          </cell>
          <cell r="D2933">
            <v>78.87</v>
          </cell>
        </row>
        <row r="2934">
          <cell r="C2934" t="str">
            <v>Lynas</v>
          </cell>
          <cell r="D2934">
            <v>91.49</v>
          </cell>
        </row>
        <row r="2935">
          <cell r="C2935" t="str">
            <v>Asia Commercial Joint Stock Bank</v>
          </cell>
          <cell r="D2935">
            <v>2.7958400000000001</v>
          </cell>
        </row>
        <row r="2936">
          <cell r="C2936" t="str">
            <v>Knife River Corporation</v>
          </cell>
          <cell r="D2936">
            <v>64.97</v>
          </cell>
        </row>
        <row r="2937">
          <cell r="C2937" t="str">
            <v>Arcosa</v>
          </cell>
          <cell r="D2937">
            <v>29764</v>
          </cell>
        </row>
        <row r="2938">
          <cell r="C2938" t="str">
            <v>Haitian International Holdings</v>
          </cell>
          <cell r="D2938">
            <v>61.06</v>
          </cell>
        </row>
        <row r="2939">
          <cell r="C2939" t="str">
            <v>Alpine Immune Sciences</v>
          </cell>
          <cell r="D2939">
            <v>6.83012</v>
          </cell>
        </row>
        <row r="2940">
          <cell r="C2940" t="str">
            <v>Riyadh Cables Group Company</v>
          </cell>
          <cell r="D2940">
            <v>124.24</v>
          </cell>
        </row>
        <row r="2941">
          <cell r="C2941" t="str">
            <v>Valaris</v>
          </cell>
          <cell r="D2941">
            <v>3.0772300000000001</v>
          </cell>
        </row>
        <row r="2942">
          <cell r="C2942" t="str">
            <v>Sharp Corporation</v>
          </cell>
          <cell r="D2942">
            <v>36.852800000000002</v>
          </cell>
        </row>
        <row r="2943">
          <cell r="C2943" t="str">
            <v>Soitec</v>
          </cell>
          <cell r="D2943">
            <v>8.0432199999999998</v>
          </cell>
        </row>
        <row r="2944">
          <cell r="C2944" t="str">
            <v>Masan Group</v>
          </cell>
          <cell r="D2944">
            <v>25.82</v>
          </cell>
        </row>
        <row r="2945">
          <cell r="C2945" t="str">
            <v>Square Enix</v>
          </cell>
          <cell r="D2945">
            <v>81.06</v>
          </cell>
        </row>
        <row r="2946">
          <cell r="C2946" t="str">
            <v>LIC Housing Finance</v>
          </cell>
          <cell r="D2946">
            <v>8.68</v>
          </cell>
        </row>
        <row r="2947">
          <cell r="C2947" t="str">
            <v>Millicom</v>
          </cell>
          <cell r="D2947">
            <v>19.2</v>
          </cell>
        </row>
        <row r="2948">
          <cell r="C2948" t="str">
            <v>ServisFirst Bancshares</v>
          </cell>
          <cell r="D2948">
            <v>8.1049199999999999</v>
          </cell>
        </row>
        <row r="2949">
          <cell r="C2949" t="str">
            <v>Valley Bank</v>
          </cell>
          <cell r="D2949">
            <v>23.204899999999999</v>
          </cell>
        </row>
        <row r="2950">
          <cell r="C2950" t="str">
            <v>Plains GP</v>
          </cell>
          <cell r="D2950">
            <v>14.660399999999999</v>
          </cell>
        </row>
        <row r="2951">
          <cell r="C2951" t="str">
            <v>Remgro Limited</v>
          </cell>
          <cell r="D2951">
            <v>12.8192</v>
          </cell>
        </row>
        <row r="2952">
          <cell r="C2952" t="str">
            <v>Kintetsu GHD</v>
          </cell>
          <cell r="D2952">
            <v>50.856499999999997</v>
          </cell>
        </row>
        <row r="2953">
          <cell r="C2953" t="str">
            <v>Koito Manufacturing</v>
          </cell>
          <cell r="D2953">
            <v>86.865399999999994</v>
          </cell>
        </row>
        <row r="2954">
          <cell r="C2954" t="str">
            <v>Max Financial Services</v>
          </cell>
          <cell r="D2954">
            <v>15.44</v>
          </cell>
        </row>
        <row r="2955">
          <cell r="C2955" t="str">
            <v>Nippon Express</v>
          </cell>
          <cell r="D2955">
            <v>7.4975800000000001</v>
          </cell>
        </row>
        <row r="2956">
          <cell r="C2956" t="str">
            <v>Tata Investment Corporation</v>
          </cell>
          <cell r="D2956">
            <v>2.2438400000000001</v>
          </cell>
        </row>
        <row r="2957">
          <cell r="C2957" t="str">
            <v>Sotera Health</v>
          </cell>
          <cell r="D2957">
            <v>109288</v>
          </cell>
        </row>
        <row r="2958">
          <cell r="C2958" t="str">
            <v>Star Health and Allied Insurance Company</v>
          </cell>
          <cell r="D2958">
            <v>43.78</v>
          </cell>
        </row>
        <row r="2959">
          <cell r="C2959" t="str">
            <v>Saipem</v>
          </cell>
          <cell r="D2959">
            <v>107.28</v>
          </cell>
        </row>
        <row r="2960">
          <cell r="C2960" t="str">
            <v>Apar Industries</v>
          </cell>
          <cell r="D2960">
            <v>0.56557999999999997</v>
          </cell>
        </row>
        <row r="2961">
          <cell r="C2961" t="str">
            <v>Cedar Fair</v>
          </cell>
          <cell r="D2961">
            <v>10.3477</v>
          </cell>
        </row>
        <row r="2962">
          <cell r="C2962" t="str">
            <v>Belden</v>
          </cell>
          <cell r="D2962">
            <v>89.5</v>
          </cell>
        </row>
        <row r="2963">
          <cell r="C2963" t="str">
            <v>PCCW</v>
          </cell>
          <cell r="D2963">
            <v>159.37</v>
          </cell>
        </row>
        <row r="2964">
          <cell r="C2964" t="str">
            <v>Wallenius Wilhelmsen</v>
          </cell>
          <cell r="D2964">
            <v>1.9677</v>
          </cell>
        </row>
        <row r="2965">
          <cell r="C2965" t="str">
            <v>Ashland</v>
          </cell>
          <cell r="D2965">
            <v>4.6020700000000003</v>
          </cell>
        </row>
        <row r="2966">
          <cell r="C2966" t="str">
            <v>M/I Homes</v>
          </cell>
          <cell r="D2966">
            <v>130.07</v>
          </cell>
        </row>
        <row r="2967">
          <cell r="C2967" t="str">
            <v>37 Interactive Entertainment</v>
          </cell>
          <cell r="D2967">
            <v>134188</v>
          </cell>
        </row>
        <row r="2968">
          <cell r="C2968" t="str">
            <v>Embassy Office Parks REIT</v>
          </cell>
          <cell r="D2968">
            <v>1.9488399999999999</v>
          </cell>
        </row>
        <row r="2969">
          <cell r="C2969" t="str">
            <v>Integer Holdings</v>
          </cell>
          <cell r="D2969">
            <v>15389</v>
          </cell>
        </row>
        <row r="2970">
          <cell r="C2970" t="str">
            <v>Krones</v>
          </cell>
          <cell r="D2970">
            <v>66.64</v>
          </cell>
        </row>
        <row r="2971">
          <cell r="C2971" t="str">
            <v>Cleanaway Waste Management</v>
          </cell>
          <cell r="D2971">
            <v>28.51</v>
          </cell>
        </row>
        <row r="2972">
          <cell r="C2972" t="str">
            <v>Iida Group</v>
          </cell>
          <cell r="D2972">
            <v>33.313600000000001</v>
          </cell>
        </row>
        <row r="2973">
          <cell r="C2973" t="str">
            <v>SL Green Realty</v>
          </cell>
          <cell r="D2973">
            <v>37.2941</v>
          </cell>
        </row>
        <row r="2974">
          <cell r="C2974" t="str">
            <v>Cousins Properties</v>
          </cell>
          <cell r="D2974">
            <v>33.768099999999997</v>
          </cell>
        </row>
        <row r="2975">
          <cell r="C2975" t="str">
            <v>Capital Power</v>
          </cell>
          <cell r="D2975">
            <v>1.7287999999999999</v>
          </cell>
        </row>
        <row r="2976">
          <cell r="C2976" t="str">
            <v>Hensoldt</v>
          </cell>
          <cell r="D2976">
            <v>86.673599999999993</v>
          </cell>
        </row>
        <row r="2977">
          <cell r="C2977" t="str">
            <v>Vienna Insurance Group</v>
          </cell>
          <cell r="D2977">
            <v>15.57</v>
          </cell>
        </row>
        <row r="2978">
          <cell r="C2978" t="str">
            <v>Empresas CMPC</v>
          </cell>
          <cell r="D2978">
            <v>78.17</v>
          </cell>
        </row>
        <row r="2979">
          <cell r="C2979" t="str">
            <v>Galenica</v>
          </cell>
          <cell r="D2979">
            <v>272.7</v>
          </cell>
        </row>
        <row r="2980">
          <cell r="C2980" t="str">
            <v>Macy's</v>
          </cell>
          <cell r="D2980">
            <v>83.6</v>
          </cell>
        </row>
        <row r="2981">
          <cell r="C2981" t="str">
            <v>Workiva</v>
          </cell>
          <cell r="D2981">
            <v>75.430000000000007</v>
          </cell>
        </row>
        <row r="2982">
          <cell r="C2982" t="str">
            <v>Piper Sandler</v>
          </cell>
          <cell r="D2982">
            <v>18.3</v>
          </cell>
        </row>
        <row r="2983">
          <cell r="C2983" t="str">
            <v>Blackbaud</v>
          </cell>
          <cell r="D2983">
            <v>96.16</v>
          </cell>
        </row>
        <row r="2984">
          <cell r="C2984" t="str">
            <v>Five Below</v>
          </cell>
          <cell r="D2984">
            <v>99.41</v>
          </cell>
        </row>
        <row r="2985">
          <cell r="C2985" t="str">
            <v>Oscar Health</v>
          </cell>
          <cell r="D2985">
            <v>1.4107400000000001</v>
          </cell>
        </row>
        <row r="2986">
          <cell r="C2986" t="str">
            <v>ASGN</v>
          </cell>
          <cell r="D2986">
            <v>38.93</v>
          </cell>
        </row>
        <row r="2987">
          <cell r="C2987" t="str">
            <v>Shake Shack</v>
          </cell>
          <cell r="D2987">
            <v>49.4</v>
          </cell>
        </row>
        <row r="2988">
          <cell r="C2988" t="str">
            <v>Yadea Group</v>
          </cell>
          <cell r="D2988">
            <v>335397</v>
          </cell>
        </row>
        <row r="2989">
          <cell r="C2989" t="str">
            <v>Aalberts</v>
          </cell>
          <cell r="D2989">
            <v>36.270000000000003</v>
          </cell>
        </row>
        <row r="2990">
          <cell r="C2990" t="str">
            <v>Main Street Capital</v>
          </cell>
          <cell r="D2990">
            <v>419.54</v>
          </cell>
        </row>
        <row r="2991">
          <cell r="C2991" t="str">
            <v>Tecan</v>
          </cell>
          <cell r="D2991">
            <v>101415</v>
          </cell>
        </row>
        <row r="2992">
          <cell r="C2992" t="str">
            <v>Kilroy Realty</v>
          </cell>
          <cell r="D2992">
            <v>14.192600000000001</v>
          </cell>
        </row>
        <row r="2993">
          <cell r="C2993" t="str">
            <v>Bucher Industries</v>
          </cell>
          <cell r="D2993">
            <v>40.963900000000002</v>
          </cell>
        </row>
        <row r="2994">
          <cell r="C2994" t="str">
            <v>Wendel</v>
          </cell>
          <cell r="D2994">
            <v>44.047699999999999</v>
          </cell>
        </row>
        <row r="2995">
          <cell r="C2995" t="str">
            <v>EFG International</v>
          </cell>
          <cell r="D2995">
            <v>2.2193000000000001</v>
          </cell>
        </row>
        <row r="2996">
          <cell r="C2996" t="str">
            <v>Huhtamäki</v>
          </cell>
          <cell r="D2996">
            <v>88.86</v>
          </cell>
        </row>
        <row r="2997">
          <cell r="C2997" t="str">
            <v>Shurgard Self Storage</v>
          </cell>
          <cell r="D2997">
            <v>145.01</v>
          </cell>
        </row>
        <row r="2998">
          <cell r="C2998" t="str">
            <v>Fonterra</v>
          </cell>
          <cell r="D2998">
            <v>27.25</v>
          </cell>
        </row>
        <row r="2999">
          <cell r="C2999" t="str">
            <v>Axsome Therapeutics</v>
          </cell>
          <cell r="D2999">
            <v>4.4500500000000001</v>
          </cell>
        </row>
        <row r="3000">
          <cell r="C3000" t="str">
            <v>Grand Canyon Education</v>
          </cell>
          <cell r="D3000">
            <v>37.0563</v>
          </cell>
        </row>
        <row r="3001">
          <cell r="C3001" t="str">
            <v>Grupo Simec</v>
          </cell>
          <cell r="D3001">
            <v>61.63</v>
          </cell>
        </row>
        <row r="3002">
          <cell r="C3002" t="str">
            <v>International Distributions Services (Royal Mail)</v>
          </cell>
          <cell r="D3002">
            <v>0.51941099999999996</v>
          </cell>
        </row>
        <row r="3003">
          <cell r="C3003" t="str">
            <v>Definity Financial</v>
          </cell>
          <cell r="D3003">
            <v>1.86009</v>
          </cell>
        </row>
        <row r="3004">
          <cell r="C3004" t="str">
            <v>Ameris Bancorp</v>
          </cell>
          <cell r="D3004">
            <v>0.84953400000000001</v>
          </cell>
        </row>
        <row r="3005">
          <cell r="C3005" t="str">
            <v>Fosun</v>
          </cell>
          <cell r="D3005">
            <v>53.06</v>
          </cell>
        </row>
        <row r="3006">
          <cell r="C3006" t="str">
            <v>Greencoat UK Wind</v>
          </cell>
          <cell r="D3006">
            <v>41.796300000000002</v>
          </cell>
        </row>
        <row r="3007">
          <cell r="C3007" t="str">
            <v>TECOM Group</v>
          </cell>
          <cell r="D3007">
            <v>163838</v>
          </cell>
        </row>
        <row r="3008">
          <cell r="C3008" t="str">
            <v>Crinetics Pharmaceuticals</v>
          </cell>
          <cell r="D3008">
            <v>22.553599999999999</v>
          </cell>
        </row>
        <row r="3009">
          <cell r="C3009" t="str">
            <v>Greggs</v>
          </cell>
          <cell r="D3009">
            <v>2.85067</v>
          </cell>
        </row>
        <row r="3010">
          <cell r="C3010" t="str">
            <v>Ringkjøbing Landbobank</v>
          </cell>
          <cell r="D3010">
            <v>15.576599999999999</v>
          </cell>
        </row>
        <row r="3011">
          <cell r="C3011" t="str">
            <v>Dalmia Bharat</v>
          </cell>
          <cell r="D3011">
            <v>9.69862</v>
          </cell>
        </row>
        <row r="3012">
          <cell r="C3012" t="str">
            <v>Mitsubishi Motors</v>
          </cell>
          <cell r="D3012">
            <v>21.880500000000001</v>
          </cell>
        </row>
        <row r="3013">
          <cell r="C3013" t="str">
            <v>Metro Brands</v>
          </cell>
          <cell r="D3013">
            <v>45.16</v>
          </cell>
        </row>
        <row r="3014">
          <cell r="C3014" t="str">
            <v>Emami</v>
          </cell>
          <cell r="D3014">
            <v>91.02</v>
          </cell>
        </row>
        <row r="3015">
          <cell r="C3015" t="str">
            <v>Ebos Group</v>
          </cell>
          <cell r="D3015">
            <v>3.90985</v>
          </cell>
        </row>
        <row r="3016">
          <cell r="C3016" t="str">
            <v>National Beverage</v>
          </cell>
          <cell r="D3016">
            <v>2.1800000000000002</v>
          </cell>
        </row>
        <row r="3017">
          <cell r="C3017" t="str">
            <v>Camtek</v>
          </cell>
          <cell r="D3017">
            <v>24.538499999999999</v>
          </cell>
        </row>
        <row r="3018">
          <cell r="C3018" t="str">
            <v>Dar Al Arkan Real Estate Development Company</v>
          </cell>
          <cell r="D3018">
            <v>4.3185900000000004</v>
          </cell>
        </row>
        <row r="3019">
          <cell r="C3019" t="str">
            <v>Mobile TeleSystems</v>
          </cell>
          <cell r="D3019">
            <v>3.3764500000000002</v>
          </cell>
        </row>
        <row r="3020">
          <cell r="C3020" t="str">
            <v>Tikehau Capital</v>
          </cell>
          <cell r="D3020">
            <v>80.08</v>
          </cell>
        </row>
        <row r="3021">
          <cell r="C3021" t="str">
            <v>Impala Platinum</v>
          </cell>
          <cell r="D3021">
            <v>12593</v>
          </cell>
        </row>
        <row r="3022">
          <cell r="C3022" t="str">
            <v>Saudi Investment Bank</v>
          </cell>
          <cell r="D3022">
            <v>2.2871800000000002</v>
          </cell>
        </row>
        <row r="3023">
          <cell r="C3023" t="str">
            <v>Assured Guaranty</v>
          </cell>
          <cell r="D3023">
            <v>35.72</v>
          </cell>
        </row>
        <row r="3024">
          <cell r="C3024" t="str">
            <v>Telix Pharmaceuticals</v>
          </cell>
          <cell r="D3024">
            <v>56.596600000000002</v>
          </cell>
        </row>
        <row r="3025">
          <cell r="C3025" t="str">
            <v>Aurizon Holdings</v>
          </cell>
          <cell r="D3025">
            <v>304211</v>
          </cell>
        </row>
        <row r="3026">
          <cell r="C3026" t="str">
            <v>Capri Holdings</v>
          </cell>
          <cell r="D3026">
            <v>1.22858</v>
          </cell>
        </row>
        <row r="3027">
          <cell r="C3027" t="str">
            <v>Aker ASA</v>
          </cell>
          <cell r="D3027">
            <v>134.16999999999999</v>
          </cell>
        </row>
        <row r="3028">
          <cell r="C3028" t="str">
            <v>Dottikon ES</v>
          </cell>
          <cell r="D3028">
            <v>13822</v>
          </cell>
        </row>
        <row r="3029">
          <cell r="C3029" t="str">
            <v>Yonyou</v>
          </cell>
          <cell r="D3029">
            <v>115.58</v>
          </cell>
        </row>
        <row r="3030">
          <cell r="C3030" t="str">
            <v>Boot Barn Holdings</v>
          </cell>
          <cell r="D3030">
            <v>16514</v>
          </cell>
        </row>
        <row r="3031">
          <cell r="C3031" t="str">
            <v>RioCan REIT</v>
          </cell>
          <cell r="D3031">
            <v>2.79372</v>
          </cell>
        </row>
        <row r="3032">
          <cell r="C3032" t="str">
            <v>Nelnet</v>
          </cell>
          <cell r="D3032">
            <v>24.162700000000001</v>
          </cell>
        </row>
        <row r="3033">
          <cell r="C3033" t="str">
            <v>Ipca Laboratories</v>
          </cell>
          <cell r="D3033">
            <v>27.67</v>
          </cell>
        </row>
        <row r="3034">
          <cell r="C3034" t="str">
            <v>SATS</v>
          </cell>
          <cell r="D3034">
            <v>4.1399999999999997</v>
          </cell>
        </row>
        <row r="3035">
          <cell r="C3035" t="str">
            <v>Voestalpine</v>
          </cell>
          <cell r="D3035">
            <v>0</v>
          </cell>
        </row>
        <row r="3036">
          <cell r="C3036" t="str">
            <v>CNX Resources</v>
          </cell>
          <cell r="D3036">
            <v>20.3215</v>
          </cell>
        </row>
        <row r="3037">
          <cell r="C3037" t="str">
            <v>LG Display</v>
          </cell>
          <cell r="D3037">
            <v>2.21</v>
          </cell>
        </row>
        <row r="3038">
          <cell r="C3038" t="str">
            <v>Aluminium Bahrain (Alba)</v>
          </cell>
          <cell r="D3038">
            <v>37.870800000000003</v>
          </cell>
        </row>
        <row r="3039">
          <cell r="C3039" t="str">
            <v>Blue Star</v>
          </cell>
          <cell r="D3039">
            <v>74.849999999999994</v>
          </cell>
        </row>
        <row r="3040">
          <cell r="C3040" t="str">
            <v>Spark New Zealand</v>
          </cell>
          <cell r="D3040">
            <v>44.44</v>
          </cell>
        </row>
        <row r="3041">
          <cell r="C3041" t="str">
            <v>Gujarat Fluorochemicals</v>
          </cell>
          <cell r="D3041">
            <v>19.362300000000001</v>
          </cell>
        </row>
        <row r="3042">
          <cell r="C3042" t="str">
            <v>Kontoor Brands</v>
          </cell>
          <cell r="D3042">
            <v>146.37</v>
          </cell>
        </row>
        <row r="3043">
          <cell r="C3043" t="str">
            <v>Tri Pointe Homes</v>
          </cell>
          <cell r="D3043">
            <v>7.46</v>
          </cell>
        </row>
        <row r="3044">
          <cell r="C3044" t="str">
            <v>Jet2</v>
          </cell>
          <cell r="D3044">
            <v>81574</v>
          </cell>
        </row>
        <row r="3045">
          <cell r="C3045" t="str">
            <v>Herc Holdings</v>
          </cell>
          <cell r="D3045">
            <v>11.6196</v>
          </cell>
        </row>
        <row r="3046">
          <cell r="C3046" t="str">
            <v>Alight</v>
          </cell>
          <cell r="D3046">
            <v>16.615500000000001</v>
          </cell>
        </row>
        <row r="3047">
          <cell r="C3047" t="str">
            <v>Rémy Cointreau</v>
          </cell>
          <cell r="D3047">
            <v>30.39</v>
          </cell>
        </row>
        <row r="3048">
          <cell r="C3048" t="str">
            <v>Odakyu Electric Railway</v>
          </cell>
          <cell r="D3048">
            <v>10.3611</v>
          </cell>
        </row>
        <row r="3049">
          <cell r="C3049" t="str">
            <v>MARAFIQ (The Power and Water Utility Company for Jubail and Yanbu)</v>
          </cell>
          <cell r="D3049">
            <v>5.41</v>
          </cell>
        </row>
        <row r="3050">
          <cell r="C3050" t="str">
            <v>CLEAR Secure</v>
          </cell>
          <cell r="D3050">
            <v>82956</v>
          </cell>
        </row>
        <row r="3051">
          <cell r="C3051" t="str">
            <v>Syngene International</v>
          </cell>
          <cell r="D3051">
            <v>3.8405800000000001</v>
          </cell>
        </row>
        <row r="3052">
          <cell r="C3052" t="str">
            <v>Algonquin Power &amp; Utilities</v>
          </cell>
          <cell r="D3052">
            <v>29.506699999999999</v>
          </cell>
        </row>
        <row r="3053">
          <cell r="C3053" t="str">
            <v>Royal Unibrew</v>
          </cell>
          <cell r="D3053">
            <v>4.74</v>
          </cell>
        </row>
        <row r="3054">
          <cell r="C3054" t="str">
            <v>Boral</v>
          </cell>
          <cell r="D3054">
            <v>23.742699999999999</v>
          </cell>
        </row>
        <row r="3055">
          <cell r="C3055" t="str">
            <v>Endurance Technologies</v>
          </cell>
          <cell r="D3055">
            <v>66.989999999999995</v>
          </cell>
        </row>
        <row r="3056">
          <cell r="C3056" t="str">
            <v>Transocean</v>
          </cell>
          <cell r="D3056">
            <v>119562</v>
          </cell>
        </row>
        <row r="3057">
          <cell r="C3057" t="str">
            <v>Technip Energies</v>
          </cell>
          <cell r="D3057">
            <v>3.24471</v>
          </cell>
        </row>
        <row r="3058">
          <cell r="C3058" t="str">
            <v>Acushnet Holdings</v>
          </cell>
          <cell r="D3058">
            <v>41.2271</v>
          </cell>
        </row>
        <row r="3059">
          <cell r="C3059" t="str">
            <v>LG Household &amp;amp; Health Care</v>
          </cell>
          <cell r="D3059">
            <v>29645</v>
          </cell>
        </row>
        <row r="3060">
          <cell r="C3060" t="str">
            <v>Beijing Enterprises Holdings</v>
          </cell>
          <cell r="D3060">
            <v>16.736899999999999</v>
          </cell>
        </row>
        <row r="3061">
          <cell r="C3061" t="str">
            <v>First International Bank of Israel</v>
          </cell>
          <cell r="D3061">
            <v>128.84</v>
          </cell>
        </row>
        <row r="3062">
          <cell r="C3062" t="str">
            <v>Finning</v>
          </cell>
          <cell r="D3062">
            <v>59.12</v>
          </cell>
        </row>
        <row r="3063">
          <cell r="C3063" t="str">
            <v>Britvic</v>
          </cell>
          <cell r="D3063">
            <v>26.570699999999999</v>
          </cell>
        </row>
        <row r="3064">
          <cell r="C3064" t="str">
            <v>Interparfums</v>
          </cell>
          <cell r="D3064">
            <v>12.2</v>
          </cell>
        </row>
        <row r="3065">
          <cell r="C3065" t="str">
            <v>Black Hills</v>
          </cell>
          <cell r="D3065">
            <v>42.192300000000003</v>
          </cell>
        </row>
        <row r="3066">
          <cell r="C3066" t="str">
            <v>Hamamatsu</v>
          </cell>
          <cell r="D3066">
            <v>26.49</v>
          </cell>
        </row>
        <row r="3067">
          <cell r="C3067" t="str">
            <v>Western Union</v>
          </cell>
          <cell r="D3067">
            <v>1.3674900000000001</v>
          </cell>
        </row>
        <row r="3068">
          <cell r="C3068" t="str">
            <v>Dallah Healthcare</v>
          </cell>
          <cell r="D3068">
            <v>5.2075500000000003</v>
          </cell>
        </row>
        <row r="3069">
          <cell r="C3069" t="str">
            <v>360 DigiTech</v>
          </cell>
          <cell r="D3069">
            <v>35.21</v>
          </cell>
        </row>
        <row r="3070">
          <cell r="C3070" t="str">
            <v>Acer</v>
          </cell>
          <cell r="D3070">
            <v>53.119399999999999</v>
          </cell>
        </row>
        <row r="3071">
          <cell r="C3071" t="str">
            <v>Contact Energy</v>
          </cell>
          <cell r="D3071">
            <v>20.09</v>
          </cell>
        </row>
        <row r="3072">
          <cell r="C3072" t="str">
            <v>Spirit AeroSystems</v>
          </cell>
          <cell r="D3072">
            <v>79</v>
          </cell>
        </row>
        <row r="3073">
          <cell r="C3073" t="str">
            <v>JK Cement</v>
          </cell>
          <cell r="D3073">
            <v>11443</v>
          </cell>
        </row>
        <row r="3074">
          <cell r="C3074" t="str">
            <v>Enerplus</v>
          </cell>
          <cell r="D3074">
            <v>1.0462199999999999</v>
          </cell>
        </row>
        <row r="3075">
          <cell r="C3075" t="str">
            <v>PROCEPT BioRobotics</v>
          </cell>
          <cell r="D3075">
            <v>3.4084500000000002</v>
          </cell>
        </row>
        <row r="3076">
          <cell r="C3076" t="str">
            <v>Air Canada</v>
          </cell>
          <cell r="D3076">
            <v>11.94</v>
          </cell>
        </row>
        <row r="3077">
          <cell r="C3077" t="str">
            <v>ITV plc</v>
          </cell>
          <cell r="D3077">
            <v>20.491199999999999</v>
          </cell>
        </row>
        <row r="3078">
          <cell r="C3078" t="str">
            <v>Jarir</v>
          </cell>
          <cell r="D3078">
            <v>101.33</v>
          </cell>
        </row>
        <row r="3079">
          <cell r="C3079" t="str">
            <v>Hagerty</v>
          </cell>
          <cell r="D3079">
            <v>52.7</v>
          </cell>
        </row>
        <row r="3080">
          <cell r="C3080" t="str">
            <v>Softcat</v>
          </cell>
          <cell r="D3080">
            <v>47.72</v>
          </cell>
        </row>
        <row r="3081">
          <cell r="C3081" t="str">
            <v>EnerSys</v>
          </cell>
          <cell r="D3081">
            <v>31.95</v>
          </cell>
        </row>
        <row r="3082">
          <cell r="C3082" t="str">
            <v>Rush Enterprises</v>
          </cell>
          <cell r="D3082">
            <v>30.728400000000001</v>
          </cell>
        </row>
        <row r="3083">
          <cell r="C3083" t="str">
            <v>CRISPR Therapeutics</v>
          </cell>
          <cell r="D3083">
            <v>62.51</v>
          </cell>
        </row>
        <row r="3084">
          <cell r="C3084" t="str">
            <v>Surgery Partners</v>
          </cell>
          <cell r="D3084">
            <v>13.26</v>
          </cell>
        </row>
        <row r="3085">
          <cell r="C3085" t="str">
            <v>Logista (Compañía de Distribución Integral Logista)</v>
          </cell>
          <cell r="D3085">
            <v>20.58</v>
          </cell>
        </row>
        <row r="3086">
          <cell r="C3086" t="str">
            <v>Kemper</v>
          </cell>
          <cell r="D3086">
            <v>15.289400000000001</v>
          </cell>
        </row>
        <row r="3087">
          <cell r="C3087" t="str">
            <v>StoneCo</v>
          </cell>
          <cell r="D3087">
            <v>10.84</v>
          </cell>
        </row>
        <row r="3088">
          <cell r="C3088" t="str">
            <v>American Eagle Outfitters</v>
          </cell>
          <cell r="D3088">
            <v>165.33</v>
          </cell>
        </row>
        <row r="3089">
          <cell r="C3089" t="str">
            <v>Northland Power</v>
          </cell>
          <cell r="D3089">
            <v>39.78</v>
          </cell>
        </row>
        <row r="3090">
          <cell r="C3090" t="str">
            <v>New York Community Bank</v>
          </cell>
          <cell r="D3090">
            <v>70.98</v>
          </cell>
        </row>
        <row r="3091">
          <cell r="C3091" t="str">
            <v>ICU Medical</v>
          </cell>
          <cell r="D3091">
            <v>17.309999999999999</v>
          </cell>
        </row>
        <row r="3092">
          <cell r="C3092" t="str">
            <v>Northern Oil and Gas</v>
          </cell>
          <cell r="D3092">
            <v>2.5558200000000002</v>
          </cell>
        </row>
        <row r="3093">
          <cell r="C3093" t="str">
            <v>ScottsMiracle-Gro</v>
          </cell>
          <cell r="D3093">
            <v>15.4305</v>
          </cell>
        </row>
        <row r="3094">
          <cell r="C3094" t="str">
            <v>ADMA Biologics</v>
          </cell>
          <cell r="D3094">
            <v>16.18</v>
          </cell>
        </row>
        <row r="3095">
          <cell r="C3095" t="str">
            <v>Acom</v>
          </cell>
          <cell r="D3095">
            <v>47.750599999999999</v>
          </cell>
        </row>
        <row r="3096">
          <cell r="C3096" t="str">
            <v>Enagás</v>
          </cell>
          <cell r="D3096">
            <v>0.49385800000000002</v>
          </cell>
        </row>
        <row r="3097">
          <cell r="C3097" t="str">
            <v>Zeekr</v>
          </cell>
          <cell r="D3097">
            <v>1.7094100000000001</v>
          </cell>
        </row>
        <row r="3098">
          <cell r="C3098" t="str">
            <v>Fielmann</v>
          </cell>
          <cell r="D3098">
            <v>28.683499999999999</v>
          </cell>
        </row>
        <row r="3099">
          <cell r="C3099" t="str">
            <v>Innolux</v>
          </cell>
          <cell r="D3099">
            <v>55.48</v>
          </cell>
        </row>
        <row r="3100">
          <cell r="C3100" t="str">
            <v>Alpha Services and Holdings</v>
          </cell>
          <cell r="D3100">
            <v>2.1777799999999998</v>
          </cell>
        </row>
        <row r="3101">
          <cell r="C3101" t="str">
            <v>IONOS Group</v>
          </cell>
          <cell r="D3101">
            <v>2.2227399999999999</v>
          </cell>
        </row>
        <row r="3102">
          <cell r="C3102" t="str">
            <v>Academy Sports</v>
          </cell>
          <cell r="D3102">
            <v>106.09</v>
          </cell>
        </row>
        <row r="3103">
          <cell r="C3103" t="str">
            <v>National Aluminum &amp;amp; Alloy</v>
          </cell>
          <cell r="D3103">
            <v>14.89</v>
          </cell>
        </row>
        <row r="3104">
          <cell r="C3104" t="str">
            <v>NBCC India</v>
          </cell>
          <cell r="D3104">
            <v>17.04</v>
          </cell>
        </row>
        <row r="3105">
          <cell r="C3105" t="str">
            <v>Advanced Energy</v>
          </cell>
          <cell r="D3105">
            <v>34.06</v>
          </cell>
        </row>
        <row r="3106">
          <cell r="C3106" t="str">
            <v>Golub Capital</v>
          </cell>
          <cell r="D3106">
            <v>59.52</v>
          </cell>
        </row>
        <row r="3107">
          <cell r="C3107" t="str">
            <v>Sabra Health Care REIT</v>
          </cell>
          <cell r="D3107">
            <v>155781</v>
          </cell>
        </row>
        <row r="3108">
          <cell r="C3108" t="str">
            <v>PBF Energy</v>
          </cell>
          <cell r="D3108">
            <v>27.058700000000002</v>
          </cell>
        </row>
        <row r="3109">
          <cell r="C3109" t="str">
            <v>Cactus Inc</v>
          </cell>
          <cell r="D3109">
            <v>3.9972500000000002</v>
          </cell>
        </row>
        <row r="3110">
          <cell r="C3110" t="str">
            <v>Budimex</v>
          </cell>
          <cell r="D3110">
            <v>35.784100000000002</v>
          </cell>
        </row>
        <row r="3111">
          <cell r="C3111" t="str">
            <v>ERG</v>
          </cell>
          <cell r="D3111">
            <v>29.1</v>
          </cell>
        </row>
        <row r="3112">
          <cell r="C3112" t="str">
            <v>Qatar Fuel Company (WOQOD)</v>
          </cell>
          <cell r="D3112">
            <v>11.575100000000001</v>
          </cell>
        </row>
        <row r="3113">
          <cell r="C3113" t="str">
            <v>Computacenter</v>
          </cell>
          <cell r="D3113">
            <v>18.503399999999999</v>
          </cell>
        </row>
        <row r="3114">
          <cell r="C3114" t="str">
            <v>Perrigo</v>
          </cell>
          <cell r="D3114">
            <v>0.87743300000000002</v>
          </cell>
        </row>
        <row r="3115">
          <cell r="C3115" t="str">
            <v>Yamato Holdings</v>
          </cell>
          <cell r="D3115">
            <v>32.471899999999998</v>
          </cell>
        </row>
        <row r="3116">
          <cell r="C3116" t="str">
            <v>ACEA</v>
          </cell>
          <cell r="D3116">
            <v>40.627299999999998</v>
          </cell>
        </row>
        <row r="3117">
          <cell r="C3117" t="str">
            <v>Ternium Argentina</v>
          </cell>
          <cell r="D3117">
            <v>69.430000000000007</v>
          </cell>
        </row>
        <row r="3118">
          <cell r="C3118" t="str">
            <v>Hankook Tire</v>
          </cell>
          <cell r="D3118">
            <v>19.399999999999999</v>
          </cell>
        </row>
        <row r="3119">
          <cell r="C3119" t="str">
            <v>Korea Aerospace Industries</v>
          </cell>
          <cell r="D3119">
            <v>34.44</v>
          </cell>
        </row>
        <row r="3120">
          <cell r="C3120" t="str">
            <v>Axos Financial</v>
          </cell>
          <cell r="D3120">
            <v>1.75448</v>
          </cell>
        </row>
        <row r="3121">
          <cell r="C3121" t="str">
            <v>Transportadora de Gas del Sur</v>
          </cell>
          <cell r="D3121">
            <v>1037.3</v>
          </cell>
        </row>
        <row r="3122">
          <cell r="C3122" t="str">
            <v>AllianceBernstein</v>
          </cell>
          <cell r="D3122">
            <v>0.14876900000000001</v>
          </cell>
        </row>
        <row r="3123">
          <cell r="C3123" t="str">
            <v>PGE Polska</v>
          </cell>
          <cell r="D3123">
            <v>23.923200000000001</v>
          </cell>
        </row>
        <row r="3124">
          <cell r="C3124" t="str">
            <v>Gulf Bank</v>
          </cell>
          <cell r="D3124">
            <v>63.18</v>
          </cell>
        </row>
        <row r="3125">
          <cell r="C3125" t="str">
            <v>GCL Technology</v>
          </cell>
          <cell r="D3125">
            <v>113518</v>
          </cell>
        </row>
        <row r="3126">
          <cell r="C3126" t="str">
            <v>Yamaha</v>
          </cell>
          <cell r="D3126">
            <v>57.61</v>
          </cell>
        </row>
        <row r="3127">
          <cell r="C3127" t="str">
            <v>International Bancshares Corp</v>
          </cell>
          <cell r="D3127">
            <v>5.1900300000000001</v>
          </cell>
        </row>
        <row r="3128">
          <cell r="C3128" t="str">
            <v>Gerresheimer</v>
          </cell>
          <cell r="D3128">
            <v>2807.59</v>
          </cell>
        </row>
        <row r="3129">
          <cell r="C3129" t="str">
            <v>Lumentum</v>
          </cell>
          <cell r="D3129">
            <v>38.58</v>
          </cell>
        </row>
        <row r="3130">
          <cell r="C3130" t="str">
            <v>Saudi Industrial Investment Group</v>
          </cell>
          <cell r="D3130">
            <v>39.065899999999999</v>
          </cell>
        </row>
        <row r="3131">
          <cell r="C3131" t="str">
            <v>Mabanee Company</v>
          </cell>
          <cell r="D3131">
            <v>0.57433999999999996</v>
          </cell>
        </row>
        <row r="3132">
          <cell r="C3132" t="str">
            <v>Hilton Grand Vacations</v>
          </cell>
          <cell r="D3132">
            <v>192882</v>
          </cell>
        </row>
        <row r="3133">
          <cell r="C3133" t="str">
            <v>Spectris</v>
          </cell>
          <cell r="D3133">
            <v>68.94</v>
          </cell>
        </row>
        <row r="3134">
          <cell r="C3134" t="str">
            <v>Sime Darby</v>
          </cell>
          <cell r="D3134">
            <v>0.64389099999999999</v>
          </cell>
        </row>
        <row r="3135">
          <cell r="C3135" t="str">
            <v>Sopra Steria Group</v>
          </cell>
          <cell r="D3135">
            <v>1.2743899999999999</v>
          </cell>
        </row>
        <row r="3136">
          <cell r="C3136" t="str">
            <v>ONE Gas</v>
          </cell>
          <cell r="D3136">
            <v>19.5</v>
          </cell>
        </row>
        <row r="3137">
          <cell r="C3137" t="str">
            <v>China Airlines</v>
          </cell>
          <cell r="D3137">
            <v>112302</v>
          </cell>
        </row>
        <row r="3138">
          <cell r="C3138" t="str">
            <v>Şişecam</v>
          </cell>
          <cell r="D3138">
            <v>0.322351</v>
          </cell>
        </row>
        <row r="3139">
          <cell r="C3139" t="str">
            <v>Trump Media &amp;amp; Technology Group</v>
          </cell>
          <cell r="D3139">
            <v>6.0690299999999997</v>
          </cell>
        </row>
        <row r="3140">
          <cell r="C3140" t="str">
            <v>ALTEN</v>
          </cell>
          <cell r="D3140">
            <v>0.44339400000000001</v>
          </cell>
        </row>
        <row r="3141">
          <cell r="C3141" t="str">
            <v>Bank Mega</v>
          </cell>
          <cell r="D3141">
            <v>0.172179</v>
          </cell>
        </row>
        <row r="3142">
          <cell r="C3142" t="str">
            <v>Porto Seguro</v>
          </cell>
          <cell r="D3142">
            <v>49.584099999999999</v>
          </cell>
        </row>
        <row r="3143">
          <cell r="C3143" t="str">
            <v>Indofood</v>
          </cell>
          <cell r="D3143">
            <v>53213</v>
          </cell>
        </row>
        <row r="3144">
          <cell r="C3144" t="str">
            <v>Mayora</v>
          </cell>
          <cell r="D3144">
            <v>11.694900000000001</v>
          </cell>
        </row>
        <row r="3145">
          <cell r="C3145" t="str">
            <v>Sapporo</v>
          </cell>
          <cell r="D3145">
            <v>2.12568</v>
          </cell>
        </row>
        <row r="3146">
          <cell r="C3146" t="str">
            <v>CRISIL</v>
          </cell>
          <cell r="D3146">
            <v>6.2728000000000002</v>
          </cell>
        </row>
        <row r="3147">
          <cell r="C3147" t="str">
            <v>MBC Group Co.</v>
          </cell>
          <cell r="D3147">
            <v>7.8943899999999996</v>
          </cell>
        </row>
        <row r="3148">
          <cell r="C3148" t="str">
            <v>Hualan Biological Engineering</v>
          </cell>
          <cell r="D3148">
            <v>11.2745</v>
          </cell>
        </row>
        <row r="3149">
          <cell r="C3149" t="str">
            <v>Inmobiliaria Colonial</v>
          </cell>
          <cell r="D3149">
            <v>11.4071</v>
          </cell>
        </row>
        <row r="3150">
          <cell r="C3150" t="str">
            <v>National Shipping Company of Saudi Arabia (Bahri)</v>
          </cell>
          <cell r="D3150">
            <v>48.845199999999998</v>
          </cell>
        </row>
        <row r="3151">
          <cell r="C3151" t="str">
            <v>HEXPOL AB</v>
          </cell>
          <cell r="D3151">
            <v>68.776399999999995</v>
          </cell>
        </row>
        <row r="3152">
          <cell r="C3152" t="str">
            <v>Credito Emiliano</v>
          </cell>
          <cell r="D3152">
            <v>6.5363300000000004</v>
          </cell>
        </row>
        <row r="3153">
          <cell r="C3153" t="str">
            <v>COSMOS Pharmaceutical</v>
          </cell>
          <cell r="D3153">
            <v>75.58</v>
          </cell>
        </row>
        <row r="3154">
          <cell r="C3154" t="str">
            <v>Stella-Jones</v>
          </cell>
          <cell r="D3154">
            <v>54.42</v>
          </cell>
        </row>
        <row r="3155">
          <cell r="C3155" t="str">
            <v>Efes Beverage Group</v>
          </cell>
          <cell r="D3155">
            <v>9.8023799999999994</v>
          </cell>
        </row>
        <row r="3156">
          <cell r="C3156" t="str">
            <v>Haemonetics</v>
          </cell>
          <cell r="D3156">
            <v>3.0992000000000002</v>
          </cell>
        </row>
        <row r="3157">
          <cell r="C3157" t="str">
            <v>Pampa Energía</v>
          </cell>
          <cell r="D3157">
            <v>6.80769</v>
          </cell>
        </row>
        <row r="3158">
          <cell r="C3158" t="str">
            <v>Sun TV Network</v>
          </cell>
          <cell r="D3158">
            <v>12.9194</v>
          </cell>
        </row>
        <row r="3159">
          <cell r="C3159" t="str">
            <v>Harvey Norman</v>
          </cell>
          <cell r="D3159">
            <v>1.1328</v>
          </cell>
        </row>
        <row r="3160">
          <cell r="C3160" t="str">
            <v>Husqvarna</v>
          </cell>
          <cell r="D3160">
            <v>50.071800000000003</v>
          </cell>
        </row>
        <row r="3161">
          <cell r="C3161" t="str">
            <v>Nisshin Seifun Group</v>
          </cell>
          <cell r="D3161">
            <v>73.05</v>
          </cell>
        </row>
        <row r="3162">
          <cell r="C3162" t="str">
            <v>Seatrium</v>
          </cell>
          <cell r="D3162">
            <v>1.0004599999999999</v>
          </cell>
        </row>
        <row r="3163">
          <cell r="C3163" t="str">
            <v>KBC Ancora</v>
          </cell>
          <cell r="D3163">
            <v>48.5319</v>
          </cell>
        </row>
        <row r="3164">
          <cell r="C3164" t="str">
            <v>Korn Ferry</v>
          </cell>
          <cell r="D3164">
            <v>2.3888699999999998</v>
          </cell>
        </row>
        <row r="3165">
          <cell r="C3165" t="str">
            <v>Genting Berhad</v>
          </cell>
          <cell r="D3165">
            <v>3.9661499999999998</v>
          </cell>
        </row>
        <row r="3166">
          <cell r="C3166" t="str">
            <v>DMG Mori</v>
          </cell>
          <cell r="D3166">
            <v>21.0107</v>
          </cell>
        </row>
        <row r="3167">
          <cell r="C3167" t="str">
            <v>Bandhan Bank</v>
          </cell>
          <cell r="D3167">
            <v>0.90544199999999997</v>
          </cell>
        </row>
        <row r="3168">
          <cell r="C3168" t="str">
            <v>Hindustan Copper</v>
          </cell>
          <cell r="D3168">
            <v>16.005299999999998</v>
          </cell>
        </row>
        <row r="3169">
          <cell r="C3169" t="str">
            <v>Munters Group AB</v>
          </cell>
          <cell r="D3169">
            <v>118.37</v>
          </cell>
        </row>
        <row r="3170">
          <cell r="C3170" t="str">
            <v>Xinyi Glass Holdings</v>
          </cell>
          <cell r="D3170">
            <v>21.462599999999998</v>
          </cell>
        </row>
        <row r="3171">
          <cell r="C3171" t="str">
            <v>Nordex</v>
          </cell>
          <cell r="D3171">
            <v>32.380000000000003</v>
          </cell>
        </row>
        <row r="3172">
          <cell r="C3172" t="str">
            <v>Silicon Labs</v>
          </cell>
          <cell r="D3172">
            <v>22.05</v>
          </cell>
        </row>
        <row r="3173">
          <cell r="C3173" t="str">
            <v>Johnson Matthey</v>
          </cell>
          <cell r="D3173">
            <v>67.099999999999994</v>
          </cell>
        </row>
        <row r="3174">
          <cell r="C3174" t="str">
            <v>HASI (Hannon Armstrong)</v>
          </cell>
          <cell r="D3174">
            <v>77.317800000000005</v>
          </cell>
        </row>
        <row r="3175">
          <cell r="C3175" t="str">
            <v>Huntsman Corporation</v>
          </cell>
          <cell r="D3175">
            <v>65.97</v>
          </cell>
        </row>
        <row r="3176">
          <cell r="C3176" t="str">
            <v>Power Integrations</v>
          </cell>
          <cell r="D3176">
            <v>16.0108</v>
          </cell>
        </row>
        <row r="3177">
          <cell r="C3177" t="str">
            <v>Luzerner Kantonalbank</v>
          </cell>
          <cell r="D3177">
            <v>42.5</v>
          </cell>
        </row>
        <row r="3178">
          <cell r="C3178" t="str">
            <v>Spire Energy</v>
          </cell>
          <cell r="D3178">
            <v>71.540000000000006</v>
          </cell>
        </row>
        <row r="3179">
          <cell r="C3179" t="str">
            <v>Vallourec</v>
          </cell>
          <cell r="D3179">
            <v>69.38</v>
          </cell>
        </row>
        <row r="3180">
          <cell r="C3180" t="str">
            <v>Upstart</v>
          </cell>
          <cell r="D3180">
            <v>2.74</v>
          </cell>
        </row>
        <row r="3181">
          <cell r="C3181" t="str">
            <v>Scorpio Tankers</v>
          </cell>
          <cell r="D3181">
            <v>56.77</v>
          </cell>
        </row>
        <row r="3182">
          <cell r="C3182" t="str">
            <v>Sanmina</v>
          </cell>
          <cell r="D3182">
            <v>0.15276100000000001</v>
          </cell>
        </row>
        <row r="3183">
          <cell r="C3183" t="str">
            <v>Enel Chile</v>
          </cell>
          <cell r="D3183">
            <v>12.4</v>
          </cell>
        </row>
        <row r="3184">
          <cell r="C3184" t="str">
            <v>Terex</v>
          </cell>
          <cell r="D3184">
            <v>4527</v>
          </cell>
        </row>
        <row r="3185">
          <cell r="C3185" t="str">
            <v>Merdeka Copper Gold</v>
          </cell>
          <cell r="D3185">
            <v>10.52</v>
          </cell>
        </row>
        <row r="3186">
          <cell r="C3186" t="str">
            <v>Buenaventura Mining Company</v>
          </cell>
          <cell r="D3186">
            <v>34.165900000000001</v>
          </cell>
        </row>
        <row r="3187">
          <cell r="C3187" t="str">
            <v>Whitehaven Coal</v>
          </cell>
          <cell r="D3187">
            <v>33699</v>
          </cell>
        </row>
        <row r="3188">
          <cell r="C3188" t="str">
            <v>Nikon</v>
          </cell>
          <cell r="D3188">
            <v>22.71</v>
          </cell>
        </row>
        <row r="3189">
          <cell r="C3189" t="str">
            <v>Aritzia</v>
          </cell>
          <cell r="D3189">
            <v>13.58</v>
          </cell>
        </row>
        <row r="3190">
          <cell r="C3190" t="str">
            <v>ATCO</v>
          </cell>
          <cell r="D3190">
            <v>75.22</v>
          </cell>
        </row>
        <row r="3191">
          <cell r="C3191" t="str">
            <v>PowerSchool</v>
          </cell>
          <cell r="D3191">
            <v>24.516400000000001</v>
          </cell>
        </row>
        <row r="3192">
          <cell r="C3192" t="str">
            <v>TFS Financial</v>
          </cell>
          <cell r="D3192">
            <v>48.77</v>
          </cell>
        </row>
        <row r="3193">
          <cell r="C3193" t="str">
            <v>Howard Hughes Holdings</v>
          </cell>
          <cell r="D3193">
            <v>17.444700000000001</v>
          </cell>
        </row>
        <row r="3194">
          <cell r="C3194" t="str">
            <v>Kemira</v>
          </cell>
          <cell r="D3194">
            <v>321.13</v>
          </cell>
        </row>
        <row r="3195">
          <cell r="C3195" t="str">
            <v>FormFactor</v>
          </cell>
          <cell r="D3195">
            <v>20.857700000000001</v>
          </cell>
        </row>
        <row r="3196">
          <cell r="C3196" t="str">
            <v>Sega Sammy Holdings</v>
          </cell>
          <cell r="D3196">
            <v>41.77</v>
          </cell>
        </row>
        <row r="3197">
          <cell r="C3197" t="str">
            <v>Kadant</v>
          </cell>
          <cell r="D3197">
            <v>84.1</v>
          </cell>
        </row>
        <row r="3198">
          <cell r="C3198" t="str">
            <v>Scor</v>
          </cell>
          <cell r="D3198">
            <v>39.4</v>
          </cell>
        </row>
        <row r="3199">
          <cell r="C3199" t="str">
            <v>PNM Resources</v>
          </cell>
          <cell r="D3199">
            <v>1.92967</v>
          </cell>
        </row>
        <row r="3200">
          <cell r="C3200" t="str">
            <v>Signet Jewelers</v>
          </cell>
          <cell r="D3200">
            <v>50.2791</v>
          </cell>
        </row>
        <row r="3201">
          <cell r="C3201" t="str">
            <v>Biohaven Pharmaceutical</v>
          </cell>
          <cell r="D3201">
            <v>90.4</v>
          </cell>
        </row>
        <row r="3202">
          <cell r="C3202" t="str">
            <v>Shaftesbury Capital</v>
          </cell>
          <cell r="D3202">
            <v>2.2536200000000002</v>
          </cell>
        </row>
        <row r="3203">
          <cell r="C3203" t="str">
            <v>Coway</v>
          </cell>
          <cell r="D3203">
            <v>45.565399999999997</v>
          </cell>
        </row>
        <row r="3204">
          <cell r="C3204" t="str">
            <v>Copa Holdings</v>
          </cell>
          <cell r="D3204">
            <v>3.7174900000000002</v>
          </cell>
        </row>
        <row r="3205">
          <cell r="C3205" t="str">
            <v>Synnex Technology International</v>
          </cell>
          <cell r="D3205">
            <v>20.67</v>
          </cell>
        </row>
        <row r="3206">
          <cell r="C3206" t="str">
            <v>Netmarble</v>
          </cell>
          <cell r="D3206">
            <v>11.0534</v>
          </cell>
        </row>
        <row r="3207">
          <cell r="C3207" t="str">
            <v>Aditya Birla Fashion and Retail</v>
          </cell>
          <cell r="D3207">
            <v>17.25</v>
          </cell>
        </row>
        <row r="3208">
          <cell r="C3208" t="str">
            <v>DXC Technology</v>
          </cell>
          <cell r="D3208">
            <v>5.8785600000000002</v>
          </cell>
        </row>
        <row r="3209">
          <cell r="C3209" t="str">
            <v>Galaxy Digital Holdings</v>
          </cell>
          <cell r="D3209">
            <v>5.52</v>
          </cell>
        </row>
        <row r="3210">
          <cell r="C3210" t="str">
            <v>Neogen</v>
          </cell>
          <cell r="D3210">
            <v>11.7011</v>
          </cell>
        </row>
        <row r="3211">
          <cell r="C3211" t="str">
            <v>Apollo Tyres</v>
          </cell>
          <cell r="D3211">
            <v>186.53</v>
          </cell>
        </row>
        <row r="3212">
          <cell r="C3212" t="str">
            <v>Lotus Technology</v>
          </cell>
          <cell r="D3212">
            <v>4.3739100000000004</v>
          </cell>
        </row>
        <row r="3213">
          <cell r="C3213" t="str">
            <v>Brembo</v>
          </cell>
          <cell r="D3213">
            <v>15.238899999999999</v>
          </cell>
        </row>
        <row r="3214">
          <cell r="C3214" t="str">
            <v>IES Holdings</v>
          </cell>
          <cell r="D3214">
            <v>31.98</v>
          </cell>
        </row>
        <row r="3215">
          <cell r="C3215" t="str">
            <v>Rotork</v>
          </cell>
          <cell r="D3215">
            <v>3.79575</v>
          </cell>
        </row>
        <row r="3216">
          <cell r="C3216" t="str">
            <v>Netwealth</v>
          </cell>
          <cell r="D3216">
            <v>5.93</v>
          </cell>
        </row>
        <row r="3217">
          <cell r="C3217" t="str">
            <v>Evolent Health</v>
          </cell>
          <cell r="D3217">
            <v>0.55530900000000005</v>
          </cell>
        </row>
        <row r="3218">
          <cell r="C3218" t="str">
            <v>Yunnan Energy New Material</v>
          </cell>
          <cell r="D3218">
            <v>74.64</v>
          </cell>
        </row>
        <row r="3219">
          <cell r="C3219" t="str">
            <v>Hecla Mining</v>
          </cell>
          <cell r="D3219">
            <v>5.0007799999999998</v>
          </cell>
        </row>
        <row r="3220">
          <cell r="C3220" t="str">
            <v>VakıfBank</v>
          </cell>
          <cell r="D3220">
            <v>68.739999999999995</v>
          </cell>
        </row>
        <row r="3221">
          <cell r="C3221" t="str">
            <v>Prestige Consumer Healthcare</v>
          </cell>
          <cell r="D3221">
            <v>65.667100000000005</v>
          </cell>
        </row>
        <row r="3222">
          <cell r="C3222" t="str">
            <v>Delhivery</v>
          </cell>
          <cell r="D3222">
            <v>15.522399999999999</v>
          </cell>
        </row>
        <row r="3223">
          <cell r="C3223" t="str">
            <v>Arcellx</v>
          </cell>
          <cell r="D3223">
            <v>34.92</v>
          </cell>
        </row>
        <row r="3224">
          <cell r="C3224" t="str">
            <v>Vontobel</v>
          </cell>
          <cell r="D3224">
            <v>73.599999999999994</v>
          </cell>
        </row>
        <row r="3225">
          <cell r="C3225" t="str">
            <v>NOF Corporation</v>
          </cell>
          <cell r="D3225">
            <v>35.299999999999997</v>
          </cell>
        </row>
        <row r="3226">
          <cell r="C3226" t="str">
            <v>CNO Financial Group</v>
          </cell>
          <cell r="D3226">
            <v>38.145699999999998</v>
          </cell>
        </row>
        <row r="3227">
          <cell r="C3227" t="str">
            <v>CBIZ</v>
          </cell>
          <cell r="D3227">
            <v>5</v>
          </cell>
        </row>
        <row r="3228">
          <cell r="C3228" t="str">
            <v>Corcept Therapeutics</v>
          </cell>
          <cell r="D3228">
            <v>9.2100000000000009</v>
          </cell>
        </row>
        <row r="3229">
          <cell r="C3229" t="str">
            <v>Canadian Western Bank</v>
          </cell>
          <cell r="D3229">
            <v>4.4789199999999996</v>
          </cell>
        </row>
        <row r="3230">
          <cell r="C3230" t="str">
            <v>Joby Aviation</v>
          </cell>
          <cell r="D3230">
            <v>119.53</v>
          </cell>
        </row>
        <row r="3231">
          <cell r="C3231" t="str">
            <v>Patterson-UTI Energy</v>
          </cell>
          <cell r="D3231">
            <v>2.8328000000000002</v>
          </cell>
        </row>
        <row r="3232">
          <cell r="C3232" t="str">
            <v>Ocado</v>
          </cell>
          <cell r="D3232">
            <v>34.966700000000003</v>
          </cell>
        </row>
        <row r="3233">
          <cell r="C3233" t="str">
            <v>Sterling Construction</v>
          </cell>
          <cell r="D3233">
            <v>2.8</v>
          </cell>
        </row>
        <row r="3234">
          <cell r="C3234" t="str">
            <v>Virgin Money UK</v>
          </cell>
          <cell r="D3234">
            <v>32.828600000000002</v>
          </cell>
        </row>
        <row r="3235">
          <cell r="C3235" t="str">
            <v>Solvay</v>
          </cell>
          <cell r="D3235">
            <v>63.55</v>
          </cell>
        </row>
        <row r="3236">
          <cell r="C3236" t="str">
            <v>B2Gold</v>
          </cell>
          <cell r="D3236">
            <v>299503</v>
          </cell>
        </row>
        <row r="3237">
          <cell r="C3237" t="str">
            <v>Wienerberger</v>
          </cell>
          <cell r="D3237">
            <v>48.08</v>
          </cell>
        </row>
        <row r="3238">
          <cell r="C3238" t="str">
            <v>Allete</v>
          </cell>
          <cell r="D3238">
            <v>22.34</v>
          </cell>
        </row>
        <row r="3239">
          <cell r="C3239" t="str">
            <v>ALSO Holding</v>
          </cell>
          <cell r="D3239">
            <v>66.23</v>
          </cell>
        </row>
        <row r="3240">
          <cell r="C3240" t="str">
            <v>Frontdoor</v>
          </cell>
          <cell r="D3240">
            <v>3.6658599999999999</v>
          </cell>
        </row>
        <row r="3241">
          <cell r="C3241" t="str">
            <v>Nordstrom</v>
          </cell>
          <cell r="D3241">
            <v>1.5053300000000001</v>
          </cell>
        </row>
        <row r="3242">
          <cell r="C3242" t="str">
            <v>Mercury General</v>
          </cell>
          <cell r="D3242">
            <v>5.6895300000000004</v>
          </cell>
        </row>
        <row r="3243">
          <cell r="C3243" t="str">
            <v>QNB Finans Finansal Kiralama (QNB Finansleasing)</v>
          </cell>
          <cell r="D3243">
            <v>2.18696</v>
          </cell>
        </row>
        <row r="3244">
          <cell r="C3244" t="str">
            <v>QL Resources</v>
          </cell>
          <cell r="D3244">
            <v>45.606099999999998</v>
          </cell>
        </row>
        <row r="3245">
          <cell r="C3245" t="str">
            <v>Crompton Greaves Consumer Electricals</v>
          </cell>
          <cell r="D3245">
            <v>6.22011</v>
          </cell>
        </row>
        <row r="3246">
          <cell r="C3246" t="str">
            <v>Petro Rabigh</v>
          </cell>
          <cell r="D3246">
            <v>214419</v>
          </cell>
        </row>
        <row r="3247">
          <cell r="C3247" t="str">
            <v>Astra Industrial Group Company</v>
          </cell>
          <cell r="D3247">
            <v>90.195599999999999</v>
          </cell>
        </row>
        <row r="3248">
          <cell r="C3248" t="str">
            <v>Sino-American Silicon Products</v>
          </cell>
          <cell r="D3248">
            <v>23.49</v>
          </cell>
        </row>
        <row r="3249">
          <cell r="C3249" t="str">
            <v>Dätwyler</v>
          </cell>
          <cell r="D3249">
            <v>65.159700000000001</v>
          </cell>
        </row>
        <row r="3250">
          <cell r="C3250" t="str">
            <v>Melexis NV</v>
          </cell>
          <cell r="D3250">
            <v>21.0456</v>
          </cell>
        </row>
        <row r="3251">
          <cell r="C3251" t="str">
            <v>TG Therapeutics</v>
          </cell>
          <cell r="D3251">
            <v>3.2005499999999998</v>
          </cell>
        </row>
        <row r="3252">
          <cell r="C3252" t="str">
            <v>Ströer</v>
          </cell>
          <cell r="D3252">
            <v>0.90928900000000001</v>
          </cell>
        </row>
        <row r="3253">
          <cell r="C3253" t="str">
            <v>United Internet</v>
          </cell>
          <cell r="D3253">
            <v>13533</v>
          </cell>
        </row>
        <row r="3254">
          <cell r="C3254" t="str">
            <v>Milaha - Qatar Navigation</v>
          </cell>
          <cell r="D3254">
            <v>0.33288699999999999</v>
          </cell>
        </row>
        <row r="3255">
          <cell r="C3255" t="str">
            <v>NWS holdings</v>
          </cell>
          <cell r="D3255">
            <v>76.4345</v>
          </cell>
        </row>
        <row r="3256">
          <cell r="C3256" t="str">
            <v>Global Health Limited (Medanta)</v>
          </cell>
          <cell r="D3256">
            <v>2.75095</v>
          </cell>
        </row>
        <row r="3257">
          <cell r="C3257" t="str">
            <v>COSCO SHIPPING Development</v>
          </cell>
          <cell r="D3257">
            <v>39958</v>
          </cell>
        </row>
        <row r="3258">
          <cell r="C3258" t="str">
            <v>Melisron</v>
          </cell>
          <cell r="D3258">
            <v>3.3659100000000002E-3</v>
          </cell>
        </row>
        <row r="3259">
          <cell r="C3259" t="str">
            <v>Kingsoft</v>
          </cell>
          <cell r="D3259">
            <v>1.6544099999999999</v>
          </cell>
        </row>
        <row r="3260">
          <cell r="C3260" t="str">
            <v>SOL S.p.A.</v>
          </cell>
          <cell r="D3260">
            <v>14.9129</v>
          </cell>
        </row>
        <row r="3261">
          <cell r="C3261" t="str">
            <v>GoTo</v>
          </cell>
          <cell r="D3261">
            <v>107.06</v>
          </cell>
        </row>
        <row r="3262">
          <cell r="C3262" t="str">
            <v>Mallplaza</v>
          </cell>
          <cell r="D3262">
            <v>21.927399999999999</v>
          </cell>
        </row>
        <row r="3263">
          <cell r="C3263" t="str">
            <v>Vedant Fashions</v>
          </cell>
          <cell r="D3263">
            <v>18.3</v>
          </cell>
        </row>
        <row r="3264">
          <cell r="C3264" t="str">
            <v>Walker &amp;amp; Dunlop</v>
          </cell>
          <cell r="D3264">
            <v>31.61</v>
          </cell>
        </row>
        <row r="3265">
          <cell r="C3265" t="str">
            <v>Gland Pharma</v>
          </cell>
          <cell r="D3265">
            <v>1041.28</v>
          </cell>
        </row>
        <row r="3266">
          <cell r="C3266" t="str">
            <v>Broadstone Net Lease</v>
          </cell>
          <cell r="D3266">
            <v>2.47817</v>
          </cell>
        </row>
        <row r="3267">
          <cell r="C3267" t="str">
            <v>Sweetgreen</v>
          </cell>
          <cell r="D3267">
            <v>0.76436700000000002</v>
          </cell>
        </row>
        <row r="3268">
          <cell r="C3268" t="str">
            <v>E-L Financial</v>
          </cell>
          <cell r="D3268">
            <v>47.47</v>
          </cell>
        </row>
        <row r="3269">
          <cell r="C3269" t="str">
            <v>Samsonite International</v>
          </cell>
          <cell r="D3269">
            <v>30.009899999999998</v>
          </cell>
        </row>
        <row r="3270">
          <cell r="C3270" t="str">
            <v>Hang Lung Properties</v>
          </cell>
          <cell r="D3270">
            <v>6.3219500000000002</v>
          </cell>
        </row>
        <row r="3271">
          <cell r="C3271" t="str">
            <v>EPR Properties</v>
          </cell>
          <cell r="D3271">
            <v>57.15</v>
          </cell>
        </row>
        <row r="3272">
          <cell r="C3272" t="str">
            <v>CIE Automotive</v>
          </cell>
          <cell r="D3272">
            <v>0.26661600000000002</v>
          </cell>
        </row>
        <row r="3273">
          <cell r="C3273" t="str">
            <v>QinetiQ</v>
          </cell>
          <cell r="D3273">
            <v>31.78</v>
          </cell>
        </row>
        <row r="3274">
          <cell r="C3274" t="str">
            <v>ABM Industries</v>
          </cell>
          <cell r="D3274">
            <v>15.4421</v>
          </cell>
        </row>
        <row r="3275">
          <cell r="C3275" t="str">
            <v>Home Product Center</v>
          </cell>
          <cell r="D3275">
            <v>7.1615000000000002</v>
          </cell>
        </row>
        <row r="3276">
          <cell r="C3276" t="str">
            <v>BBB Foods</v>
          </cell>
          <cell r="D3276">
            <v>0.68485200000000002</v>
          </cell>
        </row>
        <row r="3277">
          <cell r="C3277" t="str">
            <v>Dr. Soliman Abdel Kader Fakeeh</v>
          </cell>
          <cell r="D3277">
            <v>17.113299999999999</v>
          </cell>
        </row>
        <row r="3278">
          <cell r="C3278" t="str">
            <v>Tofaş Türk Otomobil Fabrikası</v>
          </cell>
          <cell r="D3278">
            <v>4.0030599999999996</v>
          </cell>
        </row>
        <row r="3279">
          <cell r="C3279" t="str">
            <v>Wynn Macau</v>
          </cell>
          <cell r="D3279">
            <v>1.06402</v>
          </cell>
        </row>
        <row r="3280">
          <cell r="C3280" t="str">
            <v>CDSL</v>
          </cell>
          <cell r="D3280">
            <v>166427</v>
          </cell>
        </row>
        <row r="3281">
          <cell r="C3281" t="str">
            <v>City Developments</v>
          </cell>
          <cell r="D3281">
            <v>25.201699999999999</v>
          </cell>
        </row>
        <row r="3282">
          <cell r="C3282" t="str">
            <v>AutoStore Holdings</v>
          </cell>
          <cell r="D3282">
            <v>4.6191300000000002</v>
          </cell>
        </row>
        <row r="3283">
          <cell r="C3283" t="str">
            <v>Boyd Group</v>
          </cell>
          <cell r="D3283">
            <v>109.33</v>
          </cell>
        </row>
        <row r="3284">
          <cell r="C3284" t="str">
            <v>Azimut Holding</v>
          </cell>
          <cell r="D3284">
            <v>82.34</v>
          </cell>
        </row>
        <row r="3285">
          <cell r="C3285" t="str">
            <v>Poonawalla Fincorp</v>
          </cell>
          <cell r="D3285">
            <v>39.68</v>
          </cell>
        </row>
        <row r="3286">
          <cell r="C3286" t="str">
            <v>Axcelis Technologies</v>
          </cell>
          <cell r="D3286">
            <v>262.83999999999997</v>
          </cell>
        </row>
        <row r="3287">
          <cell r="C3287" t="str">
            <v>Stride (K12 Education)</v>
          </cell>
          <cell r="D3287">
            <v>56.72</v>
          </cell>
        </row>
        <row r="3288">
          <cell r="C3288" t="str">
            <v>Atlantic Union Bankshares</v>
          </cell>
          <cell r="D3288">
            <v>11.1441</v>
          </cell>
        </row>
        <row r="3289">
          <cell r="C3289" t="str">
            <v>WD-40 Company</v>
          </cell>
          <cell r="D3289">
            <v>17.184799999999999</v>
          </cell>
        </row>
        <row r="3290">
          <cell r="C3290" t="str">
            <v>Granite Real Estate</v>
          </cell>
          <cell r="D3290">
            <v>17.25</v>
          </cell>
        </row>
        <row r="3291">
          <cell r="C3291" t="str">
            <v>Koei Tecmo</v>
          </cell>
          <cell r="D3291">
            <v>22.1</v>
          </cell>
        </row>
        <row r="3292">
          <cell r="C3292" t="str">
            <v>Tobu Railway</v>
          </cell>
          <cell r="D3292">
            <v>17.059999999999999</v>
          </cell>
        </row>
        <row r="3293">
          <cell r="C3293" t="str">
            <v>Eldorado Gold</v>
          </cell>
          <cell r="D3293">
            <v>106.4</v>
          </cell>
        </row>
        <row r="3294">
          <cell r="C3294" t="str">
            <v>Primo Water</v>
          </cell>
          <cell r="D3294">
            <v>54.57</v>
          </cell>
        </row>
        <row r="3295">
          <cell r="C3295" t="str">
            <v>Cellebrite</v>
          </cell>
          <cell r="D3295">
            <v>17797</v>
          </cell>
        </row>
        <row r="3296">
          <cell r="C3296" t="str">
            <v>BancFirst</v>
          </cell>
          <cell r="D3296">
            <v>11.66</v>
          </cell>
        </row>
        <row r="3297">
          <cell r="C3297" t="str">
            <v>Victory Capital</v>
          </cell>
          <cell r="D3297">
            <v>81.430000000000007</v>
          </cell>
        </row>
        <row r="3298">
          <cell r="C3298" t="str">
            <v>Kansai Paint</v>
          </cell>
          <cell r="D3298">
            <v>6.9128999999999996</v>
          </cell>
        </row>
        <row r="3299">
          <cell r="C3299" t="str">
            <v>Iovance Biotherapeutics</v>
          </cell>
          <cell r="D3299">
            <v>15.97</v>
          </cell>
        </row>
        <row r="3300">
          <cell r="C3300" t="str">
            <v>National Health Investors</v>
          </cell>
          <cell r="D3300">
            <v>7.0633999999999997</v>
          </cell>
        </row>
        <row r="3301">
          <cell r="C3301" t="str">
            <v>CyberAgent</v>
          </cell>
          <cell r="D3301">
            <v>1.5613999999999999</v>
          </cell>
        </row>
        <row r="3302">
          <cell r="C3302" t="str">
            <v>Macerich</v>
          </cell>
          <cell r="D3302">
            <v>84.55</v>
          </cell>
        </row>
        <row r="3303">
          <cell r="C3303" t="str">
            <v>ALSOK</v>
          </cell>
          <cell r="D3303">
            <v>69165</v>
          </cell>
        </row>
        <row r="3304">
          <cell r="C3304" t="str">
            <v>Thai Oil</v>
          </cell>
          <cell r="D3304">
            <v>189.69</v>
          </cell>
        </row>
        <row r="3305">
          <cell r="C3305" t="str">
            <v>Otter Tail</v>
          </cell>
          <cell r="D3305">
            <v>11.68</v>
          </cell>
        </row>
        <row r="3306">
          <cell r="C3306" t="str">
            <v>Axonics Modulation Tech</v>
          </cell>
          <cell r="D3306">
            <v>93.99</v>
          </cell>
        </row>
        <row r="3307">
          <cell r="C3307" t="str">
            <v>UniFirst</v>
          </cell>
          <cell r="D3307">
            <v>11.68</v>
          </cell>
        </row>
        <row r="3308">
          <cell r="C3308" t="str">
            <v>Freshworks</v>
          </cell>
          <cell r="D3308">
            <v>72.040000000000006</v>
          </cell>
        </row>
        <row r="3309">
          <cell r="C3309" t="str">
            <v>Insperity</v>
          </cell>
          <cell r="D3309">
            <v>185.67</v>
          </cell>
        </row>
        <row r="3310">
          <cell r="C3310" t="str">
            <v>Alvotech</v>
          </cell>
          <cell r="D3310">
            <v>124.28</v>
          </cell>
        </row>
        <row r="3311">
          <cell r="C3311" t="str">
            <v>Cal-Maine Foods</v>
          </cell>
          <cell r="D3311">
            <v>25.035900000000002</v>
          </cell>
        </row>
        <row r="3312">
          <cell r="C3312" t="str">
            <v>ZF Commercial Vehicle Control Systems India</v>
          </cell>
          <cell r="D3312">
            <v>19.350000000000001</v>
          </cell>
        </row>
        <row r="3313">
          <cell r="C3313" t="str">
            <v>Innovative Industrial</v>
          </cell>
          <cell r="D3313">
            <v>13.5951</v>
          </cell>
        </row>
        <row r="3314">
          <cell r="C3314" t="str">
            <v>Groupe Lagardère</v>
          </cell>
          <cell r="D3314">
            <v>73.92</v>
          </cell>
        </row>
        <row r="3315">
          <cell r="C3315" t="str">
            <v>Fulton Financial</v>
          </cell>
          <cell r="D3315">
            <v>78.78</v>
          </cell>
        </row>
        <row r="3316">
          <cell r="C3316" t="str">
            <v>Mr Price Group</v>
          </cell>
          <cell r="D3316">
            <v>1.9664200000000001</v>
          </cell>
        </row>
        <row r="3317">
          <cell r="C3317" t="str">
            <v>ManpowerGroup</v>
          </cell>
          <cell r="D3317">
            <v>60.714500000000001</v>
          </cell>
        </row>
        <row r="3318">
          <cell r="C3318" t="str">
            <v>Green Brick Partners</v>
          </cell>
          <cell r="D3318">
            <v>1.3540399999999999</v>
          </cell>
        </row>
        <row r="3319">
          <cell r="C3319" t="str">
            <v>abrdn</v>
          </cell>
          <cell r="D3319">
            <v>24.44</v>
          </cell>
        </row>
        <row r="3320">
          <cell r="C3320" t="str">
            <v>Kosé</v>
          </cell>
          <cell r="D3320">
            <v>29.711500000000001</v>
          </cell>
        </row>
        <row r="3321">
          <cell r="C3321" t="str">
            <v>Unicaja Banco</v>
          </cell>
          <cell r="D3321">
            <v>0.62</v>
          </cell>
        </row>
        <row r="3322">
          <cell r="C3322" t="str">
            <v>Denali Therapeutics</v>
          </cell>
          <cell r="D3322">
            <v>3.6345999999999998</v>
          </cell>
        </row>
        <row r="3323">
          <cell r="C3323" t="str">
            <v>Verallia</v>
          </cell>
          <cell r="D3323">
            <v>109097</v>
          </cell>
        </row>
        <row r="3324">
          <cell r="C3324" t="str">
            <v>Presight AI</v>
          </cell>
          <cell r="D3324">
            <v>1428.67</v>
          </cell>
        </row>
        <row r="3325">
          <cell r="C3325" t="str">
            <v>Indian Telephone Industries</v>
          </cell>
          <cell r="D3325">
            <v>795.19</v>
          </cell>
        </row>
        <row r="3326">
          <cell r="C3326" t="str">
            <v>Vidrala</v>
          </cell>
          <cell r="D3326">
            <v>128.11000000000001</v>
          </cell>
        </row>
        <row r="3327">
          <cell r="C3327" t="str">
            <v>INFICON</v>
          </cell>
          <cell r="D3327">
            <v>0.67</v>
          </cell>
        </row>
        <row r="3328">
          <cell r="C3328" t="str">
            <v>Graham Holdings</v>
          </cell>
          <cell r="D3328">
            <v>15.642799999999999</v>
          </cell>
        </row>
        <row r="3329">
          <cell r="C3329" t="str">
            <v>Plexus</v>
          </cell>
          <cell r="D3329">
            <v>74.040000000000006</v>
          </cell>
        </row>
        <row r="3330">
          <cell r="C3330" t="str">
            <v>Burjeel Holdings</v>
          </cell>
          <cell r="D3330">
            <v>138.56</v>
          </cell>
        </row>
        <row r="3331">
          <cell r="C3331" t="str">
            <v>Hatsun Agro Products</v>
          </cell>
          <cell r="D3331">
            <v>24.781700000000001</v>
          </cell>
        </row>
        <row r="3332">
          <cell r="C3332" t="str">
            <v>Brady</v>
          </cell>
          <cell r="D3332">
            <v>65.98</v>
          </cell>
        </row>
        <row r="3333">
          <cell r="C3333" t="str">
            <v>InterDigital</v>
          </cell>
          <cell r="D3333">
            <v>4.1178699999999999</v>
          </cell>
        </row>
        <row r="3334">
          <cell r="C3334" t="str">
            <v>Jumbo S.A.</v>
          </cell>
          <cell r="D3334">
            <v>50.99</v>
          </cell>
        </row>
        <row r="3335">
          <cell r="C3335" t="str">
            <v>Construction Partners</v>
          </cell>
          <cell r="D3335">
            <v>6.8785400000000001</v>
          </cell>
        </row>
        <row r="3336">
          <cell r="C3336" t="str">
            <v>UOL Group</v>
          </cell>
          <cell r="D3336">
            <v>7.6678699999999997</v>
          </cell>
        </row>
        <row r="3337">
          <cell r="C3337" t="str">
            <v>Merus</v>
          </cell>
          <cell r="D3337">
            <v>14.44</v>
          </cell>
        </row>
        <row r="3338">
          <cell r="C3338" t="str">
            <v>Babcock International Group</v>
          </cell>
          <cell r="D3338">
            <v>7.72079</v>
          </cell>
        </row>
        <row r="3339">
          <cell r="C3339" t="str">
            <v>AntarChile</v>
          </cell>
          <cell r="D3339">
            <v>10.5421</v>
          </cell>
        </row>
        <row r="3340">
          <cell r="C3340" t="str">
            <v>Apple Hospitality REIT</v>
          </cell>
          <cell r="D3340">
            <v>113.42</v>
          </cell>
        </row>
        <row r="3341">
          <cell r="C3341" t="str">
            <v>Banca Popolare di Sondrio</v>
          </cell>
          <cell r="D3341">
            <v>59.37</v>
          </cell>
        </row>
        <row r="3342">
          <cell r="C3342" t="str">
            <v>Guoco</v>
          </cell>
          <cell r="D3342">
            <v>29.158799999999999</v>
          </cell>
        </row>
        <row r="3343">
          <cell r="C3343" t="str">
            <v>Dorman Products</v>
          </cell>
          <cell r="D3343">
            <v>62.75</v>
          </cell>
        </row>
        <row r="3344">
          <cell r="C3344" t="str">
            <v>St. Joe Company</v>
          </cell>
          <cell r="D3344">
            <v>0.22537099999999999</v>
          </cell>
        </row>
        <row r="3345">
          <cell r="C3345" t="str">
            <v>Freenet</v>
          </cell>
          <cell r="D3345">
            <v>11.63</v>
          </cell>
        </row>
        <row r="3346">
          <cell r="C3346" t="str">
            <v>Envestnet</v>
          </cell>
          <cell r="D3346">
            <v>22.94</v>
          </cell>
        </row>
        <row r="3347">
          <cell r="C3347" t="str">
            <v>Bangkok Expressway and Metro (BEM)</v>
          </cell>
          <cell r="D3347">
            <v>29.96</v>
          </cell>
        </row>
        <row r="3348">
          <cell r="C3348" t="str">
            <v>Sportradar</v>
          </cell>
          <cell r="D3348">
            <v>33.29</v>
          </cell>
        </row>
        <row r="3349">
          <cell r="C3349" t="str">
            <v>Kratos Defense &amp;amp; Security Solutions</v>
          </cell>
          <cell r="D3349">
            <v>23704</v>
          </cell>
        </row>
        <row r="3350">
          <cell r="C3350" t="str">
            <v>nCino</v>
          </cell>
          <cell r="D3350">
            <v>18.185500000000001</v>
          </cell>
        </row>
        <row r="3351">
          <cell r="C3351" t="str">
            <v>Golar LNG</v>
          </cell>
          <cell r="D3351">
            <v>22.88</v>
          </cell>
        </row>
        <row r="3352">
          <cell r="C3352" t="str">
            <v>Pluxee</v>
          </cell>
          <cell r="D3352">
            <v>45.873399999999997</v>
          </cell>
        </row>
        <row r="3353">
          <cell r="C3353" t="str">
            <v>Carborundum Universal</v>
          </cell>
          <cell r="D3353">
            <v>46.2</v>
          </cell>
        </row>
        <row r="3354">
          <cell r="C3354" t="str">
            <v>Associated Banc-Corp</v>
          </cell>
          <cell r="D3354">
            <v>13.83</v>
          </cell>
        </row>
        <row r="3355">
          <cell r="C3355" t="str">
            <v>Timken India</v>
          </cell>
          <cell r="D3355">
            <v>22.23</v>
          </cell>
        </row>
        <row r="3356">
          <cell r="C3356" t="str">
            <v>Intapp</v>
          </cell>
          <cell r="D3356">
            <v>37.43</v>
          </cell>
        </row>
        <row r="3357">
          <cell r="C3357" t="str">
            <v>Newmark</v>
          </cell>
          <cell r="D3357">
            <v>63.959099999999999</v>
          </cell>
        </row>
        <row r="3358">
          <cell r="C3358" t="str">
            <v>Sitio Royalties</v>
          </cell>
          <cell r="D3358">
            <v>2.2963100000000001</v>
          </cell>
        </row>
        <row r="3359">
          <cell r="C3359" t="str">
            <v>DigitalOcean</v>
          </cell>
          <cell r="D3359">
            <v>11.61</v>
          </cell>
        </row>
        <row r="3360">
          <cell r="C3360" t="str">
            <v>Boardwalk Real Estate Investment Trust</v>
          </cell>
          <cell r="D3360">
            <v>30.6646</v>
          </cell>
        </row>
        <row r="3361">
          <cell r="C3361" t="str">
            <v>Saudi Kayan Petrochemical Company</v>
          </cell>
          <cell r="D3361">
            <v>5.1840400000000004</v>
          </cell>
        </row>
        <row r="3362">
          <cell r="C3362" t="str">
            <v>Amicus Therapeutics</v>
          </cell>
          <cell r="D3362">
            <v>69.98</v>
          </cell>
        </row>
        <row r="3363">
          <cell r="C3363" t="str">
            <v>Derwent London</v>
          </cell>
          <cell r="D3363">
            <v>16.920000000000002</v>
          </cell>
        </row>
        <row r="3364">
          <cell r="C3364" t="str">
            <v>Schaeffler</v>
          </cell>
          <cell r="D3364">
            <v>2.63707</v>
          </cell>
        </row>
        <row r="3365">
          <cell r="C3365" t="str">
            <v>Cogent Communications</v>
          </cell>
          <cell r="D3365">
            <v>0.46124500000000002</v>
          </cell>
        </row>
        <row r="3366">
          <cell r="C3366" t="str">
            <v>Wendy’s Company</v>
          </cell>
          <cell r="D3366">
            <v>117166</v>
          </cell>
        </row>
        <row r="3367">
          <cell r="C3367" t="str">
            <v>Inox Wind</v>
          </cell>
          <cell r="D3367">
            <v>23.43</v>
          </cell>
        </row>
        <row r="3368">
          <cell r="C3368" t="str">
            <v>Zhejiang Century Huatong</v>
          </cell>
          <cell r="D3368">
            <v>43.46</v>
          </cell>
        </row>
        <row r="3369">
          <cell r="C3369" t="str">
            <v>Brederode</v>
          </cell>
          <cell r="D3369">
            <v>34.818199999999997</v>
          </cell>
        </row>
        <row r="3370">
          <cell r="C3370" t="str">
            <v>Instructure Holdings</v>
          </cell>
          <cell r="D3370">
            <v>20.59</v>
          </cell>
        </row>
        <row r="3371">
          <cell r="C3371" t="str">
            <v>PotlatchDeltic</v>
          </cell>
          <cell r="D3371">
            <v>32.22</v>
          </cell>
        </row>
        <row r="3372">
          <cell r="C3372" t="str">
            <v>CA Immo</v>
          </cell>
          <cell r="D3372">
            <v>29.79</v>
          </cell>
        </row>
        <row r="3373">
          <cell r="C3373" t="str">
            <v>Liberty Energy</v>
          </cell>
          <cell r="D3373">
            <v>11.07</v>
          </cell>
        </row>
        <row r="3374">
          <cell r="C3374" t="str">
            <v>Highwoods Properties</v>
          </cell>
          <cell r="D3374">
            <v>6.03</v>
          </cell>
        </row>
        <row r="3375">
          <cell r="C3375" t="str">
            <v>COPT Defense Properties</v>
          </cell>
          <cell r="D3375">
            <v>8.8869600000000002</v>
          </cell>
        </row>
        <row r="3376">
          <cell r="C3376" t="str">
            <v>PagSeguro</v>
          </cell>
          <cell r="D3376">
            <v>20.23</v>
          </cell>
        </row>
        <row r="3377">
          <cell r="C3377" t="str">
            <v>NexGen Energy</v>
          </cell>
          <cell r="D3377">
            <v>40.32</v>
          </cell>
        </row>
        <row r="3378">
          <cell r="C3378" t="str">
            <v>Tate &amp;amp; Lyle</v>
          </cell>
          <cell r="D3378">
            <v>413.32</v>
          </cell>
        </row>
        <row r="3379">
          <cell r="C3379" t="str">
            <v>Archrock</v>
          </cell>
          <cell r="D3379">
            <v>86.79</v>
          </cell>
        </row>
        <row r="3380">
          <cell r="C3380" t="str">
            <v>YETI Holdings</v>
          </cell>
          <cell r="D3380">
            <v>36.090000000000003</v>
          </cell>
        </row>
        <row r="3381">
          <cell r="C3381" t="str">
            <v>Cavco Industries</v>
          </cell>
          <cell r="D3381">
            <v>16.97</v>
          </cell>
        </row>
        <row r="3382">
          <cell r="C3382" t="str">
            <v>GMS</v>
          </cell>
          <cell r="D3382">
            <v>78.626499999999993</v>
          </cell>
        </row>
        <row r="3383">
          <cell r="C3383" t="str">
            <v>TORM</v>
          </cell>
          <cell r="D3383">
            <v>144.66</v>
          </cell>
        </row>
        <row r="3384">
          <cell r="C3384" t="str">
            <v>Eastern Bankshares</v>
          </cell>
          <cell r="D3384">
            <v>63272</v>
          </cell>
        </row>
        <row r="3385">
          <cell r="C3385" t="str">
            <v>BASF India</v>
          </cell>
          <cell r="D3385">
            <v>40.757599999999996</v>
          </cell>
        </row>
        <row r="3386">
          <cell r="C3386" t="str">
            <v>SiTime</v>
          </cell>
          <cell r="D3386">
            <v>2.93519</v>
          </cell>
        </row>
        <row r="3387">
          <cell r="C3387" t="str">
            <v>Cranswick</v>
          </cell>
          <cell r="D3387">
            <v>46.5351</v>
          </cell>
        </row>
        <row r="3388">
          <cell r="C3388" t="str">
            <v>Dr Lal PathLabs</v>
          </cell>
          <cell r="D3388">
            <v>52.730200000000004</v>
          </cell>
        </row>
        <row r="3389">
          <cell r="C3389" t="str">
            <v>Man Group</v>
          </cell>
          <cell r="D3389">
            <v>10.225899999999999</v>
          </cell>
        </row>
        <row r="3390">
          <cell r="C3390" t="str">
            <v>Renishaw</v>
          </cell>
          <cell r="D3390">
            <v>160.83000000000001</v>
          </cell>
        </row>
        <row r="3391">
          <cell r="C3391" t="str">
            <v>Cargotec</v>
          </cell>
          <cell r="D3391">
            <v>55.930100000000003</v>
          </cell>
        </row>
        <row r="3392">
          <cell r="C3392" t="str">
            <v>Redrow</v>
          </cell>
          <cell r="D3392">
            <v>75.006299999999996</v>
          </cell>
        </row>
        <row r="3393">
          <cell r="C3393" t="str">
            <v>EnPro Industries</v>
          </cell>
          <cell r="D3393">
            <v>1.59833</v>
          </cell>
        </row>
        <row r="3394">
          <cell r="C3394" t="str">
            <v>Corporación Financiera Alba</v>
          </cell>
          <cell r="D3394">
            <v>0.98425200000000002</v>
          </cell>
        </row>
        <row r="3395">
          <cell r="C3395" t="str">
            <v>Bayer Crop Science</v>
          </cell>
          <cell r="D3395">
            <v>58.75</v>
          </cell>
        </row>
        <row r="3396">
          <cell r="C3396" t="str">
            <v>Atacadão</v>
          </cell>
          <cell r="D3396">
            <v>39.056100000000001</v>
          </cell>
        </row>
        <row r="3397">
          <cell r="C3397" t="str">
            <v>Westports</v>
          </cell>
          <cell r="D3397">
            <v>36.32</v>
          </cell>
        </row>
        <row r="3398">
          <cell r="C3398" t="str">
            <v>Crane NXT</v>
          </cell>
          <cell r="D3398">
            <v>27.38</v>
          </cell>
        </row>
        <row r="3399">
          <cell r="C3399" t="str">
            <v>Korea Gas</v>
          </cell>
          <cell r="D3399">
            <v>6.99</v>
          </cell>
        </row>
        <row r="3400">
          <cell r="C3400" t="str">
            <v>Urban Outfitters</v>
          </cell>
          <cell r="D3400">
            <v>19.7</v>
          </cell>
        </row>
        <row r="3401">
          <cell r="C3401" t="str">
            <v>Cinemark Theatres</v>
          </cell>
          <cell r="D3401">
            <v>28.46</v>
          </cell>
        </row>
        <row r="3402">
          <cell r="C3402" t="str">
            <v>Global Business Travel Group</v>
          </cell>
          <cell r="D3402">
            <v>93.33</v>
          </cell>
        </row>
        <row r="3403">
          <cell r="C3403" t="str">
            <v>DoubleVerify</v>
          </cell>
          <cell r="D3403">
            <v>2.4144299999999999</v>
          </cell>
        </row>
        <row r="3404">
          <cell r="C3404" t="str">
            <v>RXO</v>
          </cell>
          <cell r="D3404">
            <v>21.47</v>
          </cell>
        </row>
        <row r="3405">
          <cell r="C3405" t="str">
            <v>Atkore</v>
          </cell>
          <cell r="D3405">
            <v>1.1857800000000001</v>
          </cell>
        </row>
        <row r="3406">
          <cell r="C3406" t="str">
            <v>Natura&amp;Co</v>
          </cell>
          <cell r="D3406">
            <v>32.1875</v>
          </cell>
        </row>
        <row r="3407">
          <cell r="C3407" t="str">
            <v>Mueller Water Products</v>
          </cell>
          <cell r="D3407">
            <v>6.5767699999999998</v>
          </cell>
        </row>
        <row r="3408">
          <cell r="C3408" t="str">
            <v>Global Power Synergy</v>
          </cell>
          <cell r="D3408">
            <v>1.2696700000000001</v>
          </cell>
        </row>
        <row r="3409">
          <cell r="C3409" t="str">
            <v>Rubis</v>
          </cell>
          <cell r="D3409">
            <v>39.5</v>
          </cell>
        </row>
        <row r="3410">
          <cell r="C3410" t="str">
            <v>TUI</v>
          </cell>
          <cell r="D3410">
            <v>6.6713399999999998</v>
          </cell>
        </row>
        <row r="3411">
          <cell r="C3411" t="str">
            <v>Bank of East Asia</v>
          </cell>
          <cell r="D3411">
            <v>75.660399999999996</v>
          </cell>
        </row>
        <row r="3412">
          <cell r="C3412" t="str">
            <v>IDEAYA Biosciences</v>
          </cell>
          <cell r="D3412">
            <v>54.39</v>
          </cell>
        </row>
        <row r="3413">
          <cell r="C3413" t="str">
            <v>Pegasus Airlines</v>
          </cell>
          <cell r="D3413">
            <v>18.5229</v>
          </cell>
        </row>
        <row r="3414">
          <cell r="C3414" t="str">
            <v>Aurubis</v>
          </cell>
          <cell r="D3414">
            <v>2.00318</v>
          </cell>
        </row>
        <row r="3415">
          <cell r="C3415" t="str">
            <v>NorthWestern Corporation</v>
          </cell>
          <cell r="D3415">
            <v>30.44</v>
          </cell>
        </row>
        <row r="3416">
          <cell r="C3416" t="str">
            <v>ISS A/S</v>
          </cell>
          <cell r="D3416">
            <v>0.73650700000000002</v>
          </cell>
        </row>
        <row r="3417">
          <cell r="C3417" t="str">
            <v>Deliveroo</v>
          </cell>
          <cell r="D3417">
            <v>18.1432</v>
          </cell>
        </row>
        <row r="3418">
          <cell r="C3418" t="str">
            <v>Tanger Factory Outlet Centers</v>
          </cell>
          <cell r="D3418">
            <v>27.83</v>
          </cell>
        </row>
        <row r="3419">
          <cell r="C3419" t="str">
            <v>PTT Global Chemical</v>
          </cell>
          <cell r="D3419">
            <v>22.7684</v>
          </cell>
        </row>
        <row r="3420">
          <cell r="C3420" t="str">
            <v>Amara Raja Batteries</v>
          </cell>
          <cell r="D3420">
            <v>0.58360400000000001</v>
          </cell>
        </row>
        <row r="3421">
          <cell r="C3421" t="str">
            <v>United Community Bank</v>
          </cell>
          <cell r="D3421">
            <v>18.37</v>
          </cell>
        </row>
        <row r="3422">
          <cell r="C3422" t="str">
            <v>GN Store Nord</v>
          </cell>
          <cell r="D3422">
            <v>170.19</v>
          </cell>
        </row>
        <row r="3423">
          <cell r="C3423" t="str">
            <v>Genting Malaysia Berhad</v>
          </cell>
          <cell r="D3423">
            <v>16.3431</v>
          </cell>
        </row>
        <row r="3424">
          <cell r="C3424" t="str">
            <v>Fluence Energy</v>
          </cell>
          <cell r="D3424">
            <v>26.041499999999999</v>
          </cell>
        </row>
        <row r="3425">
          <cell r="C3425" t="str">
            <v>J&amp;amp;J Snack Foods</v>
          </cell>
          <cell r="D3425">
            <v>33.340000000000003</v>
          </cell>
        </row>
        <row r="3426">
          <cell r="C3426" t="str">
            <v>Dunelm Group</v>
          </cell>
          <cell r="D3426">
            <v>9.7808199999999998E-2</v>
          </cell>
        </row>
        <row r="3427">
          <cell r="C3427" t="str">
            <v>Whirlpool India</v>
          </cell>
          <cell r="D3427">
            <v>77.84</v>
          </cell>
        </row>
        <row r="3428">
          <cell r="C3428" t="str">
            <v>Alkami Technology</v>
          </cell>
          <cell r="D3428">
            <v>1.1909799999999999</v>
          </cell>
        </row>
        <row r="3429">
          <cell r="C3429" t="str">
            <v>Asset World Corp</v>
          </cell>
          <cell r="D3429">
            <v>43.82</v>
          </cell>
        </row>
        <row r="3430">
          <cell r="C3430" t="str">
            <v>Sensient Technologies</v>
          </cell>
          <cell r="D3430">
            <v>16.350000000000001</v>
          </cell>
        </row>
        <row r="3431">
          <cell r="C3431" t="str">
            <v>Bezeq</v>
          </cell>
          <cell r="D3431">
            <v>47.046300000000002</v>
          </cell>
        </row>
        <row r="3432">
          <cell r="C3432" t="str">
            <v>Semtech</v>
          </cell>
          <cell r="D3432">
            <v>1.5159100000000001</v>
          </cell>
        </row>
        <row r="3433">
          <cell r="C3433" t="str">
            <v>Triple Flag Precious Metals</v>
          </cell>
          <cell r="D3433">
            <v>0.45816000000000001</v>
          </cell>
        </row>
        <row r="3434">
          <cell r="C3434" t="str">
            <v>Jamjoom Pharmaceuticals Factory Company</v>
          </cell>
          <cell r="D3434">
            <v>19.303599999999999</v>
          </cell>
        </row>
        <row r="3435">
          <cell r="C3435" t="str">
            <v>Genscript Biotech</v>
          </cell>
          <cell r="D3435">
            <v>4.6731999999999996</v>
          </cell>
        </row>
        <row r="3436">
          <cell r="C3436" t="str">
            <v>Halkbank</v>
          </cell>
          <cell r="D3436">
            <v>12.9122</v>
          </cell>
        </row>
        <row r="3437">
          <cell r="C3437" t="str">
            <v>Hanwha Solutions</v>
          </cell>
          <cell r="D3437">
            <v>32.892400000000002</v>
          </cell>
        </row>
        <row r="3438">
          <cell r="C3438" t="str">
            <v>Zegona Communications</v>
          </cell>
          <cell r="D3438">
            <v>10.7982</v>
          </cell>
        </row>
        <row r="3439">
          <cell r="C3439" t="str">
            <v>Tata Chemicals</v>
          </cell>
          <cell r="D3439">
            <v>7.46</v>
          </cell>
        </row>
        <row r="3440">
          <cell r="C3440" t="str">
            <v>Stadler Rail</v>
          </cell>
          <cell r="D3440">
            <v>1.8063899999999999</v>
          </cell>
        </row>
        <row r="3441">
          <cell r="C3441" t="str">
            <v>Capstone Infrastructure</v>
          </cell>
          <cell r="D3441">
            <v>32.857700000000001</v>
          </cell>
        </row>
        <row r="3442">
          <cell r="C3442" t="str">
            <v>Under Armour</v>
          </cell>
          <cell r="D3442">
            <v>18.337599999999998</v>
          </cell>
        </row>
        <row r="3443">
          <cell r="C3443" t="str">
            <v>KLCC Property Holdings</v>
          </cell>
          <cell r="D3443">
            <v>75.16</v>
          </cell>
        </row>
        <row r="3444">
          <cell r="C3444" t="str">
            <v>Aldrees Petroleum and Transport Services</v>
          </cell>
          <cell r="D3444">
            <v>0.86490599999999995</v>
          </cell>
        </row>
        <row r="3445">
          <cell r="C3445" t="str">
            <v>Natco Pharma</v>
          </cell>
          <cell r="D3445">
            <v>32.630000000000003</v>
          </cell>
        </row>
        <row r="3446">
          <cell r="C3446" t="str">
            <v>Granite Construction</v>
          </cell>
          <cell r="D3446">
            <v>45.1</v>
          </cell>
        </row>
        <row r="3447">
          <cell r="C3447" t="str">
            <v>Olam</v>
          </cell>
          <cell r="D3447">
            <v>41.07</v>
          </cell>
        </row>
        <row r="3448">
          <cell r="C3448" t="str">
            <v>Helmerich &amp;amp; Payne</v>
          </cell>
          <cell r="D3448">
            <v>12.998799999999999</v>
          </cell>
        </row>
        <row r="3449">
          <cell r="C3449" t="str">
            <v>Steve Madden</v>
          </cell>
          <cell r="D3449">
            <v>16.739999999999998</v>
          </cell>
        </row>
        <row r="3450">
          <cell r="C3450" t="str">
            <v>NMI Holdings</v>
          </cell>
          <cell r="D3450">
            <v>264407</v>
          </cell>
        </row>
        <row r="3451">
          <cell r="C3451" t="str">
            <v>Lottomatica Group</v>
          </cell>
          <cell r="D3451">
            <v>66.19</v>
          </cell>
        </row>
        <row r="3452">
          <cell r="C3452" t="str">
            <v>Euronav</v>
          </cell>
          <cell r="D3452">
            <v>31.457899999999999</v>
          </cell>
        </row>
        <row r="3453">
          <cell r="C3453" t="str">
            <v>Maruwa</v>
          </cell>
          <cell r="D3453">
            <v>22723</v>
          </cell>
        </row>
        <row r="3454">
          <cell r="C3454" t="str">
            <v>Griffon Corporation</v>
          </cell>
          <cell r="D3454">
            <v>17.03</v>
          </cell>
        </row>
        <row r="3455">
          <cell r="C3455" t="str">
            <v>Jungheinrich</v>
          </cell>
          <cell r="D3455">
            <v>3.9722200000000001</v>
          </cell>
        </row>
        <row r="3456">
          <cell r="C3456" t="str">
            <v>Breville Group</v>
          </cell>
          <cell r="D3456">
            <v>55.33</v>
          </cell>
        </row>
        <row r="3457">
          <cell r="C3457" t="str">
            <v>GDS Holdings</v>
          </cell>
          <cell r="D3457">
            <v>1.22997</v>
          </cell>
        </row>
        <row r="3458">
          <cell r="C3458" t="str">
            <v>Bridgepoint Group plc</v>
          </cell>
          <cell r="D3458">
            <v>31.05</v>
          </cell>
        </row>
        <row r="3459">
          <cell r="C3459" t="str">
            <v>California Water Service Group</v>
          </cell>
          <cell r="D3459">
            <v>17.27</v>
          </cell>
        </row>
        <row r="3460">
          <cell r="C3460" t="str">
            <v>Krungthai Card</v>
          </cell>
          <cell r="D3460">
            <v>54.74</v>
          </cell>
        </row>
        <row r="3461">
          <cell r="C3461" t="str">
            <v>First Interstate BancSystem</v>
          </cell>
          <cell r="D3461">
            <v>26.08</v>
          </cell>
        </row>
        <row r="3462">
          <cell r="C3462" t="str">
            <v>Osisko Gold Royalties</v>
          </cell>
          <cell r="D3462">
            <v>79.09</v>
          </cell>
        </row>
        <row r="3463">
          <cell r="C3463" t="str">
            <v>WSFS Financial</v>
          </cell>
          <cell r="D3463">
            <v>2.49675</v>
          </cell>
        </row>
        <row r="3464">
          <cell r="C3464" t="str">
            <v>Olink Holding</v>
          </cell>
          <cell r="D3464">
            <v>18.702300000000001</v>
          </cell>
        </row>
        <row r="3465">
          <cell r="C3465" t="str">
            <v>Sylvamo</v>
          </cell>
          <cell r="D3465">
            <v>16.566199999999998</v>
          </cell>
        </row>
        <row r="3466">
          <cell r="C3466" t="str">
            <v>Direct Line Group</v>
          </cell>
          <cell r="D3466">
            <v>69.69</v>
          </cell>
        </row>
        <row r="3467">
          <cell r="C3467" t="str">
            <v>Indra Sistemas</v>
          </cell>
          <cell r="D3467">
            <v>2.7637800000000001</v>
          </cell>
        </row>
        <row r="3468">
          <cell r="C3468" t="str">
            <v>Big Yellow Group</v>
          </cell>
          <cell r="D3468">
            <v>7.35</v>
          </cell>
        </row>
        <row r="3469">
          <cell r="C3469" t="str">
            <v>Diodes Incorporated</v>
          </cell>
          <cell r="D3469">
            <v>18.9283</v>
          </cell>
        </row>
        <row r="3470">
          <cell r="C3470" t="str">
            <v>Leapmotor</v>
          </cell>
          <cell r="D3470">
            <v>8.38157</v>
          </cell>
        </row>
        <row r="3471">
          <cell r="C3471" t="str">
            <v>Inter &amp;amp; Co</v>
          </cell>
          <cell r="D3471">
            <v>1.1142399999999999</v>
          </cell>
        </row>
        <row r="3472">
          <cell r="C3472" t="str">
            <v>SmartCentres REIT</v>
          </cell>
          <cell r="D3472">
            <v>29.1066</v>
          </cell>
        </row>
        <row r="3473">
          <cell r="C3473" t="str">
            <v>Drax Group</v>
          </cell>
          <cell r="D3473">
            <v>81.42</v>
          </cell>
        </row>
        <row r="3474">
          <cell r="C3474" t="str">
            <v>HD Bank (Ho Chi Minh City Development Joint Stock Commercial Bank)</v>
          </cell>
          <cell r="D3474">
            <v>384105</v>
          </cell>
        </row>
        <row r="3475">
          <cell r="C3475" t="str">
            <v>Grindwell Norton</v>
          </cell>
          <cell r="D3475">
            <v>61.31</v>
          </cell>
        </row>
        <row r="3476">
          <cell r="C3476" t="str">
            <v>Synaptics</v>
          </cell>
          <cell r="D3476">
            <v>71.52</v>
          </cell>
        </row>
        <row r="3477">
          <cell r="C3477" t="str">
            <v>Virbac SA</v>
          </cell>
          <cell r="D3477">
            <v>54.191299999999998</v>
          </cell>
        </row>
        <row r="3478">
          <cell r="C3478" t="str">
            <v>Warrior Met Coal</v>
          </cell>
          <cell r="D3478">
            <v>61.16</v>
          </cell>
        </row>
        <row r="3479">
          <cell r="C3479" t="str">
            <v>Brinker International</v>
          </cell>
          <cell r="D3479">
            <v>8.16</v>
          </cell>
        </row>
        <row r="3480">
          <cell r="C3480" t="str">
            <v>Bakkafrost</v>
          </cell>
          <cell r="D3480">
            <v>98.01</v>
          </cell>
        </row>
        <row r="3481">
          <cell r="C3481" t="str">
            <v>Community Bank System</v>
          </cell>
          <cell r="D3481">
            <v>21.09</v>
          </cell>
        </row>
        <row r="3482">
          <cell r="C3482" t="str">
            <v>Hudbay Minerals</v>
          </cell>
          <cell r="D3482">
            <v>14.06</v>
          </cell>
        </row>
        <row r="3483">
          <cell r="C3483" t="str">
            <v>Amedisys</v>
          </cell>
          <cell r="D3483">
            <v>1.44</v>
          </cell>
        </row>
        <row r="3484">
          <cell r="C3484" t="str">
            <v>Atlas Energy Solutions</v>
          </cell>
          <cell r="D3484">
            <v>67.425700000000006</v>
          </cell>
        </row>
        <row r="3485">
          <cell r="C3485" t="str">
            <v>Asana</v>
          </cell>
          <cell r="D3485">
            <v>18.46</v>
          </cell>
        </row>
        <row r="3486">
          <cell r="C3486" t="str">
            <v>National Bank of Fujairah</v>
          </cell>
          <cell r="D3486">
            <v>34.390099999999997</v>
          </cell>
        </row>
        <row r="3487">
          <cell r="C3487" t="str">
            <v>Aedifica</v>
          </cell>
          <cell r="D3487">
            <v>23.775300000000001</v>
          </cell>
        </row>
        <row r="3488">
          <cell r="C3488" t="str">
            <v>Blackstone Mortgage Trust</v>
          </cell>
          <cell r="D3488">
            <v>14.73</v>
          </cell>
        </row>
        <row r="3489">
          <cell r="C3489" t="str">
            <v>Japan Airport Terminal</v>
          </cell>
          <cell r="D3489">
            <v>14.84</v>
          </cell>
        </row>
        <row r="3490">
          <cell r="C3490" t="str">
            <v>Filo Mining</v>
          </cell>
          <cell r="D3490">
            <v>15.28</v>
          </cell>
        </row>
        <row r="3491">
          <cell r="C3491" t="str">
            <v>Hims &amp;amp; Hers Health</v>
          </cell>
          <cell r="D3491">
            <v>24454</v>
          </cell>
        </row>
        <row r="3492">
          <cell r="C3492" t="str">
            <v>Hayward</v>
          </cell>
          <cell r="D3492">
            <v>22.377099999999999</v>
          </cell>
        </row>
        <row r="3493">
          <cell r="C3493" t="str">
            <v>Park Hotels &amp;amp; Resorts</v>
          </cell>
          <cell r="D3493">
            <v>271.72000000000003</v>
          </cell>
        </row>
        <row r="3494">
          <cell r="C3494" t="str">
            <v>Bank Handlowy w Warszawie</v>
          </cell>
          <cell r="D3494">
            <v>9.8232499999999998</v>
          </cell>
        </row>
        <row r="3495">
          <cell r="C3495" t="str">
            <v>Rinnai Corporation</v>
          </cell>
          <cell r="D3495">
            <v>5.3402500000000002</v>
          </cell>
        </row>
        <row r="3496">
          <cell r="C3496" t="str">
            <v>Boston Beer Company</v>
          </cell>
          <cell r="D3496">
            <v>2.3522599999999998</v>
          </cell>
        </row>
        <row r="3497">
          <cell r="C3497" t="str">
            <v>ICICI Securities</v>
          </cell>
          <cell r="D3497">
            <v>43.99</v>
          </cell>
        </row>
        <row r="3498">
          <cell r="C3498" t="str">
            <v>TOTVS</v>
          </cell>
          <cell r="D3498">
            <v>16</v>
          </cell>
        </row>
        <row r="3499">
          <cell r="C3499" t="str">
            <v>Embracer Group</v>
          </cell>
          <cell r="D3499">
            <v>60.35</v>
          </cell>
        </row>
        <row r="3500">
          <cell r="C3500" t="str">
            <v>Cathay General Bancorp</v>
          </cell>
          <cell r="D3500">
            <v>407772</v>
          </cell>
        </row>
        <row r="3501">
          <cell r="C3501" t="str">
            <v>Douglas Emmett</v>
          </cell>
          <cell r="D3501">
            <v>31.59</v>
          </cell>
        </row>
        <row r="3502">
          <cell r="C3502" t="str">
            <v>SITE Centers</v>
          </cell>
          <cell r="D3502">
            <v>14.92</v>
          </cell>
        </row>
        <row r="3503">
          <cell r="C3503" t="str">
            <v>Comet Holding</v>
          </cell>
          <cell r="D3503">
            <v>4.57437</v>
          </cell>
        </row>
        <row r="3504">
          <cell r="C3504" t="str">
            <v>Simply Good Foods</v>
          </cell>
          <cell r="D3504">
            <v>113.1</v>
          </cell>
        </row>
        <row r="3505">
          <cell r="C3505" t="str">
            <v>Black Stone Minerals</v>
          </cell>
          <cell r="D3505">
            <v>0.72350400000000004</v>
          </cell>
        </row>
        <row r="3506">
          <cell r="C3506" t="str">
            <v>Lendlease</v>
          </cell>
          <cell r="D3506">
            <v>28.4954</v>
          </cell>
        </row>
        <row r="3507">
          <cell r="C3507" t="str">
            <v>Agilysys</v>
          </cell>
          <cell r="D3507">
            <v>29.778400000000001</v>
          </cell>
        </row>
        <row r="3508">
          <cell r="C3508" t="str">
            <v>Old Mutual</v>
          </cell>
          <cell r="D3508">
            <v>25.58</v>
          </cell>
        </row>
        <row r="3509">
          <cell r="C3509" t="str">
            <v>Century Textiles and Industries</v>
          </cell>
          <cell r="D3509">
            <v>61.812600000000003</v>
          </cell>
        </row>
        <row r="3510">
          <cell r="C3510" t="str">
            <v>Doosan Bobcat</v>
          </cell>
          <cell r="D3510">
            <v>46.69</v>
          </cell>
        </row>
        <row r="3511">
          <cell r="C3511" t="str">
            <v>Guardant Health</v>
          </cell>
          <cell r="D3511">
            <v>8.7661999999999995</v>
          </cell>
        </row>
        <row r="3512">
          <cell r="C3512" t="str">
            <v>Multi Commodity Exchange</v>
          </cell>
          <cell r="D3512">
            <v>84.34</v>
          </cell>
        </row>
        <row r="3513">
          <cell r="C3513" t="str">
            <v>Methanex</v>
          </cell>
          <cell r="D3513">
            <v>18.260000000000002</v>
          </cell>
        </row>
        <row r="3514">
          <cell r="C3514" t="str">
            <v>Burberry</v>
          </cell>
          <cell r="D3514">
            <v>86705</v>
          </cell>
        </row>
        <row r="3515">
          <cell r="C3515" t="str">
            <v>Goosehead Insurance</v>
          </cell>
          <cell r="D3515">
            <v>100.07</v>
          </cell>
        </row>
        <row r="3516">
          <cell r="C3516" t="str">
            <v>Envista</v>
          </cell>
          <cell r="D3516">
            <v>33.450000000000003</v>
          </cell>
        </row>
        <row r="3517">
          <cell r="C3517" t="str">
            <v>MGE Energy</v>
          </cell>
          <cell r="D3517">
            <v>0.83428999999999998</v>
          </cell>
        </row>
        <row r="3518">
          <cell r="C3518" t="str">
            <v>Century Communities</v>
          </cell>
          <cell r="D3518">
            <v>46.89</v>
          </cell>
        </row>
        <row r="3519">
          <cell r="C3519" t="str">
            <v>Dream Finders Homes</v>
          </cell>
          <cell r="D3519">
            <v>3.15754</v>
          </cell>
        </row>
        <row r="3520">
          <cell r="C3520" t="str">
            <v>Frasers Logistics &amp;amp; Industrial Trust</v>
          </cell>
          <cell r="D3520">
            <v>189.47</v>
          </cell>
        </row>
        <row r="3521">
          <cell r="C3521" t="str">
            <v>The Baldwin Insurance Group</v>
          </cell>
          <cell r="D3521">
            <v>48.36</v>
          </cell>
        </row>
        <row r="3522">
          <cell r="C3522" t="str">
            <v>Castrol India</v>
          </cell>
          <cell r="D3522">
            <v>24.33</v>
          </cell>
        </row>
        <row r="3523">
          <cell r="C3523" t="str">
            <v>Allreal Holding</v>
          </cell>
          <cell r="D3523">
            <v>18.71</v>
          </cell>
        </row>
        <row r="3524">
          <cell r="C3524" t="str">
            <v>Kymera Therapeutics</v>
          </cell>
          <cell r="D3524">
            <v>7.9</v>
          </cell>
        </row>
        <row r="3525">
          <cell r="C3525" t="str">
            <v>First Hawaiian Bank</v>
          </cell>
          <cell r="D3525">
            <v>6.27</v>
          </cell>
        </row>
        <row r="3526">
          <cell r="C3526" t="str">
            <v>ACV Auctions</v>
          </cell>
          <cell r="D3526">
            <v>15.75</v>
          </cell>
        </row>
        <row r="3527">
          <cell r="C3527" t="str">
            <v>GoodRx</v>
          </cell>
          <cell r="D3527">
            <v>10731</v>
          </cell>
        </row>
        <row r="3528">
          <cell r="C3528" t="str">
            <v>Rocket Lab</v>
          </cell>
          <cell r="D3528">
            <v>239.15</v>
          </cell>
        </row>
        <row r="3529">
          <cell r="C3529" t="str">
            <v>AmTrust Financial Services</v>
          </cell>
          <cell r="D3529">
            <v>62.962299999999999</v>
          </cell>
        </row>
        <row r="3530">
          <cell r="C3530" t="str">
            <v>Venture Corporation</v>
          </cell>
          <cell r="D3530">
            <v>19.170000000000002</v>
          </cell>
        </row>
        <row r="3531">
          <cell r="C3531" t="str">
            <v>Alpha Metallurgical Resources</v>
          </cell>
          <cell r="D3531">
            <v>77.540000000000006</v>
          </cell>
        </row>
        <row r="3532">
          <cell r="C3532" t="str">
            <v>SKF India</v>
          </cell>
          <cell r="D3532">
            <v>12000</v>
          </cell>
        </row>
        <row r="3533">
          <cell r="C3533" t="str">
            <v>Hercules Capital</v>
          </cell>
          <cell r="D3533">
            <v>165.76</v>
          </cell>
        </row>
        <row r="3534">
          <cell r="C3534" t="str">
            <v>SkyWest</v>
          </cell>
          <cell r="D3534">
            <v>33.33</v>
          </cell>
        </row>
        <row r="3535">
          <cell r="C3535" t="str">
            <v>First National of Nebraska</v>
          </cell>
          <cell r="D3535">
            <v>1.9488399999999999</v>
          </cell>
        </row>
        <row r="3536">
          <cell r="C3536" t="str">
            <v>ICF International</v>
          </cell>
          <cell r="D3536">
            <v>10.63</v>
          </cell>
        </row>
        <row r="3537">
          <cell r="C3537" t="str">
            <v>RingCentral</v>
          </cell>
          <cell r="D3537">
            <v>67.22</v>
          </cell>
        </row>
        <row r="3538">
          <cell r="C3538" t="str">
            <v>Viva Energy</v>
          </cell>
          <cell r="D3538">
            <v>10.79</v>
          </cell>
        </row>
        <row r="3539">
          <cell r="C3539" t="str">
            <v>Comstock Resources</v>
          </cell>
          <cell r="D3539">
            <v>24.582699999999999</v>
          </cell>
        </row>
        <row r="3540">
          <cell r="C3540" t="str">
            <v>Texas Capital Bancshares</v>
          </cell>
          <cell r="D3540">
            <v>23.161799999999999</v>
          </cell>
        </row>
        <row r="3541">
          <cell r="C3541" t="str">
            <v>Empire State Realty Trust</v>
          </cell>
          <cell r="D3541">
            <v>11.8949</v>
          </cell>
        </row>
        <row r="3542">
          <cell r="C3542" t="str">
            <v>Signify</v>
          </cell>
          <cell r="D3542">
            <v>41.71</v>
          </cell>
        </row>
        <row r="3543">
          <cell r="C3543" t="str">
            <v>Radico Khaitan</v>
          </cell>
          <cell r="D3543">
            <v>1727.75</v>
          </cell>
        </row>
        <row r="3544">
          <cell r="C3544" t="str">
            <v>Taiba Investments</v>
          </cell>
          <cell r="D3544">
            <v>0.54654899999999995</v>
          </cell>
        </row>
        <row r="3545">
          <cell r="C3545" t="str">
            <v>SpringWorks Therapeutics</v>
          </cell>
          <cell r="D3545">
            <v>24.45</v>
          </cell>
        </row>
        <row r="3546">
          <cell r="C3546" t="str">
            <v>Commercial Bank of Kuwait</v>
          </cell>
          <cell r="D3546">
            <v>44.26</v>
          </cell>
        </row>
        <row r="3547">
          <cell r="C3547" t="str">
            <v>Dialog Group</v>
          </cell>
          <cell r="D3547">
            <v>67.536199999999994</v>
          </cell>
        </row>
        <row r="3548">
          <cell r="C3548" t="str">
            <v>Concentra Group</v>
          </cell>
          <cell r="D3548">
            <v>70.244299999999996</v>
          </cell>
        </row>
        <row r="3549">
          <cell r="C3549" t="str">
            <v>Travel + Leisure</v>
          </cell>
          <cell r="D3549">
            <v>462032</v>
          </cell>
        </row>
        <row r="3550">
          <cell r="C3550" t="str">
            <v>Viscofan</v>
          </cell>
          <cell r="D3550">
            <v>119.91</v>
          </cell>
        </row>
        <row r="3551">
          <cell r="C3551" t="str">
            <v>Sixt</v>
          </cell>
          <cell r="D3551">
            <v>43.987900000000003</v>
          </cell>
        </row>
        <row r="3552">
          <cell r="C3552" t="str">
            <v>ID Logistics Group</v>
          </cell>
          <cell r="D3552">
            <v>109183</v>
          </cell>
        </row>
        <row r="3553">
          <cell r="C3553" t="str">
            <v>ESCO Technologies</v>
          </cell>
          <cell r="D3553">
            <v>49.55</v>
          </cell>
        </row>
        <row r="3554">
          <cell r="C3554" t="str">
            <v>Ratnamani Metals &amp;amp; Tubes</v>
          </cell>
          <cell r="D3554">
            <v>9.6583600000000001</v>
          </cell>
        </row>
        <row r="3555">
          <cell r="C3555" t="str">
            <v>Kinaxis</v>
          </cell>
          <cell r="D3555">
            <v>12.190200000000001</v>
          </cell>
        </row>
        <row r="3556">
          <cell r="C3556" t="str">
            <v>BlackLine</v>
          </cell>
          <cell r="D3556">
            <v>15.1341</v>
          </cell>
        </row>
        <row r="3557">
          <cell r="C3557" t="str">
            <v>VisEra Technologies</v>
          </cell>
          <cell r="D3557">
            <v>39.4041</v>
          </cell>
        </row>
        <row r="3558">
          <cell r="C3558" t="str">
            <v>momo.com Inc.</v>
          </cell>
          <cell r="D3558">
            <v>25.8</v>
          </cell>
        </row>
        <row r="3559">
          <cell r="C3559" t="str">
            <v>Narayana Hrudayalaya</v>
          </cell>
          <cell r="D3559">
            <v>24.6005</v>
          </cell>
        </row>
        <row r="3560">
          <cell r="C3560" t="str">
            <v>Bavarian Nordic</v>
          </cell>
          <cell r="D3560">
            <v>27.76</v>
          </cell>
        </row>
        <row r="3561">
          <cell r="C3561" t="str">
            <v>Iridium Communications</v>
          </cell>
          <cell r="D3561">
            <v>23.92</v>
          </cell>
        </row>
        <row r="3562">
          <cell r="C3562" t="str">
            <v>Taiyo Yuden</v>
          </cell>
          <cell r="D3562">
            <v>37.7318</v>
          </cell>
        </row>
        <row r="3563">
          <cell r="C3563" t="str">
            <v>Jfrog</v>
          </cell>
          <cell r="D3563">
            <v>94.199200000000005</v>
          </cell>
        </row>
        <row r="3564">
          <cell r="C3564" t="str">
            <v>Alliance Resource Partners</v>
          </cell>
          <cell r="D3564">
            <v>40.340000000000003</v>
          </cell>
        </row>
        <row r="3565">
          <cell r="C3565" t="str">
            <v>HUB24 Limited</v>
          </cell>
          <cell r="D3565">
            <v>68.37</v>
          </cell>
        </row>
        <row r="3566">
          <cell r="C3566" t="str">
            <v>Saudia Dairy &amp;amp; Foodstuff Company</v>
          </cell>
          <cell r="D3566">
            <v>10.36</v>
          </cell>
        </row>
        <row r="3567">
          <cell r="C3567" t="str">
            <v>Xenon Pharmaceuticals</v>
          </cell>
          <cell r="D3567">
            <v>12.667199999999999</v>
          </cell>
        </row>
        <row r="3568">
          <cell r="C3568" t="str">
            <v>IPG Photonics</v>
          </cell>
          <cell r="D3568">
            <v>81.42</v>
          </cell>
        </row>
        <row r="3569">
          <cell r="C3569" t="str">
            <v>LXP Industrial Trust</v>
          </cell>
          <cell r="D3569">
            <v>62.52</v>
          </cell>
        </row>
        <row r="3570">
          <cell r="C3570" t="str">
            <v>Umicore</v>
          </cell>
          <cell r="D3570">
            <v>18.8</v>
          </cell>
        </row>
        <row r="3571">
          <cell r="C3571" t="str">
            <v>American States Water</v>
          </cell>
          <cell r="D3571">
            <v>152988</v>
          </cell>
        </row>
        <row r="3572">
          <cell r="C3572" t="str">
            <v>Greif</v>
          </cell>
          <cell r="D3572">
            <v>10.948700000000001</v>
          </cell>
        </row>
        <row r="3573">
          <cell r="C3573" t="str">
            <v>Nomad Foods</v>
          </cell>
          <cell r="D3573">
            <v>25.16</v>
          </cell>
        </row>
        <row r="3574">
          <cell r="C3574" t="str">
            <v>Medacta Group</v>
          </cell>
          <cell r="D3574">
            <v>18.836600000000001</v>
          </cell>
        </row>
        <row r="3575">
          <cell r="C3575" t="str">
            <v>IDP Education</v>
          </cell>
          <cell r="D3575">
            <v>6.0986099999999999</v>
          </cell>
        </row>
        <row r="3576">
          <cell r="C3576" t="str">
            <v>Autohome</v>
          </cell>
          <cell r="D3576">
            <v>29.375499999999999</v>
          </cell>
        </row>
        <row r="3577">
          <cell r="C3577" t="str">
            <v>Encavis</v>
          </cell>
          <cell r="D3577">
            <v>2.2829700000000002</v>
          </cell>
        </row>
        <row r="3578">
          <cell r="C3578" t="str">
            <v>Sumitomo Chemical</v>
          </cell>
          <cell r="D3578">
            <v>38.64</v>
          </cell>
        </row>
        <row r="3579">
          <cell r="C3579" t="str">
            <v> India</v>
          </cell>
          <cell r="D3579">
            <v>169.27</v>
          </cell>
        </row>
        <row r="3580">
          <cell r="C3580" t="str">
            <v>Toho Gas</v>
          </cell>
          <cell r="D3580">
            <v>56.44</v>
          </cell>
        </row>
        <row r="3581">
          <cell r="C3581" t="str">
            <v>Emaar The Economic City</v>
          </cell>
          <cell r="D3581">
            <v>20.551400000000001</v>
          </cell>
        </row>
        <row r="3582">
          <cell r="C3582" t="str">
            <v>Avista</v>
          </cell>
          <cell r="D3582">
            <v>5.60724</v>
          </cell>
        </row>
        <row r="3583">
          <cell r="C3583" t="str">
            <v>Quaker Houghton</v>
          </cell>
          <cell r="D3583">
            <v>57.714399999999998</v>
          </cell>
        </row>
        <row r="3584">
          <cell r="C3584" t="str">
            <v>Primoris Services Corporation</v>
          </cell>
          <cell r="D3584">
            <v>3110.37</v>
          </cell>
        </row>
        <row r="3585">
          <cell r="C3585" t="str">
            <v>Paramount Resources</v>
          </cell>
          <cell r="D3585">
            <v>69.857399999999998</v>
          </cell>
        </row>
        <row r="3586">
          <cell r="C3586" t="str">
            <v>Laurus Labs</v>
          </cell>
          <cell r="D3586">
            <v>6.98</v>
          </cell>
        </row>
        <row r="3587">
          <cell r="C3587" t="str">
            <v>Leejam Sports Company</v>
          </cell>
          <cell r="D3587">
            <v>7.09</v>
          </cell>
        </row>
        <row r="3588">
          <cell r="C3588" t="str">
            <v>Seaboard</v>
          </cell>
          <cell r="D3588">
            <v>14.6181</v>
          </cell>
        </row>
        <row r="3589">
          <cell r="C3589" t="str">
            <v>Société Foncière Lyonnaise</v>
          </cell>
          <cell r="D3589">
            <v>102.28</v>
          </cell>
        </row>
        <row r="3590">
          <cell r="C3590" t="str">
            <v>Genworth Financial</v>
          </cell>
          <cell r="D3590">
            <v>3.9289000000000001</v>
          </cell>
        </row>
        <row r="3591">
          <cell r="C3591" t="str">
            <v>Newell Brands</v>
          </cell>
          <cell r="D3591">
            <v>117.84</v>
          </cell>
        </row>
        <row r="3592">
          <cell r="C3592" t="str">
            <v>Just Eat Takeaway</v>
          </cell>
          <cell r="D3592">
            <v>2.89622</v>
          </cell>
        </row>
        <row r="3593">
          <cell r="C3593" t="str">
            <v>CONSOL Energy</v>
          </cell>
          <cell r="D3593">
            <v>28.98</v>
          </cell>
        </row>
        <row r="3594">
          <cell r="C3594" t="str">
            <v>Harbour Energy</v>
          </cell>
          <cell r="D3594">
            <v>23.83</v>
          </cell>
        </row>
        <row r="3595">
          <cell r="C3595" t="str">
            <v>LCI Industries</v>
          </cell>
          <cell r="D3595">
            <v>1.6185099999999999</v>
          </cell>
        </row>
        <row r="3596">
          <cell r="C3596" t="str">
            <v>Becamex (Investment and Industrial Development Corporation)</v>
          </cell>
          <cell r="D3596">
            <v>46.79</v>
          </cell>
        </row>
        <row r="3597">
          <cell r="C3597" t="str">
            <v>CarGurus</v>
          </cell>
          <cell r="D3597">
            <v>35.85</v>
          </cell>
        </row>
        <row r="3598">
          <cell r="C3598" t="str">
            <v>Arrowhead Pharmaceuticals</v>
          </cell>
          <cell r="D3598">
            <v>29.844100000000001</v>
          </cell>
        </row>
        <row r="3599">
          <cell r="C3599" t="str">
            <v>C&amp;amp;D International Investment Group</v>
          </cell>
          <cell r="D3599">
            <v>17.45</v>
          </cell>
        </row>
        <row r="3600">
          <cell r="C3600" t="str">
            <v>MoonLake Immunotherapeutics</v>
          </cell>
          <cell r="D3600">
            <v>0.76620900000000003</v>
          </cell>
        </row>
        <row r="3601">
          <cell r="C3601" t="str">
            <v>Atmus Filtration Technologies</v>
          </cell>
          <cell r="D3601">
            <v>13</v>
          </cell>
        </row>
        <row r="3602">
          <cell r="C3602" t="str">
            <v>RENK Group</v>
          </cell>
          <cell r="D3602">
            <v>36.67</v>
          </cell>
        </row>
        <row r="3603">
          <cell r="C3603" t="str">
            <v>HUTCHMED</v>
          </cell>
          <cell r="D3603">
            <v>2.25387</v>
          </cell>
        </row>
        <row r="3604">
          <cell r="C3604" t="str">
            <v>Barwa Real Estate Company</v>
          </cell>
          <cell r="D3604">
            <v>4.8982099999999997</v>
          </cell>
        </row>
        <row r="3605">
          <cell r="C3605" t="str">
            <v>Cushman &amp;amp; Wakefield</v>
          </cell>
          <cell r="D3605">
            <v>2.9450799999999999</v>
          </cell>
        </row>
        <row r="3606">
          <cell r="C3606" t="str">
            <v>WaFd Bank</v>
          </cell>
          <cell r="D3606">
            <v>2.5004599999999999</v>
          </cell>
        </row>
        <row r="3607">
          <cell r="C3607" t="str">
            <v>Piramal Pharma</v>
          </cell>
          <cell r="D3607">
            <v>1.0255000000000001</v>
          </cell>
        </row>
        <row r="3608">
          <cell r="C3608" t="str">
            <v>KIOCL</v>
          </cell>
          <cell r="D3608">
            <v>5383</v>
          </cell>
        </row>
        <row r="3609">
          <cell r="C3609" t="str">
            <v>National Bank of Bahrain</v>
          </cell>
          <cell r="D3609">
            <v>4.59476</v>
          </cell>
        </row>
        <row r="3610">
          <cell r="C3610" t="str">
            <v>Banco del Bajío</v>
          </cell>
          <cell r="D3610">
            <v>2.3129499999999998</v>
          </cell>
        </row>
        <row r="3611">
          <cell r="C3611" t="str">
            <v>İsdemir</v>
          </cell>
          <cell r="D3611">
            <v>31.14</v>
          </cell>
        </row>
        <row r="3612">
          <cell r="C3612" t="str">
            <v>SES S.A.</v>
          </cell>
          <cell r="D3612">
            <v>13.51</v>
          </cell>
        </row>
        <row r="3613">
          <cell r="C3613" t="str">
            <v>Nan Ya PCB</v>
          </cell>
          <cell r="D3613">
            <v>20.006599999999999</v>
          </cell>
        </row>
        <row r="3614">
          <cell r="C3614" t="str">
            <v>Sabeco Brewery (Saigon Beer)</v>
          </cell>
          <cell r="D3614">
            <v>23.34</v>
          </cell>
        </row>
        <row r="3615">
          <cell r="C3615" t="str">
            <v>Foot Locker</v>
          </cell>
          <cell r="D3615">
            <v>0.52430600000000005</v>
          </cell>
        </row>
        <row r="3616">
          <cell r="C3616" t="str">
            <v>Burford Capital</v>
          </cell>
          <cell r="D3616">
            <v>17.23</v>
          </cell>
        </row>
        <row r="3617">
          <cell r="C3617" t="str">
            <v>Covivio Hotels</v>
          </cell>
          <cell r="D3617">
            <v>2.2502800000000001</v>
          </cell>
        </row>
        <row r="3618">
          <cell r="C3618" t="str">
            <v>C3 AI</v>
          </cell>
          <cell r="D3618">
            <v>20.16</v>
          </cell>
        </row>
        <row r="3619">
          <cell r="C3619" t="str">
            <v>Indah Kiat Pulp &amp;amp; Paper</v>
          </cell>
          <cell r="D3619">
            <v>10813</v>
          </cell>
        </row>
        <row r="3620">
          <cell r="C3620" t="str">
            <v>Manchester United</v>
          </cell>
          <cell r="D3620">
            <v>64.069999999999993</v>
          </cell>
        </row>
        <row r="3621">
          <cell r="C3621" t="str">
            <v>Orange Polska</v>
          </cell>
          <cell r="D3621">
            <v>60.461399999999998</v>
          </cell>
        </row>
        <row r="3622">
          <cell r="C3622" t="str">
            <v>Resideo Technologies</v>
          </cell>
          <cell r="D3622">
            <v>23.41</v>
          </cell>
        </row>
        <row r="3623">
          <cell r="C3623" t="str">
            <v>Chartwell Retirement Residences</v>
          </cell>
          <cell r="D3623">
            <v>81.99</v>
          </cell>
        </row>
        <row r="3624">
          <cell r="C3624" t="str">
            <v>Grupo Aeroportuario Centro Norte</v>
          </cell>
          <cell r="D3624">
            <v>59.54</v>
          </cell>
        </row>
        <row r="3625">
          <cell r="C3625" t="str">
            <v>Tsuruha Holdings</v>
          </cell>
          <cell r="D3625">
            <v>94.16</v>
          </cell>
        </row>
        <row r="3626">
          <cell r="C3626" t="str">
            <v>Peabody Energy</v>
          </cell>
          <cell r="D3626">
            <v>491915</v>
          </cell>
        </row>
        <row r="3627">
          <cell r="C3627" t="str">
            <v>Avis Budget Group</v>
          </cell>
          <cell r="D3627">
            <v>20.185400000000001</v>
          </cell>
        </row>
        <row r="3628">
          <cell r="C3628" t="str">
            <v>Alarm.com</v>
          </cell>
          <cell r="D3628">
            <v>47.13</v>
          </cell>
        </row>
        <row r="3629">
          <cell r="C3629" t="str">
            <v>Albany International</v>
          </cell>
          <cell r="D3629">
            <v>1.46</v>
          </cell>
        </row>
        <row r="3630">
          <cell r="C3630" t="str">
            <v>St. Galler Kantonalbank</v>
          </cell>
          <cell r="D3630">
            <v>42.25</v>
          </cell>
        </row>
        <row r="3631">
          <cell r="C3631" t="str">
            <v>Ansell</v>
          </cell>
          <cell r="D3631">
            <v>10.1089</v>
          </cell>
        </row>
        <row r="3632">
          <cell r="C3632" t="str">
            <v>Hub Group</v>
          </cell>
          <cell r="D3632">
            <v>39.43</v>
          </cell>
        </row>
        <row r="3633">
          <cell r="C3633" t="str">
            <v>RAKBANK (The National Bank of Ras Al Khaimah)</v>
          </cell>
          <cell r="D3633">
            <v>4.0787000000000004</v>
          </cell>
        </row>
        <row r="3634">
          <cell r="C3634" t="str">
            <v>QuidelOrtho</v>
          </cell>
          <cell r="D3634">
            <v>7.8322199999999995E-2</v>
          </cell>
        </row>
        <row r="3635">
          <cell r="C3635" t="str">
            <v>Dream Industrial REIT</v>
          </cell>
          <cell r="D3635">
            <v>5.81</v>
          </cell>
        </row>
        <row r="3636">
          <cell r="C3636" t="str">
            <v>Life360</v>
          </cell>
          <cell r="D3636">
            <v>2.71</v>
          </cell>
        </row>
        <row r="3637">
          <cell r="C3637" t="str">
            <v>The Navigator Company</v>
          </cell>
          <cell r="D3637">
            <v>61.97</v>
          </cell>
        </row>
        <row r="3638">
          <cell r="C3638" t="str">
            <v>Permata Bank</v>
          </cell>
          <cell r="D3638">
            <v>58.17</v>
          </cell>
        </row>
        <row r="3639">
          <cell r="C3639" t="str">
            <v>QuantumScape</v>
          </cell>
          <cell r="D3639">
            <v>6.1288200000000002</v>
          </cell>
        </row>
        <row r="3640">
          <cell r="C3640" t="str">
            <v>Arcadium Lithium</v>
          </cell>
          <cell r="D3640">
            <v>11.2986</v>
          </cell>
        </row>
        <row r="3641">
          <cell r="C3641" t="str">
            <v>Tecnoglass</v>
          </cell>
          <cell r="D3641">
            <v>25.4</v>
          </cell>
        </row>
        <row r="3642">
          <cell r="C3642" t="str">
            <v>Bread Financial</v>
          </cell>
          <cell r="D3642">
            <v>41.59</v>
          </cell>
        </row>
        <row r="3643">
          <cell r="C3643" t="str">
            <v>Cenomi Centers (Arabian Centres Company)</v>
          </cell>
          <cell r="D3643">
            <v>19.440000000000001</v>
          </cell>
        </row>
        <row r="3644">
          <cell r="C3644" t="str">
            <v>KEC International</v>
          </cell>
          <cell r="D3644">
            <v>51.17</v>
          </cell>
        </row>
        <row r="3645">
          <cell r="C3645" t="str">
            <v>Intercorp Financial Services</v>
          </cell>
          <cell r="D3645">
            <v>50.988300000000002</v>
          </cell>
        </row>
        <row r="3646">
          <cell r="C3646" t="str">
            <v>Artisan Partners</v>
          </cell>
          <cell r="D3646">
            <v>3.0309499999999998</v>
          </cell>
        </row>
        <row r="3647">
          <cell r="C3647" t="str">
            <v>Chemours</v>
          </cell>
          <cell r="D3647">
            <v>129.22</v>
          </cell>
        </row>
        <row r="3648">
          <cell r="C3648" t="str">
            <v>Apogee Therapeutics</v>
          </cell>
          <cell r="D3648">
            <v>43.5</v>
          </cell>
        </row>
        <row r="3649">
          <cell r="C3649" t="str">
            <v>FLSmidth</v>
          </cell>
          <cell r="D3649">
            <v>0.96389499999999995</v>
          </cell>
        </row>
        <row r="3650">
          <cell r="C3650" t="str">
            <v>Lojas Renner</v>
          </cell>
          <cell r="D3650">
            <v>47.29</v>
          </cell>
        </row>
        <row r="3651">
          <cell r="C3651" t="str">
            <v>Patrick Industries</v>
          </cell>
          <cell r="D3651">
            <v>41.792900000000003</v>
          </cell>
        </row>
        <row r="3652">
          <cell r="C3652" t="str">
            <v>Tandem Diabetes Care</v>
          </cell>
          <cell r="D3652">
            <v>46.839100000000002</v>
          </cell>
        </row>
        <row r="3653">
          <cell r="C3653" t="str">
            <v>Parkin PJSC</v>
          </cell>
          <cell r="D3653">
            <v>16.4253</v>
          </cell>
        </row>
        <row r="3654">
          <cell r="C3654" t="str">
            <v>Rhythm Pharmaceuticals</v>
          </cell>
          <cell r="D3654">
            <v>2.20749</v>
          </cell>
        </row>
        <row r="3655">
          <cell r="C3655" t="str">
            <v>HUGO BOSS</v>
          </cell>
          <cell r="D3655">
            <v>64.811400000000006</v>
          </cell>
        </row>
        <row r="3656">
          <cell r="C3656" t="str">
            <v>Linamar</v>
          </cell>
          <cell r="D3656">
            <v>115.26</v>
          </cell>
        </row>
        <row r="3657">
          <cell r="C3657" t="str">
            <v>TAG Immobilien</v>
          </cell>
          <cell r="D3657">
            <v>38.43</v>
          </cell>
        </row>
        <row r="3658">
          <cell r="C3658" t="str">
            <v>Hisense Visual Technology</v>
          </cell>
          <cell r="D3658">
            <v>3.56</v>
          </cell>
        </row>
        <row r="3659">
          <cell r="C3659" t="str">
            <v>Premium Brands</v>
          </cell>
          <cell r="D3659">
            <v>19.784500000000001</v>
          </cell>
        </row>
        <row r="3660">
          <cell r="C3660" t="str">
            <v>Innospec</v>
          </cell>
          <cell r="D3660">
            <v>2.13</v>
          </cell>
        </row>
        <row r="3661">
          <cell r="C3661" t="str">
            <v>BankUnited</v>
          </cell>
          <cell r="D3661">
            <v>43.12</v>
          </cell>
        </row>
        <row r="3662">
          <cell r="C3662" t="str">
            <v>Baytex Energy</v>
          </cell>
          <cell r="D3662">
            <v>4.75</v>
          </cell>
        </row>
        <row r="3663">
          <cell r="C3663" t="str">
            <v>Topaz Energy</v>
          </cell>
          <cell r="D3663">
            <v>56.99</v>
          </cell>
        </row>
        <row r="3664">
          <cell r="C3664" t="str">
            <v>Companhia Siderúrgica Nacional</v>
          </cell>
          <cell r="D3664">
            <v>4.5630699999999997</v>
          </cell>
        </row>
        <row r="3665">
          <cell r="C3665" t="str">
            <v>Seadrill</v>
          </cell>
          <cell r="D3665">
            <v>89.84</v>
          </cell>
        </row>
        <row r="3666">
          <cell r="C3666" t="str">
            <v>Geron</v>
          </cell>
          <cell r="D3666">
            <v>3.5362</v>
          </cell>
        </row>
        <row r="3667">
          <cell r="C3667" t="str">
            <v>Morphic Therapeutic</v>
          </cell>
          <cell r="D3667">
            <v>18.96</v>
          </cell>
        </row>
        <row r="3668">
          <cell r="C3668" t="str">
            <v>EIH Limited</v>
          </cell>
          <cell r="D3668">
            <v>49.22</v>
          </cell>
        </row>
        <row r="3669">
          <cell r="C3669" t="str">
            <v>John Bean Technologies</v>
          </cell>
          <cell r="D3669">
            <v>75.709999999999994</v>
          </cell>
        </row>
        <row r="3670">
          <cell r="C3670" t="str">
            <v>Nerolac Paints</v>
          </cell>
          <cell r="D3670">
            <v>18.4998</v>
          </cell>
        </row>
        <row r="3671">
          <cell r="C3671" t="str">
            <v>Morphosys</v>
          </cell>
          <cell r="D3671">
            <v>38.31</v>
          </cell>
        </row>
        <row r="3672">
          <cell r="C3672" t="str">
            <v>United Parks &amp;amp; Resorts</v>
          </cell>
          <cell r="D3672">
            <v>0.98118799999999995</v>
          </cell>
        </row>
        <row r="3673">
          <cell r="C3673" t="str">
            <v>Adtalem Global Education</v>
          </cell>
          <cell r="D3673">
            <v>13.7608</v>
          </cell>
        </row>
        <row r="3674">
          <cell r="C3674" t="str">
            <v>SoftwareONE</v>
          </cell>
          <cell r="D3674">
            <v>3.7555800000000001</v>
          </cell>
        </row>
        <row r="3675">
          <cell r="C3675" t="str">
            <v>KOBAYASHI Pharmaceutical</v>
          </cell>
          <cell r="D3675">
            <v>0.516567</v>
          </cell>
        </row>
        <row r="3676">
          <cell r="C3676" t="str">
            <v>Alumina Limited</v>
          </cell>
          <cell r="D3676">
            <v>175.79</v>
          </cell>
        </row>
        <row r="3677">
          <cell r="C3677" t="str">
            <v>Welcia Holdings</v>
          </cell>
          <cell r="D3677">
            <v>8.6769099999999995</v>
          </cell>
        </row>
        <row r="3678">
          <cell r="C3678" t="str">
            <v>IGO Limited</v>
          </cell>
          <cell r="D3678">
            <v>140362</v>
          </cell>
        </row>
        <row r="3679">
          <cell r="C3679" t="str">
            <v>Türkiye Kalkınma</v>
          </cell>
          <cell r="D3679">
            <v>7.43</v>
          </cell>
        </row>
        <row r="3680">
          <cell r="C3680" t="str">
            <v>Park National Corp</v>
          </cell>
          <cell r="D3680">
            <v>33.491799999999998</v>
          </cell>
        </row>
        <row r="3681">
          <cell r="C3681" t="str">
            <v>Maire Tecnimont</v>
          </cell>
          <cell r="D3681">
            <v>14.1693</v>
          </cell>
        </row>
        <row r="3682">
          <cell r="C3682" t="str">
            <v>NCsoft</v>
          </cell>
          <cell r="D3682">
            <v>34.299999999999997</v>
          </cell>
        </row>
        <row r="3683">
          <cell r="C3683" t="str">
            <v>Payoneer</v>
          </cell>
          <cell r="D3683">
            <v>18.62</v>
          </cell>
        </row>
        <row r="3684">
          <cell r="C3684" t="str">
            <v>Imerys</v>
          </cell>
          <cell r="D3684">
            <v>19.829999999999998</v>
          </cell>
        </row>
        <row r="3685">
          <cell r="C3685" t="str">
            <v>Grafton Group</v>
          </cell>
          <cell r="D3685">
            <v>17.05</v>
          </cell>
        </row>
        <row r="3686">
          <cell r="C3686" t="str">
            <v>Federated Hermes</v>
          </cell>
          <cell r="D3686">
            <v>9838.2999999999993</v>
          </cell>
        </row>
        <row r="3687">
          <cell r="C3687" t="str">
            <v>Penn National Gaming</v>
          </cell>
          <cell r="D3687">
            <v>0.50377099999999997</v>
          </cell>
        </row>
        <row r="3688">
          <cell r="C3688" t="str">
            <v>Ardent Health</v>
          </cell>
          <cell r="D3688">
            <v>2.33283</v>
          </cell>
        </row>
        <row r="3689">
          <cell r="C3689" t="str">
            <v>Outfront Media</v>
          </cell>
          <cell r="D3689">
            <v>4.9400000000000004</v>
          </cell>
        </row>
        <row r="3690">
          <cell r="C3690" t="str">
            <v>Zuger Kantonalbank</v>
          </cell>
          <cell r="D3690">
            <v>4.7399699999999996</v>
          </cell>
        </row>
        <row r="3691">
          <cell r="C3691" t="str">
            <v>Indorama Ventures</v>
          </cell>
          <cell r="D3691">
            <v>1.30898</v>
          </cell>
        </row>
        <row r="3692">
          <cell r="C3692" t="str">
            <v>Bank Millennium</v>
          </cell>
          <cell r="D3692">
            <v>0.12460400000000001</v>
          </cell>
        </row>
        <row r="3693">
          <cell r="C3693" t="str">
            <v>Iamgold</v>
          </cell>
          <cell r="D3693">
            <v>7.57</v>
          </cell>
        </row>
        <row r="3694">
          <cell r="C3694" t="str">
            <v>Leroy Seafood</v>
          </cell>
          <cell r="D3694">
            <v>5.5002000000000004</v>
          </cell>
        </row>
        <row r="3695">
          <cell r="C3695" t="str">
            <v>Kingnet Network</v>
          </cell>
          <cell r="D3695">
            <v>67.646699999999996</v>
          </cell>
        </row>
        <row r="3696">
          <cell r="C3696" t="str">
            <v>Tower Bersama Infrastructure</v>
          </cell>
          <cell r="D3696">
            <v>15939</v>
          </cell>
        </row>
        <row r="3697">
          <cell r="C3697" t="str">
            <v>Playtika</v>
          </cell>
          <cell r="D3697">
            <v>10.527200000000001</v>
          </cell>
        </row>
        <row r="3698">
          <cell r="C3698" t="str">
            <v>Balfour Beatty</v>
          </cell>
          <cell r="D3698">
            <v>0.35125000000000001</v>
          </cell>
        </row>
        <row r="3699">
          <cell r="C3699" t="str">
            <v>BIC</v>
          </cell>
          <cell r="D3699">
            <v>10.1556</v>
          </cell>
        </row>
        <row r="3700">
          <cell r="C3700" t="str">
            <v>1&amp;1</v>
          </cell>
          <cell r="D3700">
            <v>0.67514799999999997</v>
          </cell>
        </row>
        <row r="3701">
          <cell r="C3701" t="str">
            <v>Iveco Group</v>
          </cell>
          <cell r="D3701">
            <v>102686</v>
          </cell>
        </row>
        <row r="3702">
          <cell r="C3702" t="str">
            <v>Dubai Financial Market (DFM)</v>
          </cell>
          <cell r="D3702">
            <v>95.023700000000005</v>
          </cell>
        </row>
        <row r="3703">
          <cell r="C3703" t="str">
            <v>Lion Corp</v>
          </cell>
          <cell r="D3703">
            <v>101.23</v>
          </cell>
        </row>
        <row r="3704">
          <cell r="C3704" t="str">
            <v>Powerchip Semiconductor Manufacturing</v>
          </cell>
          <cell r="D3704">
            <v>12.444699999999999</v>
          </cell>
        </row>
        <row r="3705">
          <cell r="C3705" t="str">
            <v>VGP NV</v>
          </cell>
          <cell r="D3705">
            <v>31.3642</v>
          </cell>
        </row>
        <row r="3706">
          <cell r="C3706" t="str">
            <v>Atul</v>
          </cell>
          <cell r="D3706">
            <v>45.9</v>
          </cell>
        </row>
        <row r="3707">
          <cell r="C3707" t="str">
            <v>Visteon</v>
          </cell>
          <cell r="D3707">
            <v>47.735199999999999</v>
          </cell>
        </row>
        <row r="3708">
          <cell r="C3708" t="str">
            <v>Piramal Enterprises</v>
          </cell>
          <cell r="D3708">
            <v>19.149999999999999</v>
          </cell>
        </row>
        <row r="3709">
          <cell r="C3709" t="str">
            <v>Arabian Drilling Company</v>
          </cell>
          <cell r="D3709">
            <v>20.93</v>
          </cell>
        </row>
        <row r="3710">
          <cell r="C3710" t="str">
            <v>Brighthouse Financial</v>
          </cell>
          <cell r="D3710">
            <v>2.53233</v>
          </cell>
        </row>
        <row r="3711">
          <cell r="C3711" t="str">
            <v>SHIFT UP</v>
          </cell>
          <cell r="D3711">
            <v>55.5274</v>
          </cell>
        </row>
        <row r="3712">
          <cell r="C3712" t="str">
            <v>First Advantage</v>
          </cell>
          <cell r="D3712">
            <v>2.1631499999999999</v>
          </cell>
        </row>
        <row r="3713">
          <cell r="C3713" t="str">
            <v>American Healthcare REIT</v>
          </cell>
          <cell r="D3713">
            <v>22.73</v>
          </cell>
        </row>
        <row r="3714">
          <cell r="C3714" t="str">
            <v>Aroundtown</v>
          </cell>
          <cell r="D3714">
            <v>26.99</v>
          </cell>
        </row>
        <row r="3715">
          <cell r="C3715" t="str">
            <v>Arabian Contracting Services Company</v>
          </cell>
          <cell r="D3715">
            <v>139052</v>
          </cell>
        </row>
        <row r="3716">
          <cell r="C3716" t="str">
            <v>Iren</v>
          </cell>
          <cell r="D3716">
            <v>3.0670799999999998</v>
          </cell>
        </row>
        <row r="3717">
          <cell r="C3717" t="str">
            <v>Paymentus</v>
          </cell>
          <cell r="D3717">
            <v>369985</v>
          </cell>
        </row>
        <row r="3718">
          <cell r="C3718" t="str">
            <v>Oceaneering International</v>
          </cell>
          <cell r="D3718">
            <v>20.149999999999999</v>
          </cell>
        </row>
        <row r="3719">
          <cell r="C3719" t="str">
            <v>Redcare Pharmacy</v>
          </cell>
          <cell r="D3719">
            <v>0.198071</v>
          </cell>
        </row>
        <row r="3720">
          <cell r="C3720" t="str">
            <v>Abdullah Al-Othaim Markets Company</v>
          </cell>
          <cell r="D3720">
            <v>45.31</v>
          </cell>
        </row>
        <row r="3721">
          <cell r="C3721" t="str">
            <v>Samyang Foods</v>
          </cell>
          <cell r="D3721">
            <v>3.89</v>
          </cell>
        </row>
        <row r="3722">
          <cell r="C3722" t="str">
            <v>Vishay Intertechnology</v>
          </cell>
          <cell r="D3722">
            <v>13.4078</v>
          </cell>
        </row>
        <row r="3723">
          <cell r="C3723" t="str">
            <v>Mitra Keluarga</v>
          </cell>
          <cell r="D3723">
            <v>3.95</v>
          </cell>
        </row>
        <row r="3724">
          <cell r="C3724" t="str">
            <v>Advance Auto Parts</v>
          </cell>
          <cell r="D3724">
            <v>16.579999999999998</v>
          </cell>
        </row>
        <row r="3725">
          <cell r="C3725" t="str">
            <v>Sibanye-Stillwater</v>
          </cell>
          <cell r="D3725">
            <v>23.35</v>
          </cell>
        </row>
        <row r="3726">
          <cell r="C3726" t="str">
            <v>Südzucker</v>
          </cell>
          <cell r="D3726">
            <v>1.2888900000000001</v>
          </cell>
        </row>
        <row r="3727">
          <cell r="C3727" t="str">
            <v>ImmunityBio</v>
          </cell>
          <cell r="D3727">
            <v>89.58</v>
          </cell>
        </row>
        <row r="3728">
          <cell r="C3728" t="str">
            <v>ACADIA Pharmaceuticals</v>
          </cell>
          <cell r="D3728">
            <v>0.94144700000000003</v>
          </cell>
        </row>
        <row r="3729">
          <cell r="C3729" t="str">
            <v>10x Genomics</v>
          </cell>
          <cell r="D3729">
            <v>6.97</v>
          </cell>
        </row>
        <row r="3730">
          <cell r="C3730" t="str">
            <v>Muangthai Capital</v>
          </cell>
          <cell r="D3730">
            <v>3.6365599999999998</v>
          </cell>
        </row>
        <row r="3731">
          <cell r="C3731" t="str">
            <v>PriceSmart</v>
          </cell>
          <cell r="D3731">
            <v>1.80874</v>
          </cell>
        </row>
        <row r="3732">
          <cell r="C3732" t="str">
            <v>Suntec REIT</v>
          </cell>
          <cell r="D3732">
            <v>41.33</v>
          </cell>
        </row>
        <row r="3733">
          <cell r="C3733" t="str">
            <v>Telecom Argentina</v>
          </cell>
          <cell r="D3733">
            <v>45.6</v>
          </cell>
        </row>
        <row r="3734">
          <cell r="C3734" t="str">
            <v>Marel</v>
          </cell>
          <cell r="D3734">
            <v>2.7589299999999999</v>
          </cell>
        </row>
        <row r="3735">
          <cell r="C3735" t="str">
            <v>Alm. Brand</v>
          </cell>
          <cell r="D3735">
            <v>50.39</v>
          </cell>
        </row>
        <row r="3736">
          <cell r="C3736" t="str">
            <v>Celldex Therapeutics</v>
          </cell>
          <cell r="D3736">
            <v>42.88</v>
          </cell>
        </row>
        <row r="3737">
          <cell r="C3737" t="str">
            <v>Atlanta Braves</v>
          </cell>
          <cell r="D3737">
            <v>68.834500000000006</v>
          </cell>
        </row>
        <row r="3738">
          <cell r="C3738" t="str">
            <v>Webuild S.p.A.</v>
          </cell>
          <cell r="D3738">
            <v>17.773800000000001</v>
          </cell>
        </row>
        <row r="3739">
          <cell r="C3739" t="str">
            <v>LivaNova</v>
          </cell>
          <cell r="D3739">
            <v>3.7826499999999998</v>
          </cell>
        </row>
        <row r="3740">
          <cell r="C3740" t="str">
            <v>Braves Group</v>
          </cell>
          <cell r="D3740">
            <v>0.45</v>
          </cell>
        </row>
        <row r="3741">
          <cell r="C3741" t="str">
            <v>ORION</v>
          </cell>
          <cell r="D3741">
            <v>12.858499999999999</v>
          </cell>
        </row>
        <row r="3742">
          <cell r="C3742" t="str">
            <v>Ebro Foods</v>
          </cell>
          <cell r="D3742">
            <v>12.0855</v>
          </cell>
        </row>
        <row r="3743">
          <cell r="C3743" t="str">
            <v>The a2 Milk Company</v>
          </cell>
          <cell r="D3743">
            <v>157511</v>
          </cell>
        </row>
        <row r="3744">
          <cell r="C3744" t="str">
            <v>Phoenix Group</v>
          </cell>
          <cell r="D3744">
            <v>1.87757</v>
          </cell>
        </row>
        <row r="3745">
          <cell r="C3745" t="str">
            <v>First Capital REIT</v>
          </cell>
          <cell r="D3745">
            <v>17.844100000000001</v>
          </cell>
        </row>
        <row r="3746">
          <cell r="C3746" t="str">
            <v>Super Retail Group</v>
          </cell>
          <cell r="D3746">
            <v>33.01</v>
          </cell>
        </row>
        <row r="3747">
          <cell r="C3747" t="str">
            <v>L.D.C. S.A.</v>
          </cell>
          <cell r="D3747">
            <v>1.1478299999999999</v>
          </cell>
        </row>
        <row r="3748">
          <cell r="C3748" t="str">
            <v>Kerry Properties</v>
          </cell>
          <cell r="D3748">
            <v>28.24</v>
          </cell>
        </row>
        <row r="3749">
          <cell r="C3749" t="str">
            <v>Brickworks Limited</v>
          </cell>
          <cell r="D3749">
            <v>35.32</v>
          </cell>
        </row>
        <row r="3750">
          <cell r="C3750" t="str">
            <v>Trinity Industries</v>
          </cell>
          <cell r="D3750">
            <v>70.688500000000005</v>
          </cell>
        </row>
        <row r="3751">
          <cell r="C3751" t="str">
            <v>Zhongsheng Group</v>
          </cell>
          <cell r="D3751">
            <v>21.15</v>
          </cell>
        </row>
        <row r="3752">
          <cell r="C3752" t="str">
            <v>Teradata</v>
          </cell>
          <cell r="D3752">
            <v>11.91</v>
          </cell>
        </row>
        <row r="3753">
          <cell r="C3753" t="str">
            <v>PTC Therapeutics</v>
          </cell>
          <cell r="D3753">
            <v>7.4785000000000004</v>
          </cell>
        </row>
        <row r="3754">
          <cell r="C3754" t="str">
            <v>EQB (Equitable Bank)</v>
          </cell>
          <cell r="D3754">
            <v>5.33</v>
          </cell>
        </row>
        <row r="3755">
          <cell r="C3755" t="str">
            <v>Urban Edge Properties</v>
          </cell>
          <cell r="D3755">
            <v>22.855899999999998</v>
          </cell>
        </row>
        <row r="3756">
          <cell r="C3756" t="str">
            <v>Bloom Energy</v>
          </cell>
          <cell r="D3756">
            <v>92.263499999999993</v>
          </cell>
        </row>
        <row r="3757">
          <cell r="C3757" t="str">
            <v>Aarti Industries</v>
          </cell>
          <cell r="D3757">
            <v>4.5</v>
          </cell>
        </row>
        <row r="3758">
          <cell r="C3758" t="str">
            <v>Marqeta</v>
          </cell>
          <cell r="D3758">
            <v>14.348599999999999</v>
          </cell>
        </row>
        <row r="3759">
          <cell r="C3759" t="str">
            <v>JBM Auto</v>
          </cell>
          <cell r="D3759">
            <v>10.24</v>
          </cell>
        </row>
        <row r="3760">
          <cell r="C3760" t="str">
            <v>Cembra Money Bank</v>
          </cell>
          <cell r="D3760">
            <v>11.435600000000001</v>
          </cell>
        </row>
        <row r="3761">
          <cell r="C3761" t="str">
            <v>Medical Properties Trust</v>
          </cell>
          <cell r="D3761">
            <v>15.7209</v>
          </cell>
        </row>
        <row r="3762">
          <cell r="C3762" t="str">
            <v>Saudi Ground Services Company</v>
          </cell>
          <cell r="D3762">
            <v>19.8904</v>
          </cell>
        </row>
        <row r="3763">
          <cell r="C3763" t="str">
            <v>BBVA Argentina</v>
          </cell>
          <cell r="D3763">
            <v>5.4048800000000001E-2</v>
          </cell>
        </row>
        <row r="3764">
          <cell r="C3764" t="str">
            <v>CT REIT</v>
          </cell>
          <cell r="D3764">
            <v>37.04</v>
          </cell>
        </row>
        <row r="3765">
          <cell r="C3765" t="str">
            <v>Tejas Networks</v>
          </cell>
          <cell r="D3765">
            <v>63.31</v>
          </cell>
        </row>
        <row r="3766">
          <cell r="C3766" t="str">
            <v>Kadokawa</v>
          </cell>
          <cell r="D3766">
            <v>21.42</v>
          </cell>
        </row>
        <row r="3767">
          <cell r="C3767" t="str">
            <v>Sarana Menara Nusantara</v>
          </cell>
          <cell r="D3767">
            <v>4.6682499999999996</v>
          </cell>
        </row>
        <row r="3768">
          <cell r="C3768" t="str">
            <v>LandBridge</v>
          </cell>
          <cell r="D3768">
            <v>12225</v>
          </cell>
        </row>
        <row r="3769">
          <cell r="C3769" t="str">
            <v>Independent Bank Corp (Massachusetts)</v>
          </cell>
          <cell r="D3769">
            <v>8.66</v>
          </cell>
        </row>
        <row r="3770">
          <cell r="C3770" t="str">
            <v>Simmons First National</v>
          </cell>
          <cell r="D3770">
            <v>75.715699999999998</v>
          </cell>
        </row>
        <row r="3771">
          <cell r="C3771" t="str">
            <v>Pepco Group</v>
          </cell>
          <cell r="D3771">
            <v>10.69</v>
          </cell>
        </row>
        <row r="3772">
          <cell r="C3772" t="str">
            <v>SYNLAB</v>
          </cell>
          <cell r="D3772">
            <v>13.65</v>
          </cell>
        </row>
        <row r="3773">
          <cell r="C3773" t="str">
            <v>Amneal Pharmaceuticals</v>
          </cell>
          <cell r="D3773">
            <v>32.2898</v>
          </cell>
        </row>
        <row r="3774">
          <cell r="C3774" t="str">
            <v>LEW (Lechwerke)</v>
          </cell>
          <cell r="D3774">
            <v>24.7575</v>
          </cell>
        </row>
        <row r="3775">
          <cell r="C3775" t="str">
            <v>CleanSpark</v>
          </cell>
          <cell r="D3775">
            <v>105.56</v>
          </cell>
        </row>
        <row r="3776">
          <cell r="C3776" t="str">
            <v>Remitly</v>
          </cell>
          <cell r="D3776">
            <v>2.9817300000000002</v>
          </cell>
        </row>
        <row r="3777">
          <cell r="C3777" t="str">
            <v>Workman</v>
          </cell>
          <cell r="D3777">
            <v>16.482600000000001</v>
          </cell>
        </row>
        <row r="3778">
          <cell r="C3778" t="str">
            <v>Rathbones Group</v>
          </cell>
          <cell r="D3778">
            <v>0.79080600000000001</v>
          </cell>
        </row>
        <row r="3779">
          <cell r="C3779" t="str">
            <v>Qt Group</v>
          </cell>
          <cell r="D3779">
            <v>12.4039</v>
          </cell>
        </row>
        <row r="3780">
          <cell r="C3780" t="str">
            <v>Zain Saudi Arabia</v>
          </cell>
          <cell r="D3780">
            <v>23.62</v>
          </cell>
        </row>
        <row r="3781">
          <cell r="C3781" t="str">
            <v>Gibson Energy</v>
          </cell>
          <cell r="D3781">
            <v>59.727699999999999</v>
          </cell>
        </row>
        <row r="3782">
          <cell r="C3782" t="str">
            <v>Growthpoint Properties</v>
          </cell>
          <cell r="D3782">
            <v>0.955287</v>
          </cell>
        </row>
        <row r="3783">
          <cell r="C3783" t="str">
            <v>Kindred Group</v>
          </cell>
          <cell r="D3783">
            <v>50.632800000000003</v>
          </cell>
        </row>
        <row r="3784">
          <cell r="C3784" t="str">
            <v>Telephone and Data Systems</v>
          </cell>
          <cell r="D3784">
            <v>61.456800000000001</v>
          </cell>
        </row>
        <row r="3785">
          <cell r="C3785" t="str">
            <v>Bank of Georgia Group</v>
          </cell>
          <cell r="D3785">
            <v>66.37</v>
          </cell>
        </row>
        <row r="3786">
          <cell r="C3786" t="str">
            <v>Aluar Aluminio Argentino</v>
          </cell>
          <cell r="D3786">
            <v>10.32</v>
          </cell>
        </row>
        <row r="3787">
          <cell r="C3787" t="str">
            <v>Sydbank A/S</v>
          </cell>
          <cell r="D3787">
            <v>44.24</v>
          </cell>
        </row>
        <row r="3788">
          <cell r="C3788" t="str">
            <v>Ipsos</v>
          </cell>
          <cell r="D3788">
            <v>7.3346600000000004</v>
          </cell>
        </row>
        <row r="3789">
          <cell r="C3789" t="str">
            <v>Bank of Hawaii</v>
          </cell>
          <cell r="D3789">
            <v>10.688599999999999</v>
          </cell>
        </row>
        <row r="3790">
          <cell r="C3790" t="str">
            <v>Core Scientific</v>
          </cell>
          <cell r="D3790">
            <v>3.5901399999999999</v>
          </cell>
        </row>
        <row r="3791">
          <cell r="C3791" t="str">
            <v>Kinetik</v>
          </cell>
          <cell r="D3791">
            <v>3.1577500000000001</v>
          </cell>
        </row>
        <row r="3792">
          <cell r="C3792" t="str">
            <v>TAV Airports Holding</v>
          </cell>
          <cell r="D3792">
            <v>16.237300000000001</v>
          </cell>
        </row>
        <row r="3793">
          <cell r="C3793" t="str">
            <v>Valeo</v>
          </cell>
          <cell r="D3793">
            <v>2.42252</v>
          </cell>
        </row>
        <row r="3794">
          <cell r="C3794" t="str">
            <v>Sacyr</v>
          </cell>
          <cell r="D3794">
            <v>35.702399999999997</v>
          </cell>
        </row>
        <row r="3795">
          <cell r="C3795" t="str">
            <v>Saudi Chemical Holding Company</v>
          </cell>
          <cell r="D3795">
            <v>118.42</v>
          </cell>
        </row>
        <row r="3796">
          <cell r="C3796" t="str">
            <v>Mercari</v>
          </cell>
          <cell r="D3796">
            <v>1.3470599999999999</v>
          </cell>
        </row>
        <row r="3797">
          <cell r="C3797" t="str">
            <v>Metcash</v>
          </cell>
          <cell r="D3797">
            <v>11294</v>
          </cell>
        </row>
        <row r="3798">
          <cell r="C3798" t="str">
            <v>Titan Cement International</v>
          </cell>
          <cell r="D3798">
            <v>0.662856</v>
          </cell>
        </row>
        <row r="3799">
          <cell r="C3799" t="str">
            <v>Chesapeake Utilities</v>
          </cell>
          <cell r="D3799">
            <v>47.43</v>
          </cell>
        </row>
        <row r="3800">
          <cell r="C3800" t="str">
            <v>Giant Network Group</v>
          </cell>
          <cell r="D3800">
            <v>108.15</v>
          </cell>
        </row>
        <row r="3801">
          <cell r="C3801" t="str">
            <v>Electrolux</v>
          </cell>
          <cell r="D3801">
            <v>17.3202</v>
          </cell>
        </row>
        <row r="3802">
          <cell r="C3802" t="str">
            <v>Berli Jucker (BJC)</v>
          </cell>
          <cell r="D3802">
            <v>48.543700000000001</v>
          </cell>
        </row>
        <row r="3803">
          <cell r="C3803" t="str">
            <v>Criteo</v>
          </cell>
          <cell r="D3803">
            <v>126.67</v>
          </cell>
        </row>
        <row r="3804">
          <cell r="C3804" t="str">
            <v>McGrath RentCorp</v>
          </cell>
          <cell r="D3804">
            <v>10.57</v>
          </cell>
        </row>
        <row r="3805">
          <cell r="C3805" t="str">
            <v>Finolex Cables</v>
          </cell>
          <cell r="D3805">
            <v>94.32</v>
          </cell>
        </row>
        <row r="3806">
          <cell r="C3806" t="str">
            <v>Stelco</v>
          </cell>
          <cell r="D3806">
            <v>6.9680499999999999</v>
          </cell>
        </row>
        <row r="3807">
          <cell r="C3807" t="str">
            <v>Hawkins</v>
          </cell>
          <cell r="D3807">
            <v>75.17</v>
          </cell>
        </row>
        <row r="3808">
          <cell r="C3808" t="str">
            <v>Ermenegildo Zegna</v>
          </cell>
          <cell r="D3808">
            <v>0.69651700000000005</v>
          </cell>
        </row>
        <row r="3809">
          <cell r="C3809" t="str">
            <v>Spectrum Brands</v>
          </cell>
          <cell r="D3809">
            <v>8.1262399999999992</v>
          </cell>
        </row>
        <row r="3810">
          <cell r="C3810" t="str">
            <v>CIE Automotive India</v>
          </cell>
          <cell r="D3810">
            <v>22.51</v>
          </cell>
        </row>
        <row r="3811">
          <cell r="C3811" t="str">
            <v>Perficient</v>
          </cell>
          <cell r="D3811">
            <v>4.5686999999999998</v>
          </cell>
        </row>
        <row r="3812">
          <cell r="C3812" t="str">
            <v>CapitaLand Ascott Trust</v>
          </cell>
          <cell r="D3812">
            <v>18.525500000000001</v>
          </cell>
        </row>
        <row r="3813">
          <cell r="C3813" t="str">
            <v>The Foschini Group</v>
          </cell>
          <cell r="D3813">
            <v>6.1828700000000003</v>
          </cell>
        </row>
        <row r="3814">
          <cell r="C3814" t="str">
            <v>USA Compression Partners</v>
          </cell>
          <cell r="D3814">
            <v>82.86</v>
          </cell>
        </row>
        <row r="3815">
          <cell r="C3815" t="str">
            <v>Multiplan Empreendimentos Imobiliários</v>
          </cell>
          <cell r="D3815">
            <v>1.69</v>
          </cell>
        </row>
        <row r="3816">
          <cell r="C3816" t="str">
            <v>Carmila</v>
          </cell>
          <cell r="D3816">
            <v>0.22978999999999999</v>
          </cell>
        </row>
        <row r="3817">
          <cell r="C3817" t="str">
            <v>MultiChoice Group</v>
          </cell>
          <cell r="D3817">
            <v>35.15</v>
          </cell>
        </row>
        <row r="3818">
          <cell r="C3818" t="str">
            <v>StoneX Group</v>
          </cell>
          <cell r="D3818">
            <v>28.35</v>
          </cell>
        </row>
        <row r="3819">
          <cell r="C3819" t="str">
            <v>Rand Merchant Investment</v>
          </cell>
          <cell r="D3819">
            <v>21.382400000000001</v>
          </cell>
        </row>
        <row r="3820">
          <cell r="C3820" t="str">
            <v>Thai Life Insurance</v>
          </cell>
          <cell r="D3820">
            <v>61.876199999999997</v>
          </cell>
        </row>
        <row r="3821">
          <cell r="C3821" t="str">
            <v>AssetMark</v>
          </cell>
          <cell r="D3821">
            <v>145.06</v>
          </cell>
        </row>
        <row r="3822">
          <cell r="C3822" t="str">
            <v>Four Corners Property Trust</v>
          </cell>
          <cell r="D3822">
            <v>10.0947</v>
          </cell>
        </row>
        <row r="3823">
          <cell r="C3823" t="str">
            <v>Comgás</v>
          </cell>
          <cell r="D3823">
            <v>8.8000000000000007</v>
          </cell>
        </row>
        <row r="3824">
          <cell r="C3824" t="str">
            <v>LOTTE Chemical</v>
          </cell>
          <cell r="D3824">
            <v>10.5228</v>
          </cell>
        </row>
        <row r="3825">
          <cell r="C3825" t="str">
            <v>Gulfport Energy</v>
          </cell>
          <cell r="D3825">
            <v>0.24856</v>
          </cell>
        </row>
        <row r="3826">
          <cell r="C3826" t="str">
            <v>Advanced Petrochemical</v>
          </cell>
          <cell r="D3826">
            <v>8.7321799999999996</v>
          </cell>
        </row>
        <row r="3827">
          <cell r="C3827" t="str">
            <v>TransAlta</v>
          </cell>
          <cell r="D3827">
            <v>6.32</v>
          </cell>
        </row>
        <row r="3828">
          <cell r="C3828" t="str">
            <v>Acerinox</v>
          </cell>
          <cell r="D3828">
            <v>341.23</v>
          </cell>
        </row>
        <row r="3829">
          <cell r="C3829" t="str">
            <v>Vale Indonesia</v>
          </cell>
          <cell r="D3829">
            <v>8.2817500000000006</v>
          </cell>
        </row>
        <row r="3830">
          <cell r="C3830" t="str">
            <v>Athens International Airport</v>
          </cell>
          <cell r="D3830">
            <v>19.02</v>
          </cell>
        </row>
        <row r="3831">
          <cell r="C3831" t="str">
            <v>Braskem</v>
          </cell>
          <cell r="D3831">
            <v>624897</v>
          </cell>
        </row>
        <row r="3832">
          <cell r="C3832" t="str">
            <v>UFP Technologies</v>
          </cell>
          <cell r="D3832">
            <v>59.2</v>
          </cell>
        </row>
        <row r="3833">
          <cell r="C3833" t="str">
            <v>Elgi Equipments</v>
          </cell>
          <cell r="D3833">
            <v>9.1566299999999998</v>
          </cell>
        </row>
        <row r="3834">
          <cell r="C3834" t="str">
            <v>Atour Lifestyle</v>
          </cell>
          <cell r="D3834">
            <v>26.85</v>
          </cell>
        </row>
        <row r="3835">
          <cell r="C3835" t="str">
            <v>dormakaba</v>
          </cell>
          <cell r="D3835">
            <v>10.5053</v>
          </cell>
        </row>
        <row r="3836">
          <cell r="C3836" t="str">
            <v>WNS</v>
          </cell>
          <cell r="D3836">
            <v>45.91</v>
          </cell>
        </row>
        <row r="3837">
          <cell r="C3837" t="str">
            <v>Worldline</v>
          </cell>
          <cell r="D3837">
            <v>0.66972799999999999</v>
          </cell>
        </row>
        <row r="3838">
          <cell r="C3838" t="str">
            <v>ATS Automation</v>
          </cell>
          <cell r="D3838">
            <v>6.8271699999999997</v>
          </cell>
        </row>
        <row r="3839">
          <cell r="C3839" t="str">
            <v>BillerudKorsnäs</v>
          </cell>
          <cell r="D3839">
            <v>1.69</v>
          </cell>
        </row>
        <row r="3840">
          <cell r="C3840" t="str">
            <v>Agios Pharmaceuticals</v>
          </cell>
          <cell r="D3840">
            <v>1.0219800000000001</v>
          </cell>
        </row>
        <row r="3841">
          <cell r="C3841" t="str">
            <v>NetLink Trust</v>
          </cell>
          <cell r="D3841">
            <v>8.5456599999999998</v>
          </cell>
        </row>
        <row r="3842">
          <cell r="C3842" t="str">
            <v>Elekta AB</v>
          </cell>
          <cell r="D3842">
            <v>46.6</v>
          </cell>
        </row>
        <row r="3843">
          <cell r="C3843" t="str">
            <v>RLX Technology</v>
          </cell>
          <cell r="D3843">
            <v>13.5266</v>
          </cell>
        </row>
        <row r="3844">
          <cell r="C3844" t="str">
            <v>Ahli Bank</v>
          </cell>
          <cell r="D3844">
            <v>99.22</v>
          </cell>
        </row>
        <row r="3845">
          <cell r="C3845" t="str">
            <v>Playtech</v>
          </cell>
          <cell r="D3845">
            <v>8.4669000000000008</v>
          </cell>
        </row>
        <row r="3846">
          <cell r="C3846" t="str">
            <v>Enovis</v>
          </cell>
          <cell r="D3846">
            <v>68.2547</v>
          </cell>
        </row>
        <row r="3847">
          <cell r="C3847" t="str">
            <v>Nordic Semiconductor</v>
          </cell>
          <cell r="D3847">
            <v>23.581600000000002</v>
          </cell>
        </row>
        <row r="3848">
          <cell r="C3848" t="str">
            <v>Palomar Holdings</v>
          </cell>
          <cell r="D3848">
            <v>89.909899999999993</v>
          </cell>
        </row>
        <row r="3849">
          <cell r="C3849" t="str">
            <v>Uniqa Insurance Group</v>
          </cell>
          <cell r="D3849">
            <v>74</v>
          </cell>
        </row>
        <row r="3850">
          <cell r="C3850" t="str">
            <v>Cofinimmo</v>
          </cell>
          <cell r="D3850">
            <v>23.985900000000001</v>
          </cell>
        </row>
        <row r="3851">
          <cell r="C3851" t="str">
            <v>Cyient</v>
          </cell>
          <cell r="D3851">
            <v>10.467599999999999</v>
          </cell>
        </row>
        <row r="3852">
          <cell r="C3852" t="str">
            <v>Landis+Gyr</v>
          </cell>
          <cell r="D3852">
            <v>0.67355500000000001</v>
          </cell>
        </row>
        <row r="3853">
          <cell r="C3853" t="str">
            <v>Marriott Vacations Worldwide</v>
          </cell>
          <cell r="D3853">
            <v>95.96</v>
          </cell>
        </row>
        <row r="3854">
          <cell r="C3854" t="str">
            <v>Motor Oil (Hellas) Corinth Refineries</v>
          </cell>
          <cell r="D3854">
            <v>48.31</v>
          </cell>
        </row>
        <row r="3855">
          <cell r="C3855" t="str">
            <v>Kojamo</v>
          </cell>
          <cell r="D3855">
            <v>51.83</v>
          </cell>
        </row>
        <row r="3856">
          <cell r="C3856" t="str">
            <v>Keppel REIT</v>
          </cell>
          <cell r="D3856">
            <v>1.22</v>
          </cell>
        </row>
        <row r="3857">
          <cell r="C3857" t="str">
            <v>ePlus</v>
          </cell>
          <cell r="D3857">
            <v>18.420000000000002</v>
          </cell>
        </row>
        <row r="3858">
          <cell r="C3858" t="str">
            <v>John Wiley &amp;amp; Sons</v>
          </cell>
          <cell r="D3858">
            <v>28.33</v>
          </cell>
        </row>
        <row r="3859">
          <cell r="C3859" t="str">
            <v>International Seaways</v>
          </cell>
          <cell r="D3859">
            <v>0.20283200000000001</v>
          </cell>
        </row>
        <row r="3860">
          <cell r="C3860" t="str">
            <v>Polestar</v>
          </cell>
          <cell r="D3860">
            <v>31.3642</v>
          </cell>
        </row>
        <row r="3861">
          <cell r="C3861" t="str">
            <v>CVB Financial</v>
          </cell>
          <cell r="D3861">
            <v>5.13</v>
          </cell>
        </row>
        <row r="3862">
          <cell r="C3862" t="str">
            <v>Myriad Genetics</v>
          </cell>
          <cell r="D3862">
            <v>4.2293900000000004</v>
          </cell>
        </row>
        <row r="3863">
          <cell r="C3863" t="str">
            <v>Golden Agri-Resources</v>
          </cell>
          <cell r="D3863">
            <v>34.025100000000002</v>
          </cell>
        </row>
        <row r="3864">
          <cell r="C3864" t="str">
            <v>CATRION Catering Holding Company</v>
          </cell>
          <cell r="D3864">
            <v>16.110900000000001</v>
          </cell>
        </row>
        <row r="3865">
          <cell r="C3865" t="str">
            <v>Compass</v>
          </cell>
          <cell r="D3865">
            <v>52.4</v>
          </cell>
        </row>
        <row r="3866">
          <cell r="C3866" t="str">
            <v>Arçelik</v>
          </cell>
          <cell r="D3866">
            <v>14.99</v>
          </cell>
        </row>
        <row r="3867">
          <cell r="C3867" t="str">
            <v>Plus500</v>
          </cell>
          <cell r="D3867">
            <v>13.6</v>
          </cell>
        </row>
        <row r="3868">
          <cell r="C3868" t="str">
            <v>Kajaria Ceramics</v>
          </cell>
          <cell r="D3868">
            <v>31846</v>
          </cell>
        </row>
        <row r="3869">
          <cell r="C3869" t="str">
            <v>The Bancorp</v>
          </cell>
          <cell r="D3869">
            <v>34.65</v>
          </cell>
        </row>
        <row r="3870">
          <cell r="C3870" t="str">
            <v>SiriusPoint</v>
          </cell>
          <cell r="D3870">
            <v>1.1100000000000001</v>
          </cell>
        </row>
        <row r="3871">
          <cell r="C3871" t="str">
            <v>Arbor Realty Trust</v>
          </cell>
          <cell r="D3871">
            <v>3.0315300000000001</v>
          </cell>
        </row>
        <row r="3872">
          <cell r="C3872" t="str">
            <v>Keywords Studios</v>
          </cell>
          <cell r="D3872">
            <v>8.92</v>
          </cell>
        </row>
        <row r="3873">
          <cell r="C3873" t="str">
            <v>TowneBank</v>
          </cell>
          <cell r="D3873">
            <v>25.42</v>
          </cell>
        </row>
        <row r="3874">
          <cell r="C3874" t="str">
            <v>Anan Investment Holding</v>
          </cell>
          <cell r="D3874">
            <v>149.87</v>
          </cell>
        </row>
        <row r="3875">
          <cell r="C3875" t="str">
            <v>New Hope Corporation</v>
          </cell>
          <cell r="D3875">
            <v>14.113099999999999</v>
          </cell>
        </row>
        <row r="3876">
          <cell r="C3876" t="str">
            <v>dLocal</v>
          </cell>
          <cell r="D3876">
            <v>0.18577299999999999</v>
          </cell>
        </row>
        <row r="3877">
          <cell r="C3877" t="str">
            <v>CVR Energy</v>
          </cell>
          <cell r="D3877">
            <v>14.16</v>
          </cell>
        </row>
        <row r="3878">
          <cell r="C3878" t="str">
            <v>OSI Systems</v>
          </cell>
          <cell r="D3878">
            <v>82.016099999999994</v>
          </cell>
        </row>
        <row r="3879">
          <cell r="C3879" t="str">
            <v>Coca-Cola Bottlers Japan</v>
          </cell>
          <cell r="D3879">
            <v>1.86</v>
          </cell>
        </row>
        <row r="3880">
          <cell r="C3880" t="str">
            <v>Bank Jago</v>
          </cell>
          <cell r="D3880">
            <v>53.85</v>
          </cell>
        </row>
        <row r="3881">
          <cell r="C3881" t="str">
            <v>Paycor</v>
          </cell>
          <cell r="D3881">
            <v>107.88</v>
          </cell>
        </row>
        <row r="3882">
          <cell r="C3882" t="str">
            <v>Siltronic</v>
          </cell>
          <cell r="D3882">
            <v>1.0067600000000001</v>
          </cell>
        </row>
        <row r="3883">
          <cell r="C3883" t="str">
            <v>DFI Retail Group</v>
          </cell>
          <cell r="D3883">
            <v>21.81</v>
          </cell>
        </row>
        <row r="3884">
          <cell r="C3884" t="str">
            <v>HNI Corporation</v>
          </cell>
          <cell r="D3884">
            <v>43.24</v>
          </cell>
        </row>
        <row r="3885">
          <cell r="C3885" t="str">
            <v>LGI Homes</v>
          </cell>
          <cell r="D3885">
            <v>14.2203</v>
          </cell>
        </row>
        <row r="3886">
          <cell r="C3886" t="str">
            <v>New World Development Company</v>
          </cell>
          <cell r="D3886">
            <v>51.65</v>
          </cell>
        </row>
        <row r="3887">
          <cell r="C3887" t="str">
            <v>Atlantica</v>
          </cell>
          <cell r="D3887">
            <v>26.47</v>
          </cell>
        </row>
        <row r="3888">
          <cell r="C3888" t="str">
            <v>Twist Bioscience</v>
          </cell>
          <cell r="D3888">
            <v>2.0979899999999998</v>
          </cell>
        </row>
        <row r="3889">
          <cell r="C3889" t="str">
            <v>Migros Ticaret A.S.</v>
          </cell>
          <cell r="D3889">
            <v>44248</v>
          </cell>
        </row>
        <row r="3890">
          <cell r="C3890" t="str">
            <v>Vericel</v>
          </cell>
          <cell r="D3890">
            <v>18.8172</v>
          </cell>
        </row>
        <row r="3891">
          <cell r="C3891" t="str">
            <v>First Financial Bank</v>
          </cell>
          <cell r="D3891">
            <v>1.8207100000000001</v>
          </cell>
        </row>
        <row r="3892">
          <cell r="C3892" t="str">
            <v>Devyani International</v>
          </cell>
          <cell r="D3892">
            <v>102429</v>
          </cell>
        </row>
        <row r="3893">
          <cell r="C3893" t="str">
            <v>Dexerials Corporation</v>
          </cell>
          <cell r="D3893">
            <v>12.32</v>
          </cell>
        </row>
        <row r="3894">
          <cell r="C3894" t="str">
            <v>Kakao Pay</v>
          </cell>
          <cell r="D3894">
            <v>42.89</v>
          </cell>
        </row>
        <row r="3895">
          <cell r="C3895" t="str">
            <v>Quilter</v>
          </cell>
          <cell r="D3895">
            <v>22.51</v>
          </cell>
        </row>
        <row r="3896">
          <cell r="C3896" t="str">
            <v>Kumho Petrochemical</v>
          </cell>
          <cell r="D3896">
            <v>43.23</v>
          </cell>
        </row>
        <row r="3897">
          <cell r="C3897" t="str">
            <v>New Fortress Energy</v>
          </cell>
          <cell r="D3897">
            <v>10.84</v>
          </cell>
        </row>
        <row r="3898">
          <cell r="C3898" t="str">
            <v>Protagonist Therapeutics</v>
          </cell>
          <cell r="D3898">
            <v>45.837499999999999</v>
          </cell>
        </row>
        <row r="3899">
          <cell r="C3899" t="str">
            <v>Acadia Realty Trust</v>
          </cell>
          <cell r="D3899">
            <v>106.3</v>
          </cell>
        </row>
        <row r="3900">
          <cell r="C3900" t="str">
            <v>Inari Medical</v>
          </cell>
          <cell r="D3900">
            <v>0.34630100000000003</v>
          </cell>
        </row>
        <row r="3901">
          <cell r="C3901" t="str">
            <v>Mirion Technologies</v>
          </cell>
          <cell r="D3901">
            <v>98.88</v>
          </cell>
        </row>
        <row r="3902">
          <cell r="C3902" t="str">
            <v>BB Biotech</v>
          </cell>
          <cell r="D3902">
            <v>8.82</v>
          </cell>
        </row>
        <row r="3903">
          <cell r="C3903" t="str">
            <v>ArcBest</v>
          </cell>
          <cell r="D3903">
            <v>11.9062</v>
          </cell>
        </row>
        <row r="3904">
          <cell r="C3904" t="str">
            <v>Jasa Marga</v>
          </cell>
          <cell r="D3904">
            <v>2.0134400000000001</v>
          </cell>
        </row>
        <row r="3905">
          <cell r="C3905" t="str">
            <v>Cimpress</v>
          </cell>
          <cell r="D3905">
            <v>270671</v>
          </cell>
        </row>
        <row r="3906">
          <cell r="C3906" t="str">
            <v>Goodyear</v>
          </cell>
          <cell r="D3906">
            <v>323628</v>
          </cell>
        </row>
        <row r="3907">
          <cell r="C3907" t="str">
            <v>Travis Perkins</v>
          </cell>
          <cell r="D3907">
            <v>8.8206000000000007</v>
          </cell>
        </row>
        <row r="3908">
          <cell r="C3908" t="str">
            <v>OYAK Çimento</v>
          </cell>
          <cell r="D3908">
            <v>25.4693</v>
          </cell>
        </row>
        <row r="3909">
          <cell r="C3909" t="str">
            <v>Berner Kantonalbank</v>
          </cell>
          <cell r="D3909">
            <v>1.95495</v>
          </cell>
        </row>
        <row r="3910">
          <cell r="C3910" t="str">
            <v>Kardex Holding</v>
          </cell>
          <cell r="D3910">
            <v>58.15</v>
          </cell>
        </row>
        <row r="3911">
          <cell r="C3911" t="str">
            <v>Metsä Board</v>
          </cell>
          <cell r="D3911">
            <v>21.0014</v>
          </cell>
        </row>
        <row r="3912">
          <cell r="C3912" t="str">
            <v>Nifco Inc.</v>
          </cell>
          <cell r="D3912">
            <v>6.2041599999999999</v>
          </cell>
        </row>
        <row r="3913">
          <cell r="C3913" t="str">
            <v>Vietnam National Petroleum Group</v>
          </cell>
          <cell r="D3913">
            <v>19.07</v>
          </cell>
        </row>
        <row r="3914">
          <cell r="C3914" t="str">
            <v>Progress Software</v>
          </cell>
          <cell r="D3914">
            <v>75.384100000000004</v>
          </cell>
        </row>
        <row r="3915">
          <cell r="C3915" t="str">
            <v>TietoEVRY</v>
          </cell>
          <cell r="D3915">
            <v>37.24</v>
          </cell>
        </row>
        <row r="3916">
          <cell r="C3916" t="str">
            <v>Chambal Fertilisers</v>
          </cell>
          <cell r="D3916">
            <v>12.6313</v>
          </cell>
        </row>
        <row r="3917">
          <cell r="C3917" t="str">
            <v>Provident Financial Services</v>
          </cell>
          <cell r="D3917">
            <v>21123</v>
          </cell>
        </row>
        <row r="3918">
          <cell r="C3918" t="str">
            <v>KWS</v>
          </cell>
          <cell r="D3918">
            <v>77.099999999999994</v>
          </cell>
        </row>
        <row r="3919">
          <cell r="C3919" t="str">
            <v>Calix</v>
          </cell>
          <cell r="D3919">
            <v>83.17</v>
          </cell>
        </row>
        <row r="3920">
          <cell r="C3920" t="str">
            <v>Alembic Pharmaceuticals</v>
          </cell>
          <cell r="D3920">
            <v>11.3483</v>
          </cell>
        </row>
        <row r="3921">
          <cell r="C3921" t="str">
            <v>TERNA ENERGY Industrial Commercial Technical</v>
          </cell>
          <cell r="D3921">
            <v>1.25</v>
          </cell>
        </row>
        <row r="3922">
          <cell r="C3922" t="str">
            <v>Minerals Technologies</v>
          </cell>
          <cell r="D3922">
            <v>25.7</v>
          </cell>
        </row>
        <row r="3923">
          <cell r="C3923" t="str">
            <v>AZZ</v>
          </cell>
          <cell r="D3923">
            <v>13.838800000000001</v>
          </cell>
        </row>
        <row r="3924">
          <cell r="C3924" t="str">
            <v>Safestore</v>
          </cell>
          <cell r="D3924">
            <v>36.880000000000003</v>
          </cell>
        </row>
        <row r="3925">
          <cell r="C3925" t="str">
            <v>Globalstar</v>
          </cell>
          <cell r="D3925">
            <v>110092</v>
          </cell>
        </row>
        <row r="3926">
          <cell r="C3926" t="str">
            <v>Pacific Premier Bancorp</v>
          </cell>
          <cell r="D3926">
            <v>136.43</v>
          </cell>
        </row>
        <row r="3927">
          <cell r="C3927" t="str">
            <v>Antin Infrastructure Partners</v>
          </cell>
          <cell r="D3927">
            <v>2.0699999999999998</v>
          </cell>
        </row>
        <row r="3928">
          <cell r="C3928" t="str">
            <v>CG Oncology</v>
          </cell>
          <cell r="D3928">
            <v>22.924700000000001</v>
          </cell>
        </row>
        <row r="3929">
          <cell r="C3929" t="str">
            <v>Altarea</v>
          </cell>
          <cell r="D3929">
            <v>6.14</v>
          </cell>
        </row>
        <row r="3930">
          <cell r="C3930" t="str">
            <v>Arch Resources</v>
          </cell>
          <cell r="D3930">
            <v>21.153099999999998</v>
          </cell>
        </row>
        <row r="3931">
          <cell r="C3931" t="str">
            <v>Grupo Aval</v>
          </cell>
          <cell r="D3931">
            <v>32.25</v>
          </cell>
        </row>
        <row r="3932">
          <cell r="C3932" t="str">
            <v>Douglas Group</v>
          </cell>
          <cell r="D3932">
            <v>19.000800000000002</v>
          </cell>
        </row>
        <row r="3933">
          <cell r="C3933" t="str">
            <v>Coeur Mining</v>
          </cell>
          <cell r="D3933">
            <v>12.3</v>
          </cell>
        </row>
        <row r="3934">
          <cell r="C3934" t="str">
            <v>AUB Group</v>
          </cell>
          <cell r="D3934">
            <v>4.8142699999999996</v>
          </cell>
        </row>
        <row r="3935">
          <cell r="C3935" t="str">
            <v>Five9</v>
          </cell>
          <cell r="D3935">
            <v>23.9161</v>
          </cell>
        </row>
        <row r="3936">
          <cell r="C3936" t="str">
            <v>Ubisoft</v>
          </cell>
          <cell r="D3936">
            <v>1.78644</v>
          </cell>
        </row>
        <row r="3937">
          <cell r="C3937" t="str">
            <v>Golden Ocean Group</v>
          </cell>
          <cell r="D3937">
            <v>5.67</v>
          </cell>
        </row>
        <row r="3938">
          <cell r="C3938" t="str">
            <v>MONETA Money Bank</v>
          </cell>
          <cell r="D3938">
            <v>4.7551699999999997</v>
          </cell>
        </row>
        <row r="3939">
          <cell r="C3939" t="str">
            <v>Boralex</v>
          </cell>
          <cell r="D3939">
            <v>100586</v>
          </cell>
        </row>
        <row r="3940">
          <cell r="C3940" t="str">
            <v>Perseus Mining</v>
          </cell>
          <cell r="D3940">
            <v>16.77</v>
          </cell>
        </row>
        <row r="3941">
          <cell r="C3941" t="str">
            <v>Equinox Gold</v>
          </cell>
          <cell r="D3941">
            <v>46.98</v>
          </cell>
        </row>
        <row r="3942">
          <cell r="C3942" t="str">
            <v>Eutelsat</v>
          </cell>
          <cell r="D3942">
            <v>153.19999999999999</v>
          </cell>
        </row>
        <row r="3943">
          <cell r="C3943" t="str">
            <v>Tradegate Exchange</v>
          </cell>
          <cell r="D3943">
            <v>59.7</v>
          </cell>
        </row>
        <row r="3944">
          <cell r="C3944" t="str">
            <v>Constellium</v>
          </cell>
          <cell r="D3944">
            <v>28.1751</v>
          </cell>
        </row>
        <row r="3945">
          <cell r="C3945" t="str">
            <v>Janux Therapeutics</v>
          </cell>
          <cell r="D3945">
            <v>7.57761</v>
          </cell>
        </row>
        <row r="3946">
          <cell r="C3946" t="str">
            <v>Atoss</v>
          </cell>
          <cell r="D3946">
            <v>2.89554</v>
          </cell>
        </row>
        <row r="3947">
          <cell r="C3947" t="str">
            <v>Ambarella</v>
          </cell>
          <cell r="D3947">
            <v>2965.61</v>
          </cell>
        </row>
        <row r="3948">
          <cell r="C3948" t="str">
            <v>Lanxess</v>
          </cell>
          <cell r="D3948">
            <v>21.37</v>
          </cell>
        </row>
        <row r="3949">
          <cell r="C3949" t="str">
            <v>Proximus</v>
          </cell>
          <cell r="D3949">
            <v>23.930900000000001</v>
          </cell>
        </row>
        <row r="3950">
          <cell r="C3950" t="str">
            <v>Sinch</v>
          </cell>
          <cell r="D3950">
            <v>0.56841299999999995</v>
          </cell>
        </row>
        <row r="3951">
          <cell r="C3951" t="str">
            <v>Interroll</v>
          </cell>
          <cell r="D3951">
            <v>1.31335</v>
          </cell>
        </row>
        <row r="3952">
          <cell r="C3952" t="str">
            <v>Star Bulk Carriers</v>
          </cell>
          <cell r="D3952">
            <v>7.1069899999999997</v>
          </cell>
        </row>
        <row r="3953">
          <cell r="C3953" t="str">
            <v>Spin Master</v>
          </cell>
          <cell r="D3953">
            <v>47.3</v>
          </cell>
        </row>
        <row r="3954">
          <cell r="C3954" t="str">
            <v>Nickel Industries Limited</v>
          </cell>
          <cell r="D3954">
            <v>14.22</v>
          </cell>
        </row>
        <row r="3955">
          <cell r="C3955" t="str">
            <v>Bank of Bahrain and Kuwait</v>
          </cell>
          <cell r="D3955">
            <v>2.4256099999999998</v>
          </cell>
        </row>
        <row r="3956">
          <cell r="C3956" t="str">
            <v>Anant Raj</v>
          </cell>
          <cell r="D3956">
            <v>11.963699999999999</v>
          </cell>
        </row>
        <row r="3957">
          <cell r="C3957" t="str">
            <v>NexPoint Residential</v>
          </cell>
          <cell r="D3957">
            <v>15.06</v>
          </cell>
        </row>
        <row r="3958">
          <cell r="C3958" t="str">
            <v>Banc of California</v>
          </cell>
          <cell r="D3958">
            <v>31.55</v>
          </cell>
        </row>
        <row r="3959">
          <cell r="C3959" t="str">
            <v>Vector Limited</v>
          </cell>
          <cell r="D3959">
            <v>49.52</v>
          </cell>
        </row>
        <row r="3960">
          <cell r="C3960" t="str">
            <v>Kangwon Land</v>
          </cell>
          <cell r="D3960">
            <v>6.31</v>
          </cell>
        </row>
        <row r="3961">
          <cell r="C3961" t="str">
            <v>Corporación América Airports</v>
          </cell>
          <cell r="D3961">
            <v>20.14</v>
          </cell>
        </row>
        <row r="3962">
          <cell r="C3962" t="str">
            <v>Veracyte</v>
          </cell>
          <cell r="D3962">
            <v>58.22</v>
          </cell>
        </row>
        <row r="3963">
          <cell r="C3963" t="str">
            <v>Azenta</v>
          </cell>
          <cell r="D3963">
            <v>7.8921200000000002</v>
          </cell>
        </row>
        <row r="3964">
          <cell r="C3964" t="str">
            <v>LifeStance Health Group</v>
          </cell>
          <cell r="D3964">
            <v>133.01</v>
          </cell>
        </row>
        <row r="3965">
          <cell r="C3965" t="str">
            <v>Privia Health Group</v>
          </cell>
          <cell r="D3965">
            <v>116.04</v>
          </cell>
        </row>
        <row r="3966">
          <cell r="C3966" t="str">
            <v>Independent Bank Group</v>
          </cell>
          <cell r="D3966">
            <v>27.52</v>
          </cell>
        </row>
        <row r="3967">
          <cell r="C3967" t="str">
            <v>HELLENiQ ENERGY</v>
          </cell>
          <cell r="D3967">
            <v>20.25</v>
          </cell>
        </row>
        <row r="3968">
          <cell r="C3968" t="str">
            <v>Addus HomeCare</v>
          </cell>
          <cell r="D3968">
            <v>709629</v>
          </cell>
        </row>
        <row r="3969">
          <cell r="C3969" t="str">
            <v>Materion</v>
          </cell>
          <cell r="D3969">
            <v>16.0716</v>
          </cell>
        </row>
        <row r="3970">
          <cell r="C3970" t="str">
            <v>Vesta Real Estate</v>
          </cell>
          <cell r="D3970">
            <v>2.2919700000000001</v>
          </cell>
        </row>
        <row r="3971">
          <cell r="C3971" t="str">
            <v>Catalyst Pharmaceuticals</v>
          </cell>
          <cell r="D3971">
            <v>36863</v>
          </cell>
        </row>
        <row r="3972">
          <cell r="C3972" t="str">
            <v>Burckhardt Compression</v>
          </cell>
          <cell r="D3972">
            <v>48.74</v>
          </cell>
        </row>
        <row r="3973">
          <cell r="C3973" t="str">
            <v>Coface</v>
          </cell>
          <cell r="D3973">
            <v>8.3800000000000008</v>
          </cell>
        </row>
        <row r="3974">
          <cell r="C3974" t="str">
            <v>Serco Group</v>
          </cell>
          <cell r="D3974">
            <v>55.76</v>
          </cell>
        </row>
        <row r="3975">
          <cell r="C3975" t="str">
            <v>Danieli &amp;amp; C. Officine Meccaniche</v>
          </cell>
          <cell r="D3975">
            <v>39.753100000000003</v>
          </cell>
        </row>
        <row r="3976">
          <cell r="C3976" t="str">
            <v>Amphastar Pharmaceuticals</v>
          </cell>
          <cell r="D3976">
            <v>12.86</v>
          </cell>
        </row>
        <row r="3977">
          <cell r="C3977" t="str">
            <v>Assaí Atacadista</v>
          </cell>
          <cell r="D3977">
            <v>3.8051400000000002</v>
          </cell>
        </row>
        <row r="3978">
          <cell r="C3978" t="str">
            <v>Heartland Financial USA</v>
          </cell>
          <cell r="D3978">
            <v>43.81</v>
          </cell>
        </row>
        <row r="3979">
          <cell r="C3979" t="str">
            <v>Stolt-Nielsen Limited</v>
          </cell>
          <cell r="D3979">
            <v>0.35</v>
          </cell>
        </row>
        <row r="3980">
          <cell r="C3980" t="str">
            <v>N-Able</v>
          </cell>
          <cell r="D3980">
            <v>9.0881000000000007</v>
          </cell>
        </row>
        <row r="3981">
          <cell r="C3981" t="str">
            <v>NCC Limited</v>
          </cell>
          <cell r="D3981">
            <v>14.98</v>
          </cell>
        </row>
        <row r="3982">
          <cell r="C3982" t="str">
            <v>Kulicke and Soffa Industries</v>
          </cell>
          <cell r="D3982">
            <v>65.900000000000006</v>
          </cell>
        </row>
        <row r="3983">
          <cell r="C3983" t="str">
            <v>EMSTEEL Building Materials PJSC</v>
          </cell>
          <cell r="D3983">
            <v>4.3992500000000003</v>
          </cell>
        </row>
        <row r="3984">
          <cell r="C3984" t="str">
            <v>Air France-KLM</v>
          </cell>
          <cell r="D3984">
            <v>5.46889</v>
          </cell>
        </row>
        <row r="3985">
          <cell r="C3985" t="str">
            <v>Vector Group</v>
          </cell>
          <cell r="D3985">
            <v>3.1</v>
          </cell>
        </row>
        <row r="3986">
          <cell r="C3986" t="str">
            <v>Carter's</v>
          </cell>
          <cell r="D3986">
            <v>55314</v>
          </cell>
        </row>
        <row r="3987">
          <cell r="C3987" t="str">
            <v>ENAV</v>
          </cell>
          <cell r="D3987">
            <v>39.47</v>
          </cell>
        </row>
        <row r="3988">
          <cell r="C3988" t="str">
            <v>V-Guard Industries</v>
          </cell>
          <cell r="D3988">
            <v>37.81</v>
          </cell>
        </row>
        <row r="3989">
          <cell r="C3989" t="str">
            <v>Itaú CorpBanca</v>
          </cell>
          <cell r="D3989">
            <v>96.5</v>
          </cell>
        </row>
        <row r="3990">
          <cell r="C3990" t="str">
            <v>National Company for Learning and Education</v>
          </cell>
          <cell r="D3990">
            <v>28.8063</v>
          </cell>
        </row>
        <row r="3991">
          <cell r="C3991" t="str">
            <v>Central Garden &amp;amp; Pet</v>
          </cell>
          <cell r="D3991">
            <v>34.0182</v>
          </cell>
        </row>
        <row r="3992">
          <cell r="C3992" t="str">
            <v>Rapid7</v>
          </cell>
          <cell r="D3992">
            <v>9.8948099999999997</v>
          </cell>
        </row>
        <row r="3993">
          <cell r="C3993" t="str">
            <v>Strategic Education</v>
          </cell>
          <cell r="D3993">
            <v>13.7394</v>
          </cell>
        </row>
        <row r="3994">
          <cell r="C3994" t="str">
            <v>ARB Corporation Limited</v>
          </cell>
          <cell r="D3994">
            <v>9.5036199999999997</v>
          </cell>
        </row>
        <row r="3995">
          <cell r="C3995" t="str">
            <v>Loomis AB</v>
          </cell>
          <cell r="D3995">
            <v>0.34</v>
          </cell>
        </row>
        <row r="3996">
          <cell r="C3996" t="str">
            <v>Schneider Electric Infrastructure</v>
          </cell>
          <cell r="D3996">
            <v>0.737869</v>
          </cell>
        </row>
        <row r="3997">
          <cell r="C3997" t="str">
            <v>Grand City Properties</v>
          </cell>
          <cell r="D3997">
            <v>6.2995099999999997</v>
          </cell>
        </row>
        <row r="3998">
          <cell r="C3998" t="str">
            <v>Relaxo Footwear</v>
          </cell>
          <cell r="D3998">
            <v>0.55546499999999999</v>
          </cell>
        </row>
        <row r="3999">
          <cell r="C3999" t="str">
            <v>Alef Education</v>
          </cell>
          <cell r="D3999">
            <v>140569</v>
          </cell>
        </row>
        <row r="4000">
          <cell r="C4000" t="str">
            <v>Koza Gold</v>
          </cell>
          <cell r="D4000">
            <v>18.5</v>
          </cell>
        </row>
        <row r="4001">
          <cell r="C4001" t="str">
            <v>Saudi Real Estate Company (Al Akaria)</v>
          </cell>
          <cell r="D4001">
            <v>25.05</v>
          </cell>
        </row>
        <row r="4002">
          <cell r="C4002" t="str">
            <v>Dubai Investments</v>
          </cell>
          <cell r="D4002">
            <v>8.9700000000000006</v>
          </cell>
        </row>
        <row r="4003">
          <cell r="C4003" t="str">
            <v>goeasy</v>
          </cell>
          <cell r="D4003">
            <v>2.9798200000000001</v>
          </cell>
        </row>
        <row r="4004">
          <cell r="C4004" t="str">
            <v>Jamf</v>
          </cell>
          <cell r="D4004">
            <v>65.78</v>
          </cell>
        </row>
        <row r="4005">
          <cell r="C4005" t="str">
            <v>NextEra Energy Partners</v>
          </cell>
          <cell r="D4005">
            <v>5.7168000000000001</v>
          </cell>
        </row>
        <row r="4006">
          <cell r="C4006" t="str">
            <v>Sprinklr</v>
          </cell>
          <cell r="D4006">
            <v>0.15614</v>
          </cell>
        </row>
        <row r="4007">
          <cell r="C4007" t="str">
            <v>GlobalData</v>
          </cell>
          <cell r="D4007">
            <v>1.08687</v>
          </cell>
        </row>
        <row r="4008">
          <cell r="C4008" t="str">
            <v>AAR</v>
          </cell>
          <cell r="D4008">
            <v>14.34</v>
          </cell>
        </row>
        <row r="4009">
          <cell r="C4009" t="str">
            <v>AJ Bell</v>
          </cell>
          <cell r="D4009">
            <v>15.42</v>
          </cell>
        </row>
        <row r="4010">
          <cell r="C4010" t="str">
            <v>WHA Corporation</v>
          </cell>
          <cell r="D4010">
            <v>32.44</v>
          </cell>
        </row>
        <row r="4011">
          <cell r="C4011" t="str">
            <v>ComfortDelGro</v>
          </cell>
          <cell r="D4011">
            <v>25.920200000000001</v>
          </cell>
        </row>
        <row r="4012">
          <cell r="C4012" t="str">
            <v>Driven Brands</v>
          </cell>
          <cell r="D4012">
            <v>52.380299999999998</v>
          </cell>
        </row>
        <row r="4013">
          <cell r="C4013" t="str">
            <v>Laureate Education</v>
          </cell>
          <cell r="D4013">
            <v>11.9206</v>
          </cell>
        </row>
        <row r="4014">
          <cell r="C4014" t="str">
            <v>Appian</v>
          </cell>
          <cell r="D4014">
            <v>11.8352</v>
          </cell>
        </row>
        <row r="4015">
          <cell r="C4015" t="str">
            <v>Exclusive Networks</v>
          </cell>
          <cell r="D4015">
            <v>27.75</v>
          </cell>
        </row>
        <row r="4016">
          <cell r="C4016" t="str">
            <v>National Medical Care Company</v>
          </cell>
          <cell r="D4016">
            <v>0.133659</v>
          </cell>
        </row>
        <row r="4017">
          <cell r="C4017" t="str">
            <v>Meitetsu</v>
          </cell>
          <cell r="D4017">
            <v>9.9138900000000003</v>
          </cell>
        </row>
        <row r="4018">
          <cell r="C4018" t="str">
            <v>Pinnacle Investment Management Group</v>
          </cell>
          <cell r="D4018">
            <v>12766</v>
          </cell>
        </row>
        <row r="4019">
          <cell r="C4019" t="str">
            <v>Kodiak Gas Services</v>
          </cell>
          <cell r="D4019">
            <v>26.69</v>
          </cell>
        </row>
        <row r="4020">
          <cell r="C4020" t="str">
            <v>Colbún</v>
          </cell>
          <cell r="D4020">
            <v>109429</v>
          </cell>
        </row>
        <row r="4021">
          <cell r="C4021" t="str">
            <v>Ramco Cements</v>
          </cell>
          <cell r="D4021">
            <v>3.4383599999999999</v>
          </cell>
        </row>
        <row r="4022">
          <cell r="C4022" t="str">
            <v>Energean</v>
          </cell>
          <cell r="D4022">
            <v>40.04</v>
          </cell>
        </row>
        <row r="4023">
          <cell r="C4023" t="str">
            <v>Cadeler A/S</v>
          </cell>
          <cell r="D4023">
            <v>34.93</v>
          </cell>
        </row>
        <row r="4024">
          <cell r="C4024" t="str">
            <v>Solvac</v>
          </cell>
          <cell r="D4024">
            <v>81.73</v>
          </cell>
        </row>
        <row r="4025">
          <cell r="C4025" t="str">
            <v>Port of Tauranga</v>
          </cell>
          <cell r="D4025">
            <v>22.44</v>
          </cell>
        </row>
        <row r="4026">
          <cell r="C4026" t="str">
            <v>Vista Outdoor</v>
          </cell>
          <cell r="D4026">
            <v>27.36</v>
          </cell>
        </row>
        <row r="4027">
          <cell r="C4027" t="str">
            <v>Yelp</v>
          </cell>
          <cell r="D4027">
            <v>19.86</v>
          </cell>
        </row>
        <row r="4028">
          <cell r="C4028" t="str">
            <v>United States Lime &amp;amp; Minerals</v>
          </cell>
          <cell r="D4028">
            <v>32.4</v>
          </cell>
        </row>
        <row r="4029">
          <cell r="C4029" t="str">
            <v>Intellia Therapeutics</v>
          </cell>
          <cell r="D4029">
            <v>12.49</v>
          </cell>
        </row>
        <row r="4030">
          <cell r="C4030" t="str">
            <v>Seacoast Banking</v>
          </cell>
          <cell r="D4030">
            <v>3.14391</v>
          </cell>
        </row>
        <row r="4031">
          <cell r="C4031" t="str">
            <v>Expro Group</v>
          </cell>
          <cell r="D4031">
            <v>935864</v>
          </cell>
        </row>
        <row r="4032">
          <cell r="C4032" t="str">
            <v>Energizer Holdings</v>
          </cell>
          <cell r="D4032">
            <v>1.22888</v>
          </cell>
        </row>
        <row r="4033">
          <cell r="C4033" t="str">
            <v>DigitalBridge Group</v>
          </cell>
          <cell r="D4033">
            <v>5.3388299999999997</v>
          </cell>
        </row>
        <row r="4034">
          <cell r="C4034" t="str">
            <v>Grainger plc</v>
          </cell>
          <cell r="D4034">
            <v>32.96</v>
          </cell>
        </row>
        <row r="4035">
          <cell r="C4035" t="str">
            <v>Al Ahli Bank of Kuwait</v>
          </cell>
          <cell r="D4035">
            <v>0.37320599999999998</v>
          </cell>
        </row>
        <row r="4036">
          <cell r="C4036" t="str">
            <v>Saigon Thuong Tin Commercial Bank</v>
          </cell>
          <cell r="D4036">
            <v>57.809199999999997</v>
          </cell>
        </row>
        <row r="4037">
          <cell r="C4037" t="str">
            <v>Chorus</v>
          </cell>
          <cell r="D4037">
            <v>5.4420599999999997</v>
          </cell>
        </row>
        <row r="4038">
          <cell r="C4038" t="str">
            <v>Hillenbrand</v>
          </cell>
          <cell r="D4038">
            <v>48.96</v>
          </cell>
        </row>
        <row r="4039">
          <cell r="C4039" t="str">
            <v>Topsports International</v>
          </cell>
          <cell r="D4039">
            <v>21038</v>
          </cell>
        </row>
        <row r="4040">
          <cell r="C4040" t="str">
            <v>Vitesco Technologies Group</v>
          </cell>
          <cell r="D4040">
            <v>317156</v>
          </cell>
        </row>
        <row r="4041">
          <cell r="C4041" t="str">
            <v>IIFL Finance</v>
          </cell>
          <cell r="D4041">
            <v>117498</v>
          </cell>
        </row>
        <row r="4042">
          <cell r="C4042" t="str">
            <v>NBT Bancorp</v>
          </cell>
          <cell r="D4042">
            <v>3.7192699999999999</v>
          </cell>
        </row>
        <row r="4043">
          <cell r="C4043" t="str">
            <v>Lovisa Holdings</v>
          </cell>
          <cell r="D4043">
            <v>4.87</v>
          </cell>
        </row>
        <row r="4044">
          <cell r="C4044" t="str">
            <v>Mobimo Holding</v>
          </cell>
          <cell r="D4044">
            <v>8.6375399999999996</v>
          </cell>
        </row>
        <row r="4045">
          <cell r="C4045" t="str">
            <v>Trigano</v>
          </cell>
          <cell r="D4045">
            <v>13.88</v>
          </cell>
        </row>
        <row r="4046">
          <cell r="C4046" t="str">
            <v>Finolex Industries</v>
          </cell>
          <cell r="D4046">
            <v>45.8</v>
          </cell>
        </row>
        <row r="4047">
          <cell r="C4047" t="str">
            <v>Kosmos Energy</v>
          </cell>
          <cell r="D4047">
            <v>4.2357199999999997</v>
          </cell>
        </row>
        <row r="4048">
          <cell r="C4048" t="str">
            <v>Shufersal</v>
          </cell>
          <cell r="D4048">
            <v>631544</v>
          </cell>
        </row>
        <row r="4049">
          <cell r="C4049" t="str">
            <v>Tegna</v>
          </cell>
          <cell r="D4049">
            <v>7.53</v>
          </cell>
        </row>
        <row r="4050">
          <cell r="C4050" t="str">
            <v>Worthington Enterprises</v>
          </cell>
          <cell r="D4050">
            <v>0.80324600000000002</v>
          </cell>
        </row>
        <row r="4051">
          <cell r="C4051" t="str">
            <v>VietJet Aviation</v>
          </cell>
          <cell r="D4051">
            <v>36.96</v>
          </cell>
        </row>
        <row r="4052">
          <cell r="C4052" t="str">
            <v>Burgan Bank</v>
          </cell>
          <cell r="D4052">
            <v>9.0500000000000007</v>
          </cell>
        </row>
        <row r="4053">
          <cell r="C4053" t="str">
            <v>Riot Blockchain</v>
          </cell>
          <cell r="D4053">
            <v>39</v>
          </cell>
        </row>
        <row r="4054">
          <cell r="C4054" t="str">
            <v>National Central Cooling Company</v>
          </cell>
          <cell r="D4054">
            <v>95.906199999999998</v>
          </cell>
        </row>
        <row r="4055">
          <cell r="C4055" t="str">
            <v>Werner Enterprises</v>
          </cell>
          <cell r="D4055">
            <v>23.9437</v>
          </cell>
        </row>
        <row r="4056">
          <cell r="C4056" t="str">
            <v>Maravai LifeSciences</v>
          </cell>
          <cell r="D4056">
            <v>1.6917</v>
          </cell>
        </row>
        <row r="4057">
          <cell r="C4057" t="str">
            <v>First Merchants Corporation</v>
          </cell>
          <cell r="D4057">
            <v>0.53480000000000005</v>
          </cell>
        </row>
        <row r="4058">
          <cell r="C4058" t="str">
            <v>Blue Dart Express</v>
          </cell>
          <cell r="D4058">
            <v>17.513100000000001</v>
          </cell>
        </row>
        <row r="4059">
          <cell r="C4059" t="str">
            <v>Harmonic Drive Systems</v>
          </cell>
          <cell r="D4059">
            <v>83.723600000000005</v>
          </cell>
        </row>
        <row r="4060">
          <cell r="C4060" t="str">
            <v>Orora Limited</v>
          </cell>
          <cell r="D4060">
            <v>18.11</v>
          </cell>
        </row>
        <row r="4061">
          <cell r="C4061" t="str">
            <v>First Pacific Company</v>
          </cell>
          <cell r="D4061">
            <v>0.43601200000000001</v>
          </cell>
        </row>
        <row r="4062">
          <cell r="C4062" t="str">
            <v>PeptiDream</v>
          </cell>
          <cell r="D4062">
            <v>12.4513</v>
          </cell>
        </row>
        <row r="4063">
          <cell r="C4063" t="str">
            <v>CJ Group</v>
          </cell>
          <cell r="D4063">
            <v>1.1585399999999999</v>
          </cell>
        </row>
        <row r="4064">
          <cell r="C4064" t="str">
            <v>Flywire</v>
          </cell>
          <cell r="D4064">
            <v>78.589600000000004</v>
          </cell>
        </row>
        <row r="4065">
          <cell r="C4065" t="str">
            <v>Siam Global House</v>
          </cell>
          <cell r="D4065">
            <v>7.9221300000000001</v>
          </cell>
        </row>
        <row r="4066">
          <cell r="C4066" t="str">
            <v>Entra</v>
          </cell>
          <cell r="D4066">
            <v>85.73</v>
          </cell>
        </row>
        <row r="4067">
          <cell r="C4067" t="str">
            <v>Tata Teleservices</v>
          </cell>
          <cell r="D4067">
            <v>70.88</v>
          </cell>
        </row>
        <row r="4068">
          <cell r="C4068" t="str">
            <v>Eramet</v>
          </cell>
          <cell r="D4068">
            <v>7.4943299999999997</v>
          </cell>
        </row>
        <row r="4069">
          <cell r="C4069" t="str">
            <v>Pennon Group</v>
          </cell>
          <cell r="D4069">
            <v>2.0391699999999999</v>
          </cell>
        </row>
        <row r="4070">
          <cell r="C4070" t="str">
            <v>Enova International</v>
          </cell>
          <cell r="D4070">
            <v>73.22</v>
          </cell>
        </row>
        <row r="4071">
          <cell r="C4071" t="str">
            <v>iRhythm</v>
          </cell>
          <cell r="D4071">
            <v>11.23</v>
          </cell>
        </row>
        <row r="4072">
          <cell r="C4072" t="str">
            <v>(ZIO)</v>
          </cell>
          <cell r="D4072">
            <v>14633</v>
          </cell>
        </row>
        <row r="4073">
          <cell r="C4073" t="str">
            <v>The National Agricultural Development Company</v>
          </cell>
          <cell r="D4073">
            <v>2.8134600000000001</v>
          </cell>
        </row>
        <row r="4074">
          <cell r="C4074" t="str">
            <v>Kingboard Holdings</v>
          </cell>
          <cell r="D4074">
            <v>30.0307</v>
          </cell>
        </row>
        <row r="4075">
          <cell r="C4075" t="str">
            <v>CONMED</v>
          </cell>
          <cell r="D4075">
            <v>7.5328999999999997</v>
          </cell>
        </row>
        <row r="4076">
          <cell r="C4076" t="str">
            <v>VIZIO</v>
          </cell>
          <cell r="D4076">
            <v>37.9</v>
          </cell>
        </row>
        <row r="4077">
          <cell r="C4077" t="str">
            <v>Toyo Tire</v>
          </cell>
          <cell r="D4077">
            <v>0.86615200000000003</v>
          </cell>
        </row>
        <row r="4078">
          <cell r="C4078" t="str">
            <v>TISCO Financial Group</v>
          </cell>
          <cell r="D4078">
            <v>48.22</v>
          </cell>
        </row>
        <row r="4079">
          <cell r="C4079" t="str">
            <v>Gasco (National Gas and Industrialization Company)</v>
          </cell>
          <cell r="D4079">
            <v>11.4514</v>
          </cell>
        </row>
        <row r="4080">
          <cell r="C4080" t="str">
            <v>Merida Industry</v>
          </cell>
          <cell r="D4080">
            <v>1.63757</v>
          </cell>
        </row>
        <row r="4081">
          <cell r="C4081" t="str">
            <v>Mercury Systems</v>
          </cell>
          <cell r="D4081">
            <v>7.9904900000000003</v>
          </cell>
        </row>
        <row r="4082">
          <cell r="C4082" t="str">
            <v>AMP Limited</v>
          </cell>
          <cell r="D4082">
            <v>6.35</v>
          </cell>
        </row>
        <row r="4083">
          <cell r="C4083" t="str">
            <v>FB Financial</v>
          </cell>
          <cell r="D4083">
            <v>5.23</v>
          </cell>
        </row>
        <row r="4084">
          <cell r="C4084" t="str">
            <v>TGS ASA</v>
          </cell>
          <cell r="D4084">
            <v>41.24</v>
          </cell>
        </row>
        <row r="4085">
          <cell r="C4085" t="str">
            <v>National Storage REIT</v>
          </cell>
          <cell r="D4085">
            <v>18.27</v>
          </cell>
        </row>
        <row r="4086">
          <cell r="C4086" t="str">
            <v>Kinnevik</v>
          </cell>
          <cell r="D4086">
            <v>56.39</v>
          </cell>
        </row>
        <row r="4087">
          <cell r="C4087" t="str">
            <v>Hanesbrands</v>
          </cell>
          <cell r="D4087">
            <v>185.4</v>
          </cell>
        </row>
        <row r="4088">
          <cell r="C4088" t="str">
            <v>Prospect Capital</v>
          </cell>
          <cell r="D4088">
            <v>19874</v>
          </cell>
        </row>
        <row r="4089">
          <cell r="C4089" t="str">
            <v>Enerpac Tool Group</v>
          </cell>
          <cell r="D4089">
            <v>60241</v>
          </cell>
        </row>
        <row r="4090">
          <cell r="C4090" t="str">
            <v>ZIM Integrated Shipping Services</v>
          </cell>
          <cell r="D4090">
            <v>5.07</v>
          </cell>
        </row>
        <row r="4091">
          <cell r="C4091" t="str">
            <v>RxSight</v>
          </cell>
          <cell r="D4091">
            <v>313037</v>
          </cell>
        </row>
        <row r="4092">
          <cell r="C4092" t="str">
            <v>Alamo Group</v>
          </cell>
          <cell r="D4092">
            <v>27.48</v>
          </cell>
        </row>
        <row r="4093">
          <cell r="C4093" t="str">
            <v>Carel Industries</v>
          </cell>
          <cell r="D4093">
            <v>33.6023</v>
          </cell>
        </row>
        <row r="4094">
          <cell r="C4094" t="str">
            <v>Bank für Tirol und Vorarlberg</v>
          </cell>
          <cell r="D4094">
            <v>1.33988</v>
          </cell>
        </row>
        <row r="4095">
          <cell r="C4095" t="str">
            <v>Melco Resorts &amp;amp; Entertainment</v>
          </cell>
          <cell r="D4095">
            <v>17325</v>
          </cell>
        </row>
        <row r="4096">
          <cell r="C4096" t="str">
            <v>Banque Cantonale de Genève</v>
          </cell>
          <cell r="D4096">
            <v>115154</v>
          </cell>
        </row>
        <row r="4097">
          <cell r="C4097" t="str">
            <v>Verona Pharma</v>
          </cell>
          <cell r="D4097">
            <v>35</v>
          </cell>
        </row>
        <row r="4098">
          <cell r="C4098" t="str">
            <v>MVV Energie</v>
          </cell>
          <cell r="D4098">
            <v>19.2576</v>
          </cell>
        </row>
        <row r="4099">
          <cell r="C4099" t="str">
            <v>Batelco (Bahrain Telecommunication Company)</v>
          </cell>
          <cell r="D4099">
            <v>146423</v>
          </cell>
        </row>
        <row r="4100">
          <cell r="C4100" t="str">
            <v>Bata India</v>
          </cell>
          <cell r="D4100">
            <v>1.9442600000000001</v>
          </cell>
        </row>
        <row r="4101">
          <cell r="C4101" t="str">
            <v>KRUK Spólka Akcyjna</v>
          </cell>
          <cell r="D4101">
            <v>0.44104100000000002</v>
          </cell>
        </row>
        <row r="4102">
          <cell r="C4102" t="str">
            <v>Renasant Corp</v>
          </cell>
          <cell r="D4102">
            <v>3.5602999999999998</v>
          </cell>
        </row>
        <row r="4103">
          <cell r="C4103" t="str">
            <v>Spar Nord Bank A/S</v>
          </cell>
          <cell r="D4103">
            <v>9.1973599999999998</v>
          </cell>
        </row>
        <row r="4104">
          <cell r="C4104" t="str">
            <v>LEENO Industrial</v>
          </cell>
          <cell r="D4104">
            <v>25.59</v>
          </cell>
        </row>
        <row r="4105">
          <cell r="C4105" t="str">
            <v>BinDawood</v>
          </cell>
          <cell r="D4105">
            <v>26.68</v>
          </cell>
        </row>
        <row r="4106">
          <cell r="C4106" t="str">
            <v>Trident</v>
          </cell>
          <cell r="D4106">
            <v>28.69</v>
          </cell>
        </row>
        <row r="4107">
          <cell r="C4107" t="str">
            <v>Thyssenkrupp</v>
          </cell>
          <cell r="D4107">
            <v>118866</v>
          </cell>
        </row>
        <row r="4108">
          <cell r="C4108" t="str">
            <v>Secure Energy Services</v>
          </cell>
          <cell r="D4108">
            <v>16.841899999999999</v>
          </cell>
        </row>
        <row r="4109">
          <cell r="C4109" t="str">
            <v>Deciphera Pharmaceuticals</v>
          </cell>
          <cell r="D4109">
            <v>13.794600000000001</v>
          </cell>
        </row>
        <row r="4110">
          <cell r="C4110" t="str">
            <v>Beam Therapeutics</v>
          </cell>
          <cell r="D4110">
            <v>19.716899999999999</v>
          </cell>
        </row>
        <row r="4111">
          <cell r="C4111" t="str">
            <v>Aspen Aerogels</v>
          </cell>
          <cell r="D4111">
            <v>5.8308600000000004</v>
          </cell>
        </row>
        <row r="4112">
          <cell r="C4112" t="str">
            <v>Delek Group</v>
          </cell>
          <cell r="D4112">
            <v>10.158099999999999</v>
          </cell>
        </row>
        <row r="4113">
          <cell r="C4113" t="str">
            <v>WH Smith</v>
          </cell>
          <cell r="D4113">
            <v>13.93</v>
          </cell>
        </row>
        <row r="4114">
          <cell r="C4114" t="str">
            <v>TeamViewer</v>
          </cell>
          <cell r="D4114">
            <v>32.552199999999999</v>
          </cell>
        </row>
        <row r="4115">
          <cell r="C4115" t="str">
            <v>Santam</v>
          </cell>
          <cell r="D4115">
            <v>19.39</v>
          </cell>
        </row>
        <row r="4116">
          <cell r="C4116" t="str">
            <v>PCBL Limited</v>
          </cell>
          <cell r="D4116">
            <v>4.2427900000000003</v>
          </cell>
        </row>
        <row r="4117">
          <cell r="C4117" t="str">
            <v>AUTO1</v>
          </cell>
          <cell r="D4117">
            <v>9.5975699999999993</v>
          </cell>
        </row>
        <row r="4118">
          <cell r="C4118" t="str">
            <v>Tronox</v>
          </cell>
          <cell r="D4118">
            <v>84.337400000000002</v>
          </cell>
        </row>
        <row r="4119">
          <cell r="C4119" t="str">
            <v>Österreichische Post</v>
          </cell>
          <cell r="D4119">
            <v>7.6331699999999998</v>
          </cell>
        </row>
        <row r="4120">
          <cell r="C4120" t="str">
            <v>Kohl's</v>
          </cell>
          <cell r="D4120">
            <v>11186</v>
          </cell>
        </row>
        <row r="4121">
          <cell r="C4121" t="str">
            <v>Champion Iron</v>
          </cell>
          <cell r="D4121">
            <v>34.25</v>
          </cell>
        </row>
        <row r="4122">
          <cell r="C4122" t="str">
            <v>Green Thumb Industries</v>
          </cell>
          <cell r="D4122">
            <v>0.73813399999999996</v>
          </cell>
        </row>
        <row r="4123">
          <cell r="C4123" t="str">
            <v>Argan SA</v>
          </cell>
          <cell r="D4123">
            <v>0.77232500000000004</v>
          </cell>
        </row>
        <row r="4124">
          <cell r="C4124" t="str">
            <v>Peab</v>
          </cell>
          <cell r="D4124">
            <v>12.55</v>
          </cell>
        </row>
        <row r="4125">
          <cell r="C4125" t="str">
            <v>Industrie De Nora</v>
          </cell>
          <cell r="D4125">
            <v>0.61559799999999998</v>
          </cell>
        </row>
        <row r="4126">
          <cell r="C4126" t="str">
            <v>Evertec</v>
          </cell>
          <cell r="D4126">
            <v>38.130000000000003</v>
          </cell>
        </row>
        <row r="4127">
          <cell r="C4127" t="str">
            <v>VIB (Vietnam International Commercial Joint Stock Bank)</v>
          </cell>
          <cell r="D4127">
            <v>48.87</v>
          </cell>
        </row>
        <row r="4128">
          <cell r="C4128" t="str">
            <v>SeABank (Southeast Asia Commercial Joint Stock Bank)</v>
          </cell>
          <cell r="D4128">
            <v>7.8040500000000002</v>
          </cell>
        </row>
        <row r="4129">
          <cell r="C4129" t="str">
            <v>BrightSpring Health Services</v>
          </cell>
          <cell r="D4129">
            <v>4.0168999999999997</v>
          </cell>
        </row>
        <row r="4130">
          <cell r="C4130" t="str">
            <v>Shangri-La</v>
          </cell>
          <cell r="D4130">
            <v>21.506699999999999</v>
          </cell>
        </row>
        <row r="4131">
          <cell r="C4131" t="str">
            <v>Structure Therapeutics</v>
          </cell>
          <cell r="D4131">
            <v>47.79</v>
          </cell>
        </row>
        <row r="4132">
          <cell r="C4132" t="str">
            <v>Ziff Davis</v>
          </cell>
          <cell r="D4132">
            <v>0.26932400000000001</v>
          </cell>
        </row>
        <row r="4133">
          <cell r="C4133" t="str">
            <v>H&amp;amp;R REIT</v>
          </cell>
          <cell r="D4133">
            <v>45.299900000000001</v>
          </cell>
        </row>
        <row r="4134">
          <cell r="C4134" t="str">
            <v>Athabasca Oil Corporation</v>
          </cell>
          <cell r="D4134">
            <v>19.105799999999999</v>
          </cell>
        </row>
        <row r="4135">
          <cell r="C4135" t="str">
            <v>Olav Thon</v>
          </cell>
          <cell r="D4135">
            <v>9.9603999999999999</v>
          </cell>
        </row>
        <row r="4136">
          <cell r="C4136" t="str">
            <v>Astrana Health</v>
          </cell>
          <cell r="D4136">
            <v>4.6987800000000002</v>
          </cell>
        </row>
        <row r="4137">
          <cell r="C4137" t="str">
            <v>Dongfeng Motor</v>
          </cell>
          <cell r="D4137">
            <v>20.27</v>
          </cell>
        </row>
        <row r="4138">
          <cell r="C4138" t="str">
            <v>Netcompany Group</v>
          </cell>
          <cell r="D4138">
            <v>5.93</v>
          </cell>
        </row>
        <row r="4139">
          <cell r="C4139" t="str">
            <v>Aixtron</v>
          </cell>
          <cell r="D4139">
            <v>0.61</v>
          </cell>
        </row>
        <row r="4140">
          <cell r="C4140" t="str">
            <v>Chalet Hotels</v>
          </cell>
          <cell r="D4140">
            <v>1.56535</v>
          </cell>
        </row>
        <row r="4141">
          <cell r="C4141" t="str">
            <v>3R Petroleum</v>
          </cell>
          <cell r="D4141">
            <v>0.30523400000000001</v>
          </cell>
        </row>
        <row r="4142">
          <cell r="C4142" t="str">
            <v>Equity Commonwealth</v>
          </cell>
          <cell r="D4142">
            <v>8.9736899999999995</v>
          </cell>
        </row>
        <row r="4143">
          <cell r="C4143" t="str">
            <v>Bausch Health</v>
          </cell>
          <cell r="D4143">
            <v>12.79</v>
          </cell>
        </row>
        <row r="4144">
          <cell r="C4144" t="str">
            <v>Apex Investment</v>
          </cell>
          <cell r="D4144">
            <v>41.339700000000001</v>
          </cell>
        </row>
        <row r="4145">
          <cell r="C4145" t="str">
            <v>Momentum Metropolitan</v>
          </cell>
          <cell r="D4145">
            <v>13.6089</v>
          </cell>
        </row>
        <row r="4146">
          <cell r="C4146" t="str">
            <v>SJM Holdings</v>
          </cell>
          <cell r="D4146">
            <v>2.87</v>
          </cell>
        </row>
        <row r="4147">
          <cell r="C4147" t="str">
            <v>Exxaro Resources</v>
          </cell>
          <cell r="D4147">
            <v>106886</v>
          </cell>
        </row>
        <row r="4148">
          <cell r="C4148" t="str">
            <v>SolarWinds</v>
          </cell>
          <cell r="D4148">
            <v>2.4285899999999998</v>
          </cell>
        </row>
        <row r="4149">
          <cell r="C4149" t="str">
            <v>NV Bekaert</v>
          </cell>
          <cell r="D4149">
            <v>11.55</v>
          </cell>
        </row>
        <row r="4150">
          <cell r="C4150" t="str">
            <v>Orpea</v>
          </cell>
          <cell r="D4150">
            <v>10.8102</v>
          </cell>
        </row>
        <row r="4151">
          <cell r="C4151" t="str">
            <v>Curaleaf</v>
          </cell>
          <cell r="D4151">
            <v>18.52</v>
          </cell>
        </row>
        <row r="4152">
          <cell r="C4152" t="str">
            <v>MM Group (Mayr-Melnhof AG)</v>
          </cell>
          <cell r="D4152">
            <v>35.780099999999997</v>
          </cell>
        </row>
        <row r="4153">
          <cell r="C4153" t="str">
            <v>Indian Energy Exchange</v>
          </cell>
          <cell r="D4153">
            <v>95.323300000000003</v>
          </cell>
        </row>
        <row r="4154">
          <cell r="C4154" t="str">
            <v>AvePoint</v>
          </cell>
          <cell r="D4154">
            <v>45.99</v>
          </cell>
        </row>
        <row r="4155">
          <cell r="C4155" t="str">
            <v>Technogym</v>
          </cell>
          <cell r="D4155">
            <v>63.57</v>
          </cell>
        </row>
        <row r="4156">
          <cell r="C4156" t="str">
            <v>Fidelis Insurance</v>
          </cell>
          <cell r="D4156">
            <v>3.58</v>
          </cell>
        </row>
        <row r="4157">
          <cell r="C4157" t="str">
            <v>IndiaMART</v>
          </cell>
          <cell r="D4157">
            <v>837696</v>
          </cell>
        </row>
        <row r="4158">
          <cell r="C4158" t="str">
            <v>SKAN Group</v>
          </cell>
          <cell r="D4158">
            <v>5.23</v>
          </cell>
        </row>
        <row r="4159">
          <cell r="C4159" t="str">
            <v>OFG Bancorp</v>
          </cell>
          <cell r="D4159">
            <v>1.3350500000000001</v>
          </cell>
        </row>
        <row r="4160">
          <cell r="C4160" t="str">
            <v>Silicon Motion</v>
          </cell>
          <cell r="D4160">
            <v>32.85</v>
          </cell>
        </row>
        <row r="4161">
          <cell r="C4161" t="str">
            <v>Ardagh Metal Packaging</v>
          </cell>
          <cell r="D4161">
            <v>12.9</v>
          </cell>
        </row>
        <row r="4162">
          <cell r="C4162" t="str">
            <v>Agility Public Warehousing Company</v>
          </cell>
          <cell r="D4162">
            <v>11.2</v>
          </cell>
        </row>
        <row r="4163">
          <cell r="C4163" t="str">
            <v>Uranium Energy</v>
          </cell>
          <cell r="D4163">
            <v>41.09</v>
          </cell>
        </row>
        <row r="4164">
          <cell r="C4164" t="str">
            <v>IDFC</v>
          </cell>
          <cell r="D4164">
            <v>33.810099999999998</v>
          </cell>
        </row>
        <row r="4165">
          <cell r="C4165" t="str">
            <v>Hilltop Holdings</v>
          </cell>
          <cell r="D4165">
            <v>11.1684</v>
          </cell>
        </row>
        <row r="4166">
          <cell r="C4166" t="str">
            <v>MP Materials</v>
          </cell>
          <cell r="D4166">
            <v>2.6503000000000001</v>
          </cell>
        </row>
        <row r="4167">
          <cell r="C4167" t="str">
            <v>Compañía Cervecerías Unidas</v>
          </cell>
          <cell r="D4167">
            <v>386869</v>
          </cell>
        </row>
        <row r="4168">
          <cell r="C4168" t="str">
            <v>TreeHouse Foods</v>
          </cell>
          <cell r="D4168">
            <v>41.9</v>
          </cell>
        </row>
        <row r="4169">
          <cell r="C4169" t="str">
            <v>Winpak</v>
          </cell>
          <cell r="D4169">
            <v>20.075099999999999</v>
          </cell>
        </row>
        <row r="4170">
          <cell r="C4170" t="str">
            <v>Höegh Autoliners</v>
          </cell>
          <cell r="D4170">
            <v>62.34</v>
          </cell>
        </row>
        <row r="4171">
          <cell r="C4171" t="str">
            <v>Karur Vysya Bank</v>
          </cell>
          <cell r="D4171">
            <v>13.7471</v>
          </cell>
        </row>
        <row r="4172">
          <cell r="C4172" t="str">
            <v>Mainova</v>
          </cell>
          <cell r="D4172">
            <v>20.55</v>
          </cell>
        </row>
        <row r="4173">
          <cell r="C4173" t="str">
            <v>Buckle</v>
          </cell>
          <cell r="D4173">
            <v>69.67</v>
          </cell>
        </row>
        <row r="4174">
          <cell r="C4174" t="str">
            <v>TechnoPro Holdings</v>
          </cell>
          <cell r="D4174">
            <v>12.386799999999999</v>
          </cell>
        </row>
        <row r="4175">
          <cell r="C4175" t="str">
            <v>Sonic Automotive</v>
          </cell>
          <cell r="D4175">
            <v>135336</v>
          </cell>
        </row>
        <row r="4176">
          <cell r="C4176" t="str">
            <v>DCM Shriram</v>
          </cell>
          <cell r="D4176">
            <v>10.43</v>
          </cell>
        </row>
        <row r="4177">
          <cell r="C4177" t="str">
            <v>Ero Copper</v>
          </cell>
          <cell r="D4177">
            <v>23.49</v>
          </cell>
        </row>
        <row r="4178">
          <cell r="C4178" t="str">
            <v>Gibraltar Industries</v>
          </cell>
          <cell r="D4178">
            <v>12.03</v>
          </cell>
        </row>
        <row r="4179">
          <cell r="C4179" t="str">
            <v>KFin Technologies</v>
          </cell>
          <cell r="D4179">
            <v>178.65</v>
          </cell>
        </row>
        <row r="4180">
          <cell r="C4180" t="str">
            <v>Walliser Kantonalbank</v>
          </cell>
          <cell r="D4180">
            <v>16.52</v>
          </cell>
        </row>
        <row r="4181">
          <cell r="C4181" t="str">
            <v>Sunstone Hotel Investors</v>
          </cell>
          <cell r="D4181">
            <v>10.277799999999999</v>
          </cell>
        </row>
        <row r="4182">
          <cell r="C4182" t="str">
            <v>Progyny</v>
          </cell>
          <cell r="D4182">
            <v>11.8</v>
          </cell>
        </row>
        <row r="4183">
          <cell r="C4183" t="str">
            <v>Grindr</v>
          </cell>
          <cell r="D4183">
            <v>137.13</v>
          </cell>
        </row>
        <row r="4184">
          <cell r="C4184" t="str">
            <v>Standex</v>
          </cell>
          <cell r="D4184">
            <v>29.72</v>
          </cell>
        </row>
        <row r="4185">
          <cell r="C4185" t="str">
            <v>NeoGenomics</v>
          </cell>
          <cell r="D4185">
            <v>3.2673800000000002</v>
          </cell>
        </row>
        <row r="4186">
          <cell r="C4186" t="str">
            <v>Harel Group</v>
          </cell>
          <cell r="D4186">
            <v>10.7982</v>
          </cell>
        </row>
        <row r="4187">
          <cell r="C4187" t="str">
            <v>Pactiv Evergreen</v>
          </cell>
          <cell r="D4187">
            <v>21.3735</v>
          </cell>
        </row>
        <row r="4188">
          <cell r="C4188" t="str">
            <v>National Healthcare</v>
          </cell>
          <cell r="D4188">
            <v>3.8324199999999999</v>
          </cell>
        </row>
        <row r="4189">
          <cell r="C4189" t="str">
            <v>Tootsie Roll Industries</v>
          </cell>
          <cell r="D4189">
            <v>20.66</v>
          </cell>
        </row>
        <row r="4190">
          <cell r="C4190" t="str">
            <v>MFE-Mediaforeurope</v>
          </cell>
          <cell r="D4190">
            <v>11.7774</v>
          </cell>
        </row>
        <row r="4191">
          <cell r="C4191" t="str">
            <v>Peyto Exploration &amp;amp; Development</v>
          </cell>
          <cell r="D4191">
            <v>1.6240399999999999</v>
          </cell>
        </row>
        <row r="4192">
          <cell r="C4192" t="str">
            <v>Mahanagar Gas</v>
          </cell>
          <cell r="D4192">
            <v>0.523258</v>
          </cell>
        </row>
        <row r="4193">
          <cell r="C4193" t="str">
            <v>Cyfrowy Polsat</v>
          </cell>
          <cell r="D4193">
            <v>24.776599999999998</v>
          </cell>
        </row>
        <row r="4194">
          <cell r="C4194" t="str">
            <v>Adeka Corporation</v>
          </cell>
          <cell r="D4194">
            <v>6.51</v>
          </cell>
        </row>
        <row r="4195">
          <cell r="C4195" t="str">
            <v>K+S</v>
          </cell>
          <cell r="D4195">
            <v>19.440000000000001</v>
          </cell>
        </row>
        <row r="4196">
          <cell r="C4196" t="str">
            <v>Zip Co</v>
          </cell>
          <cell r="D4196">
            <v>27.25</v>
          </cell>
        </row>
        <row r="4197">
          <cell r="C4197" t="str">
            <v>Yuexiu Property</v>
          </cell>
          <cell r="D4197">
            <v>45.85</v>
          </cell>
        </row>
        <row r="4198">
          <cell r="C4198" t="str">
            <v>Al-Dawaa Medical Services Company</v>
          </cell>
          <cell r="D4198">
            <v>18.23</v>
          </cell>
        </row>
        <row r="4199">
          <cell r="C4199" t="str">
            <v>Mister Car Wash</v>
          </cell>
          <cell r="D4199">
            <v>10.2155</v>
          </cell>
        </row>
        <row r="4200">
          <cell r="C4200" t="str">
            <v>Novocure</v>
          </cell>
          <cell r="D4200">
            <v>28.61</v>
          </cell>
        </row>
        <row r="4201">
          <cell r="C4201" t="str">
            <v>American Assets Trust</v>
          </cell>
          <cell r="D4201">
            <v>47.96</v>
          </cell>
        </row>
        <row r="4202">
          <cell r="C4202" t="str">
            <v>Merchants Bancorp</v>
          </cell>
          <cell r="D4202">
            <v>7.28</v>
          </cell>
        </row>
        <row r="4203">
          <cell r="C4203" t="str">
            <v>Excelerate Energy</v>
          </cell>
          <cell r="D4203">
            <v>184592</v>
          </cell>
        </row>
        <row r="4204">
          <cell r="C4204" t="str">
            <v>Forvia SE</v>
          </cell>
          <cell r="D4204">
            <v>5.8485699999999996</v>
          </cell>
        </row>
        <row r="4205">
          <cell r="C4205" t="str">
            <v>NCR Atleos Corporation</v>
          </cell>
          <cell r="D4205">
            <v>0.49423099999999998</v>
          </cell>
        </row>
        <row r="4206">
          <cell r="C4206" t="str">
            <v>PHINIA</v>
          </cell>
          <cell r="D4206">
            <v>11.5442</v>
          </cell>
        </row>
        <row r="4207">
          <cell r="C4207" t="str">
            <v>Recursion Pharmaceuticals</v>
          </cell>
          <cell r="D4207">
            <v>15.411099999999999</v>
          </cell>
        </row>
        <row r="4208">
          <cell r="C4208" t="str">
            <v>Einhell Germany</v>
          </cell>
          <cell r="D4208">
            <v>19.579999999999998</v>
          </cell>
        </row>
        <row r="4209">
          <cell r="C4209" t="str">
            <v>Shapir Civil and Marine Engineering</v>
          </cell>
          <cell r="D4209">
            <v>0.37402600000000003</v>
          </cell>
        </row>
        <row r="4210">
          <cell r="C4210" t="str">
            <v>Vodafone Qatar</v>
          </cell>
          <cell r="D4210">
            <v>1.7654300000000001</v>
          </cell>
        </row>
        <row r="4211">
          <cell r="C4211" t="str">
            <v>Ramkrishna Forgings</v>
          </cell>
          <cell r="D4211">
            <v>3.0320100000000001</v>
          </cell>
        </row>
        <row r="4212">
          <cell r="C4212" t="str">
            <v>Savills</v>
          </cell>
          <cell r="D4212">
            <v>9.3831600000000002</v>
          </cell>
        </row>
        <row r="4213">
          <cell r="C4213" t="str">
            <v>Hamilton Insurance Group</v>
          </cell>
          <cell r="D4213">
            <v>197.47</v>
          </cell>
        </row>
        <row r="4214">
          <cell r="C4214" t="str">
            <v>Sohar International Bank</v>
          </cell>
          <cell r="D4214">
            <v>9.7546099999999996</v>
          </cell>
        </row>
        <row r="4215">
          <cell r="C4215" t="str">
            <v>Enerjisa Enerji</v>
          </cell>
          <cell r="D4215">
            <v>1.0720099999999999</v>
          </cell>
        </row>
        <row r="4216">
          <cell r="C4216" t="str">
            <v>Ryman Healthcare</v>
          </cell>
          <cell r="D4216">
            <v>13.213800000000001</v>
          </cell>
        </row>
        <row r="4217">
          <cell r="C4217" t="str">
            <v>CenturyPly</v>
          </cell>
          <cell r="D4217">
            <v>9.1583500000000004</v>
          </cell>
        </row>
        <row r="4218">
          <cell r="C4218" t="str">
            <v>Federal Agricultural Mortgage</v>
          </cell>
          <cell r="D4218">
            <v>5.3119500000000004</v>
          </cell>
        </row>
        <row r="4219">
          <cell r="C4219" t="str">
            <v>Almirall</v>
          </cell>
          <cell r="D4219">
            <v>8.5644100000000005</v>
          </cell>
        </row>
        <row r="4220">
          <cell r="C4220" t="str">
            <v>Perfect World Entertainment</v>
          </cell>
          <cell r="D4220">
            <v>23.06</v>
          </cell>
        </row>
        <row r="4221">
          <cell r="C4221" t="str">
            <v>Tiger Brands</v>
          </cell>
          <cell r="D4221">
            <v>6.8718500000000002</v>
          </cell>
        </row>
        <row r="4222">
          <cell r="C4222" t="str">
            <v>Zensar</v>
          </cell>
          <cell r="D4222">
            <v>4.4022600000000001</v>
          </cell>
        </row>
        <row r="4223">
          <cell r="C4223" t="str">
            <v>Webjet Limited</v>
          </cell>
          <cell r="D4223">
            <v>38.525500000000001</v>
          </cell>
        </row>
        <row r="4224">
          <cell r="C4224" t="str">
            <v>Granules India</v>
          </cell>
          <cell r="D4224">
            <v>37.82</v>
          </cell>
        </row>
        <row r="4225">
          <cell r="C4225" t="str">
            <v>Fortrea</v>
          </cell>
          <cell r="D4225">
            <v>29719</v>
          </cell>
        </row>
        <row r="4226">
          <cell r="C4226" t="str">
            <v>TODA corp</v>
          </cell>
          <cell r="D4226">
            <v>5.0288000000000004</v>
          </cell>
        </row>
        <row r="4227">
          <cell r="C4227" t="str">
            <v>Amot Investment</v>
          </cell>
          <cell r="D4227">
            <v>28.1419</v>
          </cell>
        </row>
        <row r="4228">
          <cell r="C4228" t="str">
            <v>Dermapharm</v>
          </cell>
          <cell r="D4228">
            <v>8.3597900000000003</v>
          </cell>
        </row>
        <row r="4229">
          <cell r="C4229" t="str">
            <v>Vera Therapeutics</v>
          </cell>
          <cell r="D4229">
            <v>11.47</v>
          </cell>
        </row>
        <row r="4230">
          <cell r="C4230" t="str">
            <v>Bombay Burmah</v>
          </cell>
          <cell r="D4230">
            <v>7.45167</v>
          </cell>
        </row>
        <row r="4231">
          <cell r="C4231" t="str">
            <v>BLS International</v>
          </cell>
          <cell r="D4231">
            <v>0.34134999999999999</v>
          </cell>
        </row>
        <row r="4232">
          <cell r="C4232" t="str">
            <v>Aperam</v>
          </cell>
          <cell r="D4232">
            <v>2.15</v>
          </cell>
        </row>
        <row r="4233">
          <cell r="C4233" t="str">
            <v>INFRONEER Holdings</v>
          </cell>
          <cell r="D4233">
            <v>1.3555900000000001</v>
          </cell>
        </row>
        <row r="4234">
          <cell r="C4234" t="str">
            <v>Talos Energy</v>
          </cell>
          <cell r="D4234">
            <v>2153.6</v>
          </cell>
        </row>
        <row r="4235">
          <cell r="C4235" t="str">
            <v>HBL Power Systems</v>
          </cell>
          <cell r="D4235">
            <v>36.799999999999997</v>
          </cell>
        </row>
        <row r="4236">
          <cell r="C4236" t="str">
            <v>Tianjin FAW</v>
          </cell>
          <cell r="D4236">
            <v>15.75</v>
          </cell>
        </row>
        <row r="4237">
          <cell r="C4237" t="str">
            <v>iQIYI</v>
          </cell>
          <cell r="D4237">
            <v>1.29169</v>
          </cell>
        </row>
        <row r="4238">
          <cell r="C4238" t="str">
            <v>SSI Securities Corporation</v>
          </cell>
          <cell r="D4238">
            <v>43.11</v>
          </cell>
        </row>
        <row r="4239">
          <cell r="C4239" t="str">
            <v>Zug Estates Holding</v>
          </cell>
          <cell r="D4239">
            <v>29.45</v>
          </cell>
        </row>
        <row r="4240">
          <cell r="C4240" t="str">
            <v>ODDITY Tech</v>
          </cell>
          <cell r="D4240">
            <v>4.2360300000000004</v>
          </cell>
        </row>
        <row r="4241">
          <cell r="C4241" t="str">
            <v>Extreme Networks</v>
          </cell>
          <cell r="D4241">
            <v>9.3699999999999992</v>
          </cell>
        </row>
        <row r="4242">
          <cell r="C4242" t="str">
            <v>Coats Group</v>
          </cell>
          <cell r="D4242">
            <v>0.47737099999999999</v>
          </cell>
        </row>
        <row r="4243">
          <cell r="C4243" t="str">
            <v>Mirum Pharmaceuticals</v>
          </cell>
          <cell r="D4243">
            <v>59.57</v>
          </cell>
        </row>
        <row r="4244">
          <cell r="C4244" t="str">
            <v>MillerKnoll</v>
          </cell>
          <cell r="D4244">
            <v>596883</v>
          </cell>
        </row>
        <row r="4245">
          <cell r="C4245" t="str">
            <v>nib holdings limited</v>
          </cell>
          <cell r="D4245">
            <v>16.079999999999998</v>
          </cell>
        </row>
        <row r="4246">
          <cell r="C4246" t="str">
            <v>Rush Street Interactive</v>
          </cell>
          <cell r="D4246">
            <v>2.0253899999999998</v>
          </cell>
        </row>
        <row r="4247">
          <cell r="C4247" t="str">
            <v>Oil &amp;amp; Gas Development Company</v>
          </cell>
          <cell r="D4247">
            <v>1.59</v>
          </cell>
        </row>
        <row r="4248">
          <cell r="C4248" t="str">
            <v>Banner Bank</v>
          </cell>
          <cell r="D4248">
            <v>44.48</v>
          </cell>
        </row>
        <row r="4249">
          <cell r="C4249" t="str">
            <v>Gelsenwasser</v>
          </cell>
          <cell r="D4249">
            <v>73.91</v>
          </cell>
        </row>
        <row r="4250">
          <cell r="C4250" t="str">
            <v>HighPeak Energy</v>
          </cell>
          <cell r="D4250">
            <v>35.979999999999997</v>
          </cell>
        </row>
        <row r="4251">
          <cell r="C4251" t="str">
            <v>Carabao Group</v>
          </cell>
          <cell r="D4251">
            <v>10.8378</v>
          </cell>
        </row>
        <row r="4252">
          <cell r="C4252" t="str">
            <v>Mandarin Oriental</v>
          </cell>
          <cell r="D4252">
            <v>20.37</v>
          </cell>
        </row>
        <row r="4253">
          <cell r="C4253" t="str">
            <v>Omnicell</v>
          </cell>
          <cell r="D4253">
            <v>1.3253299999999999</v>
          </cell>
        </row>
        <row r="4254">
          <cell r="C4254" t="str">
            <v>Stewart Information Services</v>
          </cell>
          <cell r="D4254">
            <v>1.0599400000000001</v>
          </cell>
        </row>
        <row r="4255">
          <cell r="C4255" t="str">
            <v>Harmony Biosciences</v>
          </cell>
          <cell r="D4255">
            <v>33.31</v>
          </cell>
        </row>
        <row r="4256">
          <cell r="C4256" t="str">
            <v>BFF Bank</v>
          </cell>
          <cell r="D4256">
            <v>16.04</v>
          </cell>
        </row>
        <row r="4257">
          <cell r="C4257" t="str">
            <v>Premier</v>
          </cell>
          <cell r="D4257">
            <v>5.62</v>
          </cell>
        </row>
        <row r="4258">
          <cell r="C4258" t="str">
            <v>Goodman Property Trust</v>
          </cell>
          <cell r="D4258">
            <v>688335</v>
          </cell>
        </row>
        <row r="4259">
          <cell r="C4259" t="str">
            <v>Gudang Garam</v>
          </cell>
          <cell r="D4259">
            <v>10.89</v>
          </cell>
        </row>
        <row r="4260">
          <cell r="C4260" t="str">
            <v>Trustmark</v>
          </cell>
          <cell r="D4260">
            <v>3.9792200000000002</v>
          </cell>
        </row>
        <row r="4261">
          <cell r="C4261" t="str">
            <v>MasterBrand</v>
          </cell>
          <cell r="D4261">
            <v>40.04</v>
          </cell>
        </row>
        <row r="4262">
          <cell r="C4262" t="str">
            <v>ReNew Power</v>
          </cell>
          <cell r="D4262">
            <v>2.27</v>
          </cell>
        </row>
        <row r="4263">
          <cell r="C4263" t="str">
            <v>Benefit Systems</v>
          </cell>
          <cell r="D4263">
            <v>90.29</v>
          </cell>
        </row>
        <row r="4264">
          <cell r="C4264" t="str">
            <v>Grosvenor Capital Management</v>
          </cell>
          <cell r="D4264">
            <v>36.39</v>
          </cell>
        </row>
        <row r="4265">
          <cell r="C4265" t="str">
            <v>NOS</v>
          </cell>
          <cell r="D4265">
            <v>26.67</v>
          </cell>
        </row>
        <row r="4266">
          <cell r="C4266" t="str">
            <v>Barnes Group</v>
          </cell>
          <cell r="D4266">
            <v>1.04786</v>
          </cell>
        </row>
        <row r="4267">
          <cell r="C4267" t="str">
            <v>Lufax</v>
          </cell>
          <cell r="D4267">
            <v>14.51</v>
          </cell>
        </row>
        <row r="4268">
          <cell r="C4268" t="str">
            <v>LeMaitre Vascular</v>
          </cell>
          <cell r="D4268">
            <v>15.7</v>
          </cell>
        </row>
        <row r="4269">
          <cell r="C4269" t="str">
            <v>Sapiens</v>
          </cell>
          <cell r="D4269">
            <v>7.9031700000000003</v>
          </cell>
        </row>
        <row r="4270">
          <cell r="C4270" t="str">
            <v>VEON</v>
          </cell>
          <cell r="D4270">
            <v>42.22</v>
          </cell>
        </row>
        <row r="4271">
          <cell r="C4271" t="str">
            <v>Sonae</v>
          </cell>
          <cell r="D4271">
            <v>29.68</v>
          </cell>
        </row>
        <row r="4272">
          <cell r="C4272" t="str">
            <v>TripAdvisor</v>
          </cell>
          <cell r="D4272">
            <v>25.87</v>
          </cell>
        </row>
        <row r="4273">
          <cell r="C4273" t="str">
            <v>ViaSat</v>
          </cell>
          <cell r="D4273">
            <v>35.49</v>
          </cell>
        </row>
        <row r="4274">
          <cell r="C4274" t="str">
            <v>Prodea Real Estate Investment Company</v>
          </cell>
          <cell r="D4274">
            <v>53.03</v>
          </cell>
        </row>
        <row r="4275">
          <cell r="C4275" t="str">
            <v>Madison Square Garden</v>
          </cell>
          <cell r="D4275">
            <v>16364</v>
          </cell>
        </row>
        <row r="4276">
          <cell r="C4276" t="str">
            <v>InvenTrust Properties</v>
          </cell>
          <cell r="D4276">
            <v>6.87</v>
          </cell>
        </row>
        <row r="4277">
          <cell r="C4277" t="str">
            <v>Kennametal</v>
          </cell>
          <cell r="D4277">
            <v>13.74</v>
          </cell>
        </row>
        <row r="4278">
          <cell r="C4278" t="str">
            <v>Veeco</v>
          </cell>
          <cell r="D4278">
            <v>1.79104</v>
          </cell>
        </row>
        <row r="4279">
          <cell r="C4279" t="str">
            <v>AMN Healthcare Services</v>
          </cell>
          <cell r="D4279">
            <v>47.854399999999998</v>
          </cell>
        </row>
        <row r="4280">
          <cell r="C4280" t="str">
            <v>Maple Leaf Foods</v>
          </cell>
          <cell r="D4280">
            <v>167.44</v>
          </cell>
        </row>
        <row r="4281">
          <cell r="C4281" t="str">
            <v>Lionsgate Studios</v>
          </cell>
          <cell r="D4281">
            <v>2.9977299999999998</v>
          </cell>
        </row>
        <row r="4282">
          <cell r="C4282" t="str">
            <v>Semrush</v>
          </cell>
          <cell r="D4282">
            <v>4.1919199999999996</v>
          </cell>
        </row>
        <row r="4283">
          <cell r="C4283" t="str">
            <v>SIA Engineering Company</v>
          </cell>
          <cell r="D4283">
            <v>13.49</v>
          </cell>
        </row>
        <row r="4284">
          <cell r="C4284" t="str">
            <v>Cogeco</v>
          </cell>
          <cell r="D4284">
            <v>0.88897800000000005</v>
          </cell>
        </row>
        <row r="4285">
          <cell r="C4285" t="str">
            <v>Powell Industries</v>
          </cell>
          <cell r="D4285">
            <v>2.0217900000000002</v>
          </cell>
        </row>
        <row r="4286">
          <cell r="C4286" t="str">
            <v>National Industrialization Company (Saudi Arabia)</v>
          </cell>
          <cell r="D4286">
            <v>0.16</v>
          </cell>
        </row>
        <row r="4287">
          <cell r="C4287" t="str">
            <v>Aker Solutions ASA</v>
          </cell>
          <cell r="D4287">
            <v>39.31</v>
          </cell>
        </row>
        <row r="4288">
          <cell r="C4288" t="str">
            <v>NCR Voyix Corporation</v>
          </cell>
          <cell r="D4288">
            <v>107.26</v>
          </cell>
        </row>
        <row r="4289">
          <cell r="C4289" t="str">
            <v>Vietnam Airlines</v>
          </cell>
          <cell r="D4289">
            <v>2.5099999999999998</v>
          </cell>
        </row>
        <row r="4290">
          <cell r="C4290" t="str">
            <v>ARYZTA AG</v>
          </cell>
          <cell r="D4290">
            <v>86.153199999999998</v>
          </cell>
        </row>
        <row r="4291">
          <cell r="C4291" t="str">
            <v>Abu Dhabi National Hotels</v>
          </cell>
          <cell r="D4291">
            <v>9.7588899999999992</v>
          </cell>
        </row>
        <row r="4292">
          <cell r="C4292" t="str">
            <v>The Cheesecake Factory</v>
          </cell>
          <cell r="D4292">
            <v>10.9094</v>
          </cell>
        </row>
        <row r="4293">
          <cell r="C4293" t="str">
            <v>Rogers Corporation</v>
          </cell>
          <cell r="D4293">
            <v>8.6199999999999992</v>
          </cell>
        </row>
        <row r="4294">
          <cell r="C4294" t="str">
            <v>New Gold</v>
          </cell>
          <cell r="D4294">
            <v>45.73</v>
          </cell>
        </row>
        <row r="4295">
          <cell r="C4295" t="str">
            <v>Aktieselskabet Schouw &amp; Co.</v>
          </cell>
          <cell r="D4295">
            <v>0.62</v>
          </cell>
        </row>
        <row r="4296">
          <cell r="C4296" t="str">
            <v>African Rainbow Minerals</v>
          </cell>
          <cell r="D4296">
            <v>0.65991</v>
          </cell>
        </row>
        <row r="4297">
          <cell r="C4297" t="str">
            <v>Crombie Real Estate Investment Trust</v>
          </cell>
          <cell r="D4297">
            <v>0.16645099999999999</v>
          </cell>
        </row>
        <row r="4298">
          <cell r="C4298" t="str">
            <v>Global Net Lease</v>
          </cell>
          <cell r="D4298">
            <v>12.69</v>
          </cell>
        </row>
        <row r="4299">
          <cell r="C4299" t="str">
            <v>Trupanion</v>
          </cell>
          <cell r="D4299">
            <v>19.940000000000001</v>
          </cell>
        </row>
        <row r="4300">
          <cell r="C4300" t="str">
            <v>Sharjah Islamic Bank</v>
          </cell>
          <cell r="D4300">
            <v>40.22</v>
          </cell>
        </row>
        <row r="4301">
          <cell r="C4301" t="str">
            <v>Osotspa</v>
          </cell>
          <cell r="D4301">
            <v>19.45</v>
          </cell>
        </row>
        <row r="4302">
          <cell r="C4302" t="str">
            <v>Land and Houses</v>
          </cell>
          <cell r="D4302">
            <v>22.49</v>
          </cell>
        </row>
        <row r="4303">
          <cell r="C4303" t="str">
            <v>O-I Glass</v>
          </cell>
          <cell r="D4303">
            <v>12.38</v>
          </cell>
        </row>
        <row r="4304">
          <cell r="C4304" t="str">
            <v>Zai Lab</v>
          </cell>
          <cell r="D4304">
            <v>352.72</v>
          </cell>
        </row>
        <row r="4305">
          <cell r="C4305" t="str">
            <v>Edgewell Personal Care</v>
          </cell>
          <cell r="D4305">
            <v>6.6247100000000003</v>
          </cell>
        </row>
        <row r="4306">
          <cell r="C4306" t="str">
            <v>TTM Technologies</v>
          </cell>
          <cell r="D4306">
            <v>15.29</v>
          </cell>
        </row>
        <row r="4307">
          <cell r="C4307" t="str">
            <v>Patterson Companies</v>
          </cell>
          <cell r="D4307">
            <v>46.76</v>
          </cell>
        </row>
        <row r="4308">
          <cell r="C4308" t="str">
            <v>Novavax</v>
          </cell>
          <cell r="D4308">
            <v>10.71</v>
          </cell>
        </row>
        <row r="4309">
          <cell r="C4309" t="str">
            <v>Cable One</v>
          </cell>
          <cell r="D4309">
            <v>0.82555199999999995</v>
          </cell>
        </row>
        <row r="4310">
          <cell r="C4310" t="str">
            <v>Paladin Energy</v>
          </cell>
          <cell r="D4310">
            <v>7.7345800000000002</v>
          </cell>
        </row>
        <row r="4311">
          <cell r="C4311" t="str">
            <v>Retail Opportunity Investments</v>
          </cell>
          <cell r="D4311">
            <v>52.91</v>
          </cell>
        </row>
        <row r="4312">
          <cell r="C4312" t="str">
            <v>PROG Holdings</v>
          </cell>
          <cell r="D4312">
            <v>41.892299999999999</v>
          </cell>
        </row>
        <row r="4313">
          <cell r="C4313" t="str">
            <v>EverCommerce</v>
          </cell>
          <cell r="D4313">
            <v>16.75</v>
          </cell>
        </row>
        <row r="4314">
          <cell r="C4314" t="str">
            <v>De Grey Mining</v>
          </cell>
          <cell r="D4314">
            <v>21.24</v>
          </cell>
        </row>
        <row r="4315">
          <cell r="C4315" t="str">
            <v>OPC Energy</v>
          </cell>
          <cell r="D4315">
            <v>22.62</v>
          </cell>
        </row>
        <row r="4316">
          <cell r="C4316" t="str">
            <v>Enterprise Financial Services Corp</v>
          </cell>
          <cell r="D4316">
            <v>52.282499999999999</v>
          </cell>
        </row>
        <row r="4317">
          <cell r="C4317" t="str">
            <v>RHI Magnesita</v>
          </cell>
          <cell r="D4317">
            <v>294737</v>
          </cell>
        </row>
        <row r="4318">
          <cell r="C4318" t="str">
            <v>Enlight Renewable Energy</v>
          </cell>
          <cell r="D4318">
            <v>255961</v>
          </cell>
        </row>
        <row r="4319">
          <cell r="C4319" t="str">
            <v>Sixth Street Specialty Lending</v>
          </cell>
          <cell r="D4319">
            <v>12.25</v>
          </cell>
        </row>
        <row r="4320">
          <cell r="C4320" t="str">
            <v>Adient</v>
          </cell>
          <cell r="D4320">
            <v>89.59</v>
          </cell>
        </row>
        <row r="4321">
          <cell r="C4321" t="str">
            <v>Bilfinger</v>
          </cell>
          <cell r="D4321">
            <v>0.46252700000000002</v>
          </cell>
        </row>
        <row r="4322">
          <cell r="C4322" t="str">
            <v>Hypoport</v>
          </cell>
          <cell r="D4322">
            <v>2.6207799999999999</v>
          </cell>
        </row>
        <row r="4323">
          <cell r="C4323" t="str">
            <v>Bossard Holding</v>
          </cell>
          <cell r="D4323">
            <v>893114</v>
          </cell>
        </row>
        <row r="4324">
          <cell r="C4324" t="str">
            <v>Certara</v>
          </cell>
          <cell r="D4324">
            <v>27.279800000000002</v>
          </cell>
        </row>
        <row r="4325">
          <cell r="C4325" t="str">
            <v>MGP Ingredients</v>
          </cell>
          <cell r="D4325">
            <v>31.55</v>
          </cell>
        </row>
        <row r="4326">
          <cell r="C4326" t="str">
            <v>Thai Union Group</v>
          </cell>
          <cell r="D4326">
            <v>110.44</v>
          </cell>
        </row>
        <row r="4327">
          <cell r="C4327" t="str">
            <v>Omantel (Oman Telecom)</v>
          </cell>
          <cell r="D4327">
            <v>4.5097800000000001</v>
          </cell>
        </row>
        <row r="4328">
          <cell r="C4328" t="str">
            <v>Robertet</v>
          </cell>
          <cell r="D4328">
            <v>9.4641699999999993</v>
          </cell>
        </row>
        <row r="4329">
          <cell r="C4329" t="str">
            <v>G-bits Network Technology</v>
          </cell>
          <cell r="D4329">
            <v>34.39</v>
          </cell>
        </row>
        <row r="4330">
          <cell r="C4330" t="str">
            <v>Verint Systems</v>
          </cell>
          <cell r="D4330">
            <v>83.98</v>
          </cell>
        </row>
        <row r="4331">
          <cell r="C4331" t="str">
            <v>Huron Consulting</v>
          </cell>
          <cell r="D4331">
            <v>53.99</v>
          </cell>
        </row>
        <row r="4332">
          <cell r="C4332" t="str">
            <v>NH Hotel Group</v>
          </cell>
          <cell r="D4332">
            <v>25.699100000000001</v>
          </cell>
        </row>
        <row r="4333">
          <cell r="C4333" t="str">
            <v>NuVista Energy</v>
          </cell>
          <cell r="D4333">
            <v>63.719200000000001</v>
          </cell>
        </row>
        <row r="4334">
          <cell r="C4334" t="str">
            <v>JOYY</v>
          </cell>
          <cell r="D4334">
            <v>200807</v>
          </cell>
        </row>
        <row r="4335">
          <cell r="C4335" t="str">
            <v>Triumph Financial</v>
          </cell>
          <cell r="D4335">
            <v>0.89853899999999998</v>
          </cell>
        </row>
        <row r="4336">
          <cell r="C4336" t="str">
            <v>PAR Technology</v>
          </cell>
          <cell r="D4336">
            <v>31.686299999999999</v>
          </cell>
        </row>
        <row r="4337">
          <cell r="C4337" t="str">
            <v>Deutsche EuroShop</v>
          </cell>
          <cell r="D4337">
            <v>0.57202399999999998</v>
          </cell>
        </row>
        <row r="4338">
          <cell r="C4338" t="str">
            <v>Fine Organics</v>
          </cell>
          <cell r="D4338">
            <v>9.9499999999999993</v>
          </cell>
        </row>
        <row r="4339">
          <cell r="C4339" t="str">
            <v>Grupa Kety</v>
          </cell>
          <cell r="D4339">
            <v>12.88</v>
          </cell>
        </row>
        <row r="4340">
          <cell r="C4340" t="str">
            <v>Ratch Group</v>
          </cell>
          <cell r="D4340">
            <v>0.34972500000000001</v>
          </cell>
        </row>
        <row r="4341">
          <cell r="C4341" t="str">
            <v>Fila</v>
          </cell>
          <cell r="D4341">
            <v>69.179199999999994</v>
          </cell>
        </row>
        <row r="4342">
          <cell r="C4342" t="str">
            <v>Hartalega</v>
          </cell>
          <cell r="D4342">
            <v>8.06</v>
          </cell>
        </row>
        <row r="4343">
          <cell r="C4343" t="str">
            <v>Hillman Solutions</v>
          </cell>
          <cell r="D4343">
            <v>916703</v>
          </cell>
        </row>
        <row r="4344">
          <cell r="C4344" t="str">
            <v>Lightspeed POS</v>
          </cell>
          <cell r="D4344">
            <v>13.79</v>
          </cell>
        </row>
        <row r="4345">
          <cell r="C4345" t="str">
            <v>Qatar Aluminium Manufacturing Company</v>
          </cell>
          <cell r="D4345">
            <v>3.5403500000000001</v>
          </cell>
        </row>
        <row r="4346">
          <cell r="C4346" t="str">
            <v>4imprint Group</v>
          </cell>
          <cell r="D4346">
            <v>0.68503599999999998</v>
          </cell>
        </row>
        <row r="4347">
          <cell r="C4347" t="str">
            <v>Ghitha</v>
          </cell>
          <cell r="D4347">
            <v>41.29</v>
          </cell>
        </row>
        <row r="4348">
          <cell r="C4348" t="str">
            <v>AEON REIT Investment</v>
          </cell>
          <cell r="D4348">
            <v>2.0571100000000002</v>
          </cell>
        </row>
        <row r="4349">
          <cell r="C4349" t="str">
            <v>Magnite</v>
          </cell>
          <cell r="D4349">
            <v>14.48</v>
          </cell>
        </row>
        <row r="4350">
          <cell r="C4350" t="str">
            <v>Energix Renewable Energies</v>
          </cell>
          <cell r="D4350">
            <v>45.871600000000001</v>
          </cell>
        </row>
        <row r="4351">
          <cell r="C4351" t="str">
            <v>Paragon REIT</v>
          </cell>
          <cell r="D4351">
            <v>35.159999999999997</v>
          </cell>
        </row>
        <row r="4352">
          <cell r="C4352" t="str">
            <v>Delek Logistics Partners</v>
          </cell>
          <cell r="D4352">
            <v>13.87</v>
          </cell>
        </row>
        <row r="4353">
          <cell r="C4353" t="str">
            <v>Westgold Resources Limited</v>
          </cell>
          <cell r="D4353">
            <v>4.7209700000000003</v>
          </cell>
        </row>
        <row r="4354">
          <cell r="C4354" t="str">
            <v>Fairfax India Holdings</v>
          </cell>
          <cell r="D4354">
            <v>42.99</v>
          </cell>
        </row>
        <row r="4355">
          <cell r="C4355" t="str">
            <v>Van Lanschot Kempen</v>
          </cell>
          <cell r="D4355">
            <v>66.66</v>
          </cell>
        </row>
        <row r="4356">
          <cell r="C4356" t="str">
            <v>Supernus Pharmaceuticals</v>
          </cell>
          <cell r="D4356">
            <v>10.1691</v>
          </cell>
        </row>
        <row r="4357">
          <cell r="C4357" t="str">
            <v>Geo Group</v>
          </cell>
          <cell r="D4357">
            <v>105.8</v>
          </cell>
        </row>
        <row r="4358">
          <cell r="C4358" t="str">
            <v>China Gold International Resources</v>
          </cell>
          <cell r="D4358">
            <v>0.59175800000000001</v>
          </cell>
        </row>
        <row r="4359">
          <cell r="C4359" t="str">
            <v>Live Oak Bank</v>
          </cell>
          <cell r="D4359">
            <v>1.34711</v>
          </cell>
        </row>
        <row r="4360">
          <cell r="C4360" t="str">
            <v>Donnelley Financial Solutions</v>
          </cell>
          <cell r="D4360">
            <v>0.84585200000000005</v>
          </cell>
        </row>
        <row r="4361">
          <cell r="C4361" t="str">
            <v>Cenergy Holdings</v>
          </cell>
          <cell r="D4361">
            <v>58.99</v>
          </cell>
        </row>
        <row r="4362">
          <cell r="C4362" t="str">
            <v>Ligand Pharmaceuticals</v>
          </cell>
          <cell r="D4362">
            <v>1.21621</v>
          </cell>
        </row>
        <row r="4363">
          <cell r="C4363" t="str">
            <v>Qatar Insurance Company</v>
          </cell>
          <cell r="D4363">
            <v>17.464400000000001</v>
          </cell>
        </row>
        <row r="4364">
          <cell r="C4364" t="str">
            <v>Singapore Land</v>
          </cell>
          <cell r="D4364">
            <v>20.110499999999998</v>
          </cell>
        </row>
        <row r="4365">
          <cell r="C4365" t="str">
            <v>Beach Energy</v>
          </cell>
          <cell r="D4365">
            <v>2.16858</v>
          </cell>
        </row>
        <row r="4366">
          <cell r="C4366" t="str">
            <v>SJW Group</v>
          </cell>
          <cell r="D4366">
            <v>306564</v>
          </cell>
        </row>
        <row r="4367">
          <cell r="C4367" t="str">
            <v>Hays plc</v>
          </cell>
          <cell r="D4367">
            <v>53.019399999999997</v>
          </cell>
        </row>
        <row r="4368">
          <cell r="C4368" t="str">
            <v>Ramsay Générale de Santé</v>
          </cell>
          <cell r="D4368">
            <v>73.08</v>
          </cell>
        </row>
        <row r="4369">
          <cell r="C4369" t="str">
            <v>Gamma Communications</v>
          </cell>
          <cell r="D4369">
            <v>32.21</v>
          </cell>
        </row>
        <row r="4370">
          <cell r="C4370" t="str">
            <v>Ninety One Group</v>
          </cell>
          <cell r="D4370">
            <v>29.12</v>
          </cell>
        </row>
        <row r="4371">
          <cell r="C4371" t="str">
            <v>Bell Food Group</v>
          </cell>
          <cell r="D4371">
            <v>5.26694</v>
          </cell>
        </row>
        <row r="4372">
          <cell r="C4372" t="str">
            <v>Vaisala</v>
          </cell>
          <cell r="D4372">
            <v>149107</v>
          </cell>
        </row>
        <row r="4373">
          <cell r="C4373" t="str">
            <v>PC Connection</v>
          </cell>
          <cell r="D4373">
            <v>11.27</v>
          </cell>
        </row>
        <row r="4374">
          <cell r="C4374" t="str">
            <v>WesBanco</v>
          </cell>
          <cell r="D4374">
            <v>8.61</v>
          </cell>
        </row>
        <row r="4375">
          <cell r="C4375" t="str">
            <v>Galapagos NV</v>
          </cell>
          <cell r="D4375">
            <v>26.74</v>
          </cell>
        </row>
        <row r="4376">
          <cell r="C4376" t="str">
            <v>Metro AG</v>
          </cell>
          <cell r="D4376">
            <v>16.805099999999999</v>
          </cell>
        </row>
        <row r="4377">
          <cell r="C4377" t="str">
            <v>Neuland Laboratories</v>
          </cell>
          <cell r="D4377">
            <v>11.8949</v>
          </cell>
        </row>
        <row r="4378">
          <cell r="C4378" t="str">
            <v>Krispy Kreme</v>
          </cell>
          <cell r="D4378">
            <v>56.88</v>
          </cell>
        </row>
        <row r="4379">
          <cell r="C4379" t="str">
            <v>VIAVI Solutions</v>
          </cell>
          <cell r="D4379">
            <v>48.95</v>
          </cell>
        </row>
        <row r="4380">
          <cell r="C4380" t="str">
            <v>Kiniksa Pharmaceuticals</v>
          </cell>
          <cell r="D4380">
            <v>10475</v>
          </cell>
        </row>
        <row r="4381">
          <cell r="C4381" t="str">
            <v>Kokuyo</v>
          </cell>
          <cell r="D4381">
            <v>36.659999999999997</v>
          </cell>
        </row>
        <row r="4382">
          <cell r="C4382" t="str">
            <v>Al Hammadi Holding Company</v>
          </cell>
          <cell r="D4382">
            <v>5.7061500000000001</v>
          </cell>
        </row>
        <row r="4383">
          <cell r="C4383" t="str">
            <v>Teekay Tankers</v>
          </cell>
          <cell r="D4383">
            <v>24.2699</v>
          </cell>
        </row>
        <row r="4384">
          <cell r="C4384" t="str">
            <v>Soleno Therapeutics</v>
          </cell>
          <cell r="D4384">
            <v>7.19</v>
          </cell>
        </row>
        <row r="4385">
          <cell r="C4385" t="str">
            <v>Codan Limited</v>
          </cell>
          <cell r="D4385">
            <v>1.3004500000000001</v>
          </cell>
        </row>
        <row r="4386">
          <cell r="C4386" t="str">
            <v>Smith Douglas Homes</v>
          </cell>
          <cell r="D4386">
            <v>19.78</v>
          </cell>
        </row>
        <row r="4387">
          <cell r="C4387" t="str">
            <v>AVI Limited</v>
          </cell>
          <cell r="D4387">
            <v>27.2</v>
          </cell>
        </row>
        <row r="4388">
          <cell r="C4388" t="str">
            <v>Budget Saudi (United International Transportation Company)</v>
          </cell>
          <cell r="D4388">
            <v>133268</v>
          </cell>
        </row>
        <row r="4389">
          <cell r="C4389" t="str">
            <v>Stagwell</v>
          </cell>
          <cell r="D4389">
            <v>1.6962299999999999</v>
          </cell>
        </row>
        <row r="4390">
          <cell r="C4390" t="str">
            <v>ZhongAn Insurance</v>
          </cell>
          <cell r="D4390">
            <v>45.300400000000003</v>
          </cell>
        </row>
        <row r="4391">
          <cell r="C4391" t="str">
            <v>PagerDuty</v>
          </cell>
          <cell r="D4391">
            <v>0.144346</v>
          </cell>
        </row>
        <row r="4392">
          <cell r="C4392" t="str">
            <v>Akero Therapeutics</v>
          </cell>
          <cell r="D4392">
            <v>11.76</v>
          </cell>
        </row>
        <row r="4393">
          <cell r="C4393" t="str">
            <v>Inter Cars</v>
          </cell>
          <cell r="D4393">
            <v>8.9145599999999998</v>
          </cell>
        </row>
        <row r="4394">
          <cell r="C4394" t="str">
            <v>Electrical Industries Company (EIC)</v>
          </cell>
          <cell r="D4394">
            <v>17.329999999999998</v>
          </cell>
        </row>
        <row r="4395">
          <cell r="C4395" t="str">
            <v>BEML</v>
          </cell>
          <cell r="D4395">
            <v>2.4073600000000002</v>
          </cell>
        </row>
        <row r="4396">
          <cell r="C4396" t="str">
            <v>XL Axiata</v>
          </cell>
          <cell r="D4396">
            <v>11.63</v>
          </cell>
        </row>
        <row r="4397">
          <cell r="C4397" t="str">
            <v>eXp World Holdings</v>
          </cell>
          <cell r="D4397">
            <v>8.0289099999999998</v>
          </cell>
        </row>
        <row r="4398">
          <cell r="C4398" t="str">
            <v>TF1</v>
          </cell>
          <cell r="D4398">
            <v>81.207400000000007</v>
          </cell>
        </row>
        <row r="4399">
          <cell r="C4399" t="str">
            <v>OPENLANE Corporate</v>
          </cell>
          <cell r="D4399">
            <v>101443</v>
          </cell>
        </row>
        <row r="4400">
          <cell r="C4400" t="str">
            <v>Redington India</v>
          </cell>
          <cell r="D4400">
            <v>16.057300000000001</v>
          </cell>
        </row>
        <row r="4401">
          <cell r="C4401" t="str">
            <v>Integral Ad Science</v>
          </cell>
          <cell r="D4401">
            <v>1.91</v>
          </cell>
        </row>
        <row r="4402">
          <cell r="C4402" t="str">
            <v>sterling &amp;amp; wilson solar</v>
          </cell>
          <cell r="D4402">
            <v>4.37</v>
          </cell>
        </row>
        <row r="4403">
          <cell r="C4403" t="str">
            <v>Sanofi India Limited</v>
          </cell>
          <cell r="D4403">
            <v>3006.65</v>
          </cell>
        </row>
        <row r="4404">
          <cell r="C4404" t="str">
            <v>Huber+Suhner</v>
          </cell>
          <cell r="D4404">
            <v>31.97</v>
          </cell>
        </row>
        <row r="4405">
          <cell r="C4405" t="str">
            <v>Strauss Group</v>
          </cell>
          <cell r="D4405">
            <v>7.7450599999999996</v>
          </cell>
        </row>
        <row r="4406">
          <cell r="C4406" t="str">
            <v>Welspun India</v>
          </cell>
          <cell r="D4406">
            <v>4.0509899999999996</v>
          </cell>
        </row>
        <row r="4407">
          <cell r="C4407" t="str">
            <v>Embla Medical</v>
          </cell>
          <cell r="D4407">
            <v>18.940000000000001</v>
          </cell>
        </row>
        <row r="4408">
          <cell r="C4408" t="str">
            <v>Mitsui Fudosan Logistics Park</v>
          </cell>
          <cell r="D4408">
            <v>18.601400000000002</v>
          </cell>
        </row>
        <row r="4409">
          <cell r="C4409" t="str">
            <v>Endava</v>
          </cell>
          <cell r="D4409">
            <v>14834</v>
          </cell>
        </row>
        <row r="4410">
          <cell r="C4410" t="str">
            <v>RITES</v>
          </cell>
          <cell r="D4410">
            <v>8.8000000000000007</v>
          </cell>
        </row>
        <row r="4411">
          <cell r="C4411" t="str">
            <v>Pets at Home</v>
          </cell>
          <cell r="D4411">
            <v>40.265300000000003</v>
          </cell>
        </row>
        <row r="4412">
          <cell r="C4412" t="str">
            <v>Grocery Outlet</v>
          </cell>
          <cell r="D4412">
            <v>24.3232</v>
          </cell>
        </row>
        <row r="4413">
          <cell r="C4413" t="str">
            <v>Borregaard</v>
          </cell>
          <cell r="D4413">
            <v>16.93</v>
          </cell>
        </row>
        <row r="4414">
          <cell r="C4414" t="str">
            <v>Minera Valparaíso</v>
          </cell>
          <cell r="D4414">
            <v>2.6013500000000001</v>
          </cell>
        </row>
        <row r="4415">
          <cell r="C4415" t="str">
            <v>Arcos Dorados Holdings</v>
          </cell>
          <cell r="D4415">
            <v>14.07</v>
          </cell>
        </row>
        <row r="4416">
          <cell r="C4416" t="str">
            <v>Altus Group</v>
          </cell>
          <cell r="D4416">
            <v>10.06</v>
          </cell>
        </row>
        <row r="4417">
          <cell r="C4417" t="str">
            <v>United Electronics Company (eXtra Saudi)</v>
          </cell>
          <cell r="D4417">
            <v>23.300699999999999</v>
          </cell>
        </row>
        <row r="4418">
          <cell r="C4418" t="str">
            <v>Navient</v>
          </cell>
          <cell r="D4418">
            <v>20314</v>
          </cell>
        </row>
        <row r="4419">
          <cell r="C4419" t="str">
            <v>OceanaGold</v>
          </cell>
          <cell r="D4419">
            <v>9.4700000000000006</v>
          </cell>
        </row>
        <row r="4420">
          <cell r="C4420" t="str">
            <v>Vestis</v>
          </cell>
          <cell r="D4420">
            <v>97.67</v>
          </cell>
        </row>
        <row r="4421">
          <cell r="C4421" t="str">
            <v>Topgolf Callaway Brands</v>
          </cell>
          <cell r="D4421">
            <v>15156</v>
          </cell>
        </row>
        <row r="4422">
          <cell r="C4422" t="str">
            <v>Net One Systems</v>
          </cell>
          <cell r="D4422">
            <v>4.2821899999999999</v>
          </cell>
        </row>
        <row r="4423">
          <cell r="C4423" t="str">
            <v>Domino's Pizza Enterprises (Australia)</v>
          </cell>
          <cell r="D4423">
            <v>670465</v>
          </cell>
        </row>
        <row r="4424">
          <cell r="C4424" t="str">
            <v>Liberty Latin America</v>
          </cell>
          <cell r="D4424">
            <v>11.5</v>
          </cell>
        </row>
        <row r="4425">
          <cell r="C4425" t="str">
            <v>Tennant Company</v>
          </cell>
          <cell r="D4425">
            <v>7.5649699999999998</v>
          </cell>
        </row>
        <row r="4426">
          <cell r="C4426" t="str">
            <v>International Petroleum</v>
          </cell>
          <cell r="D4426">
            <v>9.14</v>
          </cell>
        </row>
        <row r="4427">
          <cell r="C4427" t="str">
            <v>WIN Semiconductors</v>
          </cell>
          <cell r="D4427">
            <v>2.1411500000000001</v>
          </cell>
        </row>
        <row r="4428">
          <cell r="C4428" t="str">
            <v>Philip Morris ČR</v>
          </cell>
          <cell r="D4428">
            <v>5.65585</v>
          </cell>
        </row>
        <row r="4429">
          <cell r="C4429" t="str">
            <v>Neumora Therapeutics</v>
          </cell>
          <cell r="D4429">
            <v>23.46</v>
          </cell>
        </row>
        <row r="4430">
          <cell r="C4430" t="str">
            <v>Asahi India Glass</v>
          </cell>
          <cell r="D4430">
            <v>19.32</v>
          </cell>
        </row>
        <row r="4431">
          <cell r="C4431" t="str">
            <v>Central Puerto</v>
          </cell>
          <cell r="D4431">
            <v>167127</v>
          </cell>
        </row>
        <row r="4432">
          <cell r="C4432" t="str">
            <v>Megacable Holdings</v>
          </cell>
          <cell r="D4432">
            <v>116153</v>
          </cell>
        </row>
        <row r="4433">
          <cell r="C4433" t="str">
            <v>OC Oerlikon</v>
          </cell>
          <cell r="D4433">
            <v>15.3965</v>
          </cell>
        </row>
        <row r="4434">
          <cell r="C4434" t="str">
            <v>Victoria's Secret &amp;amp; Co</v>
          </cell>
          <cell r="D4434">
            <v>21.55</v>
          </cell>
        </row>
        <row r="4435">
          <cell r="C4435" t="str">
            <v>Mach Natural Resources LP</v>
          </cell>
          <cell r="D4435">
            <v>8.7899999999999991</v>
          </cell>
        </row>
        <row r="4436">
          <cell r="C4436" t="str">
            <v>DO &amp;amp; CO Aktiengesellschaft</v>
          </cell>
          <cell r="D4436">
            <v>14.5184</v>
          </cell>
        </row>
        <row r="4437">
          <cell r="C4437" t="str">
            <v>Valiant Holding</v>
          </cell>
          <cell r="D4437">
            <v>8.35</v>
          </cell>
        </row>
        <row r="4438">
          <cell r="C4438" t="str">
            <v>Action Construction Equipment</v>
          </cell>
          <cell r="D4438">
            <v>172288</v>
          </cell>
        </row>
        <row r="4439">
          <cell r="C4439" t="str">
            <v>Fusion Pharmaceuticals</v>
          </cell>
          <cell r="D4439">
            <v>33.299999999999997</v>
          </cell>
        </row>
        <row r="4440">
          <cell r="C4440" t="str">
            <v>Diamondrock Hospitality Company</v>
          </cell>
          <cell r="D4440">
            <v>7.9903700000000004</v>
          </cell>
        </row>
        <row r="4441">
          <cell r="C4441" t="str">
            <v>Kainos Group</v>
          </cell>
          <cell r="D4441">
            <v>31.1</v>
          </cell>
        </row>
        <row r="4442">
          <cell r="C4442" t="str">
            <v>Garrett Motion</v>
          </cell>
          <cell r="D4442">
            <v>7.48</v>
          </cell>
        </row>
        <row r="4443">
          <cell r="C4443" t="str">
            <v>TX Group</v>
          </cell>
          <cell r="D4443">
            <v>4.57667</v>
          </cell>
        </row>
        <row r="4444">
          <cell r="C4444" t="str">
            <v>Upbound Group</v>
          </cell>
          <cell r="D4444">
            <v>499.98</v>
          </cell>
        </row>
        <row r="4445">
          <cell r="C4445" t="str">
            <v>CASIO</v>
          </cell>
          <cell r="D4445">
            <v>67.58</v>
          </cell>
        </row>
        <row r="4446">
          <cell r="C4446" t="str">
            <v>Sprout Social</v>
          </cell>
          <cell r="D4446">
            <v>19736</v>
          </cell>
        </row>
        <row r="4447">
          <cell r="C4447" t="str">
            <v>Weibo</v>
          </cell>
          <cell r="D4447">
            <v>10.74</v>
          </cell>
        </row>
        <row r="4448">
          <cell r="C4448" t="str">
            <v>Sumitomo Pharma</v>
          </cell>
          <cell r="D4448">
            <v>14.037800000000001</v>
          </cell>
        </row>
        <row r="4449">
          <cell r="C4449" t="str">
            <v>National Western Life</v>
          </cell>
          <cell r="D4449">
            <v>2.4</v>
          </cell>
        </row>
        <row r="4450">
          <cell r="C4450" t="str">
            <v>Weis Markets</v>
          </cell>
          <cell r="D4450">
            <v>17.511399999999998</v>
          </cell>
        </row>
        <row r="4451">
          <cell r="C4451" t="str">
            <v>Middle East Healthcare Company</v>
          </cell>
          <cell r="D4451">
            <v>1.7035</v>
          </cell>
        </row>
        <row r="4452">
          <cell r="C4452" t="str">
            <v>Kayne Anderson Capital Advisors</v>
          </cell>
          <cell r="D4452">
            <v>8.9611300000000007</v>
          </cell>
        </row>
        <row r="4453">
          <cell r="C4453" t="str">
            <v>Applus Services</v>
          </cell>
          <cell r="D4453">
            <v>0.26696700000000001</v>
          </cell>
        </row>
        <row r="4454">
          <cell r="C4454" t="str">
            <v>ProKidney</v>
          </cell>
          <cell r="D4454">
            <v>1.2038599999999999</v>
          </cell>
        </row>
        <row r="4455">
          <cell r="C4455" t="str">
            <v>Wizz Air</v>
          </cell>
          <cell r="D4455">
            <v>19.365500000000001</v>
          </cell>
        </row>
        <row r="4456">
          <cell r="C4456" t="str">
            <v>Yulon Motor Company</v>
          </cell>
          <cell r="D4456">
            <v>5.6040700000000001</v>
          </cell>
        </row>
        <row r="4457">
          <cell r="C4457" t="str">
            <v>Austevoll Seafood</v>
          </cell>
          <cell r="D4457">
            <v>12.888199999999999</v>
          </cell>
        </row>
        <row r="4458">
          <cell r="C4458" t="str">
            <v>Redefine Properties</v>
          </cell>
          <cell r="D4458">
            <v>30.1205</v>
          </cell>
        </row>
        <row r="4459">
          <cell r="C4459" t="str">
            <v>MMTC</v>
          </cell>
          <cell r="D4459">
            <v>4.6416399999999998</v>
          </cell>
        </row>
        <row r="4460">
          <cell r="C4460" t="str">
            <v>Gek Terna</v>
          </cell>
          <cell r="D4460">
            <v>14.7706</v>
          </cell>
        </row>
        <row r="4461">
          <cell r="C4461" t="str">
            <v>Fincantieri</v>
          </cell>
          <cell r="D4461">
            <v>53.279200000000003</v>
          </cell>
        </row>
        <row r="4462">
          <cell r="C4462" t="str">
            <v>Allied Properties REIT</v>
          </cell>
          <cell r="D4462">
            <v>8.69</v>
          </cell>
        </row>
        <row r="4463">
          <cell r="C4463" t="str">
            <v>Northern Data AG</v>
          </cell>
          <cell r="D4463">
            <v>87.211200000000005</v>
          </cell>
        </row>
        <row r="4464">
          <cell r="C4464" t="str">
            <v>Formosa Sumco Technology</v>
          </cell>
          <cell r="D4464">
            <v>26.16</v>
          </cell>
        </row>
        <row r="4465">
          <cell r="C4465" t="str">
            <v>Killam Apartment REIT</v>
          </cell>
          <cell r="D4465">
            <v>35.880000000000003</v>
          </cell>
        </row>
        <row r="4466">
          <cell r="C4466" t="str">
            <v>Amber Enterprises India</v>
          </cell>
          <cell r="D4466">
            <v>56.372300000000003</v>
          </cell>
        </row>
        <row r="4467">
          <cell r="C4467" t="str">
            <v>BioCryst Pharmaceuticals</v>
          </cell>
          <cell r="D4467">
            <v>14.92</v>
          </cell>
        </row>
        <row r="4468">
          <cell r="C4468" t="str">
            <v>Montea Comm</v>
          </cell>
          <cell r="D4468">
            <v>25.1524</v>
          </cell>
        </row>
        <row r="4469">
          <cell r="C4469" t="str">
            <v>Arvinas</v>
          </cell>
          <cell r="D4469">
            <v>4.41723</v>
          </cell>
        </row>
        <row r="4470">
          <cell r="C4470" t="str">
            <v>Immunocore</v>
          </cell>
          <cell r="D4470">
            <v>25.06</v>
          </cell>
        </row>
        <row r="4471">
          <cell r="C4471" t="str">
            <v>Hornbach Baumarkt</v>
          </cell>
          <cell r="D4471">
            <v>56.65</v>
          </cell>
        </row>
        <row r="4472">
          <cell r="C4472" t="str">
            <v>Warby Parker</v>
          </cell>
          <cell r="D4472">
            <v>35.4</v>
          </cell>
        </row>
        <row r="4473">
          <cell r="C4473" t="str">
            <v>Sparkassen Immobilien</v>
          </cell>
          <cell r="D4473">
            <v>4.1683599999999998</v>
          </cell>
        </row>
        <row r="4474">
          <cell r="C4474" t="str">
            <v>Great Portland Estates</v>
          </cell>
          <cell r="D4474">
            <v>60.6</v>
          </cell>
        </row>
        <row r="4475">
          <cell r="C4475" t="str">
            <v>Safehold</v>
          </cell>
          <cell r="D4475">
            <v>17.54</v>
          </cell>
        </row>
        <row r="4476">
          <cell r="C4476" t="str">
            <v>V2X</v>
          </cell>
          <cell r="D4476">
            <v>1.5293000000000001</v>
          </cell>
        </row>
        <row r="4477">
          <cell r="C4477" t="str">
            <v>Worthington Steel</v>
          </cell>
          <cell r="D4477">
            <v>2.22634</v>
          </cell>
        </row>
        <row r="4478">
          <cell r="C4478" t="str">
            <v>Iluka Resources</v>
          </cell>
          <cell r="D4478">
            <v>31.0379</v>
          </cell>
        </row>
        <row r="4479">
          <cell r="C4479" t="str">
            <v>Stock Yards Bancorp</v>
          </cell>
          <cell r="D4479">
            <v>0.85261900000000002</v>
          </cell>
        </row>
        <row r="4480">
          <cell r="C4480" t="str">
            <v>Veris Residential</v>
          </cell>
          <cell r="D4480">
            <v>18.063300000000002</v>
          </cell>
        </row>
        <row r="4481">
          <cell r="C4481" t="str">
            <v>Region Group</v>
          </cell>
          <cell r="D4481">
            <v>3.5471400000000002</v>
          </cell>
        </row>
        <row r="4482">
          <cell r="C4482" t="str">
            <v>SSP Group</v>
          </cell>
          <cell r="D4482">
            <v>0.54713199999999995</v>
          </cell>
        </row>
        <row r="4483">
          <cell r="C4483" t="str">
            <v>Jenoptik</v>
          </cell>
          <cell r="D4483">
            <v>13.85</v>
          </cell>
        </row>
        <row r="4484">
          <cell r="C4484" t="str">
            <v>HomeCo Daily Needs REIT</v>
          </cell>
          <cell r="D4484">
            <v>11.52</v>
          </cell>
        </row>
        <row r="4485">
          <cell r="C4485" t="str">
            <v>PVR INOX</v>
          </cell>
          <cell r="D4485">
            <v>17.22</v>
          </cell>
        </row>
        <row r="4486">
          <cell r="C4486" t="str">
            <v>Retal Urban Development Company</v>
          </cell>
          <cell r="D4486">
            <v>5.08</v>
          </cell>
        </row>
        <row r="4487">
          <cell r="C4487" t="str">
            <v>Assura Plc</v>
          </cell>
          <cell r="D4487">
            <v>1763.74</v>
          </cell>
        </row>
        <row r="4488">
          <cell r="C4488" t="str">
            <v>Northwest Bank</v>
          </cell>
          <cell r="D4488">
            <v>21.365200000000002</v>
          </cell>
        </row>
        <row r="4489">
          <cell r="C4489" t="str">
            <v>Patria Investments</v>
          </cell>
          <cell r="D4489">
            <v>0.77232500000000004</v>
          </cell>
        </row>
        <row r="4490">
          <cell r="C4490" t="str">
            <v>First Commonwealth Financial Corp</v>
          </cell>
          <cell r="D4490">
            <v>48.15</v>
          </cell>
        </row>
        <row r="4491">
          <cell r="C4491" t="str">
            <v>Jetblue Airways</v>
          </cell>
          <cell r="D4491">
            <v>0.25956400000000002</v>
          </cell>
        </row>
        <row r="4492">
          <cell r="C4492" t="str">
            <v>Kuwait Telecommunications Company</v>
          </cell>
          <cell r="D4492">
            <v>9.8918300000000006</v>
          </cell>
        </row>
        <row r="4493">
          <cell r="C4493" t="str">
            <v>Protector Forsikring</v>
          </cell>
          <cell r="D4493">
            <v>22.4163</v>
          </cell>
        </row>
        <row r="4494">
          <cell r="C4494" t="str">
            <v>Vincom Retail Joint Stock Company</v>
          </cell>
          <cell r="D4494">
            <v>0.49933</v>
          </cell>
        </row>
        <row r="4495">
          <cell r="C4495" t="str">
            <v>H&amp;amp;E Equipment Services</v>
          </cell>
          <cell r="D4495">
            <v>3.9380899999999999</v>
          </cell>
        </row>
        <row r="4496">
          <cell r="C4496" t="str">
            <v>SIG (Semen Indonesia)</v>
          </cell>
          <cell r="D4496">
            <v>4.66</v>
          </cell>
        </row>
        <row r="4497">
          <cell r="C4497" t="str">
            <v>East India Distilleries Parry</v>
          </cell>
          <cell r="D4497">
            <v>42.48</v>
          </cell>
        </row>
        <row r="4498">
          <cell r="C4498" t="str">
            <v>Icade</v>
          </cell>
          <cell r="D4498">
            <v>12.7486</v>
          </cell>
        </row>
        <row r="4499">
          <cell r="C4499" t="str">
            <v>Zhejiang Jinke Tom Culture Industry</v>
          </cell>
          <cell r="D4499">
            <v>9.7309699999999992</v>
          </cell>
        </row>
        <row r="4500">
          <cell r="C4500" t="str">
            <v>Trainline</v>
          </cell>
          <cell r="D4500">
            <v>20.55</v>
          </cell>
        </row>
        <row r="4501">
          <cell r="C4501" t="str">
            <v>Peloton</v>
          </cell>
          <cell r="D4501">
            <v>10.83</v>
          </cell>
        </row>
        <row r="4502">
          <cell r="C4502" t="str">
            <v>First Bancorp</v>
          </cell>
          <cell r="D4502">
            <v>24.67</v>
          </cell>
        </row>
        <row r="4503">
          <cell r="C4503" t="str">
            <v>Betsson AB</v>
          </cell>
          <cell r="D4503">
            <v>111856</v>
          </cell>
        </row>
        <row r="4504">
          <cell r="C4504" t="str">
            <v>Dundee Precious Metals</v>
          </cell>
          <cell r="D4504">
            <v>77.63</v>
          </cell>
        </row>
        <row r="4505">
          <cell r="C4505" t="str">
            <v>Syndax Pharmaceuticals</v>
          </cell>
          <cell r="D4505">
            <v>118.74</v>
          </cell>
        </row>
        <row r="4506">
          <cell r="C4506" t="str">
            <v>DHT Holdings</v>
          </cell>
          <cell r="D4506">
            <v>4.6092599999999999</v>
          </cell>
        </row>
        <row r="4507">
          <cell r="C4507" t="str">
            <v>Marex Group</v>
          </cell>
          <cell r="D4507">
            <v>5.86</v>
          </cell>
        </row>
        <row r="4508">
          <cell r="C4508" t="str">
            <v>Doosan</v>
          </cell>
          <cell r="D4508">
            <v>27.374300000000002</v>
          </cell>
        </row>
        <row r="4509">
          <cell r="C4509" t="str">
            <v>Stepan Company</v>
          </cell>
          <cell r="D4509">
            <v>6.26</v>
          </cell>
        </row>
        <row r="4510">
          <cell r="C4510" t="str">
            <v>City Holding Company</v>
          </cell>
          <cell r="D4510">
            <v>4.82</v>
          </cell>
        </row>
        <row r="4511">
          <cell r="C4511" t="str">
            <v>Ariston Holding</v>
          </cell>
          <cell r="D4511">
            <v>6.2200999999999999E-2</v>
          </cell>
        </row>
        <row r="4512">
          <cell r="C4512" t="str">
            <v>Sandstorm Gold</v>
          </cell>
          <cell r="D4512">
            <v>37.22</v>
          </cell>
        </row>
        <row r="4513">
          <cell r="C4513" t="str">
            <v>Zydus Wellness</v>
          </cell>
          <cell r="D4513">
            <v>68.150000000000006</v>
          </cell>
        </row>
        <row r="4514">
          <cell r="C4514" t="str">
            <v>MannKind Corp</v>
          </cell>
          <cell r="D4514">
            <v>36.604199999999999</v>
          </cell>
        </row>
        <row r="4515">
          <cell r="C4515" t="str">
            <v>AMC Entertainment</v>
          </cell>
          <cell r="D4515">
            <v>1.1557599999999999</v>
          </cell>
        </row>
        <row r="4516">
          <cell r="C4516" t="str">
            <v>Country Garden</v>
          </cell>
          <cell r="D4516">
            <v>2.6141299999999998</v>
          </cell>
        </row>
        <row r="4517">
          <cell r="C4517" t="str">
            <v>Distribution Solutions Group</v>
          </cell>
          <cell r="D4517">
            <v>4.5736100000000004</v>
          </cell>
        </row>
        <row r="4518">
          <cell r="C4518" t="str">
            <v>Lakeland Financial Corp</v>
          </cell>
          <cell r="D4518">
            <v>10.9664</v>
          </cell>
        </row>
        <row r="4519">
          <cell r="C4519" t="str">
            <v>Exchange Income Corporation</v>
          </cell>
          <cell r="D4519">
            <v>50.97</v>
          </cell>
        </row>
        <row r="4520">
          <cell r="C4520" t="str">
            <v>Sheng Siong Group</v>
          </cell>
          <cell r="D4520">
            <v>4.8899999999999997</v>
          </cell>
        </row>
        <row r="4521">
          <cell r="C4521" t="str">
            <v>REN (Redes Energéticas Nacionais)</v>
          </cell>
          <cell r="D4521">
            <v>38.5</v>
          </cell>
        </row>
        <row r="4522">
          <cell r="C4522" t="str">
            <v>Duc Giang Chemicals Group</v>
          </cell>
          <cell r="D4522">
            <v>5.5709099999999996</v>
          </cell>
        </row>
        <row r="4523">
          <cell r="C4523" t="str">
            <v>Jubilant Pharmova</v>
          </cell>
          <cell r="D4523">
            <v>11.633100000000001</v>
          </cell>
        </row>
        <row r="4524">
          <cell r="C4524" t="str">
            <v>The Andersons</v>
          </cell>
          <cell r="D4524">
            <v>12.31</v>
          </cell>
        </row>
        <row r="4525">
          <cell r="C4525" t="str">
            <v>SoundHound AI</v>
          </cell>
          <cell r="D4525">
            <v>729712</v>
          </cell>
        </row>
        <row r="4526">
          <cell r="C4526" t="str">
            <v>Vicor</v>
          </cell>
          <cell r="D4526">
            <v>22.83</v>
          </cell>
        </row>
        <row r="4527">
          <cell r="C4527" t="str">
            <v>Anima Holding</v>
          </cell>
          <cell r="D4527">
            <v>0.50824199999999997</v>
          </cell>
        </row>
        <row r="4528">
          <cell r="C4528" t="str">
            <v>Chennai Petroleum</v>
          </cell>
          <cell r="D4528">
            <v>3.45</v>
          </cell>
        </row>
        <row r="4529">
          <cell r="C4529" t="str">
            <v>Arhaus</v>
          </cell>
          <cell r="D4529">
            <v>1.96299</v>
          </cell>
        </row>
        <row r="4530">
          <cell r="C4530" t="str">
            <v>National Industries Group Holding</v>
          </cell>
          <cell r="D4530">
            <v>3448.95</v>
          </cell>
        </row>
        <row r="4531">
          <cell r="C4531" t="str">
            <v>MeridianLink</v>
          </cell>
          <cell r="D4531">
            <v>11.86</v>
          </cell>
        </row>
        <row r="4532">
          <cell r="C4532" t="str">
            <v>Estithmar Holding</v>
          </cell>
          <cell r="D4532">
            <v>13.47</v>
          </cell>
        </row>
        <row r="4533">
          <cell r="C4533" t="str">
            <v>Super Group</v>
          </cell>
          <cell r="D4533">
            <v>38.25</v>
          </cell>
        </row>
        <row r="4534">
          <cell r="C4534" t="str">
            <v>Dis-Chem Pharmacies</v>
          </cell>
          <cell r="D4534">
            <v>59.66</v>
          </cell>
        </row>
        <row r="4535">
          <cell r="C4535" t="str">
            <v>National Mobile Telecommunications Company</v>
          </cell>
          <cell r="D4535">
            <v>25.92</v>
          </cell>
        </row>
        <row r="4536">
          <cell r="C4536" t="str">
            <v>SFL Corp</v>
          </cell>
          <cell r="D4536">
            <v>9.01</v>
          </cell>
        </row>
        <row r="4537">
          <cell r="C4537" t="str">
            <v>WEBTOON Entertainment</v>
          </cell>
          <cell r="D4537">
            <v>20.338200000000001</v>
          </cell>
        </row>
        <row r="4538">
          <cell r="C4538" t="str">
            <v>Bank of N. T. Butterfield &amp; Son</v>
          </cell>
          <cell r="D4538">
            <v>31.78</v>
          </cell>
        </row>
        <row r="4539">
          <cell r="C4539" t="str">
            <v>Winnebago Industries</v>
          </cell>
          <cell r="D4539">
            <v>1.50223</v>
          </cell>
        </row>
        <row r="4540">
          <cell r="C4540" t="str">
            <v>LiveRamp</v>
          </cell>
          <cell r="D4540">
            <v>9.3101400000000005</v>
          </cell>
        </row>
        <row r="4541">
          <cell r="C4541" t="str">
            <v>Alignment Healthcare</v>
          </cell>
          <cell r="D4541">
            <v>68.819999999999993</v>
          </cell>
        </row>
        <row r="4542">
          <cell r="C4542" t="str">
            <v>Elecnor</v>
          </cell>
          <cell r="D4542">
            <v>28.643799999999999</v>
          </cell>
        </row>
        <row r="4543">
          <cell r="C4543" t="str">
            <v>Getty Realty</v>
          </cell>
          <cell r="D4543">
            <v>72.022900000000007</v>
          </cell>
        </row>
        <row r="4544">
          <cell r="C4544" t="str">
            <v>Ramelius Resources</v>
          </cell>
          <cell r="D4544">
            <v>7.7535400000000001</v>
          </cell>
        </row>
        <row r="4545">
          <cell r="C4545" t="str">
            <v>DOF Group</v>
          </cell>
          <cell r="D4545">
            <v>10.8986</v>
          </cell>
        </row>
        <row r="4546">
          <cell r="C4546" t="str">
            <v>Pathward Financial</v>
          </cell>
          <cell r="D4546">
            <v>18.850000000000001</v>
          </cell>
        </row>
        <row r="4547">
          <cell r="C4547" t="str">
            <v>Almunajem Foods Company</v>
          </cell>
          <cell r="D4547">
            <v>93.03</v>
          </cell>
        </row>
        <row r="4548">
          <cell r="C4548" t="str">
            <v>Craftsman Automation</v>
          </cell>
          <cell r="D4548">
            <v>46.38</v>
          </cell>
        </row>
        <row r="4549">
          <cell r="C4549" t="str">
            <v>Haw Par</v>
          </cell>
          <cell r="D4549">
            <v>17.7517</v>
          </cell>
        </row>
        <row r="4550">
          <cell r="C4550" t="str">
            <v>Cementir</v>
          </cell>
          <cell r="D4550">
            <v>13.573600000000001</v>
          </cell>
        </row>
        <row r="4551">
          <cell r="C4551" t="str">
            <v>Rocket Pharmaceuticals</v>
          </cell>
          <cell r="D4551">
            <v>14.45</v>
          </cell>
        </row>
        <row r="4552">
          <cell r="C4552" t="str">
            <v>VSE Corporation</v>
          </cell>
          <cell r="D4552">
            <v>48.7532</v>
          </cell>
        </row>
        <row r="4553">
          <cell r="C4553" t="str">
            <v>NAPCO Security Technologies</v>
          </cell>
          <cell r="D4553">
            <v>11.22</v>
          </cell>
        </row>
        <row r="4554">
          <cell r="C4554" t="str">
            <v>Intercos</v>
          </cell>
          <cell r="D4554">
            <v>42.83</v>
          </cell>
        </row>
        <row r="4555">
          <cell r="C4555" t="str">
            <v>Métropole Télévision (Groupe M6)</v>
          </cell>
          <cell r="D4555">
            <v>11.8414</v>
          </cell>
        </row>
        <row r="4556">
          <cell r="C4556" t="str">
            <v>Harmonic</v>
          </cell>
          <cell r="D4556">
            <v>1.6933800000000001</v>
          </cell>
        </row>
        <row r="4557">
          <cell r="C4557" t="str">
            <v>Alkhorayef Water and Power Technologies Company</v>
          </cell>
          <cell r="D4557">
            <v>14.3111</v>
          </cell>
        </row>
        <row r="4558">
          <cell r="C4558" t="str">
            <v>Helix Energy Solutions</v>
          </cell>
          <cell r="D4558">
            <v>12.64</v>
          </cell>
        </row>
        <row r="4559">
          <cell r="C4559" t="str">
            <v>The Chefs' Warehouse</v>
          </cell>
          <cell r="D4559">
            <v>168217</v>
          </cell>
        </row>
        <row r="4560">
          <cell r="C4560" t="str">
            <v>Compagnie Plastic Omnium</v>
          </cell>
          <cell r="D4560">
            <v>45.35</v>
          </cell>
        </row>
        <row r="4561">
          <cell r="C4561" t="str">
            <v>Ithaca Energy</v>
          </cell>
          <cell r="D4561">
            <v>28.79</v>
          </cell>
        </row>
        <row r="4562">
          <cell r="C4562" t="str">
            <v>NFI Group</v>
          </cell>
          <cell r="D4562">
            <v>51.18</v>
          </cell>
        </row>
        <row r="4563">
          <cell r="C4563" t="str">
            <v>Leggett &amp;amp; Platt</v>
          </cell>
          <cell r="D4563">
            <v>39.193199999999997</v>
          </cell>
        </row>
        <row r="4564">
          <cell r="C4564" t="str">
            <v>Voltamp Transformers</v>
          </cell>
          <cell r="D4564">
            <v>11.71</v>
          </cell>
        </row>
        <row r="4565">
          <cell r="C4565" t="str">
            <v>Keros Therapeutics</v>
          </cell>
          <cell r="D4565">
            <v>0.721777</v>
          </cell>
        </row>
        <row r="4566">
          <cell r="C4566" t="str">
            <v>World Kinect</v>
          </cell>
          <cell r="D4566">
            <v>9284.85</v>
          </cell>
        </row>
        <row r="4567">
          <cell r="C4567" t="str">
            <v>Blue Bird Corporation</v>
          </cell>
          <cell r="D4567">
            <v>19.55</v>
          </cell>
        </row>
        <row r="4568">
          <cell r="C4568" t="str">
            <v>Wilh. Wilhelmsen Holding</v>
          </cell>
          <cell r="D4568">
            <v>37.700000000000003</v>
          </cell>
        </row>
        <row r="4569">
          <cell r="C4569" t="str">
            <v>Perimeter Solutions</v>
          </cell>
          <cell r="D4569">
            <v>40.57</v>
          </cell>
        </row>
        <row r="4570">
          <cell r="C4570" t="str">
            <v>Com7 Public Company</v>
          </cell>
          <cell r="D4570">
            <v>13.86</v>
          </cell>
        </row>
        <row r="4571">
          <cell r="C4571" t="str">
            <v>Financière Moncey Société anonyme</v>
          </cell>
          <cell r="D4571">
            <v>1.2700400000000001</v>
          </cell>
        </row>
        <row r="4572">
          <cell r="C4572" t="str">
            <v>Perella Weinberg Partners</v>
          </cell>
          <cell r="D4572">
            <v>8.3744499999999995</v>
          </cell>
        </row>
        <row r="4573">
          <cell r="C4573" t="str">
            <v>UCT (Ultra Clean Holdings)</v>
          </cell>
          <cell r="D4573">
            <v>14.19</v>
          </cell>
        </row>
        <row r="4574">
          <cell r="C4574" t="str">
            <v>La-Z-Boy</v>
          </cell>
          <cell r="D4574">
            <v>1.0708299999999999</v>
          </cell>
        </row>
        <row r="4575">
          <cell r="C4575" t="str">
            <v>Genesis Energy  L.P.</v>
          </cell>
          <cell r="D4575">
            <v>1.1194900000000001</v>
          </cell>
        </row>
        <row r="4576">
          <cell r="C4576" t="str">
            <v>Primary Health Properties</v>
          </cell>
          <cell r="D4576">
            <v>30.515899999999998</v>
          </cell>
        </row>
        <row r="4577">
          <cell r="C4577" t="str">
            <v>Yamama Saudi Cement Company</v>
          </cell>
          <cell r="D4577">
            <v>5.59</v>
          </cell>
        </row>
        <row r="4578">
          <cell r="C4578" t="str">
            <v>Costamare</v>
          </cell>
          <cell r="D4578">
            <v>40.479999999999997</v>
          </cell>
        </row>
        <row r="4579">
          <cell r="C4579" t="str">
            <v>Gentera, S.A.B. de C.V.</v>
          </cell>
          <cell r="D4579">
            <v>0.21048600000000001</v>
          </cell>
        </row>
        <row r="4580">
          <cell r="C4580" t="str">
            <v>Srisawad Corporation</v>
          </cell>
          <cell r="D4580">
            <v>44.82</v>
          </cell>
        </row>
        <row r="4581">
          <cell r="C4581" t="str">
            <v>Jeudan</v>
          </cell>
          <cell r="D4581">
            <v>27.412400000000002</v>
          </cell>
        </row>
        <row r="4582">
          <cell r="C4582" t="str">
            <v>First Majestic Silver</v>
          </cell>
          <cell r="D4582">
            <v>5.0801400000000001</v>
          </cell>
        </row>
        <row r="4583">
          <cell r="C4583" t="str">
            <v>Fox Factory Holding</v>
          </cell>
          <cell r="D4583">
            <v>9.1464200000000009</v>
          </cell>
        </row>
        <row r="4584">
          <cell r="C4584" t="str">
            <v>Top Glove</v>
          </cell>
          <cell r="D4584">
            <v>1.76854</v>
          </cell>
        </row>
        <row r="4585">
          <cell r="C4585" t="str">
            <v>Diebold Nixdorf</v>
          </cell>
          <cell r="D4585">
            <v>7.1330299999999998</v>
          </cell>
        </row>
        <row r="4586">
          <cell r="C4586" t="str">
            <v>Tessenderlo Group</v>
          </cell>
          <cell r="D4586">
            <v>4.08</v>
          </cell>
        </row>
        <row r="4587">
          <cell r="C4587" t="str">
            <v>IntegraFin</v>
          </cell>
          <cell r="D4587">
            <v>6.47729</v>
          </cell>
        </row>
        <row r="4588">
          <cell r="C4588" t="str">
            <v>Praj Industries</v>
          </cell>
          <cell r="D4588">
            <v>9.52</v>
          </cell>
        </row>
        <row r="4589">
          <cell r="C4589" t="str">
            <v>Saras S.p.A.</v>
          </cell>
          <cell r="D4589">
            <v>8.07</v>
          </cell>
        </row>
        <row r="4590">
          <cell r="C4590" t="str">
            <v>Summerset Holdings</v>
          </cell>
          <cell r="D4590">
            <v>5.0932700000000004</v>
          </cell>
        </row>
        <row r="4591">
          <cell r="C4591" t="str">
            <v>Agilon Health</v>
          </cell>
          <cell r="D4591">
            <v>22.15</v>
          </cell>
        </row>
        <row r="4592">
          <cell r="C4592" t="str">
            <v>Viohalco</v>
          </cell>
          <cell r="D4592">
            <v>1471.04</v>
          </cell>
        </row>
        <row r="4593">
          <cell r="C4593" t="str">
            <v>Enovix</v>
          </cell>
          <cell r="D4593">
            <v>10.934799999999999</v>
          </cell>
        </row>
        <row r="4594">
          <cell r="C4594" t="str">
            <v>AvidXchange</v>
          </cell>
          <cell r="D4594">
            <v>0.899451</v>
          </cell>
        </row>
        <row r="4595">
          <cell r="C4595" t="str">
            <v>PageGroup</v>
          </cell>
          <cell r="D4595">
            <v>288805</v>
          </cell>
        </row>
        <row r="4596">
          <cell r="C4596" t="str">
            <v>Compass Diversified Holdings</v>
          </cell>
          <cell r="D4596">
            <v>24.653199999999998</v>
          </cell>
        </row>
        <row r="4597">
          <cell r="C4597" t="str">
            <v>LEM Holding</v>
          </cell>
          <cell r="D4597">
            <v>4.3600000000000003</v>
          </cell>
        </row>
        <row r="4598">
          <cell r="C4598" t="str">
            <v>Saudi Cement Company</v>
          </cell>
          <cell r="D4598">
            <v>0.38441599999999998</v>
          </cell>
        </row>
        <row r="4599">
          <cell r="C4599" t="str">
            <v>Gulf International Services</v>
          </cell>
          <cell r="D4599">
            <v>167348</v>
          </cell>
        </row>
        <row r="4600">
          <cell r="C4600" t="str">
            <v>Nongshim</v>
          </cell>
          <cell r="D4600">
            <v>100.8</v>
          </cell>
        </row>
        <row r="4601">
          <cell r="C4601" t="str">
            <v>Hanmi Pharmaceutical</v>
          </cell>
          <cell r="D4601">
            <v>0.16894300000000001</v>
          </cell>
        </row>
        <row r="4602">
          <cell r="C4602" t="str">
            <v>TeraWulf</v>
          </cell>
          <cell r="D4602">
            <v>4.9807600000000001</v>
          </cell>
        </row>
        <row r="4603">
          <cell r="C4603" t="str">
            <v>OQ Gas Network Company</v>
          </cell>
          <cell r="D4603">
            <v>6.1661599999999996</v>
          </cell>
        </row>
        <row r="4604">
          <cell r="C4604" t="str">
            <v>Pfeiffer Vacuum</v>
          </cell>
          <cell r="D4604">
            <v>15.87</v>
          </cell>
        </row>
        <row r="4605">
          <cell r="C4605" t="str">
            <v>MYR Group</v>
          </cell>
          <cell r="D4605">
            <v>38.99</v>
          </cell>
        </row>
        <row r="4606">
          <cell r="C4606" t="str">
            <v>Bank Danamon</v>
          </cell>
          <cell r="D4606">
            <v>43.81</v>
          </cell>
        </row>
        <row r="4607">
          <cell r="C4607" t="str">
            <v>GÜBRETAŞ</v>
          </cell>
          <cell r="D4607">
            <v>0.60794099999999995</v>
          </cell>
        </row>
        <row r="4608">
          <cell r="C4608" t="str">
            <v>Seera Holding Group</v>
          </cell>
          <cell r="D4608">
            <v>27681</v>
          </cell>
        </row>
        <row r="4609">
          <cell r="C4609" t="str">
            <v>OneSpaWorld</v>
          </cell>
          <cell r="D4609">
            <v>3.15225</v>
          </cell>
        </row>
        <row r="4610">
          <cell r="C4610" t="str">
            <v>Dorian LPG</v>
          </cell>
          <cell r="D4610">
            <v>43.8446</v>
          </cell>
        </row>
        <row r="4611">
          <cell r="C4611" t="str">
            <v>National Bank Holdings</v>
          </cell>
          <cell r="D4611">
            <v>19.269300000000001</v>
          </cell>
        </row>
        <row r="4612">
          <cell r="C4612" t="str">
            <v>Ourpalm</v>
          </cell>
          <cell r="D4612">
            <v>2.9125700000000001</v>
          </cell>
        </row>
        <row r="4613">
          <cell r="C4613" t="str">
            <v>First National Financial</v>
          </cell>
          <cell r="D4613">
            <v>1.6108100000000001</v>
          </cell>
        </row>
        <row r="4614">
          <cell r="C4614" t="str">
            <v>Electricity Generating Public Company</v>
          </cell>
          <cell r="D4614">
            <v>1.88</v>
          </cell>
        </row>
        <row r="4615">
          <cell r="C4615" t="str">
            <v>F&amp;amp;F Co</v>
          </cell>
          <cell r="D4615">
            <v>107163</v>
          </cell>
        </row>
        <row r="4616">
          <cell r="C4616" t="str">
            <v>Torex Gold Resources</v>
          </cell>
          <cell r="D4616">
            <v>31.84</v>
          </cell>
        </row>
        <row r="4617">
          <cell r="C4617" t="str">
            <v>Gestamp Automoción</v>
          </cell>
          <cell r="D4617">
            <v>0.265181</v>
          </cell>
        </row>
        <row r="4618">
          <cell r="C4618" t="str">
            <v>Hysan Development</v>
          </cell>
          <cell r="D4618">
            <v>11.05</v>
          </cell>
        </row>
        <row r="4619">
          <cell r="C4619" t="str">
            <v>Plug Power</v>
          </cell>
          <cell r="D4619">
            <v>129451</v>
          </cell>
        </row>
        <row r="4620">
          <cell r="C4620" t="str">
            <v>SeSa S.p.A.</v>
          </cell>
          <cell r="D4620">
            <v>0.80797200000000002</v>
          </cell>
        </row>
        <row r="4621">
          <cell r="C4621" t="str">
            <v>REV Group</v>
          </cell>
          <cell r="D4621">
            <v>12.5</v>
          </cell>
        </row>
        <row r="4622">
          <cell r="C4622" t="str">
            <v>Offcn Education</v>
          </cell>
          <cell r="D4622">
            <v>2.7126800000000002</v>
          </cell>
        </row>
        <row r="4623">
          <cell r="C4623" t="str">
            <v>Bowlero</v>
          </cell>
          <cell r="D4623">
            <v>0.64</v>
          </cell>
        </row>
        <row r="4624">
          <cell r="C4624" t="str">
            <v>Investis Holding</v>
          </cell>
          <cell r="D4624">
            <v>0.124912</v>
          </cell>
        </row>
        <row r="4625">
          <cell r="C4625" t="str">
            <v>CIMC Enric</v>
          </cell>
          <cell r="D4625">
            <v>24.914300000000001</v>
          </cell>
        </row>
        <row r="4626">
          <cell r="C4626" t="str">
            <v>Indivior PLC</v>
          </cell>
          <cell r="D4626">
            <v>42.97</v>
          </cell>
        </row>
        <row r="4627">
          <cell r="C4627" t="str">
            <v>RBL Bank</v>
          </cell>
          <cell r="D4627">
            <v>6.5022500000000001</v>
          </cell>
        </row>
        <row r="4628">
          <cell r="C4628" t="str">
            <v>Bayanat AI</v>
          </cell>
          <cell r="D4628">
            <v>26.42</v>
          </cell>
        </row>
        <row r="4629">
          <cell r="C4629" t="str">
            <v>BTS Group</v>
          </cell>
          <cell r="D4629">
            <v>51.82</v>
          </cell>
        </row>
        <row r="4630">
          <cell r="C4630" t="str">
            <v>Basic-Fit</v>
          </cell>
          <cell r="D4630">
            <v>1.60805</v>
          </cell>
        </row>
        <row r="4631">
          <cell r="C4631" t="str">
            <v>S&amp;amp;T Bancorp</v>
          </cell>
          <cell r="D4631">
            <v>40.869999999999997</v>
          </cell>
        </row>
        <row r="4632">
          <cell r="C4632" t="str">
            <v>Vtech</v>
          </cell>
          <cell r="D4632">
            <v>25.86</v>
          </cell>
        </row>
        <row r="4633">
          <cell r="C4633" t="str">
            <v>Hollysys Automation Technologie</v>
          </cell>
          <cell r="D4633">
            <v>27.895900000000001</v>
          </cell>
        </row>
        <row r="4634">
          <cell r="C4634" t="str">
            <v>Customers Bancorp</v>
          </cell>
          <cell r="D4634">
            <v>11.29</v>
          </cell>
        </row>
        <row r="4635">
          <cell r="C4635" t="str">
            <v>RSA Insurance Group</v>
          </cell>
          <cell r="D4635">
            <v>18.45</v>
          </cell>
        </row>
        <row r="4636">
          <cell r="C4636" t="str">
            <v>Skyward Specialty Insurance Group</v>
          </cell>
          <cell r="D4636">
            <v>40.963900000000002</v>
          </cell>
        </row>
        <row r="4637">
          <cell r="C4637" t="str">
            <v>Photronics</v>
          </cell>
          <cell r="D4637">
            <v>30.73</v>
          </cell>
        </row>
        <row r="4638">
          <cell r="C4638" t="str">
            <v>Russel Metals</v>
          </cell>
          <cell r="D4638">
            <v>33.090000000000003</v>
          </cell>
        </row>
        <row r="4639">
          <cell r="C4639" t="str">
            <v>Dana</v>
          </cell>
          <cell r="D4639">
            <v>34.632100000000001</v>
          </cell>
        </row>
        <row r="4640">
          <cell r="C4640" t="str">
            <v>Knowles</v>
          </cell>
          <cell r="D4640">
            <v>8.6859900000000003</v>
          </cell>
        </row>
        <row r="4641">
          <cell r="C4641" t="str">
            <v>TKH Group</v>
          </cell>
          <cell r="D4641">
            <v>12.184799999999999</v>
          </cell>
        </row>
        <row r="4642">
          <cell r="C4642" t="str">
            <v>CareDx</v>
          </cell>
          <cell r="D4642">
            <v>20.522500000000001</v>
          </cell>
        </row>
        <row r="4643">
          <cell r="C4643" t="str">
            <v>STAAR Surgical</v>
          </cell>
          <cell r="D4643">
            <v>22.92</v>
          </cell>
        </row>
        <row r="4644">
          <cell r="C4644" t="str">
            <v>eClerx Services</v>
          </cell>
          <cell r="D4644">
            <v>29.155899999999999</v>
          </cell>
        </row>
        <row r="4645">
          <cell r="C4645" t="str">
            <v>Trulieve Cannabis</v>
          </cell>
          <cell r="D4645">
            <v>25.2</v>
          </cell>
        </row>
        <row r="4646">
          <cell r="C4646" t="str">
            <v>Mari Petroleum Company</v>
          </cell>
          <cell r="D4646">
            <v>0.89774699999999996</v>
          </cell>
        </row>
        <row r="4647">
          <cell r="C4647" t="str">
            <v>Aavas Financiers</v>
          </cell>
          <cell r="D4647">
            <v>7.62</v>
          </cell>
        </row>
        <row r="4648">
          <cell r="C4648" t="str">
            <v>Revolve</v>
          </cell>
          <cell r="D4648">
            <v>5.3265399999999996</v>
          </cell>
        </row>
        <row r="4649">
          <cell r="C4649" t="str">
            <v>Richelieu Hardware</v>
          </cell>
          <cell r="D4649">
            <v>10.28</v>
          </cell>
        </row>
        <row r="4650">
          <cell r="C4650" t="str">
            <v>Nurix Therapeutics</v>
          </cell>
          <cell r="D4650">
            <v>24.0258</v>
          </cell>
        </row>
        <row r="4651">
          <cell r="C4651" t="str">
            <v>Kerry Logistics Network</v>
          </cell>
          <cell r="D4651">
            <v>6079.36</v>
          </cell>
        </row>
        <row r="4652">
          <cell r="C4652" t="str">
            <v>Genius Sports</v>
          </cell>
          <cell r="D4652">
            <v>53.61</v>
          </cell>
        </row>
        <row r="4653">
          <cell r="C4653" t="str">
            <v>Heineken Malaysia</v>
          </cell>
          <cell r="D4653">
            <v>0.32559300000000002</v>
          </cell>
        </row>
        <row r="4654">
          <cell r="C4654" t="str">
            <v>Vermilion Energy</v>
          </cell>
          <cell r="D4654">
            <v>42.97</v>
          </cell>
        </row>
        <row r="4655">
          <cell r="C4655" t="str">
            <v>Nippon Shinyaku</v>
          </cell>
          <cell r="D4655">
            <v>16.049499999999998</v>
          </cell>
        </row>
        <row r="4656">
          <cell r="C4656" t="str">
            <v>Société Industrielle et Financière de l'Artois</v>
          </cell>
          <cell r="D4656">
            <v>33.854599999999998</v>
          </cell>
        </row>
        <row r="4657">
          <cell r="C4657" t="str">
            <v>Navios Maritime Partners</v>
          </cell>
          <cell r="D4657">
            <v>21.06</v>
          </cell>
        </row>
        <row r="4658">
          <cell r="C4658" t="str">
            <v>Alok Industries</v>
          </cell>
          <cell r="D4658">
            <v>14.14</v>
          </cell>
        </row>
        <row r="4659">
          <cell r="C4659" t="str">
            <v>Taro Pharmaceutical</v>
          </cell>
          <cell r="D4659">
            <v>1.6790099999999999</v>
          </cell>
        </row>
        <row r="4660">
          <cell r="C4660" t="str">
            <v>Believe S.A.</v>
          </cell>
          <cell r="D4660">
            <v>5.4114000000000004</v>
          </cell>
        </row>
        <row r="4661">
          <cell r="C4661" t="str">
            <v>The North West Company</v>
          </cell>
          <cell r="D4661">
            <v>0.91915899999999995</v>
          </cell>
        </row>
        <row r="4662">
          <cell r="C4662" t="str">
            <v>Kura Oncology</v>
          </cell>
          <cell r="D4662">
            <v>0.16055900000000001</v>
          </cell>
        </row>
        <row r="4663">
          <cell r="C4663" t="str">
            <v>Steelcase</v>
          </cell>
          <cell r="D4663">
            <v>1.94936</v>
          </cell>
        </row>
        <row r="4664">
          <cell r="C4664" t="str">
            <v>Zee Entertainment</v>
          </cell>
          <cell r="D4664">
            <v>20.34</v>
          </cell>
        </row>
        <row r="4665">
          <cell r="C4665" t="str">
            <v>iFAST Corporation</v>
          </cell>
          <cell r="D4665">
            <v>3.9012899999999999</v>
          </cell>
        </row>
        <row r="4666">
          <cell r="C4666" t="str">
            <v>Tauron Polska</v>
          </cell>
          <cell r="D4666">
            <v>9.0472300000000008</v>
          </cell>
        </row>
        <row r="4667">
          <cell r="C4667" t="str">
            <v>Banpu Public Company</v>
          </cell>
          <cell r="D4667">
            <v>6.7980999999999998</v>
          </cell>
        </row>
        <row r="4668">
          <cell r="C4668" t="str">
            <v>Aston Martin</v>
          </cell>
          <cell r="D4668">
            <v>13.3</v>
          </cell>
        </row>
        <row r="4669">
          <cell r="C4669" t="str">
            <v>Integra LifeSciences</v>
          </cell>
          <cell r="D4669">
            <v>99.140299999999996</v>
          </cell>
        </row>
        <row r="4670">
          <cell r="C4670" t="str">
            <v>Casino Guichard-Perrachon</v>
          </cell>
          <cell r="D4670">
            <v>1.06718</v>
          </cell>
        </row>
        <row r="4671">
          <cell r="C4671" t="str">
            <v>PEXA Group</v>
          </cell>
          <cell r="D4671">
            <v>36.729999999999997</v>
          </cell>
        </row>
        <row r="4672">
          <cell r="C4672" t="str">
            <v>Jindal Stainless (Hisar)</v>
          </cell>
          <cell r="D4672">
            <v>10.99</v>
          </cell>
        </row>
        <row r="4673">
          <cell r="C4673" t="str">
            <v>Pebblebrook Hotel Trust</v>
          </cell>
          <cell r="D4673">
            <v>2.93486</v>
          </cell>
        </row>
        <row r="4674">
          <cell r="C4674" t="str">
            <v>Cargojet</v>
          </cell>
          <cell r="D4674">
            <v>8.6769300000000005</v>
          </cell>
        </row>
        <row r="4675">
          <cell r="C4675" t="str">
            <v>Is Yatirim Menkul Degerler Anonim Sirketi</v>
          </cell>
          <cell r="D4675">
            <v>2.16675</v>
          </cell>
        </row>
        <row r="4676">
          <cell r="C4676" t="str">
            <v>LTC Properties</v>
          </cell>
          <cell r="D4676">
            <v>0.72003200000000001</v>
          </cell>
        </row>
        <row r="4677">
          <cell r="C4677" t="str">
            <v>Janus International Group</v>
          </cell>
          <cell r="D4677">
            <v>23.367100000000001</v>
          </cell>
        </row>
        <row r="4678">
          <cell r="C4678" t="str">
            <v>Tamarack Valley Energy</v>
          </cell>
          <cell r="D4678">
            <v>3.1844199999999998</v>
          </cell>
        </row>
        <row r="4679">
          <cell r="C4679" t="str">
            <v>Bodycote</v>
          </cell>
          <cell r="D4679">
            <v>50.333300000000001</v>
          </cell>
        </row>
        <row r="4680">
          <cell r="C4680" t="str">
            <v>Magazine Luíza</v>
          </cell>
          <cell r="D4680">
            <v>14.4468</v>
          </cell>
        </row>
        <row r="4681">
          <cell r="C4681" t="str">
            <v>TPBank (Tien Phong Commercial Joint Stock Bank)</v>
          </cell>
          <cell r="D4681">
            <v>2.6021099999999998E-2</v>
          </cell>
        </row>
        <row r="4682">
          <cell r="C4682" t="str">
            <v>Asseco</v>
          </cell>
          <cell r="D4682">
            <v>7.2178599999999999</v>
          </cell>
        </row>
        <row r="4683">
          <cell r="C4683" t="str">
            <v>Future Care Trading Company</v>
          </cell>
          <cell r="D4683">
            <v>17.6557</v>
          </cell>
        </row>
        <row r="4684">
          <cell r="C4684" t="str">
            <v>Ingersoll Rand India</v>
          </cell>
          <cell r="D4684">
            <v>7.42</v>
          </cell>
        </row>
        <row r="4685">
          <cell r="C4685" t="str">
            <v>flatexDEGIRO AG</v>
          </cell>
          <cell r="D4685">
            <v>50.54</v>
          </cell>
        </row>
        <row r="4686">
          <cell r="C4686" t="str">
            <v>Elang Mahkota Teknologi</v>
          </cell>
          <cell r="D4686">
            <v>82.04</v>
          </cell>
        </row>
        <row r="4687">
          <cell r="C4687" t="str">
            <v>Meliá Hotels International</v>
          </cell>
          <cell r="D4687">
            <v>16.190000000000001</v>
          </cell>
        </row>
        <row r="4688">
          <cell r="C4688" t="str">
            <v>Al Masane Al Kobra Mining Company</v>
          </cell>
          <cell r="D4688">
            <v>214359</v>
          </cell>
        </row>
        <row r="4689">
          <cell r="C4689" t="str">
            <v>IonQ</v>
          </cell>
          <cell r="D4689">
            <v>17.12</v>
          </cell>
        </row>
        <row r="4690">
          <cell r="C4690" t="str">
            <v>Gentherm</v>
          </cell>
          <cell r="D4690">
            <v>14.177099999999999</v>
          </cell>
        </row>
        <row r="4691">
          <cell r="C4691" t="str">
            <v>Danaos</v>
          </cell>
          <cell r="D4691">
            <v>412.41</v>
          </cell>
        </row>
        <row r="4692">
          <cell r="C4692" t="str">
            <v>Sterling Check</v>
          </cell>
          <cell r="D4692">
            <v>61.665900000000001</v>
          </cell>
        </row>
        <row r="4693">
          <cell r="C4693" t="str">
            <v>KCC Corp</v>
          </cell>
          <cell r="D4693">
            <v>14.0913</v>
          </cell>
        </row>
        <row r="4694">
          <cell r="C4694" t="str">
            <v>Arcus Biosciences</v>
          </cell>
          <cell r="D4694">
            <v>5.75</v>
          </cell>
        </row>
        <row r="4695">
          <cell r="C4695" t="str">
            <v>Future plc</v>
          </cell>
          <cell r="D4695">
            <v>12.36</v>
          </cell>
        </row>
        <row r="4696">
          <cell r="C4696" t="str">
            <v>Electra</v>
          </cell>
          <cell r="D4696">
            <v>13.643599999999999</v>
          </cell>
        </row>
        <row r="4697">
          <cell r="C4697" t="str">
            <v>Romande Energie</v>
          </cell>
          <cell r="D4697">
            <v>2.5546500000000001</v>
          </cell>
        </row>
        <row r="4698">
          <cell r="C4698" t="str">
            <v>Espressif Systems (Shanghai)</v>
          </cell>
          <cell r="D4698">
            <v>23.68</v>
          </cell>
        </row>
        <row r="4699">
          <cell r="C4699" t="str">
            <v>Rumble</v>
          </cell>
          <cell r="D4699">
            <v>3.7194699999999998</v>
          </cell>
        </row>
        <row r="4700">
          <cell r="C4700" t="str">
            <v>Ladder Capital</v>
          </cell>
          <cell r="D4700">
            <v>0.59509800000000002</v>
          </cell>
        </row>
        <row r="4701">
          <cell r="C4701" t="str">
            <v>SpareBank 1</v>
          </cell>
          <cell r="D4701">
            <v>11.658899999999999</v>
          </cell>
        </row>
        <row r="4702">
          <cell r="C4702" t="str">
            <v>Electrosteel Castings</v>
          </cell>
          <cell r="D4702">
            <v>57.19</v>
          </cell>
        </row>
        <row r="4703">
          <cell r="C4703" t="str">
            <v>Raymond</v>
          </cell>
          <cell r="D4703">
            <v>1.89</v>
          </cell>
        </row>
        <row r="4704">
          <cell r="C4704" t="str">
            <v>Outokumpu</v>
          </cell>
          <cell r="D4704">
            <v>17.57</v>
          </cell>
        </row>
        <row r="4705">
          <cell r="C4705" t="str">
            <v>B.Grimm Power</v>
          </cell>
          <cell r="D4705">
            <v>30.45</v>
          </cell>
        </row>
        <row r="4706">
          <cell r="C4706" t="str">
            <v>Veidekke</v>
          </cell>
          <cell r="D4706">
            <v>6.4306000000000001</v>
          </cell>
        </row>
        <row r="4707">
          <cell r="C4707" t="str">
            <v>Ibotta</v>
          </cell>
          <cell r="D4707">
            <v>30.94</v>
          </cell>
        </row>
        <row r="4708">
          <cell r="C4708" t="str">
            <v>Agthia Group</v>
          </cell>
          <cell r="D4708">
            <v>0.230072</v>
          </cell>
        </row>
        <row r="4709">
          <cell r="C4709" t="str">
            <v>Seabridge Gold</v>
          </cell>
          <cell r="D4709">
            <v>96.13</v>
          </cell>
        </row>
        <row r="4710">
          <cell r="C4710" t="str">
            <v>Ameresco</v>
          </cell>
          <cell r="D4710">
            <v>1.4885999999999999</v>
          </cell>
        </row>
        <row r="4711">
          <cell r="C4711" t="str">
            <v>Citizen Watch</v>
          </cell>
          <cell r="D4711">
            <v>25.438800000000001</v>
          </cell>
        </row>
        <row r="4712">
          <cell r="C4712" t="str">
            <v>Forestar Group</v>
          </cell>
          <cell r="D4712">
            <v>3.8</v>
          </cell>
        </row>
        <row r="4713">
          <cell r="C4713" t="str">
            <v>Red 5 Limited</v>
          </cell>
          <cell r="D4713">
            <v>16.3</v>
          </cell>
        </row>
        <row r="4714">
          <cell r="C4714" t="str">
            <v>NV5 Global</v>
          </cell>
          <cell r="D4714">
            <v>1.1427</v>
          </cell>
        </row>
        <row r="4715">
          <cell r="C4715" t="str">
            <v>Helios Towers</v>
          </cell>
          <cell r="D4715">
            <v>40.22</v>
          </cell>
        </row>
        <row r="4716">
          <cell r="C4716" t="str">
            <v>Pearl Abyss</v>
          </cell>
          <cell r="D4716">
            <v>17.66</v>
          </cell>
        </row>
        <row r="4717">
          <cell r="C4717" t="str">
            <v>Getty Images</v>
          </cell>
          <cell r="D4717">
            <v>12.4351</v>
          </cell>
        </row>
        <row r="4718">
          <cell r="C4718" t="str">
            <v>Afya</v>
          </cell>
          <cell r="D4718">
            <v>46.935400000000001</v>
          </cell>
        </row>
        <row r="4719">
          <cell r="C4719" t="str">
            <v>Hang Lung Group</v>
          </cell>
          <cell r="D4719">
            <v>18.059999999999999</v>
          </cell>
        </row>
        <row r="4720">
          <cell r="C4720" t="str">
            <v>NW Natural</v>
          </cell>
          <cell r="D4720">
            <v>34.762900000000002</v>
          </cell>
        </row>
        <row r="4721">
          <cell r="C4721" t="str">
            <v>Elme Communities</v>
          </cell>
          <cell r="D4721">
            <v>12.676500000000001</v>
          </cell>
        </row>
        <row r="4722">
          <cell r="C4722" t="str">
            <v>Solaria Energía</v>
          </cell>
          <cell r="D4722">
            <v>23.418500000000002</v>
          </cell>
        </row>
        <row r="4723">
          <cell r="C4723" t="str">
            <v>TOD'S</v>
          </cell>
          <cell r="D4723">
            <v>90.306200000000004</v>
          </cell>
        </row>
        <row r="4724">
          <cell r="C4724" t="str">
            <v>Calumet Specialty Products Partners</v>
          </cell>
          <cell r="D4724">
            <v>21.1783</v>
          </cell>
        </row>
        <row r="4725">
          <cell r="C4725" t="str">
            <v>Vicat S.A.</v>
          </cell>
          <cell r="D4725">
            <v>1.33988</v>
          </cell>
        </row>
        <row r="4726">
          <cell r="C4726" t="str">
            <v>TS TECH</v>
          </cell>
          <cell r="D4726">
            <v>47.37</v>
          </cell>
        </row>
        <row r="4727">
          <cell r="C4727" t="str">
            <v>Genus</v>
          </cell>
          <cell r="D4727">
            <v>41.339700000000001</v>
          </cell>
        </row>
        <row r="4728">
          <cell r="C4728" t="str">
            <v>Elmos Semiconductor</v>
          </cell>
          <cell r="D4728">
            <v>12.79</v>
          </cell>
        </row>
        <row r="4729">
          <cell r="C4729" t="str">
            <v>Fagron</v>
          </cell>
          <cell r="D4729">
            <v>21.03</v>
          </cell>
        </row>
        <row r="4730">
          <cell r="C4730" t="str">
            <v>Al Salam Bank</v>
          </cell>
          <cell r="D4730">
            <v>2.5474100000000002</v>
          </cell>
        </row>
        <row r="4731">
          <cell r="C4731" t="str">
            <v>Papa John's Pizza</v>
          </cell>
          <cell r="D4731">
            <v>10.14</v>
          </cell>
        </row>
        <row r="4732">
          <cell r="C4732" t="str">
            <v>Moltiply Group (Gruppo Mutuionline)</v>
          </cell>
          <cell r="D4732">
            <v>42.51</v>
          </cell>
        </row>
        <row r="4733">
          <cell r="C4733" t="str">
            <v>Hope Bancorp</v>
          </cell>
          <cell r="D4733">
            <v>5.36</v>
          </cell>
        </row>
        <row r="4734">
          <cell r="C4734" t="str">
            <v>Schrödinger</v>
          </cell>
          <cell r="D4734">
            <v>259534</v>
          </cell>
        </row>
        <row r="4735">
          <cell r="C4735" t="str">
            <v>Sappi</v>
          </cell>
          <cell r="D4735">
            <v>27.05</v>
          </cell>
        </row>
        <row r="4736">
          <cell r="C4736" t="str">
            <v>WisdomTree</v>
          </cell>
          <cell r="D4736">
            <v>39.67</v>
          </cell>
        </row>
        <row r="4737">
          <cell r="C4737" t="str">
            <v>Benchmark Electronics</v>
          </cell>
          <cell r="D4737">
            <v>0.424377</v>
          </cell>
        </row>
        <row r="4738">
          <cell r="C4738" t="str">
            <v>Oxford Lane Capital</v>
          </cell>
          <cell r="D4738">
            <v>10.1905</v>
          </cell>
        </row>
        <row r="4739">
          <cell r="C4739" t="str">
            <v>Esker</v>
          </cell>
          <cell r="D4739">
            <v>337042</v>
          </cell>
        </row>
        <row r="4740">
          <cell r="C4740" t="str">
            <v>First Busey</v>
          </cell>
          <cell r="D4740">
            <v>16.11</v>
          </cell>
        </row>
        <row r="4741">
          <cell r="C4741" t="str">
            <v>Marcus &amp;amp; Millichap</v>
          </cell>
          <cell r="D4741">
            <v>36.199800000000003</v>
          </cell>
        </row>
        <row r="4742">
          <cell r="C4742" t="str">
            <v>SHB (Saigon - Hanoi Commercial Joint Stock Bank)</v>
          </cell>
          <cell r="D4742">
            <v>21.48</v>
          </cell>
        </row>
        <row r="4743">
          <cell r="C4743" t="str">
            <v>Freehold Royalties</v>
          </cell>
          <cell r="D4743">
            <v>0.19878699999999999</v>
          </cell>
        </row>
        <row r="4744">
          <cell r="C4744" t="str">
            <v>Kuwait Projects Company Holding</v>
          </cell>
          <cell r="D4744">
            <v>45.08</v>
          </cell>
        </row>
        <row r="4745">
          <cell r="C4745" t="str">
            <v>Dole PLC</v>
          </cell>
          <cell r="D4745">
            <v>18628</v>
          </cell>
        </row>
        <row r="4746">
          <cell r="C4746" t="str">
            <v>Xior Student Housing</v>
          </cell>
          <cell r="D4746">
            <v>13.5</v>
          </cell>
        </row>
        <row r="4747">
          <cell r="C4747" t="str">
            <v>NETSCOUT</v>
          </cell>
          <cell r="D4747">
            <v>11.12</v>
          </cell>
        </row>
        <row r="4748">
          <cell r="C4748" t="str">
            <v>CGN Mining Company</v>
          </cell>
          <cell r="D4748">
            <v>13.6587</v>
          </cell>
        </row>
        <row r="4749">
          <cell r="C4749" t="str">
            <v>Global Partners LP</v>
          </cell>
          <cell r="D4749">
            <v>15.98</v>
          </cell>
        </row>
        <row r="4750">
          <cell r="C4750" t="str">
            <v>Olectra Greentech</v>
          </cell>
          <cell r="D4750">
            <v>21731</v>
          </cell>
        </row>
        <row r="4751">
          <cell r="C4751" t="str">
            <v>Centessa Pharmaceuticals</v>
          </cell>
          <cell r="D4751">
            <v>88.287700000000001</v>
          </cell>
        </row>
        <row r="4752">
          <cell r="C4752" t="str">
            <v>Kennedy Wilson</v>
          </cell>
          <cell r="D4752">
            <v>14.24</v>
          </cell>
        </row>
        <row r="4753">
          <cell r="C4753" t="str">
            <v>Atea ASA</v>
          </cell>
          <cell r="D4753">
            <v>2.2946</v>
          </cell>
        </row>
        <row r="4754">
          <cell r="C4754" t="str">
            <v>Kimbell Royalty Partners</v>
          </cell>
          <cell r="D4754">
            <v>6.07</v>
          </cell>
        </row>
        <row r="4755">
          <cell r="C4755" t="str">
            <v>Dürr</v>
          </cell>
          <cell r="D4755">
            <v>5.6151200000000001</v>
          </cell>
        </row>
        <row r="4756">
          <cell r="C4756" t="str">
            <v>BGF Retail</v>
          </cell>
          <cell r="D4756">
            <v>13.78</v>
          </cell>
        </row>
        <row r="4757">
          <cell r="C4757" t="str">
            <v>Xenia Hotels &amp;amp; Resorts</v>
          </cell>
          <cell r="D4757">
            <v>13.296799999999999</v>
          </cell>
        </row>
        <row r="4758">
          <cell r="C4758" t="str">
            <v>Ashmore Group</v>
          </cell>
          <cell r="D4758">
            <v>0.84565400000000002</v>
          </cell>
        </row>
        <row r="4759">
          <cell r="C4759" t="str">
            <v>Borr Drilling</v>
          </cell>
          <cell r="D4759">
            <v>17.100000000000001</v>
          </cell>
        </row>
        <row r="4760">
          <cell r="C4760" t="str">
            <v>Rai Way</v>
          </cell>
          <cell r="D4760">
            <v>15.470800000000001</v>
          </cell>
        </row>
        <row r="4761">
          <cell r="C4761" t="str">
            <v>CoreCivic</v>
          </cell>
          <cell r="D4761">
            <v>7.4954999999999998</v>
          </cell>
        </row>
        <row r="4762">
          <cell r="C4762" t="str">
            <v>Perpetual Limited</v>
          </cell>
          <cell r="D4762">
            <v>2.15</v>
          </cell>
        </row>
        <row r="4763">
          <cell r="C4763" t="str">
            <v>Meezan Bank</v>
          </cell>
          <cell r="D4763">
            <v>15.97</v>
          </cell>
        </row>
        <row r="4764">
          <cell r="C4764" t="str">
            <v>Centuri Holdings</v>
          </cell>
          <cell r="D4764">
            <v>50.82</v>
          </cell>
        </row>
        <row r="4765">
          <cell r="C4765" t="str">
            <v>NCC</v>
          </cell>
          <cell r="D4765">
            <v>7.08</v>
          </cell>
        </row>
        <row r="4766">
          <cell r="C4766" t="str">
            <v>Ascential</v>
          </cell>
          <cell r="D4766">
            <v>48.45</v>
          </cell>
        </row>
        <row r="4767">
          <cell r="C4767" t="str">
            <v>Opendoor</v>
          </cell>
          <cell r="D4767">
            <v>2.03573</v>
          </cell>
        </row>
        <row r="4768">
          <cell r="C4768" t="str">
            <v>BrightView</v>
          </cell>
          <cell r="D4768">
            <v>8.85</v>
          </cell>
        </row>
        <row r="4769">
          <cell r="C4769" t="str">
            <v>Disc Medicine</v>
          </cell>
          <cell r="D4769">
            <v>92.2958</v>
          </cell>
        </row>
        <row r="4770">
          <cell r="C4770" t="str">
            <v>Centerra Gold</v>
          </cell>
          <cell r="D4770">
            <v>4.1345200000000002</v>
          </cell>
        </row>
        <row r="4771">
          <cell r="C4771" t="str">
            <v>The Greenbrier Companies</v>
          </cell>
          <cell r="D4771">
            <v>61445</v>
          </cell>
        </row>
        <row r="4772">
          <cell r="C4772" t="str">
            <v>City Union Bank</v>
          </cell>
          <cell r="D4772">
            <v>6.2563199999999997</v>
          </cell>
        </row>
        <row r="4773">
          <cell r="C4773" t="str">
            <v>Savers Value Village</v>
          </cell>
          <cell r="D4773">
            <v>17.399999999999999</v>
          </cell>
        </row>
        <row r="4774">
          <cell r="C4774" t="str">
            <v>Cosmo Pharmaceuticals</v>
          </cell>
          <cell r="D4774">
            <v>6.0384099999999998</v>
          </cell>
        </row>
        <row r="4775">
          <cell r="C4775" t="str">
            <v>PSC Insurance Group</v>
          </cell>
          <cell r="D4775">
            <v>1.91923</v>
          </cell>
        </row>
        <row r="4776">
          <cell r="C4776" t="str">
            <v>1st Source</v>
          </cell>
          <cell r="D4776">
            <v>3.0811100000000001E-2</v>
          </cell>
        </row>
        <row r="4777">
          <cell r="C4777" t="str">
            <v>Bytes Technology</v>
          </cell>
          <cell r="D4777">
            <v>45.425699999999999</v>
          </cell>
        </row>
        <row r="4778">
          <cell r="C4778" t="str">
            <v>JBG SMITH</v>
          </cell>
          <cell r="D4778">
            <v>1.7123900000000001</v>
          </cell>
        </row>
        <row r="4779">
          <cell r="C4779" t="str">
            <v>Genuit Group</v>
          </cell>
          <cell r="D4779">
            <v>17.773099999999999</v>
          </cell>
        </row>
        <row r="4780">
          <cell r="C4780" t="str">
            <v>Fletcher Building</v>
          </cell>
          <cell r="D4780">
            <v>45.46</v>
          </cell>
        </row>
        <row r="4781">
          <cell r="C4781" t="str">
            <v>Pakuwon Jati Tbk</v>
          </cell>
          <cell r="D4781">
            <v>211.66</v>
          </cell>
        </row>
        <row r="4782">
          <cell r="C4782" t="str">
            <v>naturenergie holding</v>
          </cell>
          <cell r="D4782">
            <v>6.9047900000000002</v>
          </cell>
        </row>
        <row r="4783">
          <cell r="C4783" t="str">
            <v>Estun Automation</v>
          </cell>
          <cell r="D4783">
            <v>27.2866</v>
          </cell>
        </row>
        <row r="4784">
          <cell r="C4784" t="str">
            <v>Nakanishi</v>
          </cell>
          <cell r="D4784">
            <v>1.3815999999999999</v>
          </cell>
        </row>
        <row r="4785">
          <cell r="C4785" t="str">
            <v>TriCo Bancshares</v>
          </cell>
          <cell r="D4785">
            <v>49.25</v>
          </cell>
        </row>
        <row r="4786">
          <cell r="C4786" t="str">
            <v>Virtus Investment Partners</v>
          </cell>
          <cell r="D4786">
            <v>1.23478</v>
          </cell>
        </row>
        <row r="4787">
          <cell r="C4787" t="str">
            <v>Yellow Cake plc</v>
          </cell>
          <cell r="D4787">
            <v>17.5</v>
          </cell>
        </row>
        <row r="4788">
          <cell r="C4788" t="str">
            <v>DFDS A/S</v>
          </cell>
          <cell r="D4788">
            <v>21.892800000000001</v>
          </cell>
        </row>
        <row r="4789">
          <cell r="C4789" t="str">
            <v>Genesis Energy</v>
          </cell>
          <cell r="D4789">
            <v>11.0779</v>
          </cell>
        </row>
        <row r="4790">
          <cell r="C4790" t="str">
            <v>CTS Corporation</v>
          </cell>
          <cell r="D4790">
            <v>1.67</v>
          </cell>
        </row>
        <row r="4791">
          <cell r="C4791" t="str">
            <v>Hipgnosis Songs Fund</v>
          </cell>
          <cell r="D4791">
            <v>48.68</v>
          </cell>
        </row>
        <row r="4792">
          <cell r="C4792" t="str">
            <v>Bloomin' Brands</v>
          </cell>
          <cell r="D4792">
            <v>14098</v>
          </cell>
        </row>
        <row r="4793">
          <cell r="C4793" t="str">
            <v>Leon's Furniture</v>
          </cell>
          <cell r="D4793">
            <v>6.1</v>
          </cell>
        </row>
        <row r="4794">
          <cell r="C4794" t="str">
            <v>TANLA</v>
          </cell>
          <cell r="D4794">
            <v>0.80525100000000005</v>
          </cell>
        </row>
        <row r="4795">
          <cell r="C4795" t="str">
            <v>Denison Mines</v>
          </cell>
          <cell r="D4795">
            <v>21.5</v>
          </cell>
        </row>
        <row r="4796">
          <cell r="C4796" t="str">
            <v>Belite Bio</v>
          </cell>
          <cell r="D4796">
            <v>26.12</v>
          </cell>
        </row>
        <row r="4797">
          <cell r="C4797" t="str">
            <v>Paradox Interactive</v>
          </cell>
          <cell r="D4797">
            <v>6.29</v>
          </cell>
        </row>
        <row r="4798">
          <cell r="C4798" t="str">
            <v>Nova Minerals</v>
          </cell>
          <cell r="D4798">
            <v>2.7720799999999999</v>
          </cell>
        </row>
        <row r="4799">
          <cell r="C4799" t="str">
            <v>Coronado Global Resources</v>
          </cell>
          <cell r="D4799">
            <v>2000.61</v>
          </cell>
        </row>
        <row r="4800">
          <cell r="C4800" t="str">
            <v>Bicycle Therapeutics</v>
          </cell>
          <cell r="D4800">
            <v>98.3</v>
          </cell>
        </row>
        <row r="4801">
          <cell r="C4801" t="str">
            <v>The Vita Coco Company</v>
          </cell>
          <cell r="D4801">
            <v>14.34</v>
          </cell>
        </row>
        <row r="4802">
          <cell r="C4802" t="str">
            <v>Infinera</v>
          </cell>
          <cell r="D4802">
            <v>42.13</v>
          </cell>
        </row>
        <row r="4803">
          <cell r="C4803" t="str">
            <v>Pan Ocean</v>
          </cell>
          <cell r="D4803">
            <v>12.23</v>
          </cell>
        </row>
        <row r="4804">
          <cell r="C4804" t="str">
            <v>Graubündner Kantonalbank</v>
          </cell>
          <cell r="D4804">
            <v>16.420000000000002</v>
          </cell>
        </row>
        <row r="4805">
          <cell r="C4805" t="str">
            <v>Nicolet Bankshares</v>
          </cell>
          <cell r="D4805">
            <v>10.99</v>
          </cell>
        </row>
        <row r="4806">
          <cell r="C4806" t="str">
            <v>Diamond Offshore Drilling</v>
          </cell>
          <cell r="D4806">
            <v>1.35422</v>
          </cell>
        </row>
        <row r="4807">
          <cell r="C4807" t="str">
            <v>Caleres</v>
          </cell>
          <cell r="D4807">
            <v>25.71</v>
          </cell>
        </row>
        <row r="4808">
          <cell r="C4808" t="str">
            <v>Sonos</v>
          </cell>
          <cell r="D4808">
            <v>11.22</v>
          </cell>
        </row>
        <row r="4809">
          <cell r="C4809" t="str">
            <v>NewAmsterdam Pharma Company</v>
          </cell>
          <cell r="D4809">
            <v>17.170000000000002</v>
          </cell>
        </row>
        <row r="4810">
          <cell r="C4810" t="str">
            <v>AdaptHealth</v>
          </cell>
          <cell r="D4810">
            <v>45.318899999999999</v>
          </cell>
        </row>
        <row r="4811">
          <cell r="C4811" t="str">
            <v>Vamos Locação de Caminhões, Máquinas e Equipamentos S.A.</v>
          </cell>
          <cell r="D4811">
            <v>7.91</v>
          </cell>
        </row>
        <row r="4812">
          <cell r="C4812" t="str">
            <v>Phreesia</v>
          </cell>
          <cell r="D4812">
            <v>30.9938</v>
          </cell>
        </row>
        <row r="4813">
          <cell r="C4813" t="str">
            <v>Dynavax Technologies</v>
          </cell>
          <cell r="D4813">
            <v>22.44</v>
          </cell>
        </row>
        <row r="4814">
          <cell r="C4814" t="str">
            <v>WK Kellogg</v>
          </cell>
          <cell r="D4814">
            <v>36.25</v>
          </cell>
        </row>
        <row r="4815">
          <cell r="C4815" t="str">
            <v>Biotest</v>
          </cell>
          <cell r="D4815">
            <v>9.5</v>
          </cell>
        </row>
        <row r="4816">
          <cell r="C4816" t="str">
            <v>IREN (Iris Energy)</v>
          </cell>
          <cell r="D4816">
            <v>15.982100000000001</v>
          </cell>
        </row>
        <row r="4817">
          <cell r="C4817" t="str">
            <v>Trisura Group</v>
          </cell>
          <cell r="D4817">
            <v>25268</v>
          </cell>
        </row>
        <row r="4818">
          <cell r="C4818" t="str">
            <v>Perdoceo Education</v>
          </cell>
          <cell r="D4818">
            <v>44.19</v>
          </cell>
        </row>
        <row r="4819">
          <cell r="C4819" t="str">
            <v>Cadre</v>
          </cell>
          <cell r="D4819">
            <v>14.16</v>
          </cell>
        </row>
        <row r="4820">
          <cell r="C4820" t="str">
            <v>RLJ Lodging Trust</v>
          </cell>
          <cell r="D4820">
            <v>22.910699999999999</v>
          </cell>
        </row>
        <row r="4821">
          <cell r="C4821" t="str">
            <v>Strides Pharma</v>
          </cell>
          <cell r="D4821">
            <v>10.59</v>
          </cell>
        </row>
        <row r="4822">
          <cell r="C4822" t="str">
            <v>Corbion</v>
          </cell>
          <cell r="D4822">
            <v>66.78</v>
          </cell>
        </row>
        <row r="4823">
          <cell r="C4823" t="str">
            <v>Helios Technologies</v>
          </cell>
          <cell r="D4823">
            <v>11326</v>
          </cell>
        </row>
        <row r="4824">
          <cell r="C4824" t="str">
            <v>Two Harbors Investment</v>
          </cell>
          <cell r="D4824">
            <v>0.36447299999999999</v>
          </cell>
        </row>
        <row r="4825">
          <cell r="C4825" t="str">
            <v>Aica Kogyo Company</v>
          </cell>
          <cell r="D4825">
            <v>0.154392</v>
          </cell>
        </row>
        <row r="4826">
          <cell r="C4826" t="str">
            <v>Apollo Commercial Real Estate</v>
          </cell>
          <cell r="D4826">
            <v>27.27</v>
          </cell>
        </row>
        <row r="4827">
          <cell r="C4827" t="str">
            <v>Apogee Enterprises</v>
          </cell>
          <cell r="D4827">
            <v>0.40570699999999998</v>
          </cell>
        </row>
        <row r="4828">
          <cell r="C4828" t="str">
            <v>Godawari Power &amp;amp; Ispat</v>
          </cell>
          <cell r="D4828">
            <v>15.17</v>
          </cell>
        </row>
        <row r="4829">
          <cell r="C4829" t="str">
            <v>Reliance Power</v>
          </cell>
          <cell r="D4829">
            <v>28.75</v>
          </cell>
        </row>
        <row r="4830">
          <cell r="C4830" t="str">
            <v>Ferrum S.A. de Cerámica y Metalurgia</v>
          </cell>
          <cell r="D4830">
            <v>2.5940099999999999</v>
          </cell>
        </row>
        <row r="4831">
          <cell r="C4831" t="str">
            <v>Stellar Bancorp</v>
          </cell>
          <cell r="D4831">
            <v>1035.6099999999999</v>
          </cell>
        </row>
        <row r="4832">
          <cell r="C4832" t="str">
            <v>Spinneys</v>
          </cell>
          <cell r="D4832">
            <v>41.781799999999997</v>
          </cell>
        </row>
        <row r="4833">
          <cell r="C4833" t="str">
            <v>Avadel Pharmaceuticals</v>
          </cell>
          <cell r="D4833">
            <v>35</v>
          </cell>
        </row>
        <row r="4834">
          <cell r="C4834" t="str">
            <v>Spyre Therapeutics</v>
          </cell>
          <cell r="D4834">
            <v>6.18</v>
          </cell>
        </row>
        <row r="4835">
          <cell r="C4835" t="str">
            <v>Engineers India</v>
          </cell>
          <cell r="D4835">
            <v>7.5247099999999998</v>
          </cell>
        </row>
        <row r="4836">
          <cell r="C4836" t="str">
            <v>Forbo Holding</v>
          </cell>
          <cell r="D4836">
            <v>35.61</v>
          </cell>
        </row>
        <row r="4837">
          <cell r="C4837" t="str">
            <v>Sanlorenzo</v>
          </cell>
          <cell r="D4837">
            <v>2.7404000000000002</v>
          </cell>
        </row>
        <row r="4838">
          <cell r="C4838" t="str">
            <v>Everbridge</v>
          </cell>
          <cell r="D4838">
            <v>6.3612200000000003</v>
          </cell>
        </row>
        <row r="4839">
          <cell r="C4839" t="str">
            <v>Ardelyx</v>
          </cell>
          <cell r="D4839">
            <v>9.6878799999999998</v>
          </cell>
        </row>
        <row r="4840">
          <cell r="C4840" t="str">
            <v>Alony Hetz</v>
          </cell>
          <cell r="D4840">
            <v>11.0946</v>
          </cell>
        </row>
        <row r="4841">
          <cell r="C4841" t="str">
            <v>Horace Mann Educators</v>
          </cell>
          <cell r="D4841">
            <v>1.01373</v>
          </cell>
        </row>
        <row r="4842">
          <cell r="C4842" t="str">
            <v>Enea</v>
          </cell>
          <cell r="D4842">
            <v>0.27573599999999998</v>
          </cell>
        </row>
        <row r="4843">
          <cell r="C4843" t="str">
            <v>ProSiebenSat.1 Media</v>
          </cell>
          <cell r="D4843">
            <v>4.53</v>
          </cell>
        </row>
        <row r="4844">
          <cell r="C4844" t="str">
            <v>Happiest Minds Technologies</v>
          </cell>
          <cell r="D4844">
            <v>2.09</v>
          </cell>
        </row>
        <row r="4845">
          <cell r="C4845" t="str">
            <v>Aya Gold &amp;amp; Silver</v>
          </cell>
          <cell r="D4845">
            <v>0.23854400000000001</v>
          </cell>
        </row>
        <row r="4846">
          <cell r="C4846" t="str">
            <v>Arion banki</v>
          </cell>
          <cell r="D4846">
            <v>213006</v>
          </cell>
        </row>
        <row r="4847">
          <cell r="C4847" t="str">
            <v>Pacific Basin Shipping</v>
          </cell>
          <cell r="D4847">
            <v>1.71</v>
          </cell>
        </row>
        <row r="4848">
          <cell r="C4848" t="str">
            <v>Matterport</v>
          </cell>
          <cell r="D4848">
            <v>4.59</v>
          </cell>
        </row>
        <row r="4849">
          <cell r="C4849" t="str">
            <v>Olaplex</v>
          </cell>
          <cell r="D4849">
            <v>29.532399999999999</v>
          </cell>
        </row>
        <row r="4850">
          <cell r="C4850" t="str">
            <v>Champion REIT</v>
          </cell>
          <cell r="D4850">
            <v>22.493099999999998</v>
          </cell>
        </row>
        <row r="4851">
          <cell r="C4851" t="str">
            <v>HBM Healthcare Investments</v>
          </cell>
          <cell r="D4851">
            <v>20.0991</v>
          </cell>
        </row>
        <row r="4852">
          <cell r="C4852" t="str">
            <v>Tilray</v>
          </cell>
          <cell r="D4852">
            <v>33.867600000000003</v>
          </cell>
        </row>
        <row r="4853">
          <cell r="C4853" t="str">
            <v>Fortuna Silver Mines</v>
          </cell>
          <cell r="D4853">
            <v>31.502199999999998</v>
          </cell>
        </row>
        <row r="4854">
          <cell r="C4854" t="str">
            <v>Safari Industries India</v>
          </cell>
          <cell r="D4854">
            <v>19.79</v>
          </cell>
        </row>
        <row r="4855">
          <cell r="C4855" t="str">
            <v>Labrador Iron Ore Royalty Corp.</v>
          </cell>
          <cell r="D4855">
            <v>39.53</v>
          </cell>
        </row>
        <row r="4856">
          <cell r="C4856" t="str">
            <v>AS ONE Corporation</v>
          </cell>
          <cell r="D4856">
            <v>26.66</v>
          </cell>
        </row>
        <row r="4857">
          <cell r="C4857" t="str">
            <v>Alpha Group International</v>
          </cell>
          <cell r="D4857">
            <v>40.46</v>
          </cell>
        </row>
        <row r="4858">
          <cell r="C4858" t="str">
            <v>Lisi S.A.</v>
          </cell>
          <cell r="D4858">
            <v>18.579899999999999</v>
          </cell>
        </row>
        <row r="4859">
          <cell r="C4859" t="str">
            <v>Alexander &amp;amp; Baldwin</v>
          </cell>
          <cell r="D4859">
            <v>3.5187400000000002</v>
          </cell>
        </row>
        <row r="4860">
          <cell r="C4860" t="str">
            <v>Ingevity</v>
          </cell>
          <cell r="D4860">
            <v>48.52</v>
          </cell>
        </row>
        <row r="4861">
          <cell r="C4861" t="str">
            <v>Flex Lng</v>
          </cell>
          <cell r="D4861">
            <v>19.46</v>
          </cell>
        </row>
        <row r="4862">
          <cell r="C4862" t="str">
            <v>Harrow Health</v>
          </cell>
          <cell r="D4862">
            <v>109922</v>
          </cell>
        </row>
        <row r="4863">
          <cell r="C4863" t="str">
            <v>Polenergia</v>
          </cell>
          <cell r="D4863">
            <v>17.685400000000001</v>
          </cell>
        </row>
        <row r="4864">
          <cell r="C4864" t="str">
            <v>Ingenia Communities Group</v>
          </cell>
          <cell r="D4864">
            <v>9.5531000000000006</v>
          </cell>
        </row>
        <row r="4865">
          <cell r="C4865" t="str">
            <v>CSG International</v>
          </cell>
          <cell r="D4865">
            <v>16.946400000000001</v>
          </cell>
        </row>
        <row r="4866">
          <cell r="C4866" t="str">
            <v>UMH Properties</v>
          </cell>
          <cell r="D4866">
            <v>24.33</v>
          </cell>
        </row>
        <row r="4867">
          <cell r="C4867" t="str">
            <v>Cera Sanitaryware</v>
          </cell>
          <cell r="D4867">
            <v>22.6648</v>
          </cell>
        </row>
        <row r="4868">
          <cell r="C4868" t="str">
            <v>Fiskars</v>
          </cell>
          <cell r="D4868">
            <v>5.7289000000000003</v>
          </cell>
        </row>
        <row r="4869">
          <cell r="C4869" t="str">
            <v>Wesdome Gold Mines</v>
          </cell>
          <cell r="D4869">
            <v>0.74122500000000002</v>
          </cell>
        </row>
        <row r="4870">
          <cell r="C4870" t="str">
            <v>Aevis Victoria</v>
          </cell>
          <cell r="D4870">
            <v>2.93357</v>
          </cell>
        </row>
        <row r="4871">
          <cell r="C4871" t="str">
            <v>SolarEdge</v>
          </cell>
          <cell r="D4871">
            <v>4.25</v>
          </cell>
        </row>
        <row r="4872">
          <cell r="C4872" t="str">
            <v>Better Collective A/S</v>
          </cell>
          <cell r="D4872">
            <v>0.89660300000000004</v>
          </cell>
        </row>
        <row r="4873">
          <cell r="C4873" t="str">
            <v>Superior Plus</v>
          </cell>
          <cell r="D4873">
            <v>17.45</v>
          </cell>
        </row>
        <row r="4874">
          <cell r="C4874" t="str">
            <v>Íslandsbanki</v>
          </cell>
          <cell r="D4874">
            <v>0.486095</v>
          </cell>
        </row>
        <row r="4875">
          <cell r="C4875" t="str">
            <v>Ceconomy</v>
          </cell>
          <cell r="D4875">
            <v>11186</v>
          </cell>
        </row>
        <row r="4876">
          <cell r="C4876" t="str">
            <v>NovaGold Resources</v>
          </cell>
          <cell r="D4876">
            <v>9.4271100000000008</v>
          </cell>
        </row>
        <row r="4877">
          <cell r="C4877" t="str">
            <v>Nine Entertainment Co. Holdings</v>
          </cell>
          <cell r="D4877">
            <v>88.427099999999996</v>
          </cell>
        </row>
        <row r="4878">
          <cell r="C4878" t="str">
            <v>Marten Transport</v>
          </cell>
          <cell r="D4878">
            <v>31.3</v>
          </cell>
        </row>
        <row r="4879">
          <cell r="C4879" t="str">
            <v>Ngern Tid Lor</v>
          </cell>
          <cell r="D4879">
            <v>11.7468</v>
          </cell>
        </row>
        <row r="4880">
          <cell r="C4880" t="str">
            <v>Terveystalo</v>
          </cell>
          <cell r="D4880">
            <v>11.33</v>
          </cell>
        </row>
        <row r="4881">
          <cell r="C4881" t="str">
            <v>InterRent Real Estate Investment Trust</v>
          </cell>
          <cell r="D4881">
            <v>22.712800000000001</v>
          </cell>
        </row>
        <row r="4882">
          <cell r="C4882" t="str">
            <v>Hornbach Holding</v>
          </cell>
          <cell r="D4882">
            <v>10.617599999999999</v>
          </cell>
        </row>
        <row r="4883">
          <cell r="C4883" t="str">
            <v>Sandy Spring Bank</v>
          </cell>
          <cell r="D4883">
            <v>644634</v>
          </cell>
        </row>
        <row r="4884">
          <cell r="C4884" t="str">
            <v>MDA Ltd.</v>
          </cell>
          <cell r="D4884">
            <v>4.3499999999999996</v>
          </cell>
        </row>
        <row r="4885">
          <cell r="C4885" t="str">
            <v>Xerox</v>
          </cell>
          <cell r="D4885">
            <v>8.2899999999999991</v>
          </cell>
        </row>
        <row r="4886">
          <cell r="C4886" t="str">
            <v>Montana Aerospace</v>
          </cell>
          <cell r="D4886">
            <v>8.1994000000000007</v>
          </cell>
        </row>
        <row r="4887">
          <cell r="C4887" t="str">
            <v>Aether Industries</v>
          </cell>
          <cell r="D4887">
            <v>7.11</v>
          </cell>
        </row>
        <row r="4888">
          <cell r="C4888" t="str">
            <v>Warba Bank</v>
          </cell>
          <cell r="D4888">
            <v>29.24</v>
          </cell>
        </row>
        <row r="4889">
          <cell r="C4889" t="str">
            <v>Thoughtworks</v>
          </cell>
          <cell r="D4889">
            <v>9.25169</v>
          </cell>
        </row>
        <row r="4890">
          <cell r="C4890" t="str">
            <v>Ready Capital</v>
          </cell>
          <cell r="D4890">
            <v>1.2</v>
          </cell>
        </row>
        <row r="4891">
          <cell r="C4891" t="str">
            <v>HelloFresh</v>
          </cell>
          <cell r="D4891">
            <v>8.27346</v>
          </cell>
        </row>
        <row r="4892">
          <cell r="C4892" t="str">
            <v>Brookdale Senior Living</v>
          </cell>
          <cell r="D4892">
            <v>1.71268</v>
          </cell>
        </row>
        <row r="4893">
          <cell r="C4893" t="str">
            <v>Fresh Del Monte Produce</v>
          </cell>
          <cell r="D4893">
            <v>40.82</v>
          </cell>
        </row>
        <row r="4894">
          <cell r="C4894" t="str">
            <v>Metrovacesa</v>
          </cell>
          <cell r="D4894">
            <v>75.92</v>
          </cell>
        </row>
        <row r="4895">
          <cell r="C4895" t="str">
            <v>Fannie Mae</v>
          </cell>
          <cell r="D4895">
            <v>4.4014699999999998</v>
          </cell>
        </row>
        <row r="4896">
          <cell r="C4896" t="str">
            <v>Salvatore Ferragamo</v>
          </cell>
          <cell r="D4896">
            <v>18.481300000000001</v>
          </cell>
        </row>
        <row r="4897">
          <cell r="C4897" t="str">
            <v>Gulf Navigation Holding</v>
          </cell>
          <cell r="D4897">
            <v>2.35</v>
          </cell>
        </row>
        <row r="4898">
          <cell r="C4898" t="str">
            <v>Saul Centers</v>
          </cell>
          <cell r="D4898">
            <v>0.61602599999999996</v>
          </cell>
        </row>
        <row r="4899">
          <cell r="C4899" t="str">
            <v>Monarch Casino &amp;amp; Resort</v>
          </cell>
          <cell r="D4899">
            <v>4.6841900000000001</v>
          </cell>
        </row>
        <row r="4900">
          <cell r="C4900" t="str">
            <v>Gujarat Mineral Development</v>
          </cell>
          <cell r="D4900">
            <v>74</v>
          </cell>
        </row>
        <row r="4901">
          <cell r="C4901" t="str">
            <v>Hamburger Hafen</v>
          </cell>
          <cell r="D4901">
            <v>16.89</v>
          </cell>
        </row>
        <row r="4902">
          <cell r="C4902" t="str">
            <v>BlackBerry</v>
          </cell>
          <cell r="D4902">
            <v>25.864899999999999</v>
          </cell>
        </row>
        <row r="4903">
          <cell r="C4903" t="str">
            <v>Bank Islam Malaysia</v>
          </cell>
          <cell r="D4903">
            <v>46.406199999999998</v>
          </cell>
        </row>
        <row r="4904">
          <cell r="C4904" t="str">
            <v>Siam City Cement (INSEE)</v>
          </cell>
          <cell r="D4904">
            <v>1.03111</v>
          </cell>
        </row>
        <row r="4905">
          <cell r="C4905" t="str">
            <v>Ingles Markets</v>
          </cell>
          <cell r="D4905">
            <v>0.85261900000000002</v>
          </cell>
        </row>
        <row r="4906">
          <cell r="C4906" t="str">
            <v>Utz Brands</v>
          </cell>
          <cell r="D4906">
            <v>89.61</v>
          </cell>
        </row>
        <row r="4907">
          <cell r="C4907" t="str">
            <v>Eurocommercial Properties</v>
          </cell>
          <cell r="D4907">
            <v>6.7442399999999996</v>
          </cell>
        </row>
        <row r="4908">
          <cell r="C4908" t="str">
            <v>Al Moammar Information Systems</v>
          </cell>
          <cell r="D4908">
            <v>4.0912100000000002</v>
          </cell>
        </row>
        <row r="4909">
          <cell r="C4909" t="str">
            <v>Central Plaza Hotel</v>
          </cell>
          <cell r="D4909">
            <v>13.02</v>
          </cell>
        </row>
        <row r="4910">
          <cell r="C4910" t="str">
            <v>Sigma Healthcare</v>
          </cell>
          <cell r="D4910">
            <v>11.11</v>
          </cell>
        </row>
        <row r="4911">
          <cell r="C4911" t="str">
            <v>American Woodmark</v>
          </cell>
          <cell r="D4911">
            <v>9.3306900000000006</v>
          </cell>
        </row>
        <row r="4912">
          <cell r="C4912" t="str">
            <v>Innergex Renewable Energy</v>
          </cell>
          <cell r="D4912">
            <v>0.65696399999999999</v>
          </cell>
        </row>
        <row r="4913">
          <cell r="C4913" t="str">
            <v>Knowledge Economic City Company</v>
          </cell>
          <cell r="D4913">
            <v>36.08</v>
          </cell>
        </row>
        <row r="4914">
          <cell r="C4914" t="str">
            <v>DNOW Inc.</v>
          </cell>
          <cell r="D4914">
            <v>51.79</v>
          </cell>
        </row>
        <row r="4915">
          <cell r="C4915" t="str">
            <v>Sunnova</v>
          </cell>
          <cell r="D4915">
            <v>6.42</v>
          </cell>
        </row>
        <row r="4916">
          <cell r="C4916" t="str">
            <v>Quess</v>
          </cell>
          <cell r="D4916">
            <v>4.4800000000000004</v>
          </cell>
        </row>
        <row r="4917">
          <cell r="C4917" t="str">
            <v>Bangkok Airways</v>
          </cell>
          <cell r="D4917">
            <v>28.71</v>
          </cell>
        </row>
        <row r="4918">
          <cell r="C4918" t="str">
            <v>Longboard Pharmaceuticals</v>
          </cell>
          <cell r="D4918">
            <v>4.1110199999999999</v>
          </cell>
        </row>
        <row r="4919">
          <cell r="C4919" t="str">
            <v>Westamerica Bancorporation</v>
          </cell>
          <cell r="D4919">
            <v>8.82</v>
          </cell>
        </row>
        <row r="4920">
          <cell r="C4920" t="str">
            <v>RPC</v>
          </cell>
          <cell r="D4920">
            <v>0.30010399999999998</v>
          </cell>
        </row>
        <row r="4921">
          <cell r="C4921" t="str">
            <v>E2open</v>
          </cell>
          <cell r="D4921">
            <v>11.53</v>
          </cell>
        </row>
        <row r="4922">
          <cell r="C4922" t="str">
            <v>Cassava Sciences</v>
          </cell>
          <cell r="D4922">
            <v>12.6</v>
          </cell>
        </row>
        <row r="4923">
          <cell r="C4923" t="str">
            <v>Phu Nhuan Jewelry (PNJ)</v>
          </cell>
          <cell r="D4923">
            <v>10.5495</v>
          </cell>
        </row>
        <row r="4924">
          <cell r="C4924" t="str">
            <v>Ocular Therapeutix</v>
          </cell>
          <cell r="D4924">
            <v>147113</v>
          </cell>
        </row>
        <row r="4925">
          <cell r="C4925" t="str">
            <v>Beijing Airport</v>
          </cell>
          <cell r="D4925">
            <v>35.89</v>
          </cell>
        </row>
        <row r="4926">
          <cell r="C4926" t="str">
            <v>Select Energy Services</v>
          </cell>
          <cell r="D4926">
            <v>25.19</v>
          </cell>
        </row>
        <row r="4927">
          <cell r="C4927" t="str">
            <v>Adeia</v>
          </cell>
          <cell r="D4927">
            <v>12.4871</v>
          </cell>
        </row>
        <row r="4928">
          <cell r="C4928" t="str">
            <v>Neuren Pharmaceuticals</v>
          </cell>
          <cell r="D4928">
            <v>2.9367999999999999</v>
          </cell>
        </row>
        <row r="4929">
          <cell r="C4929" t="str">
            <v>Mainstreet Equity</v>
          </cell>
          <cell r="D4929">
            <v>11729</v>
          </cell>
        </row>
        <row r="4930">
          <cell r="C4930" t="str">
            <v>Vital Energy</v>
          </cell>
          <cell r="D4930">
            <v>2.49986</v>
          </cell>
        </row>
        <row r="4931">
          <cell r="C4931" t="str">
            <v>Veritex Holdings</v>
          </cell>
          <cell r="D4931">
            <v>6.6408899999999997</v>
          </cell>
        </row>
        <row r="4932">
          <cell r="C4932" t="str">
            <v>Sparebanken Vest</v>
          </cell>
          <cell r="D4932">
            <v>0.217033</v>
          </cell>
        </row>
        <row r="4933">
          <cell r="C4933" t="str">
            <v>Tuas Limited</v>
          </cell>
          <cell r="D4933">
            <v>1.3096699999999999</v>
          </cell>
        </row>
        <row r="4934">
          <cell r="C4934" t="str">
            <v>Fever-Tree Drinks</v>
          </cell>
          <cell r="D4934">
            <v>13.12</v>
          </cell>
        </row>
        <row r="4935">
          <cell r="C4935" t="str">
            <v>Shikun &amp;amp; Binui</v>
          </cell>
          <cell r="D4935">
            <v>86.98</v>
          </cell>
        </row>
        <row r="4936">
          <cell r="C4936" t="str">
            <v>Jahez International Company for Information Systems Technology</v>
          </cell>
          <cell r="D4936">
            <v>13.84</v>
          </cell>
        </row>
        <row r="4937">
          <cell r="C4937" t="str">
            <v>Aamal Company</v>
          </cell>
          <cell r="D4937">
            <v>175348</v>
          </cell>
        </row>
        <row r="4938">
          <cell r="C4938" t="str">
            <v>Marcopolo</v>
          </cell>
          <cell r="D4938">
            <v>22.4</v>
          </cell>
        </row>
        <row r="4939">
          <cell r="C4939" t="str">
            <v>Easterly Government Properties</v>
          </cell>
          <cell r="D4939">
            <v>6.05</v>
          </cell>
        </row>
        <row r="4940">
          <cell r="C4940" t="str">
            <v>Oxford Industries</v>
          </cell>
          <cell r="D4940">
            <v>4.53</v>
          </cell>
        </row>
        <row r="4941">
          <cell r="C4941" t="str">
            <v>Day One Biopharmaceuticals</v>
          </cell>
          <cell r="D4941">
            <v>1.8302499999999999</v>
          </cell>
        </row>
        <row r="4942">
          <cell r="C4942" t="str">
            <v>Compagnie Financière Tradition</v>
          </cell>
          <cell r="D4942">
            <v>12.15</v>
          </cell>
        </row>
        <row r="4943">
          <cell r="C4943" t="str">
            <v>Paysafe</v>
          </cell>
          <cell r="D4943">
            <v>19.389299999999999</v>
          </cell>
        </row>
        <row r="4944">
          <cell r="C4944" t="str">
            <v>Sana Biotechnology</v>
          </cell>
          <cell r="D4944">
            <v>1.1065100000000001</v>
          </cell>
        </row>
        <row r="4945">
          <cell r="C4945" t="str">
            <v>EVgo</v>
          </cell>
          <cell r="D4945">
            <v>31.45</v>
          </cell>
        </row>
        <row r="4946">
          <cell r="C4946" t="str">
            <v>Bao Viet Holdings</v>
          </cell>
          <cell r="D4946">
            <v>54.3</v>
          </cell>
        </row>
        <row r="4947">
          <cell r="C4947" t="str">
            <v>LendingClub</v>
          </cell>
          <cell r="D4947">
            <v>2.1315499999999998</v>
          </cell>
        </row>
        <row r="4948">
          <cell r="C4948" t="str">
            <v>Saudi Automotive Services Company</v>
          </cell>
          <cell r="D4948">
            <v>124.05</v>
          </cell>
        </row>
        <row r="4949">
          <cell r="C4949" t="str">
            <v>Aksa Energy</v>
          </cell>
          <cell r="D4949">
            <v>9.75</v>
          </cell>
        </row>
        <row r="4950">
          <cell r="C4950" t="str">
            <v>Vital Farms</v>
          </cell>
          <cell r="D4950">
            <v>6708.12</v>
          </cell>
        </row>
        <row r="4951">
          <cell r="C4951" t="str">
            <v>Universal Corporation</v>
          </cell>
          <cell r="D4951">
            <v>3.3342499999999999</v>
          </cell>
        </row>
        <row r="4952">
          <cell r="C4952" t="str">
            <v>Centuria Industrial REIT</v>
          </cell>
          <cell r="D4952">
            <v>13.04</v>
          </cell>
        </row>
        <row r="4953">
          <cell r="C4953" t="str">
            <v>Lindsay Corporation</v>
          </cell>
          <cell r="D4953">
            <v>14.36</v>
          </cell>
        </row>
        <row r="4954">
          <cell r="C4954" t="str">
            <v>Wolfspeed</v>
          </cell>
          <cell r="D4954">
            <v>4.2</v>
          </cell>
        </row>
        <row r="4955">
          <cell r="C4955" t="str">
            <v>Boursa Kuwait Securities Company</v>
          </cell>
          <cell r="D4955">
            <v>31.723199999999999</v>
          </cell>
        </row>
        <row r="4956">
          <cell r="C4956" t="str">
            <v>Spire Healthcare Group</v>
          </cell>
          <cell r="D4956">
            <v>63.75</v>
          </cell>
        </row>
        <row r="4957">
          <cell r="C4957" t="str">
            <v>MAG Silver</v>
          </cell>
          <cell r="D4957">
            <v>13.05</v>
          </cell>
        </row>
        <row r="4958">
          <cell r="C4958" t="str">
            <v>Century Aluminum</v>
          </cell>
          <cell r="D4958">
            <v>1.1101000000000001</v>
          </cell>
        </row>
        <row r="4959">
          <cell r="C4959" t="str">
            <v>Orla Mining</v>
          </cell>
          <cell r="D4959">
            <v>25.37</v>
          </cell>
        </row>
        <row r="4960">
          <cell r="C4960" t="str">
            <v>Italmobiliare</v>
          </cell>
          <cell r="D4960">
            <v>3.77</v>
          </cell>
        </row>
        <row r="4961">
          <cell r="C4961" t="str">
            <v>ANI Pharmaceuticals</v>
          </cell>
          <cell r="D4961">
            <v>3.58704</v>
          </cell>
        </row>
        <row r="4962">
          <cell r="C4962" t="str">
            <v>Sally Beauty Holdings</v>
          </cell>
          <cell r="D4962">
            <v>6.58</v>
          </cell>
        </row>
        <row r="4963">
          <cell r="C4963" t="str">
            <v>Usiminas</v>
          </cell>
          <cell r="D4963">
            <v>0.55000000000000004</v>
          </cell>
        </row>
        <row r="4964">
          <cell r="C4964" t="str">
            <v>Kenon Holdings</v>
          </cell>
          <cell r="D4964">
            <v>2.3326600000000002</v>
          </cell>
        </row>
        <row r="4965">
          <cell r="C4965" t="str">
            <v>Evotec</v>
          </cell>
          <cell r="D4965">
            <v>1.68977</v>
          </cell>
        </row>
        <row r="4966">
          <cell r="C4966" t="str">
            <v>StorageVault Canada</v>
          </cell>
          <cell r="D4966">
            <v>28.287800000000001</v>
          </cell>
        </row>
        <row r="4967">
          <cell r="C4967" t="str">
            <v>LiveWire Group</v>
          </cell>
          <cell r="D4967">
            <v>144515</v>
          </cell>
        </row>
        <row r="4968">
          <cell r="C4968" t="str">
            <v>Al Yah Satellite Communications Company</v>
          </cell>
          <cell r="D4968">
            <v>0.429396</v>
          </cell>
        </row>
        <row r="4969">
          <cell r="C4969" t="str">
            <v>Spirent</v>
          </cell>
          <cell r="D4969">
            <v>8.2677700000000005</v>
          </cell>
        </row>
        <row r="4970">
          <cell r="C4970" t="str">
            <v>Calibre Mining</v>
          </cell>
          <cell r="D4970">
            <v>11.56</v>
          </cell>
        </row>
        <row r="4971">
          <cell r="C4971" t="str">
            <v>Riken Keiki</v>
          </cell>
          <cell r="D4971">
            <v>5.9277300000000004</v>
          </cell>
        </row>
        <row r="4972">
          <cell r="C4972" t="str">
            <v>Intershop Holding</v>
          </cell>
          <cell r="D4972">
            <v>32873</v>
          </cell>
        </row>
        <row r="4973">
          <cell r="C4973" t="str">
            <v>Doha Bank</v>
          </cell>
          <cell r="D4973">
            <v>24955</v>
          </cell>
        </row>
        <row r="4974">
          <cell r="C4974" t="str">
            <v>Miahona Company</v>
          </cell>
          <cell r="D4974">
            <v>0.83770900000000004</v>
          </cell>
        </row>
        <row r="4975">
          <cell r="C4975" t="str">
            <v>Kronos Worldwide</v>
          </cell>
          <cell r="D4975">
            <v>34.044400000000003</v>
          </cell>
        </row>
        <row r="4976">
          <cell r="C4976" t="str">
            <v>GrainCorp</v>
          </cell>
          <cell r="D4976">
            <v>9.9259400000000007</v>
          </cell>
        </row>
        <row r="4977">
          <cell r="C4977" t="str">
            <v>CEAT</v>
          </cell>
          <cell r="D4977">
            <v>14.4894</v>
          </cell>
        </row>
        <row r="4978">
          <cell r="C4978" t="str">
            <v>MapmyIndia</v>
          </cell>
          <cell r="D4978">
            <v>237131</v>
          </cell>
        </row>
        <row r="4979">
          <cell r="C4979" t="str">
            <v>Precinct Properties</v>
          </cell>
          <cell r="D4979">
            <v>2.4000900000000001</v>
          </cell>
        </row>
        <row r="4980">
          <cell r="C4980" t="str">
            <v>Lenzing</v>
          </cell>
          <cell r="D4980">
            <v>2.94</v>
          </cell>
        </row>
        <row r="4981">
          <cell r="C4981" t="str">
            <v>Corticeira Amorim</v>
          </cell>
          <cell r="D4981">
            <v>3.18954</v>
          </cell>
        </row>
        <row r="4982">
          <cell r="C4982" t="str">
            <v>MIRAIT ONE Corporation</v>
          </cell>
          <cell r="D4982">
            <v>2.7</v>
          </cell>
        </row>
        <row r="4983">
          <cell r="C4983" t="str">
            <v>Jungfraubahn Holding AG</v>
          </cell>
          <cell r="D4983">
            <v>88.55</v>
          </cell>
        </row>
        <row r="4984">
          <cell r="C4984" t="str">
            <v>Rashtriya Chemicals and Fertilizers</v>
          </cell>
          <cell r="D4984">
            <v>8.7899999999999991</v>
          </cell>
        </row>
        <row r="4985">
          <cell r="C4985" t="str">
            <v>Sihanoukville Autonomous Port</v>
          </cell>
          <cell r="D4985">
            <v>11.4453</v>
          </cell>
        </row>
        <row r="4986">
          <cell r="C4986" t="str">
            <v>Bradespar</v>
          </cell>
          <cell r="D4986">
            <v>18.53</v>
          </cell>
        </row>
        <row r="4987">
          <cell r="C4987" t="str">
            <v>ANGI Homeservices</v>
          </cell>
          <cell r="D4987">
            <v>20.420000000000002</v>
          </cell>
        </row>
        <row r="4988">
          <cell r="C4988" t="str">
            <v>Safety Insurance</v>
          </cell>
          <cell r="D4988">
            <v>14.89</v>
          </cell>
        </row>
        <row r="4989">
          <cell r="C4989" t="str">
            <v>Zuora</v>
          </cell>
          <cell r="D4989">
            <v>9.3000000000000007</v>
          </cell>
        </row>
        <row r="4990">
          <cell r="C4990" t="str">
            <v>Bajaj Electricals</v>
          </cell>
          <cell r="D4990">
            <v>2.4901900000000001</v>
          </cell>
        </row>
        <row r="4991">
          <cell r="C4991" t="str">
            <v>Lemonade</v>
          </cell>
          <cell r="D4991">
            <v>39.894599999999997</v>
          </cell>
        </row>
        <row r="4992">
          <cell r="C4992" t="str">
            <v>Delek US</v>
          </cell>
          <cell r="D4992">
            <v>18.860800000000001</v>
          </cell>
        </row>
        <row r="4993">
          <cell r="C4993" t="str">
            <v>Opera</v>
          </cell>
          <cell r="D4993">
            <v>38.299999999999997</v>
          </cell>
        </row>
        <row r="4994">
          <cell r="C4994" t="str">
            <v>Aimco</v>
          </cell>
          <cell r="D4994">
            <v>18518</v>
          </cell>
        </row>
        <row r="4995">
          <cell r="C4995" t="str">
            <v>Deterra Royalties</v>
          </cell>
          <cell r="D4995">
            <v>64.573599999999999</v>
          </cell>
        </row>
        <row r="4996">
          <cell r="C4996" t="str">
            <v>PolyPeptide Group</v>
          </cell>
          <cell r="D4996">
            <v>9.3612500000000001</v>
          </cell>
        </row>
        <row r="4997">
          <cell r="C4997" t="str">
            <v>Mixi</v>
          </cell>
          <cell r="D4997">
            <v>216.23</v>
          </cell>
        </row>
        <row r="4998">
          <cell r="C4998" t="str">
            <v>Construcciones y Auxiliar de Ferrocarriles</v>
          </cell>
          <cell r="D4998">
            <v>99.340500000000006</v>
          </cell>
        </row>
        <row r="4999">
          <cell r="C4999" t="str">
            <v>LOTTE Corporation</v>
          </cell>
          <cell r="D4999">
            <v>2.0299999999999998</v>
          </cell>
        </row>
        <row r="5000">
          <cell r="C5000" t="str">
            <v>Vesuvius India</v>
          </cell>
          <cell r="D5000">
            <v>2.63</v>
          </cell>
        </row>
        <row r="5001">
          <cell r="C5001" t="str">
            <v>Southern Province Cement Company</v>
          </cell>
          <cell r="D5001">
            <v>7.4831399999999997</v>
          </cell>
        </row>
        <row r="5002">
          <cell r="C5002" t="str">
            <v>Hovnanian Enterprises</v>
          </cell>
          <cell r="D5002">
            <v>9.4771699999999992</v>
          </cell>
        </row>
        <row r="5003">
          <cell r="C5003" t="str">
            <v>Force Motors</v>
          </cell>
          <cell r="D5003">
            <v>3.56481</v>
          </cell>
        </row>
        <row r="5004">
          <cell r="C5004" t="str">
            <v>Polymetal</v>
          </cell>
          <cell r="D5004">
            <v>27.63</v>
          </cell>
        </row>
        <row r="5005">
          <cell r="C5005" t="str">
            <v>Clover Health Investments</v>
          </cell>
          <cell r="D5005">
            <v>7.06</v>
          </cell>
        </row>
        <row r="5006">
          <cell r="C5006" t="str">
            <v>GVS S.p.A.</v>
          </cell>
          <cell r="D5006">
            <v>2.7594500000000002</v>
          </cell>
        </row>
        <row r="5007">
          <cell r="C5007" t="str">
            <v>Nokian Tyres</v>
          </cell>
          <cell r="D5007">
            <v>43.14</v>
          </cell>
        </row>
        <row r="5008">
          <cell r="C5008" t="str">
            <v>Osisko Mining</v>
          </cell>
          <cell r="D5008">
            <v>5.4855900000000002</v>
          </cell>
        </row>
        <row r="5009">
          <cell r="C5009" t="str">
            <v>Quanex Building Products</v>
          </cell>
          <cell r="D5009">
            <v>6.0130400000000002</v>
          </cell>
        </row>
        <row r="5010">
          <cell r="C5010" t="str">
            <v>VTEX</v>
          </cell>
          <cell r="D5010">
            <v>13.87</v>
          </cell>
        </row>
        <row r="5011">
          <cell r="C5011" t="str">
            <v>REE (Refrigeration Electrical Engineering Corporation)</v>
          </cell>
          <cell r="D5011">
            <v>7.1181299999999998</v>
          </cell>
        </row>
        <row r="5012">
          <cell r="C5012" t="str">
            <v>Docebo</v>
          </cell>
          <cell r="D5012">
            <v>77.13</v>
          </cell>
        </row>
        <row r="5013">
          <cell r="C5013" t="str">
            <v>Puravankara</v>
          </cell>
          <cell r="D5013">
            <v>0.74617900000000004</v>
          </cell>
        </row>
        <row r="5014">
          <cell r="C5014" t="str">
            <v>AmRest</v>
          </cell>
          <cell r="D5014">
            <v>23.61</v>
          </cell>
        </row>
        <row r="5015">
          <cell r="C5015" t="str">
            <v>WalkMe</v>
          </cell>
          <cell r="D5015">
            <v>5.4695</v>
          </cell>
        </row>
        <row r="5016">
          <cell r="C5016" t="str">
            <v>Mitsui High-tec</v>
          </cell>
          <cell r="D5016">
            <v>16.690000000000001</v>
          </cell>
        </row>
        <row r="5017">
          <cell r="C5017" t="str">
            <v>QCR Holdings</v>
          </cell>
          <cell r="D5017">
            <v>6.0865</v>
          </cell>
        </row>
        <row r="5018">
          <cell r="C5018" t="str">
            <v>Eximbank (Vietnam Export Import Commercial Joint Stock Bank)</v>
          </cell>
          <cell r="D5018">
            <v>6.8199399999999999</v>
          </cell>
        </row>
        <row r="5019">
          <cell r="C5019" t="str">
            <v>Sila Realty Trust</v>
          </cell>
          <cell r="D5019">
            <v>0.19</v>
          </cell>
        </row>
        <row r="5020">
          <cell r="C5020" t="str">
            <v>K92 Mining</v>
          </cell>
          <cell r="D5020">
            <v>2.85663</v>
          </cell>
        </row>
        <row r="5021">
          <cell r="C5021" t="str">
            <v>Netstreit</v>
          </cell>
          <cell r="D5021">
            <v>0.34</v>
          </cell>
        </row>
        <row r="5022">
          <cell r="C5022" t="str">
            <v>Tokai Carbon</v>
          </cell>
          <cell r="D5022">
            <v>18.0686</v>
          </cell>
        </row>
        <row r="5023">
          <cell r="C5023" t="str">
            <v>OVH Groupe</v>
          </cell>
          <cell r="D5023">
            <v>10.7918</v>
          </cell>
        </row>
        <row r="5024">
          <cell r="C5024" t="str">
            <v>Dana Gas</v>
          </cell>
          <cell r="D5024">
            <v>85.6</v>
          </cell>
        </row>
        <row r="5025">
          <cell r="C5025" t="str">
            <v>Marksans Pharma</v>
          </cell>
          <cell r="D5025">
            <v>28.351900000000001</v>
          </cell>
        </row>
        <row r="5026">
          <cell r="C5026" t="str">
            <v>GFH Financial Group</v>
          </cell>
          <cell r="D5026">
            <v>13.77</v>
          </cell>
        </row>
        <row r="5027">
          <cell r="C5027" t="str">
            <v>Pet Valu</v>
          </cell>
          <cell r="D5027">
            <v>10.180199999999999</v>
          </cell>
        </row>
        <row r="5028">
          <cell r="C5028" t="str">
            <v>Pigeon</v>
          </cell>
          <cell r="D5028">
            <v>18.629200000000001</v>
          </cell>
        </row>
        <row r="5029">
          <cell r="C5029" t="str">
            <v>U.S. Physical Therapy</v>
          </cell>
          <cell r="D5029">
            <v>0.56248299999999996</v>
          </cell>
        </row>
        <row r="5030">
          <cell r="C5030" t="str">
            <v>Grenke</v>
          </cell>
          <cell r="D5030">
            <v>0.69399</v>
          </cell>
        </row>
        <row r="5031">
          <cell r="C5031" t="str">
            <v>Gyre Therapeutics</v>
          </cell>
          <cell r="D5031">
            <v>45.82</v>
          </cell>
        </row>
        <row r="5032">
          <cell r="C5032" t="str">
            <v>thyssenkrupp nucera</v>
          </cell>
          <cell r="D5032">
            <v>33.5</v>
          </cell>
        </row>
        <row r="5033">
          <cell r="C5033" t="str">
            <v>Symphony Limited</v>
          </cell>
          <cell r="D5033">
            <v>15.9611</v>
          </cell>
        </row>
        <row r="5034">
          <cell r="C5034" t="str">
            <v>United Gulf Holding Company</v>
          </cell>
          <cell r="D5034">
            <v>4.1063299999999998</v>
          </cell>
        </row>
        <row r="5035">
          <cell r="C5035" t="str">
            <v>Sildarvinnslan</v>
          </cell>
          <cell r="D5035">
            <v>12.52</v>
          </cell>
        </row>
        <row r="5036">
          <cell r="C5036" t="str">
            <v>Establishment Labs</v>
          </cell>
          <cell r="D5036">
            <v>80.847300000000004</v>
          </cell>
        </row>
        <row r="5037">
          <cell r="C5037" t="str">
            <v>Global Industrial Company</v>
          </cell>
          <cell r="D5037">
            <v>10.7834</v>
          </cell>
        </row>
        <row r="5038">
          <cell r="C5038" t="str">
            <v>Semapa</v>
          </cell>
          <cell r="D5038">
            <v>0.54103000000000001</v>
          </cell>
        </row>
        <row r="5039">
          <cell r="C5039" t="str">
            <v>Faes Farma</v>
          </cell>
          <cell r="D5039">
            <v>26.21</v>
          </cell>
        </row>
        <row r="5040">
          <cell r="C5040" t="str">
            <v>MFA Financial</v>
          </cell>
          <cell r="D5040">
            <v>11.7532</v>
          </cell>
        </row>
        <row r="5041">
          <cell r="C5041" t="str">
            <v>Power Mech Projects</v>
          </cell>
          <cell r="D5041">
            <v>16.71</v>
          </cell>
        </row>
        <row r="5042">
          <cell r="C5042" t="str">
            <v>Canfor</v>
          </cell>
          <cell r="D5042">
            <v>15.18</v>
          </cell>
        </row>
        <row r="5043">
          <cell r="C5043" t="str">
            <v>PetroVietnam Power</v>
          </cell>
          <cell r="D5043">
            <v>8.4700000000000006</v>
          </cell>
        </row>
        <row r="5044">
          <cell r="C5044" t="str">
            <v>AtriCure</v>
          </cell>
          <cell r="D5044">
            <v>9.64</v>
          </cell>
        </row>
        <row r="5045">
          <cell r="C5045" t="str">
            <v>AF Gruppen</v>
          </cell>
          <cell r="D5045">
            <v>15.7913</v>
          </cell>
        </row>
        <row r="5046">
          <cell r="C5046" t="str">
            <v>InMode</v>
          </cell>
          <cell r="D5046">
            <v>10.88</v>
          </cell>
        </row>
        <row r="5047">
          <cell r="C5047" t="str">
            <v>MaxLinear</v>
          </cell>
          <cell r="D5047">
            <v>65.59</v>
          </cell>
        </row>
        <row r="5048">
          <cell r="C5048" t="str">
            <v>Udemy</v>
          </cell>
          <cell r="D5048">
            <v>8.1</v>
          </cell>
        </row>
        <row r="5049">
          <cell r="C5049" t="str">
            <v>Upwork</v>
          </cell>
          <cell r="D5049">
            <v>13.5623</v>
          </cell>
        </row>
        <row r="5050">
          <cell r="C5050" t="str">
            <v>Scandinavian Tobacco Group</v>
          </cell>
          <cell r="D5050">
            <v>35.880000000000003</v>
          </cell>
        </row>
        <row r="5051">
          <cell r="C5051" t="str">
            <v>Arcutis Biotherapeutics</v>
          </cell>
          <cell r="D5051">
            <v>1.6849400000000001</v>
          </cell>
        </row>
        <row r="5052">
          <cell r="C5052" t="str">
            <v>Kforce</v>
          </cell>
          <cell r="D5052">
            <v>1.77</v>
          </cell>
        </row>
        <row r="5053">
          <cell r="C5053" t="str">
            <v>Coursera</v>
          </cell>
          <cell r="D5053">
            <v>360.6</v>
          </cell>
        </row>
        <row r="5054">
          <cell r="C5054" t="str">
            <v>Wüstenrot &amp;amp; Württembergische</v>
          </cell>
          <cell r="D5054">
            <v>7.07</v>
          </cell>
        </row>
        <row r="5055">
          <cell r="C5055" t="str">
            <v>Shutterstock</v>
          </cell>
          <cell r="D5055">
            <v>106002</v>
          </cell>
        </row>
        <row r="5056">
          <cell r="C5056" t="str">
            <v>Growthpoint Properties Australia</v>
          </cell>
          <cell r="D5056">
            <v>11.83</v>
          </cell>
        </row>
        <row r="5057">
          <cell r="C5057" t="str">
            <v>Wheels Up</v>
          </cell>
          <cell r="D5057">
            <v>44.63</v>
          </cell>
        </row>
        <row r="5058">
          <cell r="C5058" t="str">
            <v>Winmark</v>
          </cell>
          <cell r="D5058">
            <v>38233</v>
          </cell>
        </row>
        <row r="5059">
          <cell r="C5059" t="str">
            <v>Pitney Bowes</v>
          </cell>
          <cell r="D5059">
            <v>1.0824499999999999</v>
          </cell>
        </row>
        <row r="5060">
          <cell r="C5060" t="str">
            <v>Vetoquinol</v>
          </cell>
          <cell r="D5060">
            <v>11.3528</v>
          </cell>
        </row>
        <row r="5061">
          <cell r="C5061" t="str">
            <v>Tango Therapeutics</v>
          </cell>
          <cell r="D5061">
            <v>22.44</v>
          </cell>
        </row>
        <row r="5062">
          <cell r="C5062" t="str">
            <v>Central Securities</v>
          </cell>
          <cell r="D5062">
            <v>41.329799999999999</v>
          </cell>
        </row>
        <row r="5063">
          <cell r="C5063" t="str">
            <v>JYP Entertainment</v>
          </cell>
          <cell r="D5063">
            <v>26.91</v>
          </cell>
        </row>
        <row r="5064">
          <cell r="C5064" t="str">
            <v>Fortress REIT</v>
          </cell>
          <cell r="D5064">
            <v>12.98</v>
          </cell>
        </row>
        <row r="5065">
          <cell r="C5065" t="str">
            <v>DeNA</v>
          </cell>
          <cell r="D5065">
            <v>50.94</v>
          </cell>
        </row>
        <row r="5066">
          <cell r="C5066" t="str">
            <v>Par Pacific Holdings</v>
          </cell>
          <cell r="D5066">
            <v>4.79922</v>
          </cell>
        </row>
        <row r="5067">
          <cell r="C5067" t="str">
            <v>D/S Norden (Dampskibsselskabet Norden)</v>
          </cell>
          <cell r="D5067">
            <v>20.02</v>
          </cell>
        </row>
        <row r="5068">
          <cell r="C5068" t="str">
            <v>Cohu</v>
          </cell>
          <cell r="D5068">
            <v>23.97</v>
          </cell>
        </row>
        <row r="5069">
          <cell r="C5069" t="str">
            <v>ARS Pharmaceuticals</v>
          </cell>
          <cell r="D5069">
            <v>26.132899999999999</v>
          </cell>
        </row>
        <row r="5070">
          <cell r="C5070" t="str">
            <v>ScanSource</v>
          </cell>
          <cell r="D5070">
            <v>63.9</v>
          </cell>
        </row>
        <row r="5071">
          <cell r="C5071" t="str">
            <v>Arvind</v>
          </cell>
          <cell r="D5071">
            <v>43.716099999999997</v>
          </cell>
        </row>
        <row r="5072">
          <cell r="C5072" t="str">
            <v>Cannae Holdings</v>
          </cell>
          <cell r="D5072">
            <v>39.685299999999998</v>
          </cell>
        </row>
        <row r="5073">
          <cell r="C5073" t="str">
            <v>Tutor Perini</v>
          </cell>
          <cell r="D5073">
            <v>15.48</v>
          </cell>
        </row>
        <row r="5074">
          <cell r="C5074" t="str">
            <v>Daiseki</v>
          </cell>
          <cell r="D5074">
            <v>38.46</v>
          </cell>
        </row>
        <row r="5075">
          <cell r="C5075" t="str">
            <v>Republic Bank</v>
          </cell>
          <cell r="D5075">
            <v>35.056100000000001</v>
          </cell>
        </row>
        <row r="5076">
          <cell r="C5076" t="str">
            <v>Gimv NV</v>
          </cell>
          <cell r="D5076">
            <v>3.87</v>
          </cell>
        </row>
        <row r="5077">
          <cell r="C5077" t="str">
            <v>East Pipes Integrated Company for Industry</v>
          </cell>
          <cell r="D5077">
            <v>4.1338800000000004</v>
          </cell>
        </row>
        <row r="5078">
          <cell r="C5078" t="str">
            <v>Chimera Investment Corporation</v>
          </cell>
          <cell r="D5078">
            <v>31.34</v>
          </cell>
        </row>
        <row r="5079">
          <cell r="C5079" t="str">
            <v>Collegium Pharmaceutical</v>
          </cell>
          <cell r="D5079">
            <v>22.536300000000001</v>
          </cell>
        </row>
        <row r="5080">
          <cell r="C5080" t="str">
            <v>Galaxy Surfactants</v>
          </cell>
          <cell r="D5080">
            <v>2.06094</v>
          </cell>
        </row>
        <row r="5081">
          <cell r="C5081" t="str">
            <v>Advantage Solutions</v>
          </cell>
          <cell r="D5081">
            <v>1.11314</v>
          </cell>
        </row>
        <row r="5082">
          <cell r="C5082" t="str">
            <v>Perfect Presentation for Commercial Services CompanyPerfect Presentation for Commercial Services</v>
          </cell>
          <cell r="D5082">
            <v>14.21</v>
          </cell>
        </row>
        <row r="5083">
          <cell r="C5083" t="str">
            <v>Dave &amp; Buster's</v>
          </cell>
          <cell r="D5083">
            <v>10.8089</v>
          </cell>
        </row>
        <row r="5084">
          <cell r="C5084" t="str">
            <v>Lumi Rental Company</v>
          </cell>
          <cell r="D5084">
            <v>0.50751100000000005</v>
          </cell>
        </row>
        <row r="5085">
          <cell r="C5085" t="str">
            <v>FirstGroup</v>
          </cell>
          <cell r="D5085">
            <v>3.0964700000000001</v>
          </cell>
        </row>
        <row r="5086">
          <cell r="C5086" t="str">
            <v>Judo Capital Holdings</v>
          </cell>
          <cell r="D5086">
            <v>0.41038999999999998</v>
          </cell>
        </row>
        <row r="5087">
          <cell r="C5087" t="str">
            <v>PennyMac Mortgage Investment Trust</v>
          </cell>
          <cell r="D5087">
            <v>6.64</v>
          </cell>
        </row>
        <row r="5088">
          <cell r="C5088" t="str">
            <v>Toagosei</v>
          </cell>
          <cell r="D5088">
            <v>78.8476</v>
          </cell>
        </row>
        <row r="5089">
          <cell r="C5089" t="str">
            <v>Liontown Resources</v>
          </cell>
          <cell r="D5089">
            <v>8.27</v>
          </cell>
        </row>
        <row r="5090">
          <cell r="C5090" t="str">
            <v>Mavi Giyim Sanayi ve Ticaret</v>
          </cell>
          <cell r="D5090">
            <v>7.17</v>
          </cell>
        </row>
        <row r="5091">
          <cell r="C5091" t="str">
            <v>Bank Dhofar</v>
          </cell>
          <cell r="D5091">
            <v>64.220200000000006</v>
          </cell>
        </row>
        <row r="5092">
          <cell r="C5092" t="str">
            <v>Momo</v>
          </cell>
          <cell r="D5092">
            <v>5.78</v>
          </cell>
        </row>
        <row r="5093">
          <cell r="C5093" t="str">
            <v>Sensirion Holding</v>
          </cell>
          <cell r="D5093">
            <v>27.75</v>
          </cell>
        </row>
        <row r="5094">
          <cell r="C5094" t="str">
            <v>SilverCrest Metals</v>
          </cell>
          <cell r="D5094">
            <v>6.29</v>
          </cell>
        </row>
        <row r="5095">
          <cell r="C5095" t="str">
            <v>Teladoc Health</v>
          </cell>
          <cell r="D5095">
            <v>6.5502799999999999</v>
          </cell>
        </row>
        <row r="5096">
          <cell r="C5096" t="str">
            <v>SÜSS MicroTec</v>
          </cell>
          <cell r="D5096">
            <v>0.56000000000000005</v>
          </cell>
        </row>
        <row r="5097">
          <cell r="C5097" t="str">
            <v>Cricut</v>
          </cell>
          <cell r="D5097">
            <v>107891</v>
          </cell>
        </row>
        <row r="5098">
          <cell r="C5098" t="str">
            <v>Byline Bancorp</v>
          </cell>
          <cell r="D5098">
            <v>31.55</v>
          </cell>
        </row>
        <row r="5099">
          <cell r="C5099" t="str">
            <v>Soho House &amp; Co</v>
          </cell>
          <cell r="D5099">
            <v>0.86953199999999997</v>
          </cell>
        </row>
        <row r="5100">
          <cell r="C5100" t="str">
            <v>Iress Limited</v>
          </cell>
          <cell r="D5100">
            <v>12.821899999999999</v>
          </cell>
        </row>
        <row r="5101">
          <cell r="C5101" t="str">
            <v>Investcorp Capital</v>
          </cell>
          <cell r="D5101">
            <v>30.4</v>
          </cell>
        </row>
        <row r="5102">
          <cell r="C5102" t="str">
            <v>Hansol Chemical</v>
          </cell>
          <cell r="D5102">
            <v>10.65</v>
          </cell>
        </row>
        <row r="5103">
          <cell r="C5103" t="str">
            <v>PDF Solutions</v>
          </cell>
          <cell r="D5103">
            <v>53.38</v>
          </cell>
        </row>
        <row r="5104">
          <cell r="C5104" t="str">
            <v>Dah Sing Banking Group</v>
          </cell>
          <cell r="D5104">
            <v>6.23</v>
          </cell>
        </row>
        <row r="5105">
          <cell r="C5105" t="str">
            <v>Mercialys</v>
          </cell>
          <cell r="D5105">
            <v>19.0229</v>
          </cell>
        </row>
        <row r="5106">
          <cell r="C5106" t="str">
            <v>Dorchester Minerals</v>
          </cell>
          <cell r="D5106">
            <v>7.43893</v>
          </cell>
        </row>
        <row r="5107">
          <cell r="C5107" t="str">
            <v>Sigma Lithium</v>
          </cell>
          <cell r="D5107">
            <v>5.9136300000000004</v>
          </cell>
        </row>
        <row r="5108">
          <cell r="C5108" t="str">
            <v>Helen of Troy</v>
          </cell>
          <cell r="D5108">
            <v>7.6405399999999997</v>
          </cell>
        </row>
        <row r="5109">
          <cell r="C5109" t="str">
            <v>The Real Brokerage</v>
          </cell>
          <cell r="D5109">
            <v>6.8260300000000003</v>
          </cell>
        </row>
        <row r="5110">
          <cell r="C5110" t="str">
            <v>Verbio</v>
          </cell>
          <cell r="D5110">
            <v>0.466613</v>
          </cell>
        </row>
        <row r="5111">
          <cell r="C5111" t="str">
            <v>Sanoma</v>
          </cell>
          <cell r="D5111">
            <v>19.38</v>
          </cell>
        </row>
        <row r="5112">
          <cell r="C5112" t="str">
            <v>Hexatronic Group AB</v>
          </cell>
          <cell r="D5112">
            <v>1.5164899999999999</v>
          </cell>
        </row>
        <row r="5113">
          <cell r="C5113" t="str">
            <v>Scatec ASA</v>
          </cell>
          <cell r="D5113">
            <v>15.49</v>
          </cell>
        </row>
        <row r="5114">
          <cell r="C5114" t="str">
            <v>Oakley Capital Investments</v>
          </cell>
          <cell r="D5114">
            <v>41.81</v>
          </cell>
        </row>
        <row r="5115">
          <cell r="C5115" t="str">
            <v>Vietnam Maritime Commercial Joint Stock Bank</v>
          </cell>
          <cell r="D5115">
            <v>9.76</v>
          </cell>
        </row>
        <row r="5116">
          <cell r="C5116" t="str">
            <v>Innoviva</v>
          </cell>
          <cell r="D5116">
            <v>1.9150100000000001</v>
          </cell>
        </row>
        <row r="5117">
          <cell r="C5117" t="str">
            <v>KDH (Khang Dien House Trading and Investment)</v>
          </cell>
          <cell r="D5117">
            <v>4.66</v>
          </cell>
        </row>
        <row r="5118">
          <cell r="C5118" t="str">
            <v>U.S. Silica</v>
          </cell>
          <cell r="D5118">
            <v>3.4</v>
          </cell>
        </row>
        <row r="5119">
          <cell r="C5119" t="str">
            <v>Alpha &amp;amp; Omega Semiconductor</v>
          </cell>
          <cell r="D5119">
            <v>10.73</v>
          </cell>
        </row>
        <row r="5120">
          <cell r="C5120" t="str">
            <v>Piedmont Office Realty Trust</v>
          </cell>
          <cell r="D5120">
            <v>5.0767100000000003</v>
          </cell>
        </row>
        <row r="5121">
          <cell r="C5121" t="str">
            <v>Domain Holdings Australia</v>
          </cell>
          <cell r="D5121">
            <v>74.8</v>
          </cell>
        </row>
        <row r="5122">
          <cell r="C5122" t="str">
            <v>NextDecade Corp</v>
          </cell>
          <cell r="D5122">
            <v>21.781700000000001</v>
          </cell>
        </row>
        <row r="5123">
          <cell r="C5123" t="str">
            <v>Archer Aviation</v>
          </cell>
          <cell r="D5123">
            <v>2.25</v>
          </cell>
        </row>
        <row r="5124">
          <cell r="C5124" t="str">
            <v>Hawaiian Electric Industries</v>
          </cell>
          <cell r="D5124">
            <v>11.74</v>
          </cell>
        </row>
        <row r="5125">
          <cell r="C5125" t="str">
            <v>Headwater Exploration</v>
          </cell>
          <cell r="D5125">
            <v>6.1671899999999997</v>
          </cell>
        </row>
        <row r="5126">
          <cell r="C5126" t="str">
            <v>Centerspace</v>
          </cell>
          <cell r="D5126">
            <v>13.595700000000001</v>
          </cell>
        </row>
        <row r="5127">
          <cell r="C5127" t="str">
            <v>Enghouse Systems</v>
          </cell>
          <cell r="D5127">
            <v>14.24</v>
          </cell>
        </row>
        <row r="5128">
          <cell r="C5128" t="str">
            <v>Mechel PAO</v>
          </cell>
          <cell r="D5128">
            <v>7.2037399999999998</v>
          </cell>
        </row>
        <row r="5129">
          <cell r="C5129" t="str">
            <v>Arlo Technologies</v>
          </cell>
          <cell r="D5129">
            <v>44.987299999999998</v>
          </cell>
        </row>
        <row r="5130">
          <cell r="C5130" t="str">
            <v>Graphite India</v>
          </cell>
          <cell r="D5130">
            <v>43.29</v>
          </cell>
        </row>
        <row r="5131">
          <cell r="C5131" t="str">
            <v>Barco NV</v>
          </cell>
          <cell r="D5131">
            <v>22.76</v>
          </cell>
        </row>
        <row r="5132">
          <cell r="C5132" t="str">
            <v>Jeld-Wen</v>
          </cell>
          <cell r="D5132">
            <v>2.54447</v>
          </cell>
        </row>
        <row r="5133">
          <cell r="C5133" t="str">
            <v>Advantage Energy</v>
          </cell>
          <cell r="D5133">
            <v>11.046900000000001</v>
          </cell>
        </row>
        <row r="5134">
          <cell r="C5134" t="str">
            <v>Kinepolis Group</v>
          </cell>
          <cell r="D5134">
            <v>30021</v>
          </cell>
        </row>
        <row r="5135">
          <cell r="C5135" t="str">
            <v>XPEL</v>
          </cell>
          <cell r="D5135">
            <v>1.8922099999999999</v>
          </cell>
        </row>
        <row r="5136">
          <cell r="C5136" t="str">
            <v>Tyra Biosciences</v>
          </cell>
          <cell r="D5136">
            <v>5.05</v>
          </cell>
        </row>
        <row r="5137">
          <cell r="C5137" t="str">
            <v>XD Inc.</v>
          </cell>
          <cell r="D5137">
            <v>74.55</v>
          </cell>
        </row>
        <row r="5138">
          <cell r="C5138" t="str">
            <v>Sheela Foam</v>
          </cell>
          <cell r="D5138">
            <v>3.47777</v>
          </cell>
        </row>
        <row r="5139">
          <cell r="C5139" t="str">
            <v>Befesa</v>
          </cell>
          <cell r="D5139">
            <v>15.54</v>
          </cell>
        </row>
        <row r="5140">
          <cell r="C5140" t="str">
            <v>Elkem</v>
          </cell>
          <cell r="D5140">
            <v>47.640099999999997</v>
          </cell>
        </row>
        <row r="5141">
          <cell r="C5141" t="str">
            <v>Paramount Group</v>
          </cell>
          <cell r="D5141">
            <v>22.27</v>
          </cell>
        </row>
        <row r="5142">
          <cell r="C5142" t="str">
            <v>Kaiser Aluminum</v>
          </cell>
          <cell r="D5142">
            <v>1.21035</v>
          </cell>
        </row>
        <row r="5143">
          <cell r="C5143" t="str">
            <v>Truecaller</v>
          </cell>
          <cell r="D5143">
            <v>45.135800000000003</v>
          </cell>
        </row>
        <row r="5144">
          <cell r="C5144" t="str">
            <v>Owens &amp;amp; Minor</v>
          </cell>
          <cell r="D5144">
            <v>25.88</v>
          </cell>
        </row>
        <row r="5145">
          <cell r="C5145" t="str">
            <v>Neurones</v>
          </cell>
          <cell r="D5145">
            <v>3.1474500000000001</v>
          </cell>
        </row>
        <row r="5146">
          <cell r="C5146" t="str">
            <v>Prothena</v>
          </cell>
          <cell r="D5146">
            <v>9.11904</v>
          </cell>
        </row>
        <row r="5147">
          <cell r="C5147" t="str">
            <v>ams AG</v>
          </cell>
          <cell r="D5147">
            <v>16967</v>
          </cell>
        </row>
        <row r="5148">
          <cell r="C5148" t="str">
            <v>BlueNord ASA</v>
          </cell>
          <cell r="D5148">
            <v>1.09961</v>
          </cell>
        </row>
        <row r="5149">
          <cell r="C5149" t="str">
            <v>Biolife Solutions</v>
          </cell>
          <cell r="D5149">
            <v>47.95</v>
          </cell>
        </row>
        <row r="5150">
          <cell r="C5150" t="str">
            <v>Juventus Turin</v>
          </cell>
          <cell r="D5150">
            <v>26.47</v>
          </cell>
        </row>
        <row r="5151">
          <cell r="C5151" t="str">
            <v>Voltalia</v>
          </cell>
          <cell r="D5151">
            <v>40.11</v>
          </cell>
        </row>
        <row r="5152">
          <cell r="C5152" t="str">
            <v>Fluxys Belgium</v>
          </cell>
          <cell r="D5152">
            <v>0.47868100000000002</v>
          </cell>
        </row>
        <row r="5153">
          <cell r="C5153" t="str">
            <v>Gold Road Resources</v>
          </cell>
          <cell r="D5153">
            <v>7.3216900000000003</v>
          </cell>
        </row>
        <row r="5154">
          <cell r="C5154" t="str">
            <v>Employers Holdings</v>
          </cell>
          <cell r="D5154">
            <v>4.3652300000000004</v>
          </cell>
        </row>
        <row r="5155">
          <cell r="C5155" t="str">
            <v>G-III Apparel Group</v>
          </cell>
          <cell r="D5155">
            <v>1.1349199999999999</v>
          </cell>
        </row>
        <row r="5156">
          <cell r="C5156" t="str">
            <v>German American Bancorp</v>
          </cell>
          <cell r="D5156">
            <v>27.578199999999999</v>
          </cell>
        </row>
        <row r="5157">
          <cell r="C5157" t="str">
            <v>OCB (Orient Commercial Joint Stock Bank)</v>
          </cell>
          <cell r="D5157">
            <v>1.76614</v>
          </cell>
        </row>
        <row r="5158">
          <cell r="C5158" t="str">
            <v>EVT Limited</v>
          </cell>
          <cell r="D5158">
            <v>50.08</v>
          </cell>
        </row>
        <row r="5159">
          <cell r="C5159" t="str">
            <v>Birchcliff Energy</v>
          </cell>
          <cell r="D5159">
            <v>6.6675599999999999</v>
          </cell>
        </row>
        <row r="5160">
          <cell r="C5160" t="str">
            <v>Network18</v>
          </cell>
          <cell r="D5160">
            <v>31.281099999999999</v>
          </cell>
        </row>
        <row r="5161">
          <cell r="C5161" t="str">
            <v>Aedas Homes</v>
          </cell>
          <cell r="D5161">
            <v>76.849999999999994</v>
          </cell>
        </row>
        <row r="5162">
          <cell r="C5162" t="str">
            <v>Waypoint REIT</v>
          </cell>
          <cell r="D5162">
            <v>27.54</v>
          </cell>
        </row>
        <row r="5163">
          <cell r="C5163" t="str">
            <v>Encore Capital Group</v>
          </cell>
          <cell r="D5163">
            <v>6.74</v>
          </cell>
        </row>
        <row r="5164">
          <cell r="C5164" t="str">
            <v>Arriyadh Development Company</v>
          </cell>
          <cell r="D5164">
            <v>1.72095</v>
          </cell>
        </row>
        <row r="5165">
          <cell r="C5165" t="str">
            <v>Lectra SA</v>
          </cell>
          <cell r="D5165">
            <v>38.29</v>
          </cell>
        </row>
        <row r="5166">
          <cell r="C5166" t="str">
            <v>Formula Systems</v>
          </cell>
          <cell r="D5166">
            <v>30</v>
          </cell>
        </row>
        <row r="5167">
          <cell r="C5167" t="str">
            <v>Berkshire Hills Bancorp</v>
          </cell>
          <cell r="D5167">
            <v>1.4629099999999999</v>
          </cell>
        </row>
        <row r="5168">
          <cell r="C5168" t="str">
            <v>LegalZoom</v>
          </cell>
          <cell r="D5168">
            <v>3.05</v>
          </cell>
        </row>
        <row r="5169">
          <cell r="C5169" t="str">
            <v>John Wood Group</v>
          </cell>
          <cell r="D5169">
            <v>3.51</v>
          </cell>
        </row>
        <row r="5170">
          <cell r="C5170" t="str">
            <v>Karooooo</v>
          </cell>
          <cell r="D5170">
            <v>4.5493100000000002</v>
          </cell>
        </row>
        <row r="5171">
          <cell r="C5171" t="str">
            <v>Model N</v>
          </cell>
          <cell r="D5171">
            <v>13.3</v>
          </cell>
        </row>
        <row r="5172">
          <cell r="C5172" t="str">
            <v>Dexco</v>
          </cell>
          <cell r="D5172">
            <v>17.84</v>
          </cell>
        </row>
        <row r="5173">
          <cell r="C5173" t="str">
            <v>Sabre</v>
          </cell>
          <cell r="D5173">
            <v>707417</v>
          </cell>
        </row>
        <row r="5174">
          <cell r="C5174" t="str">
            <v>Cipher Mining</v>
          </cell>
          <cell r="D5174">
            <v>13.520799999999999</v>
          </cell>
        </row>
        <row r="5175">
          <cell r="C5175" t="str">
            <v>Monex Group</v>
          </cell>
          <cell r="D5175">
            <v>3.5</v>
          </cell>
        </row>
        <row r="5176">
          <cell r="C5176" t="str">
            <v>TaskUs</v>
          </cell>
          <cell r="D5176">
            <v>10.74</v>
          </cell>
        </row>
        <row r="5177">
          <cell r="C5177" t="str">
            <v>Cars.com</v>
          </cell>
          <cell r="D5177">
            <v>5.2704800000000001</v>
          </cell>
        </row>
        <row r="5178">
          <cell r="C5178" t="str">
            <v>KSB SE &amp;amp; Co. KGaA</v>
          </cell>
          <cell r="D5178">
            <v>18835</v>
          </cell>
        </row>
        <row r="5179">
          <cell r="C5179" t="str">
            <v>Victrex</v>
          </cell>
          <cell r="D5179">
            <v>6.71</v>
          </cell>
        </row>
        <row r="5180">
          <cell r="C5180" t="str">
            <v>Taboola.com</v>
          </cell>
          <cell r="D5180">
            <v>1.3042800000000001</v>
          </cell>
        </row>
        <row r="5181">
          <cell r="C5181" t="str">
            <v>Cogent Biosciences</v>
          </cell>
          <cell r="D5181">
            <v>0.6</v>
          </cell>
        </row>
        <row r="5182">
          <cell r="C5182" t="str">
            <v>Zigup</v>
          </cell>
          <cell r="D5182">
            <v>1.68</v>
          </cell>
        </row>
        <row r="5183">
          <cell r="C5183" t="str">
            <v>Kontron AG</v>
          </cell>
          <cell r="D5183">
            <v>229.16</v>
          </cell>
        </row>
        <row r="5184">
          <cell r="C5184" t="str">
            <v>Bumble</v>
          </cell>
          <cell r="D5184">
            <v>16.809999999999999</v>
          </cell>
        </row>
        <row r="5185">
          <cell r="C5185" t="str">
            <v>Edelweiss Financial Services</v>
          </cell>
          <cell r="D5185">
            <v>8720.5499999999993</v>
          </cell>
        </row>
        <row r="5186">
          <cell r="C5186" t="str">
            <v>CAMGSM Plc. (Cellcard)</v>
          </cell>
          <cell r="D5186">
            <v>2.80261</v>
          </cell>
        </row>
        <row r="5187">
          <cell r="C5187" t="str">
            <v>OPKO Health</v>
          </cell>
          <cell r="D5187">
            <v>17.8</v>
          </cell>
        </row>
        <row r="5188">
          <cell r="C5188" t="str">
            <v>Alexander's</v>
          </cell>
          <cell r="D5188">
            <v>1.96071</v>
          </cell>
        </row>
        <row r="5189">
          <cell r="C5189" t="str">
            <v>Navigator Holdings</v>
          </cell>
          <cell r="D5189">
            <v>25.4117</v>
          </cell>
        </row>
        <row r="5190">
          <cell r="C5190" t="str">
            <v>Humansoft Holding Company</v>
          </cell>
          <cell r="D5190">
            <v>6.4487800000000002</v>
          </cell>
        </row>
        <row r="5191">
          <cell r="C5191" t="str">
            <v>Trustpilot Group</v>
          </cell>
          <cell r="D5191">
            <v>2.9645000000000001</v>
          </cell>
        </row>
        <row r="5192">
          <cell r="C5192" t="str">
            <v>MediaAlpha</v>
          </cell>
          <cell r="D5192">
            <v>0.80595000000000006</v>
          </cell>
        </row>
        <row r="5193">
          <cell r="C5193" t="str">
            <v>Indiabulls Housing Finance</v>
          </cell>
          <cell r="D5193">
            <v>2.2552099999999999</v>
          </cell>
        </row>
        <row r="5194">
          <cell r="C5194" t="str">
            <v>GasLog</v>
          </cell>
          <cell r="D5194">
            <v>14.2906</v>
          </cell>
        </row>
        <row r="5195">
          <cell r="C5195" t="str">
            <v>Magellan Financial Group</v>
          </cell>
          <cell r="D5195">
            <v>2.8981400000000002</v>
          </cell>
        </row>
        <row r="5196">
          <cell r="C5196" t="str">
            <v>Foran Mining</v>
          </cell>
          <cell r="D5196">
            <v>20.728400000000001</v>
          </cell>
        </row>
        <row r="5197">
          <cell r="C5197" t="str">
            <v>Life Healthcare Group</v>
          </cell>
          <cell r="D5197">
            <v>29.2744</v>
          </cell>
        </row>
        <row r="5198">
          <cell r="C5198" t="str">
            <v>Hochschild Mining</v>
          </cell>
          <cell r="D5198">
            <v>0.49535800000000002</v>
          </cell>
        </row>
        <row r="5199">
          <cell r="C5199" t="str">
            <v>Nat Games (Nexon Games)</v>
          </cell>
          <cell r="D5199">
            <v>9.34</v>
          </cell>
        </row>
        <row r="5200">
          <cell r="C5200" t="str">
            <v>Texmaco Rail &amp;amp; Engineering</v>
          </cell>
          <cell r="D5200">
            <v>38.090000000000003</v>
          </cell>
        </row>
        <row r="5201">
          <cell r="C5201" t="str">
            <v>GungHo Online Entertainment</v>
          </cell>
          <cell r="D5201">
            <v>13.15</v>
          </cell>
        </row>
        <row r="5202">
          <cell r="C5202" t="str">
            <v>Andlauer Healthcare Group</v>
          </cell>
          <cell r="D5202">
            <v>0.56999999999999995</v>
          </cell>
        </row>
        <row r="5203">
          <cell r="C5203" t="str">
            <v>Iguatemi</v>
          </cell>
          <cell r="D5203">
            <v>52.686599999999999</v>
          </cell>
        </row>
        <row r="5204">
          <cell r="C5204" t="str">
            <v>Redfin</v>
          </cell>
          <cell r="D5204">
            <v>29.437100000000001</v>
          </cell>
        </row>
        <row r="5205">
          <cell r="C5205" t="str">
            <v>AnaptysBio</v>
          </cell>
          <cell r="D5205">
            <v>0.34071000000000001</v>
          </cell>
        </row>
        <row r="5206">
          <cell r="C5206" t="str">
            <v>Ellington Financial</v>
          </cell>
          <cell r="D5206">
            <v>12.4903</v>
          </cell>
        </row>
        <row r="5207">
          <cell r="C5207" t="str">
            <v>National Bank of Umm Al Qaiwain</v>
          </cell>
          <cell r="D5207">
            <v>3.3</v>
          </cell>
        </row>
        <row r="5208">
          <cell r="C5208" t="str">
            <v>Cymbria</v>
          </cell>
          <cell r="D5208">
            <v>2143.3200000000002</v>
          </cell>
        </row>
        <row r="5209">
          <cell r="C5209" t="str">
            <v>Pilot Corporation</v>
          </cell>
          <cell r="D5209">
            <v>11.09</v>
          </cell>
        </row>
        <row r="5210">
          <cell r="C5210" t="str">
            <v>Air New Zealand</v>
          </cell>
          <cell r="D5210">
            <v>168.6</v>
          </cell>
        </row>
        <row r="5211">
          <cell r="C5211" t="str">
            <v>Electrica</v>
          </cell>
          <cell r="D5211">
            <v>18.64</v>
          </cell>
        </row>
        <row r="5212">
          <cell r="C5212" t="str">
            <v>Verano Holdings</v>
          </cell>
          <cell r="D5212">
            <v>31.35</v>
          </cell>
        </row>
        <row r="5213">
          <cell r="C5213" t="str">
            <v>Boubyan Petrochemical Company</v>
          </cell>
          <cell r="D5213">
            <v>0.70129900000000001</v>
          </cell>
        </row>
        <row r="5214">
          <cell r="C5214" t="str">
            <v>Immatics</v>
          </cell>
          <cell r="D5214">
            <v>39.81</v>
          </cell>
        </row>
        <row r="5215">
          <cell r="C5215" t="str">
            <v>CRA International</v>
          </cell>
          <cell r="D5215">
            <v>0.64531899999999998</v>
          </cell>
        </row>
        <row r="5216">
          <cell r="C5216" t="str">
            <v>Pulse Biosciences</v>
          </cell>
          <cell r="D5216">
            <v>4.5104300000000004</v>
          </cell>
        </row>
        <row r="5217">
          <cell r="C5217" t="str">
            <v>Banco Latinoamericano de Comercio Exterior</v>
          </cell>
          <cell r="D5217">
            <v>27.14</v>
          </cell>
        </row>
        <row r="5218">
          <cell r="C5218" t="str">
            <v>National Bank of Oman</v>
          </cell>
          <cell r="D5218">
            <v>19.600000000000001</v>
          </cell>
        </row>
        <row r="5219">
          <cell r="C5219" t="str">
            <v>Bristow Group</v>
          </cell>
          <cell r="D5219">
            <v>32</v>
          </cell>
        </row>
        <row r="5220">
          <cell r="C5220" t="str">
            <v>Union Coop</v>
          </cell>
          <cell r="D5220">
            <v>8.26</v>
          </cell>
        </row>
        <row r="5221">
          <cell r="C5221" t="str">
            <v>GB Group (GBG)</v>
          </cell>
          <cell r="D5221">
            <v>85.111099999999993</v>
          </cell>
        </row>
        <row r="5222">
          <cell r="C5222" t="str">
            <v>Artivion</v>
          </cell>
          <cell r="D5222">
            <v>4.4828599999999996</v>
          </cell>
        </row>
        <row r="5223">
          <cell r="C5223" t="str">
            <v>Cullinan Therapeutics</v>
          </cell>
          <cell r="D5223">
            <v>17.5</v>
          </cell>
        </row>
        <row r="5224">
          <cell r="C5224" t="str">
            <v>Peoples Bancorp</v>
          </cell>
          <cell r="D5224">
            <v>5.55</v>
          </cell>
        </row>
        <row r="5225">
          <cell r="C5225" t="str">
            <v>Vir Biotechnology</v>
          </cell>
          <cell r="D5225">
            <v>11.67</v>
          </cell>
        </row>
        <row r="5226">
          <cell r="C5226" t="str">
            <v>Nagarro</v>
          </cell>
          <cell r="D5226">
            <v>106385</v>
          </cell>
        </row>
        <row r="5227">
          <cell r="C5227" t="str">
            <v>Marshalls plc</v>
          </cell>
          <cell r="D5227">
            <v>123.46</v>
          </cell>
        </row>
        <row r="5228">
          <cell r="C5228" t="str">
            <v>Suburban Propane Partners</v>
          </cell>
          <cell r="D5228">
            <v>25.6312</v>
          </cell>
        </row>
        <row r="5229">
          <cell r="C5229" t="str">
            <v>Emerald Holding</v>
          </cell>
          <cell r="D5229">
            <v>43.732500000000002</v>
          </cell>
        </row>
        <row r="5230">
          <cell r="C5230" t="str">
            <v>Canada Goose</v>
          </cell>
          <cell r="D5230">
            <v>16.52</v>
          </cell>
        </row>
        <row r="5231">
          <cell r="C5231" t="str">
            <v>Burkhalter Holding</v>
          </cell>
          <cell r="D5231">
            <v>11.01</v>
          </cell>
        </row>
        <row r="5232">
          <cell r="C5232" t="str">
            <v>Transcat</v>
          </cell>
          <cell r="D5232">
            <v>0.66889600000000005</v>
          </cell>
        </row>
        <row r="5233">
          <cell r="C5233" t="str">
            <v>Shriram Pistons &amp;amp; Rings</v>
          </cell>
          <cell r="D5233">
            <v>40.44</v>
          </cell>
        </row>
        <row r="5234">
          <cell r="C5234" t="str">
            <v>Dom Development</v>
          </cell>
          <cell r="D5234">
            <v>13.669600000000001</v>
          </cell>
        </row>
        <row r="5235">
          <cell r="C5235" t="str">
            <v>Phathom Pharmaceuticals</v>
          </cell>
          <cell r="D5235">
            <v>1.6235299999999999</v>
          </cell>
        </row>
        <row r="5236">
          <cell r="C5236" t="str">
            <v>Adecoagro</v>
          </cell>
          <cell r="D5236">
            <v>18.04</v>
          </cell>
        </row>
        <row r="5237">
          <cell r="C5237" t="str">
            <v>Formosa Taffeta</v>
          </cell>
          <cell r="D5237">
            <v>32.9</v>
          </cell>
        </row>
        <row r="5238">
          <cell r="C5238" t="str">
            <v>Shoe Carnival</v>
          </cell>
          <cell r="D5238">
            <v>24.784500000000001</v>
          </cell>
        </row>
        <row r="5239">
          <cell r="C5239" t="str">
            <v>Kakao Games</v>
          </cell>
          <cell r="D5239">
            <v>129</v>
          </cell>
        </row>
        <row r="5240">
          <cell r="C5240" t="str">
            <v>Hangzhou Shunwang Technology</v>
          </cell>
          <cell r="D5240">
            <v>63.01</v>
          </cell>
        </row>
        <row r="5241">
          <cell r="C5241" t="str">
            <v>ACM Research</v>
          </cell>
          <cell r="D5241">
            <v>3.30897</v>
          </cell>
        </row>
        <row r="5242">
          <cell r="C5242" t="str">
            <v>Montrose Environmental</v>
          </cell>
          <cell r="D5242">
            <v>10.050000000000001</v>
          </cell>
        </row>
        <row r="5243">
          <cell r="C5243" t="str">
            <v>Nestle Pakistan</v>
          </cell>
          <cell r="D5243">
            <v>13.16</v>
          </cell>
        </row>
        <row r="5244">
          <cell r="C5244" t="str">
            <v>HPH Trust (Hutchison Port)</v>
          </cell>
          <cell r="D5244">
            <v>21.19</v>
          </cell>
        </row>
        <row r="5245">
          <cell r="C5245" t="str">
            <v>Middlesex Water Company</v>
          </cell>
          <cell r="D5245">
            <v>0.84923499999999996</v>
          </cell>
        </row>
        <row r="5246">
          <cell r="C5246" t="str">
            <v>Bapcor Limited</v>
          </cell>
          <cell r="D5246">
            <v>0.65407300000000002</v>
          </cell>
        </row>
        <row r="5247">
          <cell r="C5247" t="str">
            <v>P10</v>
          </cell>
          <cell r="D5247">
            <v>5.4338499999999996</v>
          </cell>
        </row>
        <row r="5248">
          <cell r="C5248" t="str">
            <v>MRC Global</v>
          </cell>
          <cell r="D5248">
            <v>13.62</v>
          </cell>
        </row>
        <row r="5249">
          <cell r="C5249" t="str">
            <v>Imax Corp</v>
          </cell>
          <cell r="D5249">
            <v>0.90962699999999996</v>
          </cell>
        </row>
        <row r="5250">
          <cell r="C5250" t="str">
            <v>Abacus Storage King</v>
          </cell>
          <cell r="D5250">
            <v>13.05</v>
          </cell>
        </row>
        <row r="5251">
          <cell r="C5251" t="str">
            <v>Hongkong and Shanghai Hotels</v>
          </cell>
          <cell r="D5251">
            <v>4.1818900000000001</v>
          </cell>
        </row>
        <row r="5252">
          <cell r="C5252" t="str">
            <v>Altri</v>
          </cell>
          <cell r="D5252">
            <v>24.22</v>
          </cell>
        </row>
        <row r="5253">
          <cell r="C5253" t="str">
            <v>Franklin BSP Realty Trust</v>
          </cell>
          <cell r="D5253">
            <v>42.27</v>
          </cell>
        </row>
        <row r="5254">
          <cell r="C5254" t="str">
            <v>United Bank (Pakistan)</v>
          </cell>
          <cell r="D5254">
            <v>6.1645700000000003</v>
          </cell>
        </row>
        <row r="5255">
          <cell r="C5255" t="str">
            <v>Everi Holdings</v>
          </cell>
          <cell r="D5255">
            <v>8</v>
          </cell>
        </row>
        <row r="5256">
          <cell r="C5256" t="str">
            <v>IPH Limited</v>
          </cell>
          <cell r="D5256">
            <v>19.3</v>
          </cell>
        </row>
        <row r="5257">
          <cell r="C5257" t="str">
            <v>Avanos Medical</v>
          </cell>
          <cell r="D5257">
            <v>3.9470700000000001</v>
          </cell>
        </row>
        <row r="5258">
          <cell r="C5258" t="str">
            <v>Universal Logistics Holdings</v>
          </cell>
          <cell r="D5258">
            <v>16.314800000000002</v>
          </cell>
        </row>
        <row r="5259">
          <cell r="C5259" t="str">
            <v>Dicker Data</v>
          </cell>
          <cell r="D5259">
            <v>26.081600000000002</v>
          </cell>
        </row>
        <row r="5260">
          <cell r="C5260" t="str">
            <v>Claros Mortgage Trust</v>
          </cell>
          <cell r="D5260">
            <v>20.72</v>
          </cell>
        </row>
        <row r="5261">
          <cell r="C5261" t="str">
            <v>edenor</v>
          </cell>
          <cell r="D5261">
            <v>16.86</v>
          </cell>
        </row>
        <row r="5262">
          <cell r="C5262" t="str">
            <v>Knr Constructions</v>
          </cell>
          <cell r="D5262">
            <v>72.021699999999996</v>
          </cell>
        </row>
        <row r="5263">
          <cell r="C5263" t="str">
            <v>Wacker Neuson</v>
          </cell>
          <cell r="D5263">
            <v>5.8400699999999999</v>
          </cell>
        </row>
        <row r="5264">
          <cell r="C5264" t="str">
            <v>Bonheur ASA</v>
          </cell>
          <cell r="D5264">
            <v>21.2667</v>
          </cell>
        </row>
        <row r="5265">
          <cell r="C5265" t="str">
            <v>Guess</v>
          </cell>
          <cell r="D5265">
            <v>0.35781600000000002</v>
          </cell>
        </row>
        <row r="5266">
          <cell r="C5266" t="str">
            <v>Air Transport Services Group</v>
          </cell>
          <cell r="D5266">
            <v>3.29</v>
          </cell>
        </row>
        <row r="5267">
          <cell r="C5267" t="str">
            <v>ESAB India</v>
          </cell>
          <cell r="D5267">
            <v>0.54505999999999999</v>
          </cell>
        </row>
        <row r="5268">
          <cell r="C5268" t="str">
            <v>dentalcorp</v>
          </cell>
          <cell r="D5268">
            <v>82.85</v>
          </cell>
        </row>
        <row r="5269">
          <cell r="C5269" t="str">
            <v>Adtran Networks</v>
          </cell>
          <cell r="D5269">
            <v>17.11</v>
          </cell>
        </row>
        <row r="5270">
          <cell r="C5270" t="str">
            <v>China Lesso Group</v>
          </cell>
          <cell r="D5270">
            <v>10.59</v>
          </cell>
        </row>
        <row r="5271">
          <cell r="C5271" t="str">
            <v>IHS Towers</v>
          </cell>
          <cell r="D5271">
            <v>12.31</v>
          </cell>
        </row>
        <row r="5272">
          <cell r="C5272" t="str">
            <v>Fortune REIT</v>
          </cell>
          <cell r="D5272">
            <v>4.5383599999999999</v>
          </cell>
        </row>
        <row r="5273">
          <cell r="C5273" t="str">
            <v>Preferred Bank</v>
          </cell>
          <cell r="D5273">
            <v>27.11</v>
          </cell>
        </row>
        <row r="5274">
          <cell r="C5274" t="str">
            <v>Bain Capital</v>
          </cell>
          <cell r="D5274">
            <v>18.88</v>
          </cell>
        </row>
        <row r="5275">
          <cell r="C5275" t="str">
            <v>Algoma Steel</v>
          </cell>
          <cell r="D5275">
            <v>1.1000000000000001</v>
          </cell>
        </row>
        <row r="5276">
          <cell r="C5276" t="str">
            <v>Armada Hoffler Properties</v>
          </cell>
          <cell r="D5276">
            <v>7.09</v>
          </cell>
        </row>
        <row r="5277">
          <cell r="C5277" t="str">
            <v>Colgate-Palmolive (Pakistan)</v>
          </cell>
          <cell r="D5277">
            <v>2.0063800000000001</v>
          </cell>
        </row>
        <row r="5278">
          <cell r="C5278" t="str">
            <v>Silk Road Medical</v>
          </cell>
          <cell r="D5278">
            <v>6.85</v>
          </cell>
        </row>
        <row r="5279">
          <cell r="C5279" t="str">
            <v>Interface</v>
          </cell>
          <cell r="D5279">
            <v>13.71</v>
          </cell>
        </row>
        <row r="5280">
          <cell r="C5280" t="str">
            <v>Al Seer Marine Supplies &amp;amp; Equipment Company</v>
          </cell>
          <cell r="D5280">
            <v>14701</v>
          </cell>
        </row>
        <row r="5281">
          <cell r="C5281" t="str">
            <v>Loma Negra</v>
          </cell>
          <cell r="D5281">
            <v>20.72</v>
          </cell>
        </row>
        <row r="5282">
          <cell r="C5282" t="str">
            <v>OdontoPrev</v>
          </cell>
          <cell r="D5282">
            <v>2.4089900000000002</v>
          </cell>
        </row>
        <row r="5283">
          <cell r="C5283" t="str">
            <v>ProFrac</v>
          </cell>
          <cell r="D5283">
            <v>0.85600200000000004</v>
          </cell>
        </row>
        <row r="5284">
          <cell r="C5284" t="str">
            <v>Wolverine World Wide</v>
          </cell>
          <cell r="D5284">
            <v>17.720300000000002</v>
          </cell>
        </row>
        <row r="5285">
          <cell r="C5285" t="str">
            <v>Neinor Homes</v>
          </cell>
          <cell r="D5285">
            <v>14281</v>
          </cell>
        </row>
        <row r="5286">
          <cell r="C5286" t="str">
            <v>SMART Global Holdings</v>
          </cell>
          <cell r="D5286">
            <v>1.5834299999999999</v>
          </cell>
        </row>
        <row r="5287">
          <cell r="C5287" t="str">
            <v>NRW Holdings Limited</v>
          </cell>
          <cell r="D5287">
            <v>1.1215599999999999</v>
          </cell>
        </row>
        <row r="5288">
          <cell r="C5288" t="str">
            <v>Bellevue Gold</v>
          </cell>
          <cell r="D5288">
            <v>5248.69</v>
          </cell>
        </row>
        <row r="5289">
          <cell r="C5289" t="str">
            <v>Westshore Terminals Investment</v>
          </cell>
          <cell r="D5289">
            <v>3.7994500000000002</v>
          </cell>
        </row>
        <row r="5290">
          <cell r="C5290" t="str">
            <v>PNE AG</v>
          </cell>
          <cell r="D5290">
            <v>16.84</v>
          </cell>
        </row>
        <row r="5291">
          <cell r="C5291" t="str">
            <v>PolyNovo</v>
          </cell>
          <cell r="D5291">
            <v>5.65</v>
          </cell>
        </row>
        <row r="5292">
          <cell r="C5292" t="str">
            <v>DNO ASA</v>
          </cell>
          <cell r="D5292">
            <v>14.401899999999999</v>
          </cell>
        </row>
        <row r="5293">
          <cell r="C5293" t="str">
            <v>Gulf Cable and Electrical Industries Company - KPSC</v>
          </cell>
          <cell r="D5293">
            <v>62.96</v>
          </cell>
        </row>
        <row r="5294">
          <cell r="C5294" t="str">
            <v>Zad Holding Company</v>
          </cell>
          <cell r="D5294">
            <v>4.8634899999999996</v>
          </cell>
        </row>
        <row r="5295">
          <cell r="C5295" t="str">
            <v>Sable Offshore</v>
          </cell>
          <cell r="D5295">
            <v>92.811099999999996</v>
          </cell>
        </row>
        <row r="5296">
          <cell r="C5296" t="str">
            <v>Aveanna Healthcare</v>
          </cell>
          <cell r="D5296">
            <v>8.81</v>
          </cell>
        </row>
        <row r="5297">
          <cell r="C5297" t="str">
            <v>Rasan Information Technology Company</v>
          </cell>
          <cell r="D5297">
            <v>18.649999999999999</v>
          </cell>
        </row>
        <row r="5298">
          <cell r="C5298" t="str">
            <v>Hyster-Yale Materials Handling</v>
          </cell>
          <cell r="D5298">
            <v>12.0703</v>
          </cell>
        </row>
        <row r="5299">
          <cell r="C5299" t="str">
            <v>Dalata Hotel Group</v>
          </cell>
          <cell r="D5299">
            <v>23.94</v>
          </cell>
        </row>
        <row r="5300">
          <cell r="C5300" t="str">
            <v>Hammond Power Solutions</v>
          </cell>
          <cell r="D5300">
            <v>36.736499999999999</v>
          </cell>
        </row>
        <row r="5301">
          <cell r="C5301" t="str">
            <v>Amplitude</v>
          </cell>
          <cell r="D5301">
            <v>4.7765599999999999</v>
          </cell>
        </row>
        <row r="5302">
          <cell r="C5302" t="str">
            <v>Orion Engineered Carbons</v>
          </cell>
          <cell r="D5302">
            <v>40.119999999999997</v>
          </cell>
        </row>
        <row r="5303">
          <cell r="C5303" t="str">
            <v>Aegean Airlines</v>
          </cell>
          <cell r="D5303">
            <v>5.43</v>
          </cell>
        </row>
        <row r="5304">
          <cell r="C5304" t="str">
            <v>Plymouth Industrial REIT</v>
          </cell>
          <cell r="D5304">
            <v>3.28098</v>
          </cell>
        </row>
        <row r="5305">
          <cell r="C5305" t="str">
            <v>SWCC Corporation</v>
          </cell>
          <cell r="D5305">
            <v>35.073399999999999</v>
          </cell>
        </row>
        <row r="5306">
          <cell r="C5306" t="str">
            <v>Time Technoplast</v>
          </cell>
          <cell r="D5306">
            <v>17.489999999999998</v>
          </cell>
        </row>
        <row r="5307">
          <cell r="C5307" t="str">
            <v>Calliditas Therapeutics</v>
          </cell>
          <cell r="D5307">
            <v>43.7714</v>
          </cell>
        </row>
        <row r="5308">
          <cell r="C5308" t="str">
            <v>Global Blue Group</v>
          </cell>
          <cell r="D5308">
            <v>0.39730599999999999</v>
          </cell>
        </row>
        <row r="5309">
          <cell r="C5309" t="str">
            <v>Religare</v>
          </cell>
          <cell r="D5309">
            <v>3795.81</v>
          </cell>
        </row>
        <row r="5310">
          <cell r="C5310" t="str">
            <v>Mastek</v>
          </cell>
          <cell r="D5310">
            <v>6.57</v>
          </cell>
        </row>
        <row r="5311">
          <cell r="C5311" t="str">
            <v>Xencor</v>
          </cell>
          <cell r="D5311">
            <v>12.4435</v>
          </cell>
        </row>
        <row r="5312">
          <cell r="C5312" t="str">
            <v>Stabilus</v>
          </cell>
          <cell r="D5312">
            <v>13.92</v>
          </cell>
        </row>
        <row r="5313">
          <cell r="C5313" t="str">
            <v>Pakistan Petroleum</v>
          </cell>
          <cell r="D5313">
            <v>13.93</v>
          </cell>
        </row>
        <row r="5314">
          <cell r="C5314" t="str">
            <v>Gulf Insurance Group</v>
          </cell>
          <cell r="D5314">
            <v>0.30412099999999997</v>
          </cell>
        </row>
        <row r="5315">
          <cell r="C5315" t="str">
            <v>PropertyGuru</v>
          </cell>
          <cell r="D5315">
            <v>4.3600000000000003</v>
          </cell>
        </row>
        <row r="5316">
          <cell r="C5316" t="str">
            <v>Transcontinental</v>
          </cell>
          <cell r="D5316">
            <v>46987</v>
          </cell>
        </row>
        <row r="5317">
          <cell r="C5317" t="str">
            <v>Grid Dynamics</v>
          </cell>
          <cell r="D5317">
            <v>311626</v>
          </cell>
        </row>
        <row r="5318">
          <cell r="C5318" t="str">
            <v>Triumph Group</v>
          </cell>
          <cell r="D5318">
            <v>0.421491</v>
          </cell>
        </row>
        <row r="5319">
          <cell r="C5319" t="str">
            <v>United Development Company</v>
          </cell>
          <cell r="D5319">
            <v>9.99</v>
          </cell>
        </row>
        <row r="5320">
          <cell r="C5320" t="str">
            <v>UNITI</v>
          </cell>
          <cell r="D5320">
            <v>7.1410799999999997</v>
          </cell>
        </row>
        <row r="5321">
          <cell r="C5321" t="str">
            <v>SM Entertainment</v>
          </cell>
          <cell r="D5321">
            <v>41.8673</v>
          </cell>
        </row>
        <row r="5322">
          <cell r="C5322" t="str">
            <v>Ottogi</v>
          </cell>
          <cell r="D5322">
            <v>29.46</v>
          </cell>
        </row>
        <row r="5323">
          <cell r="C5323" t="str">
            <v>Kossan Rubber Industries</v>
          </cell>
          <cell r="D5323">
            <v>1.4338299999999999</v>
          </cell>
        </row>
        <row r="5324">
          <cell r="C5324" t="str">
            <v>Allscripts</v>
          </cell>
          <cell r="D5324">
            <v>8.9478600000000004</v>
          </cell>
        </row>
        <row r="5325">
          <cell r="C5325" t="str">
            <v>Close Brothers Group</v>
          </cell>
          <cell r="D5325">
            <v>1.99</v>
          </cell>
        </row>
        <row r="5326">
          <cell r="C5326" t="str">
            <v>Meiko Electronics</v>
          </cell>
          <cell r="D5326">
            <v>19.11</v>
          </cell>
        </row>
        <row r="5327">
          <cell r="C5327" t="str">
            <v>Digi International</v>
          </cell>
          <cell r="D5327">
            <v>13.2018</v>
          </cell>
        </row>
        <row r="5328">
          <cell r="C5328" t="str">
            <v>Great Eagle</v>
          </cell>
          <cell r="D5328">
            <v>34.26</v>
          </cell>
        </row>
        <row r="5329">
          <cell r="C5329" t="str">
            <v>SPIMACO (Saudi Pharmaceutical Industries and Medical Appliances Corporation)</v>
          </cell>
          <cell r="D5329">
            <v>53.99</v>
          </cell>
        </row>
        <row r="5330">
          <cell r="C5330" t="str">
            <v>Televisa</v>
          </cell>
          <cell r="D5330">
            <v>15.369400000000001</v>
          </cell>
        </row>
        <row r="5331">
          <cell r="C5331" t="str">
            <v>QuinStreet</v>
          </cell>
          <cell r="D5331">
            <v>15.8</v>
          </cell>
        </row>
        <row r="5332">
          <cell r="C5332" t="str">
            <v>Modern Mills for Food Products</v>
          </cell>
          <cell r="D5332">
            <v>4.8266499999999999</v>
          </cell>
        </row>
        <row r="5333">
          <cell r="C5333" t="str">
            <v>The First Bancshares</v>
          </cell>
          <cell r="D5333">
            <v>2.69319</v>
          </cell>
        </row>
        <row r="5334">
          <cell r="C5334" t="str">
            <v>SP Plus Corporation</v>
          </cell>
          <cell r="D5334">
            <v>15.4878</v>
          </cell>
        </row>
        <row r="5335">
          <cell r="C5335" t="str">
            <v>Arbonia</v>
          </cell>
          <cell r="D5335">
            <v>10.050000000000001</v>
          </cell>
        </row>
        <row r="5336">
          <cell r="C5336" t="str">
            <v>Perspective Therapeutics</v>
          </cell>
          <cell r="D5336">
            <v>3.13916</v>
          </cell>
        </row>
        <row r="5337">
          <cell r="C5337" t="str">
            <v>Sundaram Finance</v>
          </cell>
          <cell r="D5337">
            <v>31.43</v>
          </cell>
        </row>
        <row r="5338">
          <cell r="C5338" t="str">
            <v>Arena REIT</v>
          </cell>
          <cell r="D5338">
            <v>5.9389799999999999</v>
          </cell>
        </row>
        <row r="5339">
          <cell r="C5339" t="str">
            <v>HiteJinro</v>
          </cell>
          <cell r="D5339">
            <v>19.122599999999998</v>
          </cell>
        </row>
        <row r="5340">
          <cell r="C5340" t="str">
            <v>Barings BDC</v>
          </cell>
          <cell r="D5340">
            <v>79.31</v>
          </cell>
        </row>
        <row r="5341">
          <cell r="C5341" t="str">
            <v>Ferretti</v>
          </cell>
          <cell r="D5341">
            <v>3221</v>
          </cell>
        </row>
        <row r="5342">
          <cell r="C5342" t="str">
            <v>Thermon Group</v>
          </cell>
          <cell r="D5342">
            <v>6.4778700000000002</v>
          </cell>
        </row>
        <row r="5343">
          <cell r="C5343" t="str">
            <v>Freightways</v>
          </cell>
          <cell r="D5343">
            <v>10.9909</v>
          </cell>
        </row>
        <row r="5344">
          <cell r="C5344" t="str">
            <v>First Milling Company</v>
          </cell>
          <cell r="D5344">
            <v>10.41</v>
          </cell>
        </row>
        <row r="5345">
          <cell r="C5345" t="str">
            <v>Argan</v>
          </cell>
          <cell r="D5345">
            <v>0.547925</v>
          </cell>
        </row>
        <row r="5346">
          <cell r="C5346" t="str">
            <v>Nuix Limited</v>
          </cell>
          <cell r="D5346">
            <v>71626</v>
          </cell>
        </row>
        <row r="5347">
          <cell r="C5347" t="str">
            <v>FDC India</v>
          </cell>
          <cell r="D5347">
            <v>2.97336</v>
          </cell>
        </row>
        <row r="5348">
          <cell r="C5348" t="str">
            <v>Primaris Real Estate Investment Trust</v>
          </cell>
          <cell r="D5348">
            <v>6.7837800000000001</v>
          </cell>
        </row>
        <row r="5349">
          <cell r="C5349" t="str">
            <v>SunCar Technology Group</v>
          </cell>
          <cell r="D5349">
            <v>5.19</v>
          </cell>
        </row>
        <row r="5350">
          <cell r="C5350" t="str">
            <v>Brim hf.</v>
          </cell>
          <cell r="D5350">
            <v>15.06</v>
          </cell>
        </row>
        <row r="5351">
          <cell r="C5351" t="str">
            <v>Retail Estates NV</v>
          </cell>
          <cell r="D5351">
            <v>2.00298</v>
          </cell>
        </row>
        <row r="5352">
          <cell r="C5352" t="str">
            <v>Piaggio</v>
          </cell>
          <cell r="D5352">
            <v>14778</v>
          </cell>
        </row>
        <row r="5353">
          <cell r="C5353" t="str">
            <v>Mahindra Lifespaces</v>
          </cell>
          <cell r="D5353">
            <v>27.11</v>
          </cell>
        </row>
        <row r="5354">
          <cell r="C5354" t="str">
            <v>SSR Mining</v>
          </cell>
          <cell r="D5354">
            <v>21.88</v>
          </cell>
        </row>
        <row r="5355">
          <cell r="C5355" t="str">
            <v>Pagaya Technologies</v>
          </cell>
          <cell r="D5355">
            <v>1.5699000000000001</v>
          </cell>
        </row>
        <row r="5356">
          <cell r="C5356" t="str">
            <v>Redox Limited</v>
          </cell>
          <cell r="D5356">
            <v>59.5505</v>
          </cell>
        </row>
        <row r="5357">
          <cell r="C5357" t="str">
            <v>Savaria Corporation</v>
          </cell>
          <cell r="D5357">
            <v>3.93</v>
          </cell>
        </row>
        <row r="5358">
          <cell r="C5358" t="str">
            <v>Tarsus Pharmaceuticals</v>
          </cell>
          <cell r="D5358">
            <v>87.49</v>
          </cell>
        </row>
        <row r="5359">
          <cell r="C5359" t="str">
            <v>Enliven Therapeutics</v>
          </cell>
          <cell r="D5359">
            <v>1.9630799999999999</v>
          </cell>
        </row>
        <row r="5360">
          <cell r="C5360" t="str">
            <v>Insignia Financial (IOOF)</v>
          </cell>
          <cell r="D5360">
            <v>17.87</v>
          </cell>
        </row>
        <row r="5361">
          <cell r="C5361" t="str">
            <v>Per Aarsleff Holding A/S B</v>
          </cell>
          <cell r="D5361">
            <v>29.844100000000001</v>
          </cell>
        </row>
        <row r="5362">
          <cell r="C5362" t="str">
            <v>Autolus Therapeutics</v>
          </cell>
          <cell r="D5362">
            <v>3.4713799999999999</v>
          </cell>
        </row>
        <row r="5363">
          <cell r="C5363" t="str">
            <v>Hibbett Sports</v>
          </cell>
          <cell r="D5363">
            <v>31</v>
          </cell>
        </row>
        <row r="5364">
          <cell r="C5364" t="str">
            <v>Prosegur</v>
          </cell>
          <cell r="D5364">
            <v>61.235799999999998</v>
          </cell>
        </row>
        <row r="5365">
          <cell r="C5365" t="str">
            <v>OceanFirst Financial</v>
          </cell>
          <cell r="D5365">
            <v>23.533300000000001</v>
          </cell>
        </row>
        <row r="5366">
          <cell r="C5366" t="str">
            <v>Cancom</v>
          </cell>
          <cell r="D5366">
            <v>33.47</v>
          </cell>
        </row>
        <row r="5367">
          <cell r="C5367" t="str">
            <v>Regis Healthcare</v>
          </cell>
          <cell r="D5367">
            <v>72.31</v>
          </cell>
        </row>
        <row r="5368">
          <cell r="C5368" t="str">
            <v>Ichor Systems</v>
          </cell>
          <cell r="D5368">
            <v>2.0977100000000002</v>
          </cell>
        </row>
        <row r="5369">
          <cell r="C5369" t="str">
            <v>Mensch und Maschine</v>
          </cell>
          <cell r="D5369">
            <v>40.85</v>
          </cell>
        </row>
        <row r="5370">
          <cell r="C5370" t="str">
            <v>Sakata Seed</v>
          </cell>
          <cell r="D5370">
            <v>0.78039899999999995</v>
          </cell>
        </row>
        <row r="5371">
          <cell r="C5371" t="str">
            <v>Origin Bancorp</v>
          </cell>
          <cell r="D5371">
            <v>1.29</v>
          </cell>
        </row>
        <row r="5372">
          <cell r="C5372" t="str">
            <v>Precision Drilling Corporation</v>
          </cell>
          <cell r="D5372">
            <v>30.507400000000001</v>
          </cell>
        </row>
        <row r="5373">
          <cell r="C5373" t="str">
            <v>Dalrymple Bay Infrastructure</v>
          </cell>
          <cell r="D5373">
            <v>0.19320899999999999</v>
          </cell>
        </row>
        <row r="5374">
          <cell r="C5374" t="str">
            <v>Sprott Inc</v>
          </cell>
          <cell r="D5374">
            <v>25.51</v>
          </cell>
        </row>
        <row r="5375">
          <cell r="C5375" t="str">
            <v>THG (The Hut Group)</v>
          </cell>
          <cell r="D5375">
            <v>6.7843799999999996</v>
          </cell>
        </row>
        <row r="5376">
          <cell r="C5376" t="str">
            <v>AMTD IDEA Group</v>
          </cell>
          <cell r="D5376">
            <v>34.229999999999997</v>
          </cell>
        </row>
        <row r="5377">
          <cell r="C5377" t="str">
            <v>PIERER Mobility</v>
          </cell>
          <cell r="D5377">
            <v>30.85</v>
          </cell>
        </row>
        <row r="5378">
          <cell r="C5378" t="str">
            <v>RattanIndia Power</v>
          </cell>
          <cell r="D5378">
            <v>34.26</v>
          </cell>
        </row>
        <row r="5379">
          <cell r="C5379" t="str">
            <v>TriMas</v>
          </cell>
          <cell r="D5379">
            <v>0.89238300000000004</v>
          </cell>
        </row>
        <row r="5380">
          <cell r="C5380" t="str">
            <v>Varroc</v>
          </cell>
          <cell r="D5380">
            <v>5.91</v>
          </cell>
        </row>
        <row r="5381">
          <cell r="C5381" t="str">
            <v>Southside Bancshares</v>
          </cell>
          <cell r="D5381">
            <v>58.4724</v>
          </cell>
        </row>
        <row r="5382">
          <cell r="C5382" t="str">
            <v>Office Depot</v>
          </cell>
          <cell r="D5382">
            <v>3.4938600000000002</v>
          </cell>
        </row>
        <row r="5383">
          <cell r="C5383" t="str">
            <v>The Pennant Group</v>
          </cell>
          <cell r="D5383">
            <v>6.3010900000000003</v>
          </cell>
        </row>
        <row r="5384">
          <cell r="C5384" t="str">
            <v>Cathay Real Estate Development</v>
          </cell>
          <cell r="D5384">
            <v>0.37198700000000001</v>
          </cell>
        </row>
        <row r="5385">
          <cell r="C5385" t="str">
            <v>Himax</v>
          </cell>
          <cell r="D5385">
            <v>16.510000000000002</v>
          </cell>
        </row>
        <row r="5386">
          <cell r="C5386" t="str">
            <v>Formycon AG</v>
          </cell>
          <cell r="D5386">
            <v>18.96</v>
          </cell>
        </row>
        <row r="5387">
          <cell r="C5387" t="str">
            <v>Rajesh Exports</v>
          </cell>
          <cell r="D5387">
            <v>6.33</v>
          </cell>
        </row>
        <row r="5388">
          <cell r="C5388" t="str">
            <v>Europris</v>
          </cell>
          <cell r="D5388">
            <v>6.1230599999999997</v>
          </cell>
        </row>
        <row r="5389">
          <cell r="C5389" t="str">
            <v>Infibeam Avenues</v>
          </cell>
          <cell r="D5389">
            <v>2.6864300000000001</v>
          </cell>
        </row>
        <row r="5390">
          <cell r="C5390" t="str">
            <v>First Watch Restaurant</v>
          </cell>
          <cell r="D5390">
            <v>7.13</v>
          </cell>
        </row>
        <row r="5391">
          <cell r="C5391" t="str">
            <v>Mativ Holdings</v>
          </cell>
          <cell r="D5391">
            <v>2.7131599999999998</v>
          </cell>
        </row>
        <row r="5392">
          <cell r="C5392" t="str">
            <v>Kalpataru Power Transmission</v>
          </cell>
          <cell r="D5392">
            <v>10.7887</v>
          </cell>
        </row>
        <row r="5393">
          <cell r="C5393" t="str">
            <v>Black Box</v>
          </cell>
          <cell r="D5393">
            <v>30.98</v>
          </cell>
        </row>
        <row r="5394">
          <cell r="C5394" t="str">
            <v>Nufarm</v>
          </cell>
          <cell r="D5394">
            <v>1392.73</v>
          </cell>
        </row>
        <row r="5395">
          <cell r="C5395" t="str">
            <v>TDCX</v>
          </cell>
          <cell r="D5395">
            <v>38.979999999999997</v>
          </cell>
        </row>
        <row r="5396">
          <cell r="C5396" t="str">
            <v>Karnataka Bank</v>
          </cell>
          <cell r="D5396">
            <v>6.17</v>
          </cell>
        </row>
        <row r="5397">
          <cell r="C5397" t="str">
            <v>Astra Microwave</v>
          </cell>
          <cell r="D5397">
            <v>1.3628800000000001</v>
          </cell>
        </row>
        <row r="5398">
          <cell r="C5398" t="str">
            <v>Bowhead Specialty Holdings</v>
          </cell>
          <cell r="D5398">
            <v>7.88</v>
          </cell>
        </row>
        <row r="5399">
          <cell r="C5399" t="str">
            <v>Sedlmayr Grund und Immobilien AG</v>
          </cell>
          <cell r="D5399">
            <v>112679</v>
          </cell>
        </row>
        <row r="5400">
          <cell r="C5400" t="str">
            <v>Gorman-Rupp</v>
          </cell>
          <cell r="D5400">
            <v>6.71</v>
          </cell>
        </row>
        <row r="5401">
          <cell r="C5401" t="str">
            <v>FIGS</v>
          </cell>
          <cell r="D5401">
            <v>26.01</v>
          </cell>
        </row>
        <row r="5402">
          <cell r="C5402" t="str">
            <v>Pick n Pay Stores</v>
          </cell>
          <cell r="D5402">
            <v>12.93</v>
          </cell>
        </row>
        <row r="5403">
          <cell r="C5403" t="str">
            <v>Playa Hotels &amp;amp; Resorts</v>
          </cell>
          <cell r="D5403">
            <v>13.77</v>
          </cell>
        </row>
        <row r="5404">
          <cell r="C5404" t="str">
            <v>Shinsegae</v>
          </cell>
          <cell r="D5404">
            <v>3.0992000000000002</v>
          </cell>
        </row>
        <row r="5405">
          <cell r="C5405" t="str">
            <v>Array Technologies</v>
          </cell>
          <cell r="D5405">
            <v>11.7216</v>
          </cell>
        </row>
        <row r="5406">
          <cell r="C5406" t="str">
            <v>Dime Community Bancshares</v>
          </cell>
          <cell r="D5406">
            <v>0.68503599999999998</v>
          </cell>
        </row>
        <row r="5407">
          <cell r="C5407" t="str">
            <v>NerdWallet</v>
          </cell>
          <cell r="D5407">
            <v>74.728700000000003</v>
          </cell>
        </row>
        <row r="5408">
          <cell r="C5408" t="str">
            <v>A10 Networks</v>
          </cell>
          <cell r="D5408">
            <v>3.3203299999999998</v>
          </cell>
        </row>
        <row r="5409">
          <cell r="C5409" t="str">
            <v>MAAS Group Holdings</v>
          </cell>
          <cell r="D5409">
            <v>10.0274</v>
          </cell>
        </row>
        <row r="5410">
          <cell r="C5410" t="str">
            <v>Mepco (Middle East Company for Manufacturing and Producing Paper)</v>
          </cell>
          <cell r="D5410">
            <v>31.6127</v>
          </cell>
        </row>
        <row r="5411">
          <cell r="C5411" t="str">
            <v>Riverstone Holdings</v>
          </cell>
          <cell r="D5411">
            <v>3700.92</v>
          </cell>
        </row>
        <row r="5412">
          <cell r="C5412" t="str">
            <v>Medartis Holding</v>
          </cell>
          <cell r="D5412">
            <v>28.95</v>
          </cell>
        </row>
        <row r="5413">
          <cell r="C5413" t="str">
            <v>Campus Activewear</v>
          </cell>
          <cell r="D5413">
            <v>7.97</v>
          </cell>
        </row>
        <row r="5414">
          <cell r="C5414" t="str">
            <v>Parex Resources</v>
          </cell>
          <cell r="D5414">
            <v>1.1000000000000001</v>
          </cell>
        </row>
        <row r="5415">
          <cell r="C5415" t="str">
            <v>Frey SA</v>
          </cell>
          <cell r="D5415">
            <v>32.99</v>
          </cell>
        </row>
        <row r="5416">
          <cell r="C5416" t="str">
            <v>Ali Al-Ghanim Sons Automotive Company</v>
          </cell>
          <cell r="D5416">
            <v>6.4115200000000003</v>
          </cell>
        </row>
        <row r="5417">
          <cell r="C5417" t="str">
            <v>CECO Environmental</v>
          </cell>
          <cell r="D5417">
            <v>1.0446800000000001</v>
          </cell>
        </row>
        <row r="5418">
          <cell r="C5418" t="str">
            <v>Gogo Inflight Internet</v>
          </cell>
          <cell r="D5418">
            <v>12951</v>
          </cell>
        </row>
        <row r="5419">
          <cell r="C5419" t="str">
            <v>Bank ABC (Arab Banking Corporation)</v>
          </cell>
          <cell r="D5419">
            <v>0.43091800000000002</v>
          </cell>
        </row>
        <row r="5420">
          <cell r="C5420" t="str">
            <v>Amalgamated Financial</v>
          </cell>
          <cell r="D5420">
            <v>1.68011</v>
          </cell>
        </row>
        <row r="5421">
          <cell r="C5421" t="str">
            <v>Yanbu Cement Company</v>
          </cell>
          <cell r="D5421">
            <v>6.1</v>
          </cell>
        </row>
        <row r="5422">
          <cell r="C5422" t="str">
            <v>Norwegian Air Shuttle</v>
          </cell>
          <cell r="D5422">
            <v>9.5</v>
          </cell>
        </row>
        <row r="5423">
          <cell r="C5423" t="str">
            <v>Transport Corporation of India</v>
          </cell>
          <cell r="D5423">
            <v>47.7727</v>
          </cell>
        </row>
        <row r="5424">
          <cell r="C5424" t="str">
            <v>SUNeVision</v>
          </cell>
          <cell r="D5424">
            <v>6.84</v>
          </cell>
        </row>
        <row r="5425">
          <cell r="C5425" t="str">
            <v>Telia Lietuva</v>
          </cell>
          <cell r="D5425">
            <v>7.1254600000000003</v>
          </cell>
        </row>
        <row r="5426">
          <cell r="C5426" t="str">
            <v>PureCycle Technologies</v>
          </cell>
          <cell r="D5426">
            <v>95.83</v>
          </cell>
        </row>
        <row r="5427">
          <cell r="C5427" t="str">
            <v>89bio</v>
          </cell>
          <cell r="D5427">
            <v>15.89</v>
          </cell>
        </row>
        <row r="5428">
          <cell r="C5428" t="str">
            <v>Eckert &amp;amp; Ziegler</v>
          </cell>
          <cell r="D5428">
            <v>7.57</v>
          </cell>
        </row>
        <row r="5429">
          <cell r="C5429" t="str">
            <v>MiMedx Group</v>
          </cell>
          <cell r="D5429">
            <v>20.45</v>
          </cell>
        </row>
        <row r="5430">
          <cell r="C5430" t="str">
            <v>Amotiv Limited</v>
          </cell>
          <cell r="D5430">
            <v>17862</v>
          </cell>
        </row>
        <row r="5431">
          <cell r="C5431" t="str">
            <v>HCI Group</v>
          </cell>
          <cell r="D5431">
            <v>28223</v>
          </cell>
        </row>
        <row r="5432">
          <cell r="C5432" t="str">
            <v>Evolus</v>
          </cell>
          <cell r="D5432">
            <v>6.7903399999999996</v>
          </cell>
        </row>
        <row r="5433">
          <cell r="C5433" t="str">
            <v>Redwood Trust</v>
          </cell>
          <cell r="D5433">
            <v>3.66</v>
          </cell>
        </row>
        <row r="5434">
          <cell r="C5434" t="str">
            <v>ARMOUR Residential REIT</v>
          </cell>
          <cell r="D5434">
            <v>37.360500000000002</v>
          </cell>
        </row>
        <row r="5435">
          <cell r="C5435" t="str">
            <v>Glory Ltd.</v>
          </cell>
          <cell r="D5435">
            <v>21.94</v>
          </cell>
        </row>
        <row r="5436">
          <cell r="C5436" t="str">
            <v>Craneware</v>
          </cell>
          <cell r="D5436">
            <v>3.16</v>
          </cell>
        </row>
        <row r="5437">
          <cell r="C5437" t="str">
            <v>Sunteck Realty</v>
          </cell>
          <cell r="D5437">
            <v>34.21</v>
          </cell>
        </row>
        <row r="5438">
          <cell r="C5438" t="str">
            <v>Telus International</v>
          </cell>
          <cell r="D5438">
            <v>2.4951400000000001</v>
          </cell>
        </row>
        <row r="5439">
          <cell r="C5439" t="str">
            <v>Revenio</v>
          </cell>
          <cell r="D5439">
            <v>19.62</v>
          </cell>
        </row>
        <row r="5440">
          <cell r="C5440" t="str">
            <v>Camping World</v>
          </cell>
          <cell r="D5440">
            <v>2.4563299999999999</v>
          </cell>
        </row>
        <row r="5441">
          <cell r="C5441" t="str">
            <v>Mediaset España Comunicación</v>
          </cell>
          <cell r="D5441">
            <v>8.0132300000000001</v>
          </cell>
        </row>
        <row r="5442">
          <cell r="C5442" t="str">
            <v>Columbus McKinnon</v>
          </cell>
          <cell r="D5442">
            <v>5.2692399999999999</v>
          </cell>
        </row>
        <row r="5443">
          <cell r="C5443" t="str">
            <v>Reliance Infrastructure</v>
          </cell>
          <cell r="D5443">
            <v>12.5677</v>
          </cell>
        </row>
        <row r="5444">
          <cell r="C5444" t="str">
            <v>Couchbase</v>
          </cell>
          <cell r="D5444">
            <v>9.69</v>
          </cell>
        </row>
        <row r="5445">
          <cell r="C5445" t="str">
            <v>SMASCO (Saudi Manpower Solutions Company)</v>
          </cell>
          <cell r="D5445">
            <v>2473.8200000000002</v>
          </cell>
        </row>
        <row r="5446">
          <cell r="C5446" t="str">
            <v>SD BioSensor</v>
          </cell>
          <cell r="D5446">
            <v>16.82</v>
          </cell>
        </row>
        <row r="5447">
          <cell r="C5447" t="str">
            <v>Barloworld</v>
          </cell>
          <cell r="D5447">
            <v>5.2639199999999997</v>
          </cell>
        </row>
        <row r="5448">
          <cell r="C5448" t="str">
            <v>Técnicas Reunidas</v>
          </cell>
          <cell r="D5448">
            <v>9.99</v>
          </cell>
        </row>
        <row r="5449">
          <cell r="C5449" t="str">
            <v>Target Hospitality</v>
          </cell>
          <cell r="D5449">
            <v>218404</v>
          </cell>
        </row>
        <row r="5450">
          <cell r="C5450" t="str">
            <v>Gulf Investment House Company</v>
          </cell>
          <cell r="D5450">
            <v>60.3</v>
          </cell>
        </row>
        <row r="5451">
          <cell r="C5451" t="str">
            <v>Aris Water Solutions</v>
          </cell>
          <cell r="D5451">
            <v>2.16</v>
          </cell>
        </row>
        <row r="5452">
          <cell r="C5452" t="str">
            <v>Raspberry Pi</v>
          </cell>
          <cell r="D5452">
            <v>19.14</v>
          </cell>
        </row>
        <row r="5453">
          <cell r="C5453" t="str">
            <v>Eagle Point Credit Company</v>
          </cell>
          <cell r="D5453">
            <v>6.81</v>
          </cell>
        </row>
        <row r="5454">
          <cell r="C5454" t="str">
            <v>NEUCA</v>
          </cell>
          <cell r="D5454">
            <v>0.45676</v>
          </cell>
        </row>
        <row r="5455">
          <cell r="C5455" t="str">
            <v>Unitil Corporation</v>
          </cell>
          <cell r="D5455">
            <v>31.28</v>
          </cell>
        </row>
        <row r="5456">
          <cell r="C5456" t="str">
            <v>Bitfarms</v>
          </cell>
          <cell r="D5456">
            <v>4.7777500000000002</v>
          </cell>
        </row>
        <row r="5457">
          <cell r="C5457" t="str">
            <v>Jinko Solar</v>
          </cell>
          <cell r="D5457">
            <v>18</v>
          </cell>
        </row>
        <row r="5458">
          <cell r="C5458" t="str">
            <v>Aurinia Pharmaceuticals</v>
          </cell>
          <cell r="D5458">
            <v>38.36</v>
          </cell>
        </row>
        <row r="5459">
          <cell r="C5459" t="str">
            <v>Resolute Mining</v>
          </cell>
          <cell r="D5459">
            <v>12.38</v>
          </cell>
        </row>
        <row r="5460">
          <cell r="C5460" t="str">
            <v>Beazer Homes USA</v>
          </cell>
          <cell r="D5460">
            <v>4.6500000000000004</v>
          </cell>
        </row>
        <row r="5461">
          <cell r="C5461" t="str">
            <v>MOIL</v>
          </cell>
          <cell r="D5461">
            <v>1.05931</v>
          </cell>
        </row>
        <row r="5462">
          <cell r="C5462" t="str">
            <v>Pharvaris</v>
          </cell>
          <cell r="D5462">
            <v>43.577599999999997</v>
          </cell>
        </row>
        <row r="5463">
          <cell r="C5463" t="str">
            <v>IDT Corporation</v>
          </cell>
          <cell r="D5463">
            <v>7.67</v>
          </cell>
        </row>
        <row r="5464">
          <cell r="C5464" t="str">
            <v>Heartland Express</v>
          </cell>
          <cell r="D5464">
            <v>4227.75</v>
          </cell>
        </row>
        <row r="5465">
          <cell r="C5465" t="str">
            <v>Vivid Seats</v>
          </cell>
          <cell r="D5465">
            <v>14.73</v>
          </cell>
        </row>
        <row r="5466">
          <cell r="C5466" t="str">
            <v>YOOZOO Interactive</v>
          </cell>
          <cell r="D5466">
            <v>4.0999999999999996</v>
          </cell>
        </row>
        <row r="5467">
          <cell r="C5467" t="str">
            <v>Sun Corp</v>
          </cell>
          <cell r="D5467">
            <v>19.64</v>
          </cell>
        </row>
        <row r="5468">
          <cell r="C5468" t="str">
            <v>NextNav</v>
          </cell>
          <cell r="D5468">
            <v>14.36</v>
          </cell>
        </row>
        <row r="5469">
          <cell r="C5469" t="str">
            <v>IFA Hotels and Resorts</v>
          </cell>
          <cell r="D5469">
            <v>4.43</v>
          </cell>
        </row>
        <row r="5470">
          <cell r="C5470" t="str">
            <v>DAQO New Energy</v>
          </cell>
          <cell r="D5470">
            <v>55.491599999999998</v>
          </cell>
        </row>
        <row r="5471">
          <cell r="C5471" t="str">
            <v>Custom Truck One Source</v>
          </cell>
          <cell r="D5471">
            <v>1.0691200000000001</v>
          </cell>
        </row>
        <row r="5472">
          <cell r="C5472" t="str">
            <v>Xometry</v>
          </cell>
          <cell r="D5472">
            <v>1.62364</v>
          </cell>
        </row>
        <row r="5473">
          <cell r="C5473" t="str">
            <v>HireRight</v>
          </cell>
          <cell r="D5473">
            <v>11.66</v>
          </cell>
        </row>
        <row r="5474">
          <cell r="C5474" t="str">
            <v>Black Rifle Coffee (BRC)</v>
          </cell>
          <cell r="D5474">
            <v>40.28</v>
          </cell>
        </row>
        <row r="5475">
          <cell r="C5475" t="str">
            <v>ChemoMetec</v>
          </cell>
          <cell r="D5475">
            <v>8.6687700000000003</v>
          </cell>
        </row>
        <row r="5476">
          <cell r="C5476" t="str">
            <v>Grendene</v>
          </cell>
          <cell r="D5476">
            <v>23.063800000000001</v>
          </cell>
        </row>
        <row r="5477">
          <cell r="C5477" t="str">
            <v>Super Hi International</v>
          </cell>
          <cell r="D5477">
            <v>3.3344800000000001</v>
          </cell>
        </row>
        <row r="5478">
          <cell r="C5478" t="str">
            <v>Accel Entertainment</v>
          </cell>
          <cell r="D5478">
            <v>11.73</v>
          </cell>
        </row>
        <row r="5479">
          <cell r="C5479" t="str">
            <v>First Mid-Illinois Bancshares</v>
          </cell>
          <cell r="D5479">
            <v>0.60327600000000003</v>
          </cell>
        </row>
        <row r="5480">
          <cell r="C5480" t="str">
            <v>Arezzo Indústria e Comércio</v>
          </cell>
          <cell r="D5480">
            <v>17.464400000000001</v>
          </cell>
        </row>
        <row r="5481">
          <cell r="C5481" t="str">
            <v>Jamieson Wellness</v>
          </cell>
          <cell r="D5481">
            <v>65.08</v>
          </cell>
        </row>
        <row r="5482">
          <cell r="C5482" t="str">
            <v>Norconsult</v>
          </cell>
          <cell r="D5482">
            <v>14.68</v>
          </cell>
        </row>
        <row r="5483">
          <cell r="C5483" t="str">
            <v>CompoSecure</v>
          </cell>
          <cell r="D5483">
            <v>49.36</v>
          </cell>
        </row>
        <row r="5484">
          <cell r="C5484" t="str">
            <v>Kiwi Property</v>
          </cell>
          <cell r="D5484">
            <v>25</v>
          </cell>
        </row>
        <row r="5485">
          <cell r="C5485" t="str">
            <v>Salzgitter</v>
          </cell>
          <cell r="D5485">
            <v>86.287499999999994</v>
          </cell>
        </row>
        <row r="5486">
          <cell r="C5486" t="str">
            <v>Ducommun</v>
          </cell>
          <cell r="D5486">
            <v>11.95</v>
          </cell>
        </row>
        <row r="5487">
          <cell r="C5487" t="str">
            <v>Viridian Therapeutics</v>
          </cell>
          <cell r="D5487">
            <v>39.041400000000003</v>
          </cell>
        </row>
        <row r="5488">
          <cell r="C5488" t="str">
            <v>Jack in the Box</v>
          </cell>
          <cell r="D5488">
            <v>50.12</v>
          </cell>
        </row>
        <row r="5489">
          <cell r="C5489" t="str">
            <v>ConnectOne Bancorp</v>
          </cell>
          <cell r="D5489">
            <v>605366</v>
          </cell>
        </row>
        <row r="5490">
          <cell r="C5490" t="str">
            <v>JSW Holdings</v>
          </cell>
          <cell r="D5490">
            <v>36.51</v>
          </cell>
        </row>
        <row r="5491">
          <cell r="C5491" t="str">
            <v>Enviri Corporation</v>
          </cell>
          <cell r="D5491">
            <v>23.485600000000002</v>
          </cell>
        </row>
        <row r="5492">
          <cell r="C5492" t="str">
            <v>Ethos Watches</v>
          </cell>
          <cell r="D5492">
            <v>13.947800000000001</v>
          </cell>
        </row>
        <row r="5493">
          <cell r="C5493" t="str">
            <v>AMERISAFE</v>
          </cell>
          <cell r="D5493">
            <v>3.67</v>
          </cell>
        </row>
        <row r="5494">
          <cell r="C5494" t="str">
            <v>Kuwait International Bank</v>
          </cell>
          <cell r="D5494">
            <v>20.13</v>
          </cell>
        </row>
        <row r="5495">
          <cell r="C5495" t="str">
            <v>Barrett Business Services</v>
          </cell>
          <cell r="D5495">
            <v>11.5023</v>
          </cell>
        </row>
        <row r="5496">
          <cell r="C5496" t="str">
            <v>IFB Industries</v>
          </cell>
          <cell r="D5496">
            <v>1.6137900000000001</v>
          </cell>
        </row>
        <row r="5497">
          <cell r="C5497" t="str">
            <v>Grupa Pracuj</v>
          </cell>
          <cell r="D5497">
            <v>8.4246499999999997</v>
          </cell>
        </row>
        <row r="5498">
          <cell r="C5498" t="str">
            <v>Blend Labs</v>
          </cell>
          <cell r="D5498">
            <v>10.050000000000001</v>
          </cell>
        </row>
        <row r="5499">
          <cell r="C5499" t="str">
            <v>PROS</v>
          </cell>
          <cell r="D5499">
            <v>49.519199999999998</v>
          </cell>
        </row>
        <row r="5500">
          <cell r="C5500" t="str">
            <v>Sienna Senior Living</v>
          </cell>
          <cell r="D5500">
            <v>1.09941</v>
          </cell>
        </row>
        <row r="5501">
          <cell r="C5501" t="str">
            <v>Guaranty Trust Bank</v>
          </cell>
          <cell r="D5501">
            <v>16.34</v>
          </cell>
        </row>
        <row r="5502">
          <cell r="C5502" t="str">
            <v>Unipar Carbocloro</v>
          </cell>
          <cell r="D5502">
            <v>10.86</v>
          </cell>
        </row>
        <row r="5503">
          <cell r="C5503" t="str">
            <v>IRSA Inversiones y Representaciones</v>
          </cell>
          <cell r="D5503">
            <v>0.56281099999999995</v>
          </cell>
        </row>
        <row r="5504">
          <cell r="C5504" t="str">
            <v>OHB SE</v>
          </cell>
          <cell r="D5504">
            <v>2.9561500000000001</v>
          </cell>
        </row>
        <row r="5505">
          <cell r="C5505" t="str">
            <v>SIMPAR</v>
          </cell>
          <cell r="D5505">
            <v>2.09572</v>
          </cell>
        </row>
        <row r="5506">
          <cell r="C5506" t="str">
            <v>Embecta</v>
          </cell>
          <cell r="D5506">
            <v>15177</v>
          </cell>
        </row>
        <row r="5507">
          <cell r="C5507" t="str">
            <v>Pediatrix Medical Group</v>
          </cell>
          <cell r="D5507">
            <v>53.15</v>
          </cell>
        </row>
        <row r="5508">
          <cell r="C5508" t="str">
            <v>Hindustan Construction Company</v>
          </cell>
          <cell r="D5508">
            <v>10.588100000000001</v>
          </cell>
        </row>
        <row r="5509">
          <cell r="C5509" t="str">
            <v>Dah Sing Financial</v>
          </cell>
          <cell r="D5509">
            <v>94.04</v>
          </cell>
        </row>
        <row r="5510">
          <cell r="C5510" t="str">
            <v>Audax Renovables</v>
          </cell>
          <cell r="D5510">
            <v>12.6</v>
          </cell>
        </row>
        <row r="5511">
          <cell r="C5511" t="str">
            <v>VA Tech Wabag</v>
          </cell>
          <cell r="D5511">
            <v>16994</v>
          </cell>
        </row>
        <row r="5512">
          <cell r="C5512" t="str">
            <v>Praxis Precision Medicines</v>
          </cell>
          <cell r="D5512">
            <v>10.5684</v>
          </cell>
        </row>
        <row r="5513">
          <cell r="C5513" t="str">
            <v>Saudi Reinsurance Company</v>
          </cell>
          <cell r="D5513">
            <v>36.82</v>
          </cell>
        </row>
        <row r="5514">
          <cell r="C5514" t="str">
            <v>Bank First</v>
          </cell>
          <cell r="D5514">
            <v>6.5398899999999998</v>
          </cell>
        </row>
        <row r="5515">
          <cell r="C5515" t="str">
            <v>Dynex Capital</v>
          </cell>
          <cell r="D5515">
            <v>17.45</v>
          </cell>
        </row>
        <row r="5516">
          <cell r="C5516" t="str">
            <v>Bird Construction</v>
          </cell>
          <cell r="D5516">
            <v>16.239999999999998</v>
          </cell>
        </row>
        <row r="5517">
          <cell r="C5517" t="str">
            <v>Mullen Group</v>
          </cell>
          <cell r="D5517">
            <v>14.56</v>
          </cell>
        </row>
        <row r="5518">
          <cell r="C5518" t="str">
            <v>SilverBow Resources</v>
          </cell>
          <cell r="D5518">
            <v>92.734200000000001</v>
          </cell>
        </row>
        <row r="5519">
          <cell r="C5519" t="str">
            <v>Gabriel India</v>
          </cell>
          <cell r="D5519">
            <v>9.5500000000000007</v>
          </cell>
        </row>
        <row r="5520">
          <cell r="C5520" t="str">
            <v>Universal Technical Institute</v>
          </cell>
          <cell r="D5520">
            <v>1.1605099999999999</v>
          </cell>
        </row>
        <row r="5521">
          <cell r="C5521" t="str">
            <v>Energy Recovery</v>
          </cell>
          <cell r="D5521">
            <v>25.11</v>
          </cell>
        </row>
        <row r="5522">
          <cell r="C5522" t="str">
            <v>EHang Holdings</v>
          </cell>
          <cell r="D5522">
            <v>15.14</v>
          </cell>
        </row>
        <row r="5523">
          <cell r="C5523" t="str">
            <v>HIAG Immobilien</v>
          </cell>
          <cell r="D5523">
            <v>20.0306</v>
          </cell>
        </row>
        <row r="5524">
          <cell r="C5524" t="str">
            <v>ZipRecruiter</v>
          </cell>
          <cell r="D5524">
            <v>1.64</v>
          </cell>
        </row>
        <row r="5525">
          <cell r="C5525" t="str">
            <v>BKI Investment Company</v>
          </cell>
          <cell r="D5525">
            <v>3.7574999999999998</v>
          </cell>
        </row>
        <row r="5526">
          <cell r="C5526" t="str">
            <v>Nayax</v>
          </cell>
          <cell r="D5526">
            <v>53.0563</v>
          </cell>
        </row>
        <row r="5527">
          <cell r="C5527" t="str">
            <v>Guild Mortgage</v>
          </cell>
          <cell r="D5527">
            <v>3.04</v>
          </cell>
        </row>
        <row r="5528">
          <cell r="C5528" t="str">
            <v>Digital Garage</v>
          </cell>
          <cell r="D5528">
            <v>4.17</v>
          </cell>
        </row>
        <row r="5529">
          <cell r="C5529" t="str">
            <v>Abu Dhabi National Insurance Company</v>
          </cell>
          <cell r="D5529">
            <v>9.75</v>
          </cell>
        </row>
        <row r="5530">
          <cell r="C5530" t="str">
            <v>NorthWest Healthcare Properties REIT</v>
          </cell>
          <cell r="D5530">
            <v>2.0950199999999999</v>
          </cell>
        </row>
        <row r="5531">
          <cell r="C5531" t="str">
            <v>Vossloh AG</v>
          </cell>
          <cell r="D5531">
            <v>4.94651</v>
          </cell>
        </row>
        <row r="5532">
          <cell r="C5532" t="str">
            <v>Hertz</v>
          </cell>
          <cell r="D5532">
            <v>26.307099999999998</v>
          </cell>
        </row>
        <row r="5533">
          <cell r="C5533" t="str">
            <v>Huya</v>
          </cell>
          <cell r="D5533">
            <v>5.22797</v>
          </cell>
        </row>
        <row r="5534">
          <cell r="C5534" t="str">
            <v>National Energy Services Reunited</v>
          </cell>
          <cell r="D5534">
            <v>2.5</v>
          </cell>
        </row>
        <row r="5535">
          <cell r="C5535" t="str">
            <v>MPC Container Ships</v>
          </cell>
          <cell r="D5535">
            <v>1.55</v>
          </cell>
        </row>
        <row r="5536">
          <cell r="C5536" t="str">
            <v>Mishra Dhatu Nigam</v>
          </cell>
          <cell r="D5536">
            <v>13.92</v>
          </cell>
        </row>
        <row r="5537">
          <cell r="C5537" t="str">
            <v>AMAG Austria Metall</v>
          </cell>
          <cell r="D5537">
            <v>3.3157399999999999</v>
          </cell>
        </row>
        <row r="5538">
          <cell r="C5538" t="str">
            <v>Syrma SGS Technology</v>
          </cell>
          <cell r="D5538">
            <v>6.54</v>
          </cell>
        </row>
        <row r="5539">
          <cell r="C5539" t="str">
            <v>Nextdoor</v>
          </cell>
          <cell r="D5539">
            <v>5.7788599999999999</v>
          </cell>
        </row>
        <row r="5540">
          <cell r="C5540" t="str">
            <v>tuya</v>
          </cell>
          <cell r="D5540">
            <v>23.834499999999998</v>
          </cell>
        </row>
        <row r="5541">
          <cell r="C5541" t="str">
            <v>Sinclair Broadcast</v>
          </cell>
          <cell r="D5541">
            <v>10.11</v>
          </cell>
        </row>
        <row r="5542">
          <cell r="C5542" t="str">
            <v>SiteMinder</v>
          </cell>
          <cell r="D5542">
            <v>14.17</v>
          </cell>
        </row>
        <row r="5543">
          <cell r="C5543" t="str">
            <v>Bitdeer Technologies Group</v>
          </cell>
          <cell r="D5543">
            <v>3.6277200000000001</v>
          </cell>
        </row>
        <row r="5544">
          <cell r="C5544" t="str">
            <v>Megaport Limited</v>
          </cell>
          <cell r="D5544">
            <v>26.665700000000001</v>
          </cell>
        </row>
        <row r="5545">
          <cell r="C5545" t="str">
            <v>HEG</v>
          </cell>
          <cell r="D5545">
            <v>23.32</v>
          </cell>
        </row>
        <row r="5546">
          <cell r="C5546" t="str">
            <v>Hut 8 Mining</v>
          </cell>
          <cell r="D5546">
            <v>1.2434700000000001</v>
          </cell>
        </row>
        <row r="5547">
          <cell r="C5547" t="str">
            <v>Green Plains</v>
          </cell>
          <cell r="D5547">
            <v>4.6246200000000002</v>
          </cell>
        </row>
        <row r="5548">
          <cell r="C5548" t="str">
            <v>Elior Group</v>
          </cell>
          <cell r="D5548">
            <v>19.559999999999999</v>
          </cell>
        </row>
        <row r="5549">
          <cell r="C5549" t="str">
            <v>Badger Infrastructure Solutions</v>
          </cell>
          <cell r="D5549">
            <v>221068</v>
          </cell>
        </row>
        <row r="5550">
          <cell r="C5550" t="str">
            <v>PRA Group</v>
          </cell>
          <cell r="D5550">
            <v>32.39</v>
          </cell>
        </row>
        <row r="5551">
          <cell r="C5551" t="str">
            <v>Viña Concha y Toro</v>
          </cell>
          <cell r="D5551">
            <v>15.2005</v>
          </cell>
        </row>
        <row r="5552">
          <cell r="C5552" t="str">
            <v>Kelt Exploration</v>
          </cell>
          <cell r="D5552">
            <v>6.1351699999999996</v>
          </cell>
        </row>
        <row r="5553">
          <cell r="C5553" t="str">
            <v>Core Laboratories</v>
          </cell>
          <cell r="D5553">
            <v>53.0563</v>
          </cell>
        </row>
        <row r="5554">
          <cell r="C5554" t="str">
            <v>Spadel</v>
          </cell>
          <cell r="D5554">
            <v>13.991400000000001</v>
          </cell>
        </row>
        <row r="5555">
          <cell r="C5555" t="str">
            <v>Golden Entertainment</v>
          </cell>
          <cell r="D5555">
            <v>0.38961000000000001</v>
          </cell>
        </row>
        <row r="5556">
          <cell r="C5556" t="str">
            <v>Softchoice</v>
          </cell>
          <cell r="D5556">
            <v>15.18</v>
          </cell>
        </row>
        <row r="5557">
          <cell r="C5557" t="str">
            <v>Compañía de Acero del Pacífico</v>
          </cell>
          <cell r="D5557">
            <v>6.5231899999999996</v>
          </cell>
        </row>
        <row r="5558">
          <cell r="C5558" t="str">
            <v>Nexus AG</v>
          </cell>
          <cell r="D5558">
            <v>5.6924900000000003</v>
          </cell>
        </row>
        <row r="5559">
          <cell r="C5559" t="str">
            <v>Doosan Fuel Cell</v>
          </cell>
          <cell r="D5559">
            <v>21.8</v>
          </cell>
        </row>
        <row r="5560">
          <cell r="C5560" t="str">
            <v>Ahlibank</v>
          </cell>
          <cell r="D5560">
            <v>5.4867800000000004</v>
          </cell>
        </row>
        <row r="5561">
          <cell r="C5561" t="str">
            <v>Immunome</v>
          </cell>
          <cell r="D5561">
            <v>6.67</v>
          </cell>
        </row>
        <row r="5562">
          <cell r="C5562" t="str">
            <v>PDS Multinational</v>
          </cell>
          <cell r="D5562">
            <v>0.769756</v>
          </cell>
        </row>
        <row r="5563">
          <cell r="C5563" t="str">
            <v>Intrakat</v>
          </cell>
          <cell r="D5563">
            <v>30.55</v>
          </cell>
        </row>
        <row r="5564">
          <cell r="C5564" t="str">
            <v>Radware</v>
          </cell>
          <cell r="D5564">
            <v>50.5</v>
          </cell>
        </row>
        <row r="5565">
          <cell r="C5565" t="str">
            <v>Kirloskar Ferrous Industries</v>
          </cell>
          <cell r="D5565">
            <v>20.59</v>
          </cell>
        </row>
        <row r="5566">
          <cell r="C5566" t="str">
            <v>CI&amp;amp;T</v>
          </cell>
          <cell r="D5566">
            <v>10.23</v>
          </cell>
        </row>
        <row r="5567">
          <cell r="C5567" t="str">
            <v>MCB Bank Pakistan</v>
          </cell>
          <cell r="D5567">
            <v>6.79</v>
          </cell>
        </row>
        <row r="5568">
          <cell r="C5568" t="str">
            <v>PetIQ</v>
          </cell>
          <cell r="D5568">
            <v>47.861199999999997</v>
          </cell>
        </row>
        <row r="5569">
          <cell r="C5569" t="str">
            <v>Community Trust Bancorp</v>
          </cell>
          <cell r="D5569">
            <v>17.949100000000001</v>
          </cell>
        </row>
        <row r="5570">
          <cell r="C5570" t="str">
            <v>Deluxe</v>
          </cell>
          <cell r="D5570">
            <v>2918.85</v>
          </cell>
        </row>
        <row r="5571">
          <cell r="C5571" t="str">
            <v>Brookline Bancorp</v>
          </cell>
          <cell r="D5571">
            <v>5.23</v>
          </cell>
        </row>
        <row r="5572">
          <cell r="C5572" t="str">
            <v>Relay Therapeutics</v>
          </cell>
          <cell r="D5572">
            <v>24.39</v>
          </cell>
        </row>
        <row r="5573">
          <cell r="C5573" t="str">
            <v>Drägerwerk</v>
          </cell>
          <cell r="D5573">
            <v>17.32</v>
          </cell>
        </row>
        <row r="5574">
          <cell r="C5574" t="str">
            <v>Saudi Steel Pipes</v>
          </cell>
          <cell r="D5574">
            <v>7.5114700000000001</v>
          </cell>
        </row>
        <row r="5575">
          <cell r="C5575" t="str">
            <v>Mezzan Holding Company</v>
          </cell>
          <cell r="D5575">
            <v>17.232199999999999</v>
          </cell>
        </row>
        <row r="5576">
          <cell r="C5576" t="str">
            <v>Brandywine Realty Trust</v>
          </cell>
          <cell r="D5576">
            <v>4.49092</v>
          </cell>
        </row>
        <row r="5577">
          <cell r="C5577" t="str">
            <v>BrightSphere Investment Group</v>
          </cell>
          <cell r="D5577">
            <v>15.13</v>
          </cell>
        </row>
        <row r="5578">
          <cell r="C5578" t="str">
            <v>Hawaiian Airlines</v>
          </cell>
          <cell r="D5578">
            <v>31.88</v>
          </cell>
        </row>
        <row r="5579">
          <cell r="C5579" t="str">
            <v>Modern Times Group (MTG)</v>
          </cell>
          <cell r="D5579">
            <v>5.39</v>
          </cell>
        </row>
        <row r="5580">
          <cell r="C5580" t="str">
            <v>CompuGroup Medical</v>
          </cell>
          <cell r="D5580">
            <v>25.06</v>
          </cell>
        </row>
        <row r="5581">
          <cell r="C5581" t="str">
            <v>Jindal Worldwide</v>
          </cell>
          <cell r="D5581">
            <v>26.73</v>
          </cell>
        </row>
        <row r="5582">
          <cell r="C5582" t="str">
            <v>United Natural Foods</v>
          </cell>
          <cell r="D5582">
            <v>82.939300000000003</v>
          </cell>
        </row>
        <row r="5583">
          <cell r="C5583" t="str">
            <v>Scholastic</v>
          </cell>
          <cell r="D5583">
            <v>0.31227899999999997</v>
          </cell>
        </row>
        <row r="5584">
          <cell r="C5584" t="str">
            <v>Shoals Technologies</v>
          </cell>
          <cell r="D5584">
            <v>19.09</v>
          </cell>
        </row>
        <row r="5585">
          <cell r="C5585" t="str">
            <v>Premier Financial</v>
          </cell>
          <cell r="D5585">
            <v>32.939100000000003</v>
          </cell>
        </row>
        <row r="5586">
          <cell r="C5586" t="str">
            <v>ArriVent BioPharma</v>
          </cell>
          <cell r="D5586">
            <v>4.57151</v>
          </cell>
        </row>
        <row r="5587">
          <cell r="C5587" t="str">
            <v>Morguard</v>
          </cell>
          <cell r="D5587">
            <v>38.97</v>
          </cell>
        </row>
        <row r="5588">
          <cell r="C5588" t="str">
            <v>Sri Trang Gloves</v>
          </cell>
          <cell r="D5588">
            <v>0.97103799999999996</v>
          </cell>
        </row>
        <row r="5589">
          <cell r="C5589" t="str">
            <v>Silence Therapeutics</v>
          </cell>
          <cell r="D5589">
            <v>10448</v>
          </cell>
        </row>
        <row r="5590">
          <cell r="C5590" t="str">
            <v>Fnac Darty</v>
          </cell>
          <cell r="D5590">
            <v>63.888599999999997</v>
          </cell>
        </row>
        <row r="5591">
          <cell r="C5591" t="str">
            <v>KG Mobility (SsangYong Motor)</v>
          </cell>
          <cell r="D5591">
            <v>14.135199999999999</v>
          </cell>
        </row>
        <row r="5592">
          <cell r="C5592" t="str">
            <v>A-Mark Precious Metals</v>
          </cell>
          <cell r="D5592">
            <v>500654</v>
          </cell>
        </row>
        <row r="5593">
          <cell r="C5593" t="str">
            <v>APM Human Services International</v>
          </cell>
          <cell r="D5593">
            <v>12.29</v>
          </cell>
        </row>
        <row r="5594">
          <cell r="C5594" t="str">
            <v>Nick Scali Limited</v>
          </cell>
          <cell r="D5594">
            <v>25.08</v>
          </cell>
        </row>
        <row r="5595">
          <cell r="C5595" t="str">
            <v>Energiekontor</v>
          </cell>
          <cell r="D5595">
            <v>18.579999999999998</v>
          </cell>
        </row>
        <row r="5596">
          <cell r="C5596" t="str">
            <v>Qassim Cement Company</v>
          </cell>
          <cell r="D5596">
            <v>39.58</v>
          </cell>
        </row>
        <row r="5597">
          <cell r="C5597" t="str">
            <v>Commercial Real Estate Company (Kuwait)</v>
          </cell>
          <cell r="D5597">
            <v>61.34</v>
          </cell>
        </row>
        <row r="5598">
          <cell r="C5598" t="str">
            <v>Despegar</v>
          </cell>
          <cell r="D5598">
            <v>29.04</v>
          </cell>
        </row>
        <row r="5599">
          <cell r="C5599" t="str">
            <v>Global Ship Lease</v>
          </cell>
          <cell r="D5599">
            <v>0.59909400000000002</v>
          </cell>
        </row>
        <row r="5600">
          <cell r="C5600" t="str">
            <v>Kornit Digital</v>
          </cell>
          <cell r="D5600">
            <v>85.437899999999999</v>
          </cell>
        </row>
        <row r="5601">
          <cell r="C5601" t="str">
            <v>Cracker Barrel</v>
          </cell>
          <cell r="D5601">
            <v>31.77</v>
          </cell>
        </row>
        <row r="5602">
          <cell r="C5602" t="str">
            <v>Tompkins Financial</v>
          </cell>
          <cell r="D5602">
            <v>24.87</v>
          </cell>
        </row>
        <row r="5603">
          <cell r="C5603" t="str">
            <v>HealthStream</v>
          </cell>
          <cell r="D5603">
            <v>31.94</v>
          </cell>
        </row>
        <row r="5604">
          <cell r="C5604" t="str">
            <v>Prosegur Cash</v>
          </cell>
          <cell r="D5604">
            <v>13.43</v>
          </cell>
        </row>
        <row r="5605">
          <cell r="C5605" t="str">
            <v>EPIC Suisse</v>
          </cell>
          <cell r="D5605">
            <v>128244</v>
          </cell>
        </row>
        <row r="5606">
          <cell r="C5606" t="str">
            <v>Forward Air</v>
          </cell>
          <cell r="D5606">
            <v>67.83</v>
          </cell>
        </row>
        <row r="5607">
          <cell r="C5607" t="str">
            <v>Fiverr</v>
          </cell>
          <cell r="D5607">
            <v>25.7986</v>
          </cell>
        </row>
        <row r="5608">
          <cell r="C5608" t="str">
            <v>GeneDx Holdings</v>
          </cell>
          <cell r="D5608">
            <v>8.0605200000000004</v>
          </cell>
        </row>
        <row r="5609">
          <cell r="C5609" t="str">
            <v>Lakeland Bancorp</v>
          </cell>
          <cell r="D5609">
            <v>0.28999999999999998</v>
          </cell>
        </row>
        <row r="5610">
          <cell r="C5610" t="str">
            <v>Lassonde Industries</v>
          </cell>
          <cell r="D5610">
            <v>0.30450700000000003</v>
          </cell>
        </row>
        <row r="5611">
          <cell r="C5611" t="str">
            <v>Bel Fuse</v>
          </cell>
          <cell r="D5611">
            <v>31</v>
          </cell>
        </row>
        <row r="5612">
          <cell r="C5612" t="str">
            <v>Sleep Country Canada Holdings</v>
          </cell>
          <cell r="D5612">
            <v>2.9805299999999999</v>
          </cell>
        </row>
        <row r="5613">
          <cell r="C5613" t="str">
            <v>Surya Roshni</v>
          </cell>
          <cell r="D5613">
            <v>12.58</v>
          </cell>
        </row>
        <row r="5614">
          <cell r="C5614" t="str">
            <v>RAK Properties</v>
          </cell>
          <cell r="D5614">
            <v>0.25</v>
          </cell>
        </row>
        <row r="5615">
          <cell r="C5615" t="str">
            <v>The Star Entertainment Group</v>
          </cell>
          <cell r="D5615">
            <v>3.19</v>
          </cell>
        </row>
        <row r="5616">
          <cell r="C5616" t="str">
            <v>OneStream</v>
          </cell>
          <cell r="D5616">
            <v>497402</v>
          </cell>
        </row>
        <row r="5617">
          <cell r="C5617" t="str">
            <v>Lucky Cement</v>
          </cell>
          <cell r="D5617">
            <v>15.94</v>
          </cell>
        </row>
        <row r="5618">
          <cell r="C5618" t="str">
            <v>Gatos Silver</v>
          </cell>
          <cell r="D5618">
            <v>55</v>
          </cell>
        </row>
        <row r="5619">
          <cell r="C5619" t="str">
            <v>Esso (Thailand)</v>
          </cell>
          <cell r="D5619">
            <v>21</v>
          </cell>
        </row>
        <row r="5620">
          <cell r="C5620" t="str">
            <v>Petco</v>
          </cell>
          <cell r="D5620">
            <v>0.43376599999999998</v>
          </cell>
        </row>
        <row r="5621">
          <cell r="C5621" t="str">
            <v>Altareit</v>
          </cell>
          <cell r="D5621">
            <v>1.53773</v>
          </cell>
        </row>
        <row r="5622">
          <cell r="C5622" t="str">
            <v>SLR Investment</v>
          </cell>
          <cell r="D5622">
            <v>0.16033</v>
          </cell>
        </row>
        <row r="5623">
          <cell r="C5623" t="str">
            <v>DXP Enterprises</v>
          </cell>
          <cell r="D5623">
            <v>1.49648</v>
          </cell>
        </row>
        <row r="5624">
          <cell r="C5624" t="str">
            <v>Phibro Animal Health</v>
          </cell>
          <cell r="D5624">
            <v>6.2512699999999999</v>
          </cell>
        </row>
        <row r="5625">
          <cell r="C5625" t="str">
            <v>HSBC Oman</v>
          </cell>
          <cell r="D5625">
            <v>0.34222599999999997</v>
          </cell>
        </row>
        <row r="5626">
          <cell r="C5626" t="str">
            <v>BMV (Bolsa Mexicana de Valores)</v>
          </cell>
          <cell r="D5626">
            <v>18.86</v>
          </cell>
        </row>
        <row r="5627">
          <cell r="C5627" t="str">
            <v>Sasa Polyester</v>
          </cell>
          <cell r="D5627">
            <v>2.2599999999999998</v>
          </cell>
        </row>
        <row r="5628">
          <cell r="C5628" t="str">
            <v>AO World</v>
          </cell>
          <cell r="D5628">
            <v>1.92292</v>
          </cell>
        </row>
        <row r="5629">
          <cell r="C5629" t="str">
            <v>Suprajit Engineering</v>
          </cell>
          <cell r="D5629">
            <v>6.36</v>
          </cell>
        </row>
        <row r="5630">
          <cell r="C5630" t="str">
            <v>Hektaş</v>
          </cell>
          <cell r="D5630">
            <v>40.589199999999998</v>
          </cell>
        </row>
        <row r="5631">
          <cell r="C5631" t="str">
            <v>CARGO Therapeutics</v>
          </cell>
          <cell r="D5631">
            <v>2.3444799999999999</v>
          </cell>
        </row>
        <row r="5632">
          <cell r="C5632" t="str">
            <v>Cronos Group</v>
          </cell>
          <cell r="D5632">
            <v>29.28</v>
          </cell>
        </row>
        <row r="5633">
          <cell r="C5633" t="str">
            <v>Maharah for Human Resources Company</v>
          </cell>
          <cell r="D5633">
            <v>15.7339</v>
          </cell>
        </row>
        <row r="5634">
          <cell r="C5634" t="str">
            <v>InnovAge</v>
          </cell>
          <cell r="D5634">
            <v>16.97</v>
          </cell>
        </row>
        <row r="5635">
          <cell r="C5635" t="str">
            <v>NTG Nordic Transport Group A/S</v>
          </cell>
          <cell r="D5635">
            <v>5.25</v>
          </cell>
        </row>
        <row r="5636">
          <cell r="C5636" t="str">
            <v>RWS Holdings</v>
          </cell>
          <cell r="D5636">
            <v>1.27532</v>
          </cell>
        </row>
        <row r="5637">
          <cell r="C5637" t="str">
            <v>Tsakos Energy Navigation</v>
          </cell>
          <cell r="D5637">
            <v>23.65</v>
          </cell>
        </row>
        <row r="5638">
          <cell r="C5638" t="str">
            <v>Arendals Fossekompani</v>
          </cell>
          <cell r="D5638">
            <v>53.277299999999997</v>
          </cell>
        </row>
        <row r="5639">
          <cell r="C5639" t="str">
            <v>TCG BDC</v>
          </cell>
          <cell r="D5639">
            <v>9.8100799999999992</v>
          </cell>
        </row>
        <row r="5640">
          <cell r="C5640" t="str">
            <v>Olo</v>
          </cell>
          <cell r="D5640">
            <v>100.64</v>
          </cell>
        </row>
        <row r="5641">
          <cell r="C5641" t="str">
            <v>Vital Healthcare Property Trust</v>
          </cell>
          <cell r="D5641">
            <v>17.399999999999999</v>
          </cell>
        </row>
        <row r="5642">
          <cell r="C5642" t="str">
            <v>ChipMOS Technologies</v>
          </cell>
          <cell r="D5642">
            <v>2.64005</v>
          </cell>
        </row>
        <row r="5643">
          <cell r="C5643" t="str">
            <v>GAG Immobilien</v>
          </cell>
          <cell r="D5643">
            <v>19.46</v>
          </cell>
        </row>
        <row r="5644">
          <cell r="C5644" t="str">
            <v>Aker BioMarine</v>
          </cell>
          <cell r="D5644">
            <v>13.710800000000001</v>
          </cell>
        </row>
        <row r="5645">
          <cell r="C5645" t="str">
            <v>Bluelinx</v>
          </cell>
          <cell r="D5645">
            <v>5.18</v>
          </cell>
        </row>
        <row r="5646">
          <cell r="C5646" t="str">
            <v>CrossFirst Bankshares</v>
          </cell>
          <cell r="D5646">
            <v>6.6955299999999998</v>
          </cell>
        </row>
        <row r="5647">
          <cell r="C5647" t="str">
            <v>SPARC</v>
          </cell>
          <cell r="D5647">
            <v>8.16</v>
          </cell>
        </row>
        <row r="5648">
          <cell r="C5648" t="str">
            <v>Wabash National</v>
          </cell>
          <cell r="D5648">
            <v>5.35</v>
          </cell>
        </row>
        <row r="5649">
          <cell r="C5649" t="str">
            <v>Aecon Group</v>
          </cell>
          <cell r="D5649">
            <v>12.3207</v>
          </cell>
        </row>
        <row r="5650">
          <cell r="C5650" t="str">
            <v>Riskified</v>
          </cell>
          <cell r="D5650">
            <v>0.70611699999999999</v>
          </cell>
        </row>
        <row r="5651">
          <cell r="C5651" t="str">
            <v>Greenlam Industries</v>
          </cell>
          <cell r="D5651">
            <v>28.3445</v>
          </cell>
        </row>
        <row r="5652">
          <cell r="C5652" t="str">
            <v>Herbalife</v>
          </cell>
          <cell r="D5652">
            <v>132641</v>
          </cell>
        </row>
        <row r="5653">
          <cell r="C5653" t="str">
            <v>Vimeo</v>
          </cell>
          <cell r="D5653">
            <v>8.7156599999999997</v>
          </cell>
        </row>
        <row r="5654">
          <cell r="C5654" t="str">
            <v>Sudarshan Chemical</v>
          </cell>
          <cell r="D5654">
            <v>2.62</v>
          </cell>
        </row>
        <row r="5655">
          <cell r="C5655" t="str">
            <v>Italtile</v>
          </cell>
          <cell r="D5655">
            <v>7.06</v>
          </cell>
        </row>
        <row r="5656">
          <cell r="C5656" t="str">
            <v>Lux Industries</v>
          </cell>
          <cell r="D5656">
            <v>6.35</v>
          </cell>
        </row>
        <row r="5657">
          <cell r="C5657" t="str">
            <v>Sto SE &amp;amp; Co. KGaA</v>
          </cell>
          <cell r="D5657">
            <v>1.2222200000000001</v>
          </cell>
        </row>
        <row r="5658">
          <cell r="C5658" t="str">
            <v>Monadelphous Group</v>
          </cell>
          <cell r="D5658">
            <v>7.94</v>
          </cell>
        </row>
        <row r="5659">
          <cell r="C5659" t="str">
            <v>loanDepot</v>
          </cell>
          <cell r="D5659">
            <v>11.0761</v>
          </cell>
        </row>
        <row r="5660">
          <cell r="C5660" t="str">
            <v>Ivanhoe Electric</v>
          </cell>
          <cell r="D5660">
            <v>1.84</v>
          </cell>
        </row>
        <row r="5661">
          <cell r="C5661" t="str">
            <v>Granite Ridge Resources</v>
          </cell>
          <cell r="D5661">
            <v>1.4590499999999999E-2</v>
          </cell>
        </row>
        <row r="5662">
          <cell r="C5662" t="str">
            <v>Miramar Hotel and Investment</v>
          </cell>
          <cell r="D5662">
            <v>20.109300000000001</v>
          </cell>
        </row>
        <row r="5663">
          <cell r="C5663" t="str">
            <v>ProPetro</v>
          </cell>
          <cell r="D5663">
            <v>6.4693100000000001</v>
          </cell>
        </row>
        <row r="5664">
          <cell r="C5664" t="str">
            <v>Nazara Technologies</v>
          </cell>
          <cell r="D5664">
            <v>0.50559600000000005</v>
          </cell>
        </row>
        <row r="5665">
          <cell r="C5665" t="str">
            <v>Altice USA</v>
          </cell>
          <cell r="D5665">
            <v>10.605499999999999</v>
          </cell>
        </row>
        <row r="5666">
          <cell r="C5666" t="str">
            <v>(DIA) Distribuidora Internacional de Alimentación</v>
          </cell>
          <cell r="D5666">
            <v>6.02</v>
          </cell>
        </row>
        <row r="5667">
          <cell r="C5667" t="str">
            <v>Ataa Educational Company</v>
          </cell>
          <cell r="D5667">
            <v>18.48</v>
          </cell>
        </row>
        <row r="5668">
          <cell r="C5668" t="str">
            <v>Auto Partner</v>
          </cell>
          <cell r="D5668">
            <v>12.600899999999999</v>
          </cell>
        </row>
        <row r="5669">
          <cell r="C5669" t="str">
            <v>Nel ASA</v>
          </cell>
          <cell r="D5669">
            <v>12.998799999999999</v>
          </cell>
        </row>
        <row r="5670">
          <cell r="C5670" t="str">
            <v>Pason Systems</v>
          </cell>
          <cell r="D5670">
            <v>145456</v>
          </cell>
        </row>
        <row r="5671">
          <cell r="C5671" t="str">
            <v>Fastly</v>
          </cell>
          <cell r="D5671">
            <v>38.907899999999998</v>
          </cell>
        </row>
        <row r="5672">
          <cell r="C5672" t="str">
            <v>International General Insurance</v>
          </cell>
          <cell r="D5672">
            <v>23.985900000000001</v>
          </cell>
        </row>
        <row r="5673">
          <cell r="C5673" t="str">
            <v>Rhön-Klinikum</v>
          </cell>
          <cell r="D5673">
            <v>0.47371999999999997</v>
          </cell>
        </row>
        <row r="5674">
          <cell r="C5674" t="str">
            <v>MARR S.p.A.</v>
          </cell>
          <cell r="D5674">
            <v>19.128399999999999</v>
          </cell>
        </row>
        <row r="5675">
          <cell r="C5675" t="str">
            <v>Autoneum Holding</v>
          </cell>
          <cell r="D5675">
            <v>19.7117</v>
          </cell>
        </row>
        <row r="5676">
          <cell r="C5676" t="str">
            <v>Zeal Network</v>
          </cell>
          <cell r="D5676">
            <v>3.86</v>
          </cell>
        </row>
        <row r="5677">
          <cell r="C5677" t="str">
            <v>Palfinger</v>
          </cell>
          <cell r="D5677">
            <v>18.0093</v>
          </cell>
        </row>
        <row r="5678">
          <cell r="C5678" t="str">
            <v>EaseMyTrip</v>
          </cell>
          <cell r="D5678">
            <v>7.18</v>
          </cell>
        </row>
        <row r="5679">
          <cell r="C5679" t="str">
            <v>Laurentian Bank of Canada</v>
          </cell>
          <cell r="D5679">
            <v>15.12</v>
          </cell>
        </row>
        <row r="5680">
          <cell r="C5680" t="str">
            <v>Supply Network Limited</v>
          </cell>
          <cell r="D5680">
            <v>12.63</v>
          </cell>
        </row>
        <row r="5681">
          <cell r="C5681" t="str">
            <v>CommScope</v>
          </cell>
          <cell r="D5681">
            <v>13.374599999999999</v>
          </cell>
        </row>
        <row r="5682">
          <cell r="C5682" t="str">
            <v>Altius Minerals</v>
          </cell>
          <cell r="D5682">
            <v>7.34</v>
          </cell>
        </row>
        <row r="5683">
          <cell r="C5683" t="str">
            <v>Ecovyst</v>
          </cell>
          <cell r="D5683">
            <v>3.4376000000000002</v>
          </cell>
        </row>
        <row r="5684">
          <cell r="C5684" t="str">
            <v>Shentel</v>
          </cell>
          <cell r="D5684">
            <v>35.481400000000001</v>
          </cell>
        </row>
        <row r="5685">
          <cell r="C5685" t="str">
            <v>Canadian Solar</v>
          </cell>
          <cell r="D5685">
            <v>26.4</v>
          </cell>
        </row>
        <row r="5686">
          <cell r="C5686" t="str">
            <v>Agrana</v>
          </cell>
          <cell r="D5686">
            <v>24.915099999999999</v>
          </cell>
        </row>
        <row r="5687">
          <cell r="C5687" t="str">
            <v>Grupo Supervielle</v>
          </cell>
          <cell r="D5687">
            <v>11.73</v>
          </cell>
        </row>
        <row r="5688">
          <cell r="C5688" t="str">
            <v>ENCE Energía y Celulosa</v>
          </cell>
          <cell r="D5688">
            <v>0.93189999999999995</v>
          </cell>
        </row>
        <row r="5689">
          <cell r="C5689" t="str">
            <v>Synergie SE</v>
          </cell>
          <cell r="D5689">
            <v>16.8843</v>
          </cell>
        </row>
        <row r="5690">
          <cell r="C5690" t="str">
            <v>CBL Properties</v>
          </cell>
          <cell r="D5690">
            <v>0.65341300000000002</v>
          </cell>
        </row>
        <row r="5691">
          <cell r="C5691" t="str">
            <v>Wemade</v>
          </cell>
          <cell r="D5691">
            <v>19.440000000000001</v>
          </cell>
        </row>
        <row r="5692">
          <cell r="C5692" t="str">
            <v>Zymeworks</v>
          </cell>
          <cell r="D5692">
            <v>0.18978400000000001</v>
          </cell>
        </row>
        <row r="5693">
          <cell r="C5693" t="str">
            <v>Tellurian</v>
          </cell>
          <cell r="D5693">
            <v>4.42</v>
          </cell>
        </row>
        <row r="5694">
          <cell r="C5694" t="str">
            <v>Gulf Oil Lubricants</v>
          </cell>
          <cell r="D5694">
            <v>10.56</v>
          </cell>
        </row>
        <row r="5695">
          <cell r="C5695" t="str">
            <v>Fauji Fertilizer Company</v>
          </cell>
          <cell r="D5695">
            <v>11.31</v>
          </cell>
        </row>
        <row r="5696">
          <cell r="C5696" t="str">
            <v>GigaCloud Technology</v>
          </cell>
          <cell r="D5696">
            <v>3.3350599999999999</v>
          </cell>
        </row>
        <row r="5697">
          <cell r="C5697" t="str">
            <v>Deyaar Development</v>
          </cell>
          <cell r="D5697">
            <v>28.46</v>
          </cell>
        </row>
        <row r="5698">
          <cell r="C5698" t="str">
            <v>Ferroglobe</v>
          </cell>
          <cell r="D5698">
            <v>1.1786000000000001</v>
          </cell>
        </row>
        <row r="5699">
          <cell r="C5699" t="str">
            <v>National Vision Holdings</v>
          </cell>
          <cell r="D5699">
            <v>62.214199999999998</v>
          </cell>
        </row>
        <row r="5700">
          <cell r="C5700" t="str">
            <v>PennantPark Floating Rate</v>
          </cell>
          <cell r="D5700">
            <v>4.4987300000000001</v>
          </cell>
        </row>
        <row r="5701">
          <cell r="C5701" t="str">
            <v>WELL Health Technologies</v>
          </cell>
          <cell r="D5701">
            <v>24.7</v>
          </cell>
        </row>
        <row r="5702">
          <cell r="C5702" t="str">
            <v>Univest</v>
          </cell>
          <cell r="D5702">
            <v>11.93</v>
          </cell>
        </row>
        <row r="5703">
          <cell r="C5703" t="str">
            <v>HSC (Ho Chi Minh City Securities Corporation)</v>
          </cell>
          <cell r="D5703">
            <v>29.21</v>
          </cell>
        </row>
        <row r="5704">
          <cell r="C5704" t="str">
            <v>Fenix Outdoor</v>
          </cell>
          <cell r="D5704">
            <v>19.2026</v>
          </cell>
        </row>
        <row r="5705">
          <cell r="C5705" t="str">
            <v>Citycon</v>
          </cell>
          <cell r="D5705">
            <v>0.77</v>
          </cell>
        </row>
        <row r="5706">
          <cell r="C5706" t="str">
            <v>EverQuote</v>
          </cell>
          <cell r="D5706">
            <v>5.8052200000000003</v>
          </cell>
        </row>
        <row r="5707">
          <cell r="C5707" t="str">
            <v>KKR Real Estate Finance Trust</v>
          </cell>
          <cell r="D5707">
            <v>3.18</v>
          </cell>
        </row>
        <row r="5708">
          <cell r="C5708" t="str">
            <v>Valhi</v>
          </cell>
          <cell r="D5708">
            <v>10.75</v>
          </cell>
        </row>
        <row r="5709">
          <cell r="C5709" t="str">
            <v>Theeb Rent A Car Company</v>
          </cell>
          <cell r="D5709">
            <v>3.9774699999999998</v>
          </cell>
        </row>
        <row r="5710">
          <cell r="C5710" t="str">
            <v>Emirates Driving Company</v>
          </cell>
          <cell r="D5710">
            <v>0.83509199999999995</v>
          </cell>
        </row>
        <row r="5711">
          <cell r="C5711" t="str">
            <v>VIP Industries</v>
          </cell>
          <cell r="D5711">
            <v>3.79</v>
          </cell>
        </row>
        <row r="5712">
          <cell r="C5712" t="str">
            <v>Gaotu Techedu</v>
          </cell>
          <cell r="D5712">
            <v>1.1300600000000001</v>
          </cell>
        </row>
        <row r="5713">
          <cell r="C5713" t="str">
            <v>Snap One</v>
          </cell>
          <cell r="D5713">
            <v>6.8275800000000002</v>
          </cell>
        </row>
        <row r="5714">
          <cell r="C5714" t="str">
            <v>XPS Pensions Group</v>
          </cell>
          <cell r="D5714">
            <v>1.86846</v>
          </cell>
        </row>
        <row r="5715">
          <cell r="C5715" t="str">
            <v>Allcargo Logistics</v>
          </cell>
          <cell r="D5715">
            <v>2.89</v>
          </cell>
        </row>
        <row r="5716">
          <cell r="C5716" t="str">
            <v>Silvercorp Metals</v>
          </cell>
          <cell r="D5716">
            <v>68.009100000000004</v>
          </cell>
        </row>
        <row r="5717">
          <cell r="C5717" t="str">
            <v>Healius Limited</v>
          </cell>
          <cell r="D5717">
            <v>0.78495099999999995</v>
          </cell>
        </row>
        <row r="5718">
          <cell r="C5718" t="str">
            <v>Riyadh Cement Company</v>
          </cell>
          <cell r="D5718">
            <v>7.65</v>
          </cell>
        </row>
        <row r="5719">
          <cell r="C5719" t="str">
            <v>Vietcap Securities</v>
          </cell>
          <cell r="D5719">
            <v>2.81</v>
          </cell>
        </row>
        <row r="5720">
          <cell r="C5720" t="str">
            <v>Erasca</v>
          </cell>
          <cell r="D5720">
            <v>20.935099999999998</v>
          </cell>
        </row>
        <row r="5721">
          <cell r="C5721" t="str">
            <v>National Building and Marketing Company</v>
          </cell>
          <cell r="D5721">
            <v>3.63</v>
          </cell>
        </row>
        <row r="5722">
          <cell r="C5722" t="str">
            <v>Latitude Group Holdings</v>
          </cell>
          <cell r="D5722">
            <v>1416.88</v>
          </cell>
        </row>
        <row r="5723">
          <cell r="C5723" t="str">
            <v>Skeena Resources</v>
          </cell>
          <cell r="D5723">
            <v>0.21016499999999999</v>
          </cell>
        </row>
        <row r="5724">
          <cell r="C5724" t="str">
            <v>Eve Air Mobility</v>
          </cell>
          <cell r="D5724">
            <v>1.6548</v>
          </cell>
        </row>
        <row r="5725">
          <cell r="C5725" t="str">
            <v>Manitou Group</v>
          </cell>
          <cell r="D5725">
            <v>3.9450500000000002</v>
          </cell>
        </row>
        <row r="5726">
          <cell r="C5726" t="str">
            <v>Frontier Airlines</v>
          </cell>
          <cell r="D5726">
            <v>4.3640699999999999</v>
          </cell>
        </row>
        <row r="5727">
          <cell r="C5727" t="str">
            <v>Salhia Real Estate Company</v>
          </cell>
          <cell r="D5727">
            <v>39.58</v>
          </cell>
        </row>
        <row r="5728">
          <cell r="C5728" t="str">
            <v>Standard Chartered Bank (Pakistan)</v>
          </cell>
          <cell r="D5728">
            <v>9937</v>
          </cell>
        </row>
        <row r="5729">
          <cell r="C5729" t="str">
            <v>National Fertilizers</v>
          </cell>
          <cell r="D5729">
            <v>9.9922599999999999</v>
          </cell>
        </row>
        <row r="5730">
          <cell r="C5730" t="str">
            <v>Al Meera Consumer Goods Company</v>
          </cell>
          <cell r="D5730">
            <v>27.09</v>
          </cell>
        </row>
        <row r="5731">
          <cell r="C5731" t="str">
            <v>Partner Communications</v>
          </cell>
          <cell r="D5731">
            <v>1.7</v>
          </cell>
        </row>
        <row r="5732">
          <cell r="C5732" t="str">
            <v>Koppers</v>
          </cell>
          <cell r="D5732">
            <v>11.28</v>
          </cell>
        </row>
        <row r="5733">
          <cell r="C5733" t="str">
            <v>Bénéteau</v>
          </cell>
          <cell r="D5733">
            <v>459.92</v>
          </cell>
        </row>
        <row r="5734">
          <cell r="C5734" t="str">
            <v>Ontex Group</v>
          </cell>
          <cell r="D5734">
            <v>4.6281299999999997E-2</v>
          </cell>
        </row>
        <row r="5735">
          <cell r="C5735" t="str">
            <v>Monro</v>
          </cell>
          <cell r="D5735">
            <v>5.0599999999999996</v>
          </cell>
        </row>
        <row r="5736">
          <cell r="C5736" t="str">
            <v>Phnom Penh Water Supply Authority</v>
          </cell>
          <cell r="D5736">
            <v>3.1634000000000002</v>
          </cell>
        </row>
        <row r="5737">
          <cell r="C5737" t="str">
            <v>Weave Communications</v>
          </cell>
          <cell r="D5737">
            <v>5.0767100000000003</v>
          </cell>
        </row>
        <row r="5738">
          <cell r="C5738" t="str">
            <v>Atrion</v>
          </cell>
          <cell r="D5738">
            <v>13.29</v>
          </cell>
        </row>
        <row r="5739">
          <cell r="C5739" t="str">
            <v>Ace Hardware Indonesia</v>
          </cell>
          <cell r="D5739">
            <v>56.924900000000001</v>
          </cell>
        </row>
        <row r="5740">
          <cell r="C5740" t="str">
            <v>Ironwood Pharmaceuticals</v>
          </cell>
          <cell r="D5740">
            <v>18.88</v>
          </cell>
        </row>
        <row r="5741">
          <cell r="C5741" t="str">
            <v>Pakistan Tobacco Company</v>
          </cell>
          <cell r="D5741">
            <v>5.2104499999999998</v>
          </cell>
        </row>
        <row r="5742">
          <cell r="C5742" t="str">
            <v>Cardinal Energy</v>
          </cell>
          <cell r="D5742">
            <v>23.2121</v>
          </cell>
        </row>
        <row r="5743">
          <cell r="C5743" t="str">
            <v>Pliant Therapeutics</v>
          </cell>
          <cell r="D5743">
            <v>22.74</v>
          </cell>
        </row>
        <row r="5744">
          <cell r="C5744" t="str">
            <v>Mühlbauer Holding</v>
          </cell>
          <cell r="D5744">
            <v>9.7111400000000003</v>
          </cell>
        </row>
        <row r="5745">
          <cell r="C5745" t="str">
            <v>NB Bancorp</v>
          </cell>
          <cell r="D5745">
            <v>1.4278</v>
          </cell>
        </row>
        <row r="5746">
          <cell r="C5746" t="str">
            <v>Data#3 Limited</v>
          </cell>
          <cell r="D5746">
            <v>2.7743899999999999</v>
          </cell>
        </row>
        <row r="5747">
          <cell r="C5747" t="str">
            <v>SMA Solar Technology</v>
          </cell>
          <cell r="D5747">
            <v>0.53095300000000001</v>
          </cell>
        </row>
        <row r="5748">
          <cell r="C5748" t="str">
            <v>Westlake Chemical Partners</v>
          </cell>
          <cell r="D5748">
            <v>45.35</v>
          </cell>
        </row>
        <row r="5749">
          <cell r="C5749" t="str">
            <v>eMudhra</v>
          </cell>
          <cell r="D5749">
            <v>4.9000000000000004</v>
          </cell>
        </row>
        <row r="5750">
          <cell r="C5750" t="str">
            <v>Accent Group</v>
          </cell>
          <cell r="D5750">
            <v>3.8249900000000001</v>
          </cell>
        </row>
        <row r="5751">
          <cell r="C5751" t="str">
            <v>Helia Group</v>
          </cell>
          <cell r="D5751">
            <v>31.48</v>
          </cell>
        </row>
        <row r="5752">
          <cell r="C5752" t="str">
            <v>Melco International Development</v>
          </cell>
          <cell r="D5752">
            <v>23.576499999999999</v>
          </cell>
        </row>
        <row r="5753">
          <cell r="C5753" t="str">
            <v>REX American Resources</v>
          </cell>
          <cell r="D5753">
            <v>1.85</v>
          </cell>
        </row>
        <row r="5754">
          <cell r="C5754" t="str">
            <v>Energy Fuels</v>
          </cell>
          <cell r="D5754">
            <v>11.208500000000001</v>
          </cell>
        </row>
        <row r="5755">
          <cell r="C5755" t="str">
            <v>Hexagon Composites</v>
          </cell>
          <cell r="D5755">
            <v>86.990200000000002</v>
          </cell>
        </row>
        <row r="5756">
          <cell r="C5756" t="str">
            <v>Ethan Allen</v>
          </cell>
          <cell r="D5756">
            <v>0.42</v>
          </cell>
        </row>
        <row r="5757">
          <cell r="C5757" t="str">
            <v>GO (Etihad Atheeb Telecommunication Company)</v>
          </cell>
          <cell r="D5757">
            <v>0.305676</v>
          </cell>
        </row>
        <row r="5758">
          <cell r="C5758" t="str">
            <v>ACLEDA Bank</v>
          </cell>
          <cell r="D5758">
            <v>12.71</v>
          </cell>
        </row>
        <row r="5759">
          <cell r="C5759" t="str">
            <v>Gokaldas Exports</v>
          </cell>
          <cell r="D5759">
            <v>2.69</v>
          </cell>
        </row>
        <row r="5760">
          <cell r="C5760" t="str">
            <v>Thermador Groupe</v>
          </cell>
          <cell r="D5760">
            <v>1.88</v>
          </cell>
        </row>
        <row r="5761">
          <cell r="C5761" t="str">
            <v>Waha Capital Company</v>
          </cell>
          <cell r="D5761">
            <v>6.12425</v>
          </cell>
        </row>
        <row r="5762">
          <cell r="C5762" t="str">
            <v>South Indian Bank</v>
          </cell>
          <cell r="D5762">
            <v>3.22</v>
          </cell>
        </row>
        <row r="5763">
          <cell r="C5763" t="str">
            <v>Abivax</v>
          </cell>
          <cell r="D5763">
            <v>10.89</v>
          </cell>
        </row>
        <row r="5764">
          <cell r="C5764" t="str">
            <v>Planet Labs</v>
          </cell>
          <cell r="D5764">
            <v>7.98773</v>
          </cell>
        </row>
        <row r="5765">
          <cell r="C5765" t="str">
            <v>ChargePoint</v>
          </cell>
          <cell r="D5765">
            <v>39</v>
          </cell>
        </row>
        <row r="5766">
          <cell r="C5766" t="str">
            <v>Borosil</v>
          </cell>
          <cell r="D5766">
            <v>12.35</v>
          </cell>
        </row>
        <row r="5767">
          <cell r="C5767" t="str">
            <v>Nuvation Bio</v>
          </cell>
          <cell r="D5767">
            <v>2.2880500000000001</v>
          </cell>
        </row>
        <row r="5768">
          <cell r="C5768" t="str">
            <v>Healthcare Services Group</v>
          </cell>
          <cell r="D5768">
            <v>155577</v>
          </cell>
        </row>
        <row r="5769">
          <cell r="C5769" t="str">
            <v>Saudi Ceramic Company</v>
          </cell>
          <cell r="D5769">
            <v>21.75</v>
          </cell>
        </row>
        <row r="5770">
          <cell r="C5770" t="str">
            <v>Steel Partners</v>
          </cell>
          <cell r="D5770">
            <v>6</v>
          </cell>
        </row>
        <row r="5771">
          <cell r="C5771" t="str">
            <v>Sky Harbour Group</v>
          </cell>
          <cell r="D5771">
            <v>41.591900000000003</v>
          </cell>
        </row>
        <row r="5772">
          <cell r="C5772" t="str">
            <v>Ellaktor</v>
          </cell>
          <cell r="D5772">
            <v>15.01</v>
          </cell>
        </row>
        <row r="5773">
          <cell r="C5773" t="str">
            <v>Komax Holding</v>
          </cell>
          <cell r="D5773">
            <v>52.724699999999999</v>
          </cell>
        </row>
        <row r="5774">
          <cell r="C5774" t="str">
            <v>Rapport Therapeutics</v>
          </cell>
          <cell r="D5774">
            <v>6.0296200000000004</v>
          </cell>
        </row>
        <row r="5775">
          <cell r="C5775" t="str">
            <v>Nexa Resources</v>
          </cell>
          <cell r="D5775">
            <v>8.4600000000000009</v>
          </cell>
        </row>
        <row r="5776">
          <cell r="C5776" t="str">
            <v>Ag Growth International</v>
          </cell>
          <cell r="D5776">
            <v>2.13</v>
          </cell>
        </row>
        <row r="5777">
          <cell r="C5777" t="str">
            <v>4D Molecular Therapeutics</v>
          </cell>
          <cell r="D5777">
            <v>18.88</v>
          </cell>
        </row>
        <row r="5778">
          <cell r="C5778" t="str">
            <v>Equasens</v>
          </cell>
          <cell r="D5778">
            <v>29.56</v>
          </cell>
        </row>
        <row r="5779">
          <cell r="C5779" t="str">
            <v>X-FAB</v>
          </cell>
          <cell r="D5779">
            <v>2.13551</v>
          </cell>
        </row>
        <row r="5780">
          <cell r="C5780" t="str">
            <v>Repay Holdings</v>
          </cell>
          <cell r="D5780">
            <v>5.29</v>
          </cell>
        </row>
        <row r="5781">
          <cell r="C5781" t="str">
            <v>Standard BioTools</v>
          </cell>
          <cell r="D5781">
            <v>36.189300000000003</v>
          </cell>
        </row>
        <row r="5782">
          <cell r="C5782" t="str">
            <v>Ardmore Shipping</v>
          </cell>
          <cell r="D5782">
            <v>0.17716499999999999</v>
          </cell>
        </row>
        <row r="5783">
          <cell r="C5783" t="str">
            <v>AdvanSix</v>
          </cell>
          <cell r="D5783">
            <v>22.84</v>
          </cell>
        </row>
        <row r="5784">
          <cell r="C5784" t="str">
            <v>Clariane</v>
          </cell>
          <cell r="D5784">
            <v>8.5215700000000005</v>
          </cell>
        </row>
        <row r="5785">
          <cell r="C5785" t="str">
            <v>Gannett</v>
          </cell>
          <cell r="D5785">
            <v>1.92178</v>
          </cell>
        </row>
        <row r="5786">
          <cell r="C5786" t="str">
            <v>Earth Corporation</v>
          </cell>
          <cell r="D5786">
            <v>45.207799999999999</v>
          </cell>
        </row>
        <row r="5787">
          <cell r="C5787" t="str">
            <v>Capital A (Air Asia)</v>
          </cell>
          <cell r="D5787">
            <v>5.97</v>
          </cell>
        </row>
        <row r="5788">
          <cell r="C5788" t="str">
            <v>Heritage Financial</v>
          </cell>
          <cell r="D5788">
            <v>38.6</v>
          </cell>
        </row>
        <row r="5789">
          <cell r="C5789" t="str">
            <v>The Tel-Aviv Stock Exchange</v>
          </cell>
          <cell r="D5789">
            <v>112523</v>
          </cell>
        </row>
        <row r="5790">
          <cell r="C5790" t="str">
            <v>Boss Energy</v>
          </cell>
          <cell r="D5790">
            <v>22.42</v>
          </cell>
        </row>
        <row r="5791">
          <cell r="C5791" t="str">
            <v>Pharma Mar</v>
          </cell>
          <cell r="D5791">
            <v>2.7848299999999999</v>
          </cell>
        </row>
        <row r="5792">
          <cell r="C5792" t="str">
            <v>Oklo</v>
          </cell>
          <cell r="D5792">
            <v>0.89660300000000004</v>
          </cell>
        </row>
        <row r="5793">
          <cell r="C5793" t="str">
            <v>Heidrick &amp;amp; Struggles</v>
          </cell>
          <cell r="D5793">
            <v>6.01</v>
          </cell>
        </row>
        <row r="5794">
          <cell r="C5794" t="str">
            <v>CEWE</v>
          </cell>
          <cell r="D5794">
            <v>7.5733099999999998E-3</v>
          </cell>
        </row>
        <row r="5795">
          <cell r="C5795" t="str">
            <v>Astronics Corporation</v>
          </cell>
          <cell r="D5795">
            <v>6.64527</v>
          </cell>
        </row>
        <row r="5796">
          <cell r="C5796" t="str">
            <v>Ashoka Buildcon</v>
          </cell>
          <cell r="D5796">
            <v>8.23</v>
          </cell>
        </row>
        <row r="5797">
          <cell r="C5797" t="str">
            <v>DroneShield</v>
          </cell>
          <cell r="D5797">
            <v>1.5225299999999999</v>
          </cell>
        </row>
        <row r="5798">
          <cell r="C5798" t="str">
            <v>Capitol Federal Savings Bank</v>
          </cell>
          <cell r="D5798">
            <v>219.41</v>
          </cell>
        </row>
        <row r="5799">
          <cell r="C5799" t="str">
            <v>Bukalapak.com</v>
          </cell>
          <cell r="D5799">
            <v>4.6900000000000004</v>
          </cell>
        </row>
        <row r="5800">
          <cell r="C5800" t="str">
            <v>Jastrzebska Spólka Weglowa</v>
          </cell>
          <cell r="D5800">
            <v>40.82</v>
          </cell>
        </row>
        <row r="5801">
          <cell r="C5801" t="str">
            <v>NuScale Power</v>
          </cell>
          <cell r="D5801">
            <v>45761</v>
          </cell>
        </row>
        <row r="5802">
          <cell r="C5802" t="str">
            <v>Imdex Limited</v>
          </cell>
          <cell r="D5802">
            <v>5.95</v>
          </cell>
        </row>
        <row r="5803">
          <cell r="C5803" t="str">
            <v>Paul Hartmann</v>
          </cell>
          <cell r="D5803">
            <v>4.51</v>
          </cell>
        </row>
        <row r="5804">
          <cell r="C5804" t="str">
            <v>Service Properties Trust</v>
          </cell>
          <cell r="D5804">
            <v>25.33</v>
          </cell>
        </row>
        <row r="5805">
          <cell r="C5805" t="str">
            <v>USANA</v>
          </cell>
          <cell r="D5805">
            <v>3.72</v>
          </cell>
        </row>
        <row r="5806">
          <cell r="C5806" t="str">
            <v>BASSAC</v>
          </cell>
          <cell r="D5806">
            <v>30.65</v>
          </cell>
        </row>
        <row r="5807">
          <cell r="C5807" t="str">
            <v>BrightSpire Capital</v>
          </cell>
          <cell r="D5807">
            <v>13.816700000000001</v>
          </cell>
        </row>
        <row r="5808">
          <cell r="C5808" t="str">
            <v>BitFuFu</v>
          </cell>
          <cell r="D5808">
            <v>0.31313000000000002</v>
          </cell>
        </row>
        <row r="5809">
          <cell r="C5809" t="str">
            <v>Matthews International Corporation</v>
          </cell>
          <cell r="D5809">
            <v>1.5849800000000001</v>
          </cell>
        </row>
        <row r="5810">
          <cell r="C5810" t="str">
            <v>Nordic American Tankers</v>
          </cell>
          <cell r="D5810">
            <v>8.9863999999999997</v>
          </cell>
        </row>
        <row r="5811">
          <cell r="C5811" t="str">
            <v>MetroCity Bankshares</v>
          </cell>
          <cell r="D5811">
            <v>7.0014399999999997</v>
          </cell>
        </row>
        <row r="5812">
          <cell r="C5812" t="str">
            <v>Recticel</v>
          </cell>
          <cell r="D5812">
            <v>4.54</v>
          </cell>
        </row>
        <row r="5813">
          <cell r="C5813" t="str">
            <v>Amanat Holdings</v>
          </cell>
          <cell r="D5813">
            <v>0.57963399999999998</v>
          </cell>
        </row>
        <row r="5814">
          <cell r="C5814" t="str">
            <v>Telkom SA</v>
          </cell>
          <cell r="D5814">
            <v>31.95</v>
          </cell>
        </row>
        <row r="5815">
          <cell r="C5815" t="str">
            <v>Patrizia Immobilien</v>
          </cell>
          <cell r="D5815">
            <v>57.93</v>
          </cell>
        </row>
        <row r="5816">
          <cell r="C5816" t="str">
            <v>Prince Pipes And Fittings</v>
          </cell>
          <cell r="D5816">
            <v>9.4419299999999993</v>
          </cell>
        </row>
        <row r="5817">
          <cell r="C5817" t="str">
            <v>Aris Mining</v>
          </cell>
          <cell r="D5817">
            <v>8.2899999999999991</v>
          </cell>
        </row>
        <row r="5818">
          <cell r="C5818" t="str">
            <v>Engro Fertilizers</v>
          </cell>
          <cell r="D5818">
            <v>108.19</v>
          </cell>
        </row>
        <row r="5819">
          <cell r="C5819" t="str">
            <v>OrthoPediatrics</v>
          </cell>
          <cell r="D5819">
            <v>19874</v>
          </cell>
        </row>
        <row r="5820">
          <cell r="C5820" t="str">
            <v>LendingTree</v>
          </cell>
          <cell r="D5820">
            <v>60.14</v>
          </cell>
        </row>
        <row r="5821">
          <cell r="C5821" t="str">
            <v>Computer Modelling Group</v>
          </cell>
          <cell r="D5821">
            <v>33.83</v>
          </cell>
        </row>
        <row r="5822">
          <cell r="C5822" t="str">
            <v>Enfusion</v>
          </cell>
          <cell r="D5822">
            <v>52.619900000000001</v>
          </cell>
        </row>
        <row r="5823">
          <cell r="C5823" t="str">
            <v>Willis Lease Finance Corporation</v>
          </cell>
          <cell r="D5823">
            <v>7.3343100000000003</v>
          </cell>
        </row>
        <row r="5824">
          <cell r="C5824" t="str">
            <v>AT&amp;amp;S Austria Technologie &amp;amp; Systemtechnik</v>
          </cell>
          <cell r="D5824">
            <v>42.08</v>
          </cell>
        </row>
        <row r="5825">
          <cell r="C5825" t="str">
            <v>Haynes International</v>
          </cell>
          <cell r="D5825">
            <v>6.74</v>
          </cell>
        </row>
        <row r="5826">
          <cell r="C5826" t="str">
            <v>Astec Industries</v>
          </cell>
          <cell r="D5826">
            <v>30.58</v>
          </cell>
        </row>
        <row r="5827">
          <cell r="C5827" t="str">
            <v>Clairvest Group</v>
          </cell>
          <cell r="D5827">
            <v>20</v>
          </cell>
        </row>
        <row r="5828">
          <cell r="C5828" t="str">
            <v>Medgulf (The Mediterranean and Gulf Cooperative Insurance and Reinsurance Company)</v>
          </cell>
          <cell r="D5828">
            <v>11.094799999999999</v>
          </cell>
        </row>
        <row r="5829">
          <cell r="C5829" t="str">
            <v>Allegiant Air</v>
          </cell>
          <cell r="D5829">
            <v>30.571400000000001</v>
          </cell>
        </row>
        <row r="5830">
          <cell r="C5830" t="str">
            <v>Mesoblast</v>
          </cell>
          <cell r="D5830">
            <v>22.330100000000002</v>
          </cell>
        </row>
        <row r="5831">
          <cell r="C5831" t="str">
            <v>Protolabs</v>
          </cell>
          <cell r="D5831">
            <v>370702</v>
          </cell>
        </row>
        <row r="5832">
          <cell r="C5832" t="str">
            <v>TXO Energy Partners</v>
          </cell>
          <cell r="D5832">
            <v>15.6</v>
          </cell>
        </row>
        <row r="5833">
          <cell r="C5833" t="str">
            <v>Alujain Corporation</v>
          </cell>
          <cell r="D5833">
            <v>11.5838</v>
          </cell>
        </row>
        <row r="5834">
          <cell r="C5834" t="str">
            <v>Guardian Capital Group</v>
          </cell>
          <cell r="D5834">
            <v>14.55</v>
          </cell>
        </row>
        <row r="5835">
          <cell r="C5835" t="str">
            <v>Propel Holdings</v>
          </cell>
          <cell r="D5835">
            <v>1.5704800000000001</v>
          </cell>
        </row>
        <row r="5836">
          <cell r="C5836" t="str">
            <v>Plazza AG</v>
          </cell>
          <cell r="D5836">
            <v>0.17604300000000001</v>
          </cell>
        </row>
        <row r="5837">
          <cell r="C5837" t="str">
            <v>PubMatic</v>
          </cell>
          <cell r="D5837">
            <v>16.801100000000002</v>
          </cell>
        </row>
        <row r="5838">
          <cell r="C5838" t="str">
            <v>Mattr Corp.</v>
          </cell>
          <cell r="D5838">
            <v>6.5503600000000004</v>
          </cell>
        </row>
        <row r="5839">
          <cell r="C5839" t="str">
            <v>Stoke Therapeutics</v>
          </cell>
          <cell r="D5839">
            <v>2.90151</v>
          </cell>
        </row>
        <row r="5840">
          <cell r="C5840" t="str">
            <v>Sterlite Technologies</v>
          </cell>
          <cell r="D5840">
            <v>17.03</v>
          </cell>
        </row>
        <row r="5841">
          <cell r="C5841" t="str">
            <v>Sinarmas Land</v>
          </cell>
          <cell r="D5841">
            <v>9.3726599999999998</v>
          </cell>
        </row>
        <row r="5842">
          <cell r="C5842" t="str">
            <v>BKS Bank</v>
          </cell>
          <cell r="D5842">
            <v>2.03382</v>
          </cell>
        </row>
        <row r="5843">
          <cell r="C5843" t="str">
            <v>YouGov plc</v>
          </cell>
          <cell r="D5843">
            <v>8.31</v>
          </cell>
        </row>
        <row r="5844">
          <cell r="C5844" t="str">
            <v>Arnoldo Mondadori Editore</v>
          </cell>
          <cell r="D5844">
            <v>9.43</v>
          </cell>
        </row>
        <row r="5845">
          <cell r="C5845" t="str">
            <v>Old Second Bancorp</v>
          </cell>
          <cell r="D5845">
            <v>25.86</v>
          </cell>
        </row>
        <row r="5846">
          <cell r="C5846" t="str">
            <v>Bloomsbury Publishing</v>
          </cell>
          <cell r="D5846">
            <v>136.22999999999999</v>
          </cell>
        </row>
        <row r="5847">
          <cell r="C5847" t="str">
            <v>Elvalhalcor Hellenic Copper and Aluminium Industry</v>
          </cell>
          <cell r="D5847">
            <v>2.17896</v>
          </cell>
        </row>
        <row r="5848">
          <cell r="C5848" t="str">
            <v>Teekay</v>
          </cell>
          <cell r="D5848">
            <v>31.890599999999999</v>
          </cell>
        </row>
        <row r="5849">
          <cell r="C5849" t="str">
            <v>Similarweb</v>
          </cell>
          <cell r="D5849">
            <v>10.210000000000001</v>
          </cell>
        </row>
        <row r="5850">
          <cell r="C5850" t="str">
            <v>Vitesse Energy</v>
          </cell>
          <cell r="D5850">
            <v>11.740399999999999</v>
          </cell>
        </row>
        <row r="5851">
          <cell r="C5851" t="str">
            <v>Sezzle</v>
          </cell>
          <cell r="D5851">
            <v>26.65</v>
          </cell>
        </row>
        <row r="5852">
          <cell r="C5852" t="str">
            <v>Al-Saif Stores for Development &amp;amp; Investment</v>
          </cell>
          <cell r="D5852">
            <v>12.31</v>
          </cell>
        </row>
        <row r="5853">
          <cell r="C5853" t="str">
            <v>MTY Food Group</v>
          </cell>
          <cell r="D5853">
            <v>75.37</v>
          </cell>
        </row>
        <row r="5854">
          <cell r="C5854" t="str">
            <v>Abacus Life</v>
          </cell>
          <cell r="D5854">
            <v>10.72</v>
          </cell>
        </row>
        <row r="5855">
          <cell r="C5855" t="str">
            <v>WA1 Resources</v>
          </cell>
          <cell r="D5855">
            <v>19.66</v>
          </cell>
        </row>
        <row r="5856">
          <cell r="C5856" t="str">
            <v>TechTarget</v>
          </cell>
          <cell r="D5856">
            <v>25.618500000000001</v>
          </cell>
        </row>
        <row r="5857">
          <cell r="C5857" t="str">
            <v>Portillo's</v>
          </cell>
          <cell r="D5857">
            <v>5.45</v>
          </cell>
        </row>
        <row r="5858">
          <cell r="C5858" t="str">
            <v>Nabors Industries</v>
          </cell>
          <cell r="D5858">
            <v>0.39161099999999999</v>
          </cell>
        </row>
        <row r="5859">
          <cell r="C5859" t="str">
            <v>Mission Produce</v>
          </cell>
          <cell r="D5859">
            <v>6.43</v>
          </cell>
        </row>
        <row r="5860">
          <cell r="C5860" t="str">
            <v>CrossAmerica Partners</v>
          </cell>
          <cell r="D5860">
            <v>5.74</v>
          </cell>
        </row>
        <row r="5861">
          <cell r="C5861" t="str">
            <v>Wirtualna Polska (WP Holding)</v>
          </cell>
          <cell r="D5861">
            <v>2.56</v>
          </cell>
        </row>
        <row r="5862">
          <cell r="C5862" t="str">
            <v>Community Health Systems</v>
          </cell>
          <cell r="D5862">
            <v>9.8940199999999994</v>
          </cell>
        </row>
        <row r="5863">
          <cell r="C5863" t="str">
            <v>Astra Agro Lestari</v>
          </cell>
          <cell r="D5863">
            <v>8.9600000000000009</v>
          </cell>
        </row>
        <row r="5864">
          <cell r="C5864" t="str">
            <v>American Axle &amp;amp; Manufacturing</v>
          </cell>
          <cell r="D5864">
            <v>4.3909700000000003</v>
          </cell>
        </row>
        <row r="5865">
          <cell r="C5865" t="str">
            <v>Cytek Biosciences</v>
          </cell>
          <cell r="D5865">
            <v>22.66</v>
          </cell>
        </row>
        <row r="5866">
          <cell r="C5866" t="str">
            <v>AbCellera</v>
          </cell>
          <cell r="D5866">
            <v>3.06</v>
          </cell>
        </row>
        <row r="5867">
          <cell r="C5867" t="str">
            <v>Evertz Technologies</v>
          </cell>
          <cell r="D5867">
            <v>17.59</v>
          </cell>
        </row>
        <row r="5868">
          <cell r="C5868" t="str">
            <v>SunCoke Energy</v>
          </cell>
          <cell r="D5868">
            <v>2.54034</v>
          </cell>
        </row>
        <row r="5869">
          <cell r="C5869" t="str">
            <v>Hollywood Bowl Group</v>
          </cell>
          <cell r="D5869">
            <v>2.5440100000000001</v>
          </cell>
        </row>
        <row r="5870">
          <cell r="C5870" t="str">
            <v>i3 Verticals</v>
          </cell>
          <cell r="D5870">
            <v>10.315799999999999</v>
          </cell>
        </row>
        <row r="5871">
          <cell r="C5871" t="str">
            <v>Endeavour Silver</v>
          </cell>
          <cell r="D5871">
            <v>0.51171599999999995</v>
          </cell>
        </row>
        <row r="5872">
          <cell r="C5872" t="str">
            <v>Genco Shipping &amp;amp; Trading</v>
          </cell>
          <cell r="D5872">
            <v>14.04</v>
          </cell>
        </row>
        <row r="5873">
          <cell r="C5873" t="str">
            <v>PTC India</v>
          </cell>
          <cell r="D5873">
            <v>4.5097800000000001</v>
          </cell>
        </row>
        <row r="5874">
          <cell r="C5874" t="str">
            <v>Alfa Financial Software</v>
          </cell>
          <cell r="D5874">
            <v>65.989999999999995</v>
          </cell>
        </row>
        <row r="5875">
          <cell r="C5875" t="str">
            <v>Aktia Bank</v>
          </cell>
          <cell r="D5875">
            <v>11.5618</v>
          </cell>
        </row>
        <row r="5876">
          <cell r="C5876" t="str">
            <v>Tian An China Investments Company</v>
          </cell>
          <cell r="D5876">
            <v>8.7128899999999998</v>
          </cell>
        </row>
        <row r="5877">
          <cell r="C5877" t="str">
            <v>Trinity Capital</v>
          </cell>
          <cell r="D5877">
            <v>361875</v>
          </cell>
        </row>
        <row r="5878">
          <cell r="C5878" t="str">
            <v>EuroTeleSites</v>
          </cell>
          <cell r="D5878">
            <v>3.7500900000000001</v>
          </cell>
        </row>
        <row r="5879">
          <cell r="C5879" t="str">
            <v>Kura Sushi USA</v>
          </cell>
          <cell r="D5879">
            <v>772251</v>
          </cell>
        </row>
        <row r="5880">
          <cell r="C5880" t="str">
            <v>TAKKT AG</v>
          </cell>
          <cell r="D5880">
            <v>3.6411600000000002</v>
          </cell>
        </row>
        <row r="5881">
          <cell r="C5881" t="str">
            <v>India Tourism Development Corp</v>
          </cell>
          <cell r="D5881">
            <v>10.7254</v>
          </cell>
        </row>
        <row r="5882">
          <cell r="C5882" t="str">
            <v>Bystronic AG</v>
          </cell>
          <cell r="D5882">
            <v>5.5432699999999997</v>
          </cell>
        </row>
        <row r="5883">
          <cell r="C5883" t="str">
            <v>Trican Well Service</v>
          </cell>
          <cell r="D5883">
            <v>5.15</v>
          </cell>
        </row>
        <row r="5884">
          <cell r="C5884" t="str">
            <v>Kuwait Real Estate Company (AQARAT)</v>
          </cell>
          <cell r="D5884">
            <v>9.3000000000000007</v>
          </cell>
        </row>
        <row r="5885">
          <cell r="C5885" t="str">
            <v>Orient Cement</v>
          </cell>
          <cell r="D5885">
            <v>21.11</v>
          </cell>
        </row>
        <row r="5886">
          <cell r="C5886" t="str">
            <v>McMillan Shakespeare</v>
          </cell>
          <cell r="D5886">
            <v>22.09</v>
          </cell>
        </row>
        <row r="5887">
          <cell r="C5887" t="str">
            <v>Deutsche Pfandbriefbank</v>
          </cell>
          <cell r="D5887">
            <v>27.51</v>
          </cell>
        </row>
        <row r="5888">
          <cell r="C5888" t="str">
            <v>Hudson Pacific Properties</v>
          </cell>
          <cell r="D5888">
            <v>4.1500000000000004</v>
          </cell>
        </row>
        <row r="5889">
          <cell r="C5889" t="str">
            <v>Scholar Rock Holding</v>
          </cell>
          <cell r="D5889">
            <v>37.540900000000001</v>
          </cell>
        </row>
        <row r="5890">
          <cell r="C5890" t="str">
            <v>Kelly Services</v>
          </cell>
          <cell r="D5890">
            <v>22.06</v>
          </cell>
        </row>
        <row r="5891">
          <cell r="C5891" t="str">
            <v>SpartanNash</v>
          </cell>
          <cell r="D5891">
            <v>70.741699999999994</v>
          </cell>
        </row>
        <row r="5892">
          <cell r="C5892" t="str">
            <v>Central Pacific Financial</v>
          </cell>
          <cell r="D5892">
            <v>114792</v>
          </cell>
        </row>
        <row r="5893">
          <cell r="C5893" t="str">
            <v>indie Semiconductor</v>
          </cell>
          <cell r="D5893">
            <v>70.239999999999995</v>
          </cell>
        </row>
        <row r="5894">
          <cell r="C5894" t="str">
            <v>Vetropack</v>
          </cell>
          <cell r="D5894">
            <v>45.98</v>
          </cell>
        </row>
        <row r="5895">
          <cell r="C5895" t="str">
            <v>Amerant Bancorp</v>
          </cell>
          <cell r="D5895">
            <v>0.32912400000000003</v>
          </cell>
        </row>
        <row r="5896">
          <cell r="C5896" t="str">
            <v>Südwestdeutsche Salzwerke</v>
          </cell>
          <cell r="D5896">
            <v>54.935299999999998</v>
          </cell>
        </row>
        <row r="5897">
          <cell r="C5897" t="str">
            <v>secunet</v>
          </cell>
          <cell r="D5897">
            <v>6.97</v>
          </cell>
        </row>
        <row r="5898">
          <cell r="C5898" t="str">
            <v>CVR Partners</v>
          </cell>
          <cell r="D5898">
            <v>0.82555199999999995</v>
          </cell>
        </row>
        <row r="5899">
          <cell r="C5899" t="str">
            <v>Mercantile Bank</v>
          </cell>
          <cell r="D5899">
            <v>11.5349</v>
          </cell>
        </row>
        <row r="5900">
          <cell r="C5900" t="str">
            <v>Singapore Post</v>
          </cell>
          <cell r="D5900">
            <v>8.34</v>
          </cell>
        </row>
        <row r="5901">
          <cell r="C5901" t="str">
            <v>Savencia Fromage &amp;amp; Dairy</v>
          </cell>
          <cell r="D5901">
            <v>61.18</v>
          </cell>
        </row>
        <row r="5902">
          <cell r="C5902" t="str">
            <v>Corsair Gaming</v>
          </cell>
          <cell r="D5902">
            <v>9.06</v>
          </cell>
        </row>
        <row r="5903">
          <cell r="C5903" t="str">
            <v>Abacus Group</v>
          </cell>
          <cell r="D5903">
            <v>6.79</v>
          </cell>
        </row>
        <row r="5904">
          <cell r="C5904" t="str">
            <v>Al-Babtain Power and Telecommunications</v>
          </cell>
          <cell r="D5904">
            <v>18.546099999999999</v>
          </cell>
        </row>
        <row r="5905">
          <cell r="C5905" t="str">
            <v>Secureworks</v>
          </cell>
          <cell r="D5905">
            <v>1.35175</v>
          </cell>
        </row>
        <row r="5906">
          <cell r="C5906" t="str">
            <v>Corbus Pharmaceuticals</v>
          </cell>
          <cell r="D5906">
            <v>6.05</v>
          </cell>
        </row>
        <row r="5907">
          <cell r="C5907" t="str">
            <v>TPG Real Estate Finance Trust</v>
          </cell>
          <cell r="D5907">
            <v>8.5344700000000007</v>
          </cell>
        </row>
        <row r="5908">
          <cell r="C5908" t="str">
            <v>Summit Hotel Properties</v>
          </cell>
          <cell r="D5908">
            <v>18.7651</v>
          </cell>
        </row>
        <row r="5909">
          <cell r="C5909" t="str">
            <v>West Holdings</v>
          </cell>
          <cell r="D5909">
            <v>36.811500000000002</v>
          </cell>
        </row>
        <row r="5910">
          <cell r="C5910" t="str">
            <v>NetDragon Websoft</v>
          </cell>
          <cell r="D5910">
            <v>1.5</v>
          </cell>
        </row>
        <row r="5911">
          <cell r="C5911" t="str">
            <v>Humacyte</v>
          </cell>
          <cell r="D5911">
            <v>0.194438</v>
          </cell>
        </row>
        <row r="5912">
          <cell r="C5912" t="str">
            <v>Eastern Province Cement Company</v>
          </cell>
          <cell r="D5912">
            <v>26.5</v>
          </cell>
        </row>
        <row r="5913">
          <cell r="C5913" t="str">
            <v>BML, Inc.</v>
          </cell>
          <cell r="D5913">
            <v>9.51</v>
          </cell>
        </row>
        <row r="5914">
          <cell r="C5914" t="str">
            <v>DoubleUGames</v>
          </cell>
          <cell r="D5914">
            <v>10.37</v>
          </cell>
        </row>
        <row r="5915">
          <cell r="C5915" t="str">
            <v>Clear Channel Outdoor</v>
          </cell>
          <cell r="D5915">
            <v>3.87</v>
          </cell>
        </row>
        <row r="5916">
          <cell r="C5916" t="str">
            <v>Energy Absolute</v>
          </cell>
          <cell r="D5916">
            <v>133.69</v>
          </cell>
        </row>
        <row r="5917">
          <cell r="C5917" t="str">
            <v>The Hackett Group</v>
          </cell>
          <cell r="D5917">
            <v>19.829999999999998</v>
          </cell>
        </row>
        <row r="5918">
          <cell r="C5918" t="str">
            <v>Liquidia Technologies</v>
          </cell>
          <cell r="D5918">
            <v>1.8584799999999999</v>
          </cell>
        </row>
        <row r="5919">
          <cell r="C5919" t="str">
            <v>ORIC Pharmaceuticals</v>
          </cell>
          <cell r="D5919">
            <v>69.194199999999995</v>
          </cell>
        </row>
        <row r="5920">
          <cell r="C5920" t="str">
            <v>Arbutus Biopharma</v>
          </cell>
          <cell r="D5920">
            <v>64.63</v>
          </cell>
        </row>
        <row r="5921">
          <cell r="C5921" t="str">
            <v>Mesa Laboratories</v>
          </cell>
          <cell r="D5921">
            <v>5.85</v>
          </cell>
        </row>
        <row r="5922">
          <cell r="C5922" t="str">
            <v>Tiptree</v>
          </cell>
          <cell r="D5922">
            <v>34.409999999999997</v>
          </cell>
        </row>
        <row r="5923">
          <cell r="C5923" t="str">
            <v>Banco de Brasília</v>
          </cell>
          <cell r="D5923">
            <v>22163</v>
          </cell>
        </row>
        <row r="5924">
          <cell r="C5924" t="str">
            <v>Groupe CRIT</v>
          </cell>
          <cell r="D5924">
            <v>6.34</v>
          </cell>
        </row>
        <row r="5925">
          <cell r="C5925" t="str">
            <v>Limbach Holdings</v>
          </cell>
          <cell r="D5925">
            <v>2.78</v>
          </cell>
        </row>
        <row r="5926">
          <cell r="C5926" t="str">
            <v>Enerflex</v>
          </cell>
          <cell r="D5926">
            <v>36.369999999999997</v>
          </cell>
        </row>
        <row r="5927">
          <cell r="C5927" t="str">
            <v>Viad</v>
          </cell>
          <cell r="D5927">
            <v>5.2437300000000002</v>
          </cell>
        </row>
        <row r="5928">
          <cell r="C5928" t="str">
            <v>Armah Sports</v>
          </cell>
          <cell r="D5928">
            <v>26.0303</v>
          </cell>
        </row>
        <row r="5929">
          <cell r="C5929" t="str">
            <v>Applied Therapeutics</v>
          </cell>
          <cell r="D5929">
            <v>0.85076399999999996</v>
          </cell>
        </row>
        <row r="5930">
          <cell r="C5930" t="str">
            <v>VNET Group</v>
          </cell>
          <cell r="D5930">
            <v>762435</v>
          </cell>
        </row>
        <row r="5931">
          <cell r="C5931" t="str">
            <v>Malibu Boats</v>
          </cell>
          <cell r="D5931">
            <v>11.2745</v>
          </cell>
        </row>
        <row r="5932">
          <cell r="C5932" t="str">
            <v>DEUTZ</v>
          </cell>
          <cell r="D5932">
            <v>36.25</v>
          </cell>
        </row>
        <row r="5933">
          <cell r="C5933" t="str">
            <v>Nitta Corporation</v>
          </cell>
          <cell r="D5933">
            <v>6.26</v>
          </cell>
        </row>
        <row r="5934">
          <cell r="C5934" t="str">
            <v>GELEX Group Joint Stock Company</v>
          </cell>
          <cell r="D5934">
            <v>9.4700000000000006</v>
          </cell>
        </row>
        <row r="5935">
          <cell r="C5935" t="str">
            <v>ALAFCO Aviation Lease and Finance Company</v>
          </cell>
          <cell r="D5935">
            <v>2.2533500000000002</v>
          </cell>
        </row>
        <row r="5936">
          <cell r="C5936" t="str">
            <v>Oeneo</v>
          </cell>
          <cell r="D5936">
            <v>8.89452</v>
          </cell>
        </row>
        <row r="5937">
          <cell r="C5937" t="str">
            <v>Simulations Plus</v>
          </cell>
          <cell r="D5937">
            <v>36.1648</v>
          </cell>
        </row>
        <row r="5938">
          <cell r="C5938" t="str">
            <v>Arko</v>
          </cell>
          <cell r="D5938">
            <v>33.878599999999999</v>
          </cell>
        </row>
        <row r="5939">
          <cell r="C5939" t="str">
            <v>Travere Therapeutics</v>
          </cell>
          <cell r="D5939">
            <v>4.3629499999999997</v>
          </cell>
        </row>
        <row r="5940">
          <cell r="C5940" t="str">
            <v>Regal Partners Limited</v>
          </cell>
          <cell r="D5940">
            <v>6.25</v>
          </cell>
        </row>
        <row r="5941">
          <cell r="C5941" t="str">
            <v>Saudi Industrial Services Company</v>
          </cell>
          <cell r="D5941">
            <v>36.111499999999999</v>
          </cell>
        </row>
        <row r="5942">
          <cell r="C5942" t="str">
            <v>Avalon Pharma (Middle East Pharmaceutical)</v>
          </cell>
          <cell r="D5942">
            <v>13.332800000000001</v>
          </cell>
        </row>
        <row r="5943">
          <cell r="C5943" t="str">
            <v>Mutares</v>
          </cell>
          <cell r="D5943">
            <v>4.6900000000000004</v>
          </cell>
        </row>
        <row r="5944">
          <cell r="C5944" t="str">
            <v>Cellcom Israel</v>
          </cell>
          <cell r="D5944">
            <v>14.56</v>
          </cell>
        </row>
        <row r="5945">
          <cell r="C5945" t="str">
            <v>Latham Group</v>
          </cell>
          <cell r="D5945">
            <v>8.23</v>
          </cell>
        </row>
        <row r="5946">
          <cell r="C5946" t="str">
            <v>Tanmiah Food Company</v>
          </cell>
          <cell r="D5946">
            <v>30.63</v>
          </cell>
        </row>
        <row r="5947">
          <cell r="C5947" t="str">
            <v>BSR Real Estate Investment Trust</v>
          </cell>
          <cell r="D5947">
            <v>13.264099999999999</v>
          </cell>
        </row>
        <row r="5948">
          <cell r="C5948" t="str">
            <v>Mereo BioPharma Group</v>
          </cell>
          <cell r="D5948">
            <v>8</v>
          </cell>
        </row>
        <row r="5949">
          <cell r="C5949" t="str">
            <v>DoubleDown Interactive</v>
          </cell>
          <cell r="D5949">
            <v>1.8202700000000001</v>
          </cell>
        </row>
        <row r="5950">
          <cell r="C5950" t="str">
            <v>Newpark Resources</v>
          </cell>
          <cell r="D5950">
            <v>1384.16</v>
          </cell>
        </row>
        <row r="5951">
          <cell r="C5951" t="str">
            <v>BJ's Restaurants</v>
          </cell>
          <cell r="D5951">
            <v>15.56</v>
          </cell>
        </row>
        <row r="5952">
          <cell r="C5952" t="str">
            <v>Epsilon Net</v>
          </cell>
          <cell r="D5952">
            <v>402343</v>
          </cell>
        </row>
        <row r="5953">
          <cell r="C5953" t="str">
            <v>Hain Celestial</v>
          </cell>
          <cell r="D5953">
            <v>8.27</v>
          </cell>
        </row>
        <row r="5954">
          <cell r="C5954" t="str">
            <v>MMA Offshore</v>
          </cell>
          <cell r="D5954">
            <v>5.74</v>
          </cell>
        </row>
        <row r="5955">
          <cell r="C5955" t="str">
            <v>Arabi Group Holding</v>
          </cell>
          <cell r="D5955">
            <v>1.42536</v>
          </cell>
        </row>
        <row r="5956">
          <cell r="C5956" t="str">
            <v>Pacira Biosciences</v>
          </cell>
          <cell r="D5956">
            <v>24.666699999999999</v>
          </cell>
        </row>
        <row r="5957">
          <cell r="C5957" t="str">
            <v>Burelle</v>
          </cell>
          <cell r="D5957">
            <v>1.5157700000000001</v>
          </cell>
        </row>
        <row r="5958">
          <cell r="C5958" t="str">
            <v>DRDGOLD</v>
          </cell>
          <cell r="D5958">
            <v>16.260000000000002</v>
          </cell>
        </row>
        <row r="5959">
          <cell r="C5959" t="str">
            <v>Wave Life Sciences</v>
          </cell>
          <cell r="D5959">
            <v>497402</v>
          </cell>
        </row>
        <row r="5960">
          <cell r="C5960" t="str">
            <v>Property For Industry</v>
          </cell>
          <cell r="D5960">
            <v>0.73419900000000005</v>
          </cell>
        </row>
        <row r="5961">
          <cell r="C5961" t="str">
            <v>Gram Car Carriers</v>
          </cell>
          <cell r="D5961">
            <v>12.0924</v>
          </cell>
        </row>
        <row r="5962">
          <cell r="C5962" t="str">
            <v>PM Capital Global Opportunities Fund</v>
          </cell>
          <cell r="D5962">
            <v>42.12</v>
          </cell>
        </row>
        <row r="5963">
          <cell r="C5963" t="str">
            <v>Metallus</v>
          </cell>
          <cell r="D5963">
            <v>0.37335200000000002</v>
          </cell>
        </row>
        <row r="5964">
          <cell r="C5964" t="str">
            <v>Placoplatre</v>
          </cell>
          <cell r="D5964">
            <v>33.33</v>
          </cell>
        </row>
        <row r="5965">
          <cell r="C5965" t="str">
            <v>Deep Yellow</v>
          </cell>
          <cell r="D5965">
            <v>0.93148299999999995</v>
          </cell>
        </row>
        <row r="5966">
          <cell r="C5966" t="str">
            <v>Tokmanni</v>
          </cell>
          <cell r="D5966">
            <v>33.880000000000003</v>
          </cell>
        </row>
        <row r="5967">
          <cell r="C5967" t="str">
            <v>Sturm, Ruger &amp;amp; Co</v>
          </cell>
          <cell r="D5967">
            <v>31.72</v>
          </cell>
        </row>
        <row r="5968">
          <cell r="C5968" t="str">
            <v>Baladna</v>
          </cell>
          <cell r="D5968">
            <v>5.7643399999999998</v>
          </cell>
        </row>
        <row r="5969">
          <cell r="C5969" t="str">
            <v>Associated Capital Group</v>
          </cell>
          <cell r="D5969">
            <v>22.42</v>
          </cell>
        </row>
        <row r="5970">
          <cell r="C5970" t="str">
            <v>Skycity Entertainment Group</v>
          </cell>
          <cell r="D5970">
            <v>0.54543799999999998</v>
          </cell>
        </row>
        <row r="5971">
          <cell r="C5971" t="str">
            <v>Independent Bank (Michigan)</v>
          </cell>
          <cell r="D5971">
            <v>7995</v>
          </cell>
        </row>
        <row r="5972">
          <cell r="C5972" t="str">
            <v>MarineMax</v>
          </cell>
          <cell r="D5972">
            <v>5.56</v>
          </cell>
        </row>
        <row r="5973">
          <cell r="C5973" t="str">
            <v>TomTom</v>
          </cell>
          <cell r="D5973">
            <v>3.14</v>
          </cell>
        </row>
        <row r="5974">
          <cell r="C5974" t="str">
            <v>HBT Financial</v>
          </cell>
          <cell r="D5974">
            <v>5.75</v>
          </cell>
        </row>
        <row r="5975">
          <cell r="C5975" t="str">
            <v>The Hub Power Company</v>
          </cell>
          <cell r="D5975">
            <v>11.13</v>
          </cell>
        </row>
        <row r="5976">
          <cell r="C5976" t="str">
            <v>Westrock Coffee</v>
          </cell>
          <cell r="D5976">
            <v>5.4202199999999996</v>
          </cell>
        </row>
        <row r="5977">
          <cell r="C5977" t="str">
            <v>Exscientia</v>
          </cell>
          <cell r="D5977">
            <v>4.2699999999999996</v>
          </cell>
        </row>
        <row r="5978">
          <cell r="C5978" t="str">
            <v>Curevac</v>
          </cell>
          <cell r="D5978">
            <v>33.933900000000001</v>
          </cell>
        </row>
        <row r="5979">
          <cell r="C5979" t="str">
            <v>SunOpta</v>
          </cell>
          <cell r="D5979">
            <v>39.64</v>
          </cell>
        </row>
        <row r="5980">
          <cell r="C5980" t="str">
            <v>Viant Technology</v>
          </cell>
          <cell r="D5980">
            <v>2.16595</v>
          </cell>
        </row>
        <row r="5981">
          <cell r="C5981" t="str">
            <v>Smartgroup Corporation</v>
          </cell>
          <cell r="D5981">
            <v>32.31</v>
          </cell>
        </row>
        <row r="5982">
          <cell r="C5982" t="str">
            <v>Savara Pharmaceuticals</v>
          </cell>
          <cell r="D5982">
            <v>6.4109600000000002</v>
          </cell>
        </row>
        <row r="5983">
          <cell r="C5983" t="str">
            <v>Olvi plc</v>
          </cell>
          <cell r="D5983">
            <v>16.02</v>
          </cell>
        </row>
        <row r="5984">
          <cell r="C5984" t="str">
            <v>Turning Point Brands</v>
          </cell>
          <cell r="D5984">
            <v>3.09</v>
          </cell>
        </row>
        <row r="5985">
          <cell r="C5985" t="str">
            <v>Harworth Group</v>
          </cell>
          <cell r="D5985">
            <v>8.8860899999999994</v>
          </cell>
        </row>
        <row r="5986">
          <cell r="C5986" t="str">
            <v>Standard Motor Products (SMP)</v>
          </cell>
          <cell r="D5986">
            <v>24.980699999999999</v>
          </cell>
        </row>
        <row r="5987">
          <cell r="C5987" t="str">
            <v>MLP SE</v>
          </cell>
          <cell r="D5987">
            <v>17.2</v>
          </cell>
        </row>
        <row r="5988">
          <cell r="C5988" t="str">
            <v>Horizon Bancorp</v>
          </cell>
          <cell r="D5988">
            <v>0.86276900000000001</v>
          </cell>
        </row>
        <row r="5989">
          <cell r="C5989" t="str">
            <v>Clean Energy Fuels</v>
          </cell>
          <cell r="D5989">
            <v>3.4916800000000001</v>
          </cell>
        </row>
        <row r="5990">
          <cell r="C5990" t="str">
            <v>Copperleaf Technologies</v>
          </cell>
          <cell r="D5990">
            <v>3174.08</v>
          </cell>
        </row>
        <row r="5991">
          <cell r="C5991" t="str">
            <v>Ponsse</v>
          </cell>
          <cell r="D5991">
            <v>59.56</v>
          </cell>
        </row>
        <row r="5992">
          <cell r="C5992" t="str">
            <v>Bally's Corporation</v>
          </cell>
          <cell r="D5992">
            <v>60.71</v>
          </cell>
        </row>
        <row r="5993">
          <cell r="C5993" t="str">
            <v>G8 Education</v>
          </cell>
          <cell r="D5993">
            <v>8.32</v>
          </cell>
        </row>
        <row r="5994">
          <cell r="C5994" t="str">
            <v>Mader Group Limited</v>
          </cell>
          <cell r="D5994">
            <v>8.6900600000000008</v>
          </cell>
        </row>
        <row r="5995">
          <cell r="C5995" t="str">
            <v>Jazeera Airways</v>
          </cell>
          <cell r="D5995">
            <v>10.17</v>
          </cell>
        </row>
        <row r="5996">
          <cell r="C5996" t="str">
            <v>Great Southern Bancorp</v>
          </cell>
          <cell r="D5996">
            <v>63.666499999999999</v>
          </cell>
        </row>
        <row r="5997">
          <cell r="C5997" t="str">
            <v>Miller Industries</v>
          </cell>
          <cell r="D5997">
            <v>10.2044</v>
          </cell>
        </row>
        <row r="5998">
          <cell r="C5998" t="str">
            <v>Paragon 28</v>
          </cell>
          <cell r="D5998">
            <v>60241</v>
          </cell>
        </row>
        <row r="5999">
          <cell r="C5999" t="str">
            <v>Renewi</v>
          </cell>
          <cell r="D5999">
            <v>52.67</v>
          </cell>
        </row>
        <row r="6000">
          <cell r="C6000" t="str">
            <v>Replimune</v>
          </cell>
          <cell r="D6000">
            <v>35.799999999999997</v>
          </cell>
        </row>
        <row r="6001">
          <cell r="C6001" t="str">
            <v>Zehnder Group</v>
          </cell>
          <cell r="D6001">
            <v>4.7</v>
          </cell>
        </row>
        <row r="6002">
          <cell r="C6002" t="str">
            <v>Credit Corp Group</v>
          </cell>
          <cell r="D6002">
            <v>16.62</v>
          </cell>
        </row>
        <row r="6003">
          <cell r="C6003" t="str">
            <v>Nürnberger Versicherung</v>
          </cell>
          <cell r="D6003">
            <v>94.028800000000004</v>
          </cell>
        </row>
        <row r="6004">
          <cell r="C6004" t="str">
            <v>Covenant Logistics</v>
          </cell>
          <cell r="D6004">
            <v>6.9209199999999997</v>
          </cell>
        </row>
        <row r="6005">
          <cell r="C6005" t="str">
            <v>Orrstown Financial Services</v>
          </cell>
          <cell r="D6005">
            <v>35.481400000000001</v>
          </cell>
        </row>
        <row r="6006">
          <cell r="C6006" t="str">
            <v>Adaptive Biotechnologies</v>
          </cell>
          <cell r="D6006">
            <v>12.7</v>
          </cell>
        </row>
        <row r="6007">
          <cell r="C6007" t="str">
            <v>SI-BONE</v>
          </cell>
          <cell r="D6007">
            <v>230659</v>
          </cell>
        </row>
        <row r="6008">
          <cell r="C6008" t="str">
            <v>u-blox</v>
          </cell>
          <cell r="D6008">
            <v>2.0232800000000002</v>
          </cell>
        </row>
        <row r="6009">
          <cell r="C6009" t="str">
            <v>Arabian Cement Company</v>
          </cell>
          <cell r="D6009">
            <v>4.08</v>
          </cell>
        </row>
        <row r="6010">
          <cell r="C6010" t="str">
            <v>Kaufman &amp;amp; Broad</v>
          </cell>
          <cell r="D6010">
            <v>481912</v>
          </cell>
        </row>
        <row r="6011">
          <cell r="C6011" t="str">
            <v>Alumis</v>
          </cell>
          <cell r="D6011">
            <v>117.85</v>
          </cell>
        </row>
        <row r="6012">
          <cell r="C6012" t="str">
            <v>APG|SGA</v>
          </cell>
          <cell r="D6012">
            <v>6.6</v>
          </cell>
        </row>
        <row r="6013">
          <cell r="C6013" t="str">
            <v>SG Fleet Group</v>
          </cell>
          <cell r="D6013">
            <v>13.4</v>
          </cell>
        </row>
        <row r="6014">
          <cell r="C6014" t="str">
            <v>SelectQuote</v>
          </cell>
          <cell r="D6014">
            <v>9.7642100000000003</v>
          </cell>
        </row>
        <row r="6015">
          <cell r="C6015" t="str">
            <v>Schweiter Technologies</v>
          </cell>
          <cell r="D6015">
            <v>5.76</v>
          </cell>
        </row>
        <row r="6016">
          <cell r="C6016" t="str">
            <v>World Acceptance Corporation</v>
          </cell>
          <cell r="D6016">
            <v>2.5443199999999999</v>
          </cell>
        </row>
        <row r="6017">
          <cell r="C6017" t="str">
            <v>Torrid</v>
          </cell>
          <cell r="D6017">
            <v>10.2498</v>
          </cell>
        </row>
        <row r="6018">
          <cell r="C6018" t="str">
            <v>ProAssurance</v>
          </cell>
          <cell r="D6018">
            <v>497.11</v>
          </cell>
        </row>
        <row r="6019">
          <cell r="C6019" t="str">
            <v>MSTC Limited</v>
          </cell>
          <cell r="D6019">
            <v>6.57</v>
          </cell>
        </row>
        <row r="6020">
          <cell r="C6020" t="str">
            <v>Open Lending</v>
          </cell>
          <cell r="D6020">
            <v>1.3717299999999999</v>
          </cell>
        </row>
        <row r="6021">
          <cell r="C6021" t="str">
            <v>Kelsian Group</v>
          </cell>
          <cell r="D6021">
            <v>0.76114800000000005</v>
          </cell>
        </row>
        <row r="6022">
          <cell r="C6022" t="str">
            <v>Dye &amp;amp; Durham</v>
          </cell>
          <cell r="D6022">
            <v>6.6501000000000001</v>
          </cell>
        </row>
        <row r="6023">
          <cell r="C6023" t="str">
            <v>Daily Journal</v>
          </cell>
          <cell r="D6023">
            <v>22.56</v>
          </cell>
        </row>
        <row r="6024">
          <cell r="C6024" t="str">
            <v>Revance Therapeutics</v>
          </cell>
          <cell r="D6024">
            <v>3.1998799999999998</v>
          </cell>
        </row>
        <row r="6025">
          <cell r="C6025" t="str">
            <v>PostNL</v>
          </cell>
          <cell r="D6025">
            <v>2.0245199999999999</v>
          </cell>
        </row>
        <row r="6026">
          <cell r="C6026" t="str">
            <v>Paisalo Digital</v>
          </cell>
          <cell r="D6026">
            <v>36.952500000000001</v>
          </cell>
        </row>
        <row r="6027">
          <cell r="C6027" t="str">
            <v>Bouvet</v>
          </cell>
          <cell r="D6027">
            <v>83.583500000000001</v>
          </cell>
        </row>
        <row r="6028">
          <cell r="C6028" t="str">
            <v>Fulgent Genetics</v>
          </cell>
          <cell r="D6028">
            <v>4.9353400000000001</v>
          </cell>
        </row>
        <row r="6029">
          <cell r="C6029" t="str">
            <v>Orient Electric</v>
          </cell>
          <cell r="D6029">
            <v>18.22</v>
          </cell>
        </row>
        <row r="6030">
          <cell r="C6030" t="str">
            <v>Rain Industries</v>
          </cell>
          <cell r="D6030">
            <v>13.42</v>
          </cell>
        </row>
        <row r="6031">
          <cell r="C6031" t="str">
            <v>Implenia AG</v>
          </cell>
          <cell r="D6031">
            <v>1.5267200000000001</v>
          </cell>
        </row>
        <row r="6032">
          <cell r="C6032" t="str">
            <v>Comarch</v>
          </cell>
          <cell r="D6032">
            <v>11.8</v>
          </cell>
        </row>
        <row r="6033">
          <cell r="C6033" t="str">
            <v>CTT - Correios De Portugal</v>
          </cell>
          <cell r="D6033">
            <v>9.1887600000000003</v>
          </cell>
        </row>
        <row r="6034">
          <cell r="C6034" t="str">
            <v>Thryv</v>
          </cell>
          <cell r="D6034">
            <v>6.51</v>
          </cell>
        </row>
        <row r="6035">
          <cell r="C6035" t="str">
            <v>Whitestone REIT</v>
          </cell>
          <cell r="D6035">
            <v>14.74</v>
          </cell>
        </row>
        <row r="6036">
          <cell r="C6036" t="str">
            <v>Africa Oil</v>
          </cell>
          <cell r="D6036">
            <v>15.628299999999999</v>
          </cell>
        </row>
        <row r="6037">
          <cell r="C6037" t="str">
            <v>Olema Pharmaceuticals</v>
          </cell>
          <cell r="D6037">
            <v>2.2804199999999999</v>
          </cell>
        </row>
        <row r="6038">
          <cell r="C6038" t="str">
            <v>Gujarat Alkalies and Chemicals</v>
          </cell>
          <cell r="D6038">
            <v>4.6900000000000004</v>
          </cell>
        </row>
        <row r="6039">
          <cell r="C6039" t="str">
            <v>Vaalco Energy</v>
          </cell>
          <cell r="D6039">
            <v>7.5064900000000003</v>
          </cell>
        </row>
        <row r="6040">
          <cell r="C6040" t="str">
            <v>Smith &amp;amp; Wesson</v>
          </cell>
          <cell r="D6040">
            <v>3.64</v>
          </cell>
        </row>
        <row r="6041">
          <cell r="C6041" t="str">
            <v>mobilezone Holding</v>
          </cell>
          <cell r="D6041">
            <v>10.54</v>
          </cell>
        </row>
        <row r="6042">
          <cell r="C6042" t="str">
            <v>Aussie Broadband Limited</v>
          </cell>
          <cell r="D6042">
            <v>0.29435600000000001</v>
          </cell>
        </row>
        <row r="6043">
          <cell r="C6043" t="str">
            <v>Montauk Renewables</v>
          </cell>
          <cell r="D6043">
            <v>1.6292</v>
          </cell>
        </row>
        <row r="6044">
          <cell r="C6044" t="str">
            <v>Oman Cables Industry</v>
          </cell>
          <cell r="D6044">
            <v>18.1938</v>
          </cell>
        </row>
        <row r="6045">
          <cell r="C6045" t="str">
            <v>enCore Energy</v>
          </cell>
          <cell r="D6045">
            <v>0.22</v>
          </cell>
        </row>
        <row r="6046">
          <cell r="C6046" t="str">
            <v>Avid Bioservices</v>
          </cell>
          <cell r="D6046">
            <v>0.19109200000000001</v>
          </cell>
        </row>
        <row r="6047">
          <cell r="C6047" t="str">
            <v>Tabcorp</v>
          </cell>
          <cell r="D6047">
            <v>13.26</v>
          </cell>
        </row>
        <row r="6048">
          <cell r="C6048" t="str">
            <v>El Al Israel Airlines</v>
          </cell>
          <cell r="D6048">
            <v>19625</v>
          </cell>
        </row>
        <row r="6049">
          <cell r="C6049" t="str">
            <v>Kuros Biosciences</v>
          </cell>
          <cell r="D6049">
            <v>8.4700000000000006</v>
          </cell>
        </row>
        <row r="6050">
          <cell r="C6050" t="str">
            <v>Bank of Sharjah</v>
          </cell>
          <cell r="D6050">
            <v>14.45</v>
          </cell>
        </row>
        <row r="6051">
          <cell r="C6051" t="str">
            <v>Allied Group Limited</v>
          </cell>
          <cell r="D6051">
            <v>18.1358</v>
          </cell>
        </row>
        <row r="6052">
          <cell r="C6052" t="str">
            <v>ADS-TEC Energy</v>
          </cell>
          <cell r="D6052">
            <v>2.9605800000000002</v>
          </cell>
        </row>
        <row r="6053">
          <cell r="C6053" t="str">
            <v>Park Lawn Corporation</v>
          </cell>
          <cell r="D6053">
            <v>12.22</v>
          </cell>
        </row>
        <row r="6054">
          <cell r="C6054" t="str">
            <v>B&amp;amp;G Foods</v>
          </cell>
          <cell r="D6054">
            <v>34.4</v>
          </cell>
        </row>
        <row r="6055">
          <cell r="C6055" t="str">
            <v>Daktronics</v>
          </cell>
          <cell r="D6055">
            <v>9.9499999999999993</v>
          </cell>
        </row>
        <row r="6056">
          <cell r="C6056" t="str">
            <v>Saudi Paper Manufacturing Company</v>
          </cell>
          <cell r="D6056">
            <v>0.74</v>
          </cell>
        </row>
        <row r="6057">
          <cell r="C6057" t="str">
            <v>Vinh Hoan Corporation</v>
          </cell>
          <cell r="D6057">
            <v>0.58871300000000004</v>
          </cell>
        </row>
        <row r="6058">
          <cell r="C6058" t="str">
            <v>EZCorp</v>
          </cell>
          <cell r="D6058">
            <v>0.62200999999999995</v>
          </cell>
        </row>
        <row r="6059">
          <cell r="C6059" t="str">
            <v>Insteel Industries</v>
          </cell>
          <cell r="D6059">
            <v>14.9221</v>
          </cell>
        </row>
        <row r="6060">
          <cell r="C6060" t="str">
            <v>Great Lakes Dredge &amp;amp; Dock Corp.</v>
          </cell>
          <cell r="D6060">
            <v>5.46739</v>
          </cell>
        </row>
        <row r="6061">
          <cell r="C6061" t="str">
            <v>National Corporation for Tourism &amp;amp; Hotels</v>
          </cell>
          <cell r="D6061">
            <v>17.440000000000001</v>
          </cell>
        </row>
        <row r="6062">
          <cell r="C6062" t="str">
            <v>Alpha HPA Limited</v>
          </cell>
          <cell r="D6062">
            <v>7.0098099999999999</v>
          </cell>
        </row>
        <row r="6063">
          <cell r="C6063" t="str">
            <v>Vitasoy</v>
          </cell>
          <cell r="D6063">
            <v>2.8849300000000002</v>
          </cell>
        </row>
        <row r="6064">
          <cell r="C6064" t="str">
            <v>Medion AG</v>
          </cell>
          <cell r="D6064">
            <v>20.02</v>
          </cell>
        </row>
        <row r="6065">
          <cell r="C6065" t="str">
            <v>Auction Technology Group</v>
          </cell>
          <cell r="D6065">
            <v>21.77</v>
          </cell>
        </row>
        <row r="6066">
          <cell r="C6066" t="str">
            <v>Orthofix Medical</v>
          </cell>
          <cell r="D6066">
            <v>2.2599999999999998</v>
          </cell>
        </row>
        <row r="6067">
          <cell r="C6067" t="str">
            <v>Polar Capital Holdings</v>
          </cell>
          <cell r="D6067">
            <v>44.489899999999999</v>
          </cell>
        </row>
        <row r="6068">
          <cell r="C6068" t="str">
            <v>YIT</v>
          </cell>
          <cell r="D6068">
            <v>34.840000000000003</v>
          </cell>
        </row>
        <row r="6069">
          <cell r="C6069" t="str">
            <v>Ryerson</v>
          </cell>
          <cell r="D6069">
            <v>2.1856800000000001</v>
          </cell>
        </row>
        <row r="6070">
          <cell r="C6070" t="str">
            <v>Liquidity Services</v>
          </cell>
          <cell r="D6070">
            <v>3.09049</v>
          </cell>
        </row>
        <row r="6071">
          <cell r="C6071" t="str">
            <v>Taseko Mines</v>
          </cell>
          <cell r="D6071">
            <v>27.633500000000002</v>
          </cell>
        </row>
        <row r="6072">
          <cell r="C6072" t="str">
            <v>JOST Werke SE</v>
          </cell>
          <cell r="D6072">
            <v>0.45050299999999999</v>
          </cell>
        </row>
        <row r="6073">
          <cell r="C6073" t="str">
            <v>TrustCo Bank</v>
          </cell>
          <cell r="D6073">
            <v>2.2159599999999999</v>
          </cell>
        </row>
        <row r="6074">
          <cell r="C6074" t="str">
            <v>Nanosonics Limited</v>
          </cell>
          <cell r="D6074">
            <v>14.4026</v>
          </cell>
        </row>
        <row r="6075">
          <cell r="C6075" t="str">
            <v>Rupert Resources</v>
          </cell>
          <cell r="D6075">
            <v>35.47</v>
          </cell>
        </row>
        <row r="6076">
          <cell r="C6076" t="str">
            <v>Wild Bunch</v>
          </cell>
          <cell r="D6076">
            <v>5.71</v>
          </cell>
        </row>
        <row r="6077">
          <cell r="C6077" t="str">
            <v>Habib Bank</v>
          </cell>
          <cell r="D6077">
            <v>21.77</v>
          </cell>
        </row>
        <row r="6078">
          <cell r="C6078" t="str">
            <v>DeFi Technologies</v>
          </cell>
          <cell r="D6078">
            <v>17.7</v>
          </cell>
        </row>
        <row r="6079">
          <cell r="C6079" t="str">
            <v>Tinexta</v>
          </cell>
          <cell r="D6079">
            <v>6.89</v>
          </cell>
        </row>
        <row r="6080">
          <cell r="C6080" t="str">
            <v>Anterix</v>
          </cell>
          <cell r="D6080">
            <v>12.3</v>
          </cell>
        </row>
        <row r="6081">
          <cell r="C6081" t="str">
            <v>Volaris</v>
          </cell>
          <cell r="D6081">
            <v>43.36</v>
          </cell>
        </row>
        <row r="6082">
          <cell r="C6082" t="str">
            <v>Eagle Bancorp</v>
          </cell>
          <cell r="D6082">
            <v>5.2540300000000002</v>
          </cell>
        </row>
        <row r="6083">
          <cell r="C6083" t="str">
            <v>Entrada Therapeutics</v>
          </cell>
          <cell r="D6083">
            <v>54.1342</v>
          </cell>
        </row>
        <row r="6084">
          <cell r="C6084" t="str">
            <v>National CineMedia</v>
          </cell>
          <cell r="D6084">
            <v>9.0299999999999994</v>
          </cell>
        </row>
        <row r="6085">
          <cell r="C6085" t="str">
            <v>CION Investment</v>
          </cell>
          <cell r="D6085">
            <v>26.96</v>
          </cell>
        </row>
        <row r="6086">
          <cell r="C6086" t="str">
            <v>Root Insurance</v>
          </cell>
          <cell r="D6086">
            <v>3.3573</v>
          </cell>
        </row>
        <row r="6087">
          <cell r="C6087" t="str">
            <v>SAPTCO (Saudi Public Transport Company)</v>
          </cell>
          <cell r="D6087">
            <v>3.8600099999999999</v>
          </cell>
        </row>
        <row r="6088">
          <cell r="C6088" t="str">
            <v>Basilea Pharmaceutica</v>
          </cell>
          <cell r="D6088">
            <v>15.29</v>
          </cell>
        </row>
        <row r="6089">
          <cell r="C6089" t="str">
            <v>SIGA Technologies</v>
          </cell>
          <cell r="D6089">
            <v>6.30783</v>
          </cell>
        </row>
        <row r="6090">
          <cell r="C6090" t="str">
            <v>Legacy Housing Corporation</v>
          </cell>
          <cell r="D6090">
            <v>9.0182300000000009</v>
          </cell>
        </row>
        <row r="6091">
          <cell r="C6091" t="str">
            <v>Converge Technology Solutions</v>
          </cell>
          <cell r="D6091">
            <v>57.83</v>
          </cell>
        </row>
        <row r="6092">
          <cell r="C6092" t="str">
            <v>CSB Bank</v>
          </cell>
          <cell r="D6092">
            <v>113.85</v>
          </cell>
        </row>
        <row r="6093">
          <cell r="C6093" t="str">
            <v>Gladstone Commercial</v>
          </cell>
          <cell r="D6093">
            <v>2.6749200000000002</v>
          </cell>
        </row>
        <row r="6094">
          <cell r="C6094" t="str">
            <v>Gentrack Group</v>
          </cell>
          <cell r="D6094">
            <v>4.09</v>
          </cell>
        </row>
        <row r="6095">
          <cell r="C6095" t="str">
            <v>PayPoint</v>
          </cell>
          <cell r="D6095">
            <v>10.828099999999999</v>
          </cell>
        </row>
        <row r="6096">
          <cell r="C6096" t="str">
            <v>Southern Missouri Bancorp</v>
          </cell>
          <cell r="D6096">
            <v>41.339700000000001</v>
          </cell>
        </row>
        <row r="6097">
          <cell r="C6097" t="str">
            <v>MBB SE</v>
          </cell>
          <cell r="D6097">
            <v>9.81541</v>
          </cell>
        </row>
        <row r="6098">
          <cell r="C6098" t="str">
            <v>Attica Holdings</v>
          </cell>
          <cell r="D6098">
            <v>1.73</v>
          </cell>
        </row>
        <row r="6099">
          <cell r="C6099" t="str">
            <v>Yalla Group</v>
          </cell>
          <cell r="D6099">
            <v>4.61395</v>
          </cell>
        </row>
        <row r="6100">
          <cell r="C6100" t="str">
            <v>Bawan Company</v>
          </cell>
          <cell r="D6100">
            <v>0.32960099999999998</v>
          </cell>
        </row>
        <row r="6101">
          <cell r="C6101" t="str">
            <v>HOMAG Group</v>
          </cell>
          <cell r="D6101">
            <v>3.5593499999999998</v>
          </cell>
        </row>
        <row r="6102">
          <cell r="C6102" t="str">
            <v>Tarkett</v>
          </cell>
          <cell r="D6102">
            <v>8.6266999999999996</v>
          </cell>
        </row>
        <row r="6103">
          <cell r="C6103" t="str">
            <v>Lexicon Pharmaceuticals</v>
          </cell>
          <cell r="D6103">
            <v>2.1285099999999999</v>
          </cell>
        </row>
        <row r="6104">
          <cell r="C6104" t="str">
            <v>City Cement Company</v>
          </cell>
          <cell r="D6104">
            <v>10.64</v>
          </cell>
        </row>
        <row r="6105">
          <cell r="C6105" t="str">
            <v>Sun Hung Kai &amp;amp; Co.</v>
          </cell>
          <cell r="D6105">
            <v>2.25101</v>
          </cell>
        </row>
        <row r="6106">
          <cell r="C6106" t="str">
            <v>MA Financial Group</v>
          </cell>
          <cell r="D6106">
            <v>11.99</v>
          </cell>
        </row>
        <row r="6107">
          <cell r="C6107" t="str">
            <v>Martinrea International</v>
          </cell>
          <cell r="D6107">
            <v>1435.73</v>
          </cell>
        </row>
        <row r="6108">
          <cell r="C6108" t="str">
            <v>Birla Carbon (Thailand)</v>
          </cell>
          <cell r="D6108">
            <v>5.09</v>
          </cell>
        </row>
        <row r="6109">
          <cell r="C6109" t="str">
            <v>Bioceres Crop Solutions</v>
          </cell>
          <cell r="D6109">
            <v>27.84</v>
          </cell>
        </row>
        <row r="6110">
          <cell r="C6110" t="str">
            <v>Cloetta</v>
          </cell>
          <cell r="D6110">
            <v>23.39</v>
          </cell>
        </row>
        <row r="6111">
          <cell r="C6111" t="str">
            <v>Cool Company</v>
          </cell>
          <cell r="D6111">
            <v>12.53</v>
          </cell>
        </row>
        <row r="6112">
          <cell r="C6112" t="str">
            <v>Metall Zug AG</v>
          </cell>
          <cell r="D6112">
            <v>37.200000000000003</v>
          </cell>
        </row>
        <row r="6113">
          <cell r="C6113" t="str">
            <v>Yext</v>
          </cell>
          <cell r="D6113">
            <v>39.6</v>
          </cell>
        </row>
        <row r="6114">
          <cell r="C6114" t="str">
            <v>Douglas Dynamics</v>
          </cell>
          <cell r="D6114">
            <v>1.4154800000000001</v>
          </cell>
        </row>
        <row r="6115">
          <cell r="C6115" t="str">
            <v>LENZ Therapeutics</v>
          </cell>
          <cell r="D6115">
            <v>0.97802199999999995</v>
          </cell>
        </row>
        <row r="6116">
          <cell r="C6116" t="str">
            <v>Kaveri Seed</v>
          </cell>
          <cell r="D6116">
            <v>61.456800000000001</v>
          </cell>
        </row>
        <row r="6117">
          <cell r="C6117" t="str">
            <v>Chuy's</v>
          </cell>
          <cell r="D6117">
            <v>6.9507599999999998</v>
          </cell>
        </row>
        <row r="6118">
          <cell r="C6118" t="str">
            <v>Centrus Energy</v>
          </cell>
          <cell r="D6118">
            <v>11.1099</v>
          </cell>
        </row>
        <row r="6119">
          <cell r="C6119" t="str">
            <v>Develia</v>
          </cell>
          <cell r="D6119">
            <v>0.24110200000000001</v>
          </cell>
        </row>
        <row r="6120">
          <cell r="C6120" t="str">
            <v>Qatar National Cement Company</v>
          </cell>
          <cell r="D6120">
            <v>36.46</v>
          </cell>
        </row>
        <row r="6121">
          <cell r="C6121" t="str">
            <v>Sipef</v>
          </cell>
          <cell r="D6121">
            <v>109.21</v>
          </cell>
        </row>
        <row r="6122">
          <cell r="C6122" t="str">
            <v>Aarti Drugs</v>
          </cell>
          <cell r="D6122">
            <v>14.31</v>
          </cell>
        </row>
        <row r="6123">
          <cell r="C6123" t="str">
            <v>KYORIN Pharmaceutical</v>
          </cell>
          <cell r="D6123">
            <v>12.376799999999999</v>
          </cell>
        </row>
        <row r="6124">
          <cell r="C6124" t="str">
            <v>Pacific Century Regional Developments</v>
          </cell>
          <cell r="D6124">
            <v>1.1860299999999999</v>
          </cell>
        </row>
        <row r="6125">
          <cell r="C6125" t="str">
            <v>HomeTrust Bancshares</v>
          </cell>
          <cell r="D6125">
            <v>4.0831200000000001</v>
          </cell>
        </row>
        <row r="6126">
          <cell r="C6126" t="str">
            <v>SF Urban Properties (SFP)</v>
          </cell>
          <cell r="D6126">
            <v>5.2239800000000001</v>
          </cell>
        </row>
        <row r="6127">
          <cell r="C6127" t="str">
            <v>Y-mAbs Therapeutics</v>
          </cell>
          <cell r="D6127">
            <v>14.391500000000001</v>
          </cell>
        </row>
        <row r="6128">
          <cell r="C6128" t="str">
            <v>Interfor</v>
          </cell>
          <cell r="D6128">
            <v>24.593800000000002</v>
          </cell>
        </row>
        <row r="6129">
          <cell r="C6129" t="str">
            <v>Engro Corporation</v>
          </cell>
          <cell r="D6129">
            <v>0.37922099999999997</v>
          </cell>
        </row>
        <row r="6130">
          <cell r="C6130" t="str">
            <v>EuroGroup Laminations</v>
          </cell>
          <cell r="D6130">
            <v>12.92</v>
          </cell>
        </row>
        <row r="6131">
          <cell r="C6131" t="str">
            <v>Lifestyle Communities Limited</v>
          </cell>
          <cell r="D6131">
            <v>12.19</v>
          </cell>
        </row>
        <row r="6132">
          <cell r="C6132" t="str">
            <v>Sligro Food</v>
          </cell>
          <cell r="D6132">
            <v>36.420900000000003</v>
          </cell>
        </row>
        <row r="6133">
          <cell r="C6133" t="str">
            <v>Indus Holding</v>
          </cell>
          <cell r="D6133">
            <v>3.94</v>
          </cell>
        </row>
        <row r="6134">
          <cell r="C6134" t="str">
            <v>Oman Arab Bank</v>
          </cell>
          <cell r="D6134">
            <v>0.58135300000000001</v>
          </cell>
        </row>
        <row r="6135">
          <cell r="C6135" t="str">
            <v>Xponential Fitness</v>
          </cell>
          <cell r="D6135">
            <v>0.38084499999999999</v>
          </cell>
        </row>
        <row r="6136">
          <cell r="C6136" t="str">
            <v>Ramaco Resources</v>
          </cell>
          <cell r="D6136">
            <v>28.5</v>
          </cell>
        </row>
        <row r="6137">
          <cell r="C6137" t="str">
            <v>Boiron</v>
          </cell>
          <cell r="D6137">
            <v>3.7848700000000002</v>
          </cell>
        </row>
        <row r="6138">
          <cell r="C6138" t="str">
            <v>Evolv Technologies</v>
          </cell>
          <cell r="D6138">
            <v>15.6554</v>
          </cell>
        </row>
        <row r="6139">
          <cell r="C6139" t="str">
            <v>Hagar hf.</v>
          </cell>
          <cell r="D6139">
            <v>3.82</v>
          </cell>
        </row>
        <row r="6140">
          <cell r="C6140" t="str">
            <v>Tianyu Digital Technology (Dalian)</v>
          </cell>
          <cell r="D6140">
            <v>23.764800000000001</v>
          </cell>
        </row>
        <row r="6141">
          <cell r="C6141" t="str">
            <v>Riley Permian</v>
          </cell>
          <cell r="D6141">
            <v>12.41</v>
          </cell>
        </row>
        <row r="6142">
          <cell r="C6142" t="str">
            <v>Vaibhav Global</v>
          </cell>
          <cell r="D6142">
            <v>22.968599999999999</v>
          </cell>
        </row>
        <row r="6143">
          <cell r="C6143" t="str">
            <v>Al Taiseer Group TALCO Industrial Company</v>
          </cell>
          <cell r="D6143">
            <v>2.7551399999999999</v>
          </cell>
        </row>
        <row r="6144">
          <cell r="C6144" t="str">
            <v>Conduent</v>
          </cell>
          <cell r="D6144">
            <v>10.18</v>
          </cell>
        </row>
        <row r="6145">
          <cell r="C6145" t="str">
            <v>GFT Technologies</v>
          </cell>
          <cell r="D6145">
            <v>2.6322899999999998</v>
          </cell>
        </row>
        <row r="6146">
          <cell r="C6146" t="str">
            <v>Mineralys Therapeutics</v>
          </cell>
          <cell r="D6146">
            <v>0.3</v>
          </cell>
        </row>
        <row r="6147">
          <cell r="C6147" t="str">
            <v>JCI Hitachi India</v>
          </cell>
          <cell r="D6147">
            <v>3.59</v>
          </cell>
        </row>
        <row r="6148">
          <cell r="C6148" t="str">
            <v>Heidelbergcement India</v>
          </cell>
          <cell r="D6148">
            <v>4.12</v>
          </cell>
        </row>
        <row r="6149">
          <cell r="C6149" t="str">
            <v>Heritage Commerce</v>
          </cell>
          <cell r="D6149">
            <v>40.79</v>
          </cell>
        </row>
        <row r="6150">
          <cell r="C6150" t="str">
            <v>Silex Systems Limited</v>
          </cell>
          <cell r="D6150">
            <v>2012.38</v>
          </cell>
        </row>
        <row r="6151">
          <cell r="C6151" t="str">
            <v>E7 Group PJSC</v>
          </cell>
          <cell r="D6151">
            <v>29.15</v>
          </cell>
        </row>
        <row r="6152">
          <cell r="C6152" t="str">
            <v>OPAL Fuels</v>
          </cell>
          <cell r="D6152">
            <v>0.63</v>
          </cell>
        </row>
        <row r="6153">
          <cell r="C6153" t="str">
            <v>flyExclusive</v>
          </cell>
          <cell r="D6153">
            <v>44.9</v>
          </cell>
        </row>
        <row r="6154">
          <cell r="C6154" t="str">
            <v>Equity BancShares</v>
          </cell>
          <cell r="D6154">
            <v>49.52</v>
          </cell>
        </row>
        <row r="6155">
          <cell r="C6155" t="str">
            <v>Warteck Invest</v>
          </cell>
          <cell r="D6155">
            <v>18.77</v>
          </cell>
        </row>
        <row r="6156">
          <cell r="C6156" t="str">
            <v>Five Star Bancorp</v>
          </cell>
          <cell r="D6156">
            <v>8.4700000000000006</v>
          </cell>
        </row>
        <row r="6157">
          <cell r="C6157" t="str">
            <v>RAK Ceramics</v>
          </cell>
          <cell r="D6157">
            <v>3.3546999999999998</v>
          </cell>
        </row>
        <row r="6158">
          <cell r="C6158" t="str">
            <v>Universal Health Realty Income Trust</v>
          </cell>
          <cell r="D6158">
            <v>1.0764899999999999</v>
          </cell>
        </row>
        <row r="6159">
          <cell r="C6159" t="str">
            <v>OTC Markets Group</v>
          </cell>
          <cell r="D6159">
            <v>0.3</v>
          </cell>
        </row>
        <row r="6160">
          <cell r="C6160" t="str">
            <v>Velocity Financial</v>
          </cell>
          <cell r="D6160">
            <v>251982</v>
          </cell>
        </row>
        <row r="6161">
          <cell r="C6161" t="str">
            <v>NET Power</v>
          </cell>
          <cell r="D6161">
            <v>9.4535300000000007</v>
          </cell>
        </row>
        <row r="6162">
          <cell r="C6162" t="str">
            <v>Media and Games Invest</v>
          </cell>
          <cell r="D6162">
            <v>0.192441</v>
          </cell>
        </row>
        <row r="6163">
          <cell r="C6163" t="str">
            <v>Globe Trade Centre</v>
          </cell>
          <cell r="D6163">
            <v>0.89263400000000004</v>
          </cell>
        </row>
        <row r="6164">
          <cell r="C6164" t="str">
            <v>United Arab Bank</v>
          </cell>
          <cell r="D6164">
            <v>0.27532499999999999</v>
          </cell>
        </row>
        <row r="6165">
          <cell r="C6165" t="str">
            <v>Senvest Capital</v>
          </cell>
          <cell r="D6165">
            <v>772251</v>
          </cell>
        </row>
        <row r="6166">
          <cell r="C6166" t="str">
            <v>Subros</v>
          </cell>
          <cell r="D6166">
            <v>16.850000000000001</v>
          </cell>
        </row>
        <row r="6167">
          <cell r="C6167" t="str">
            <v>GOL Airlines</v>
          </cell>
          <cell r="D6167">
            <v>28.69</v>
          </cell>
        </row>
        <row r="6168">
          <cell r="C6168" t="str">
            <v>Eurowag</v>
          </cell>
          <cell r="D6168">
            <v>0.31764300000000001</v>
          </cell>
        </row>
        <row r="6169">
          <cell r="C6169" t="str">
            <v>Bank Nizwa</v>
          </cell>
          <cell r="D6169">
            <v>4.0946499999999997</v>
          </cell>
        </row>
        <row r="6170">
          <cell r="C6170" t="str">
            <v>National Investments Company (Kuwait)</v>
          </cell>
          <cell r="D6170">
            <v>5.2036800000000003</v>
          </cell>
        </row>
        <row r="6171">
          <cell r="C6171" t="str">
            <v>iTeos Therapeutics</v>
          </cell>
          <cell r="D6171">
            <v>16.12</v>
          </cell>
        </row>
        <row r="6172">
          <cell r="C6172" t="str">
            <v>Digimarc</v>
          </cell>
          <cell r="D6172">
            <v>2.15456</v>
          </cell>
        </row>
        <row r="6173">
          <cell r="C6173" t="str">
            <v>Yanlord</v>
          </cell>
          <cell r="D6173">
            <v>10.19</v>
          </cell>
        </row>
        <row r="6174">
          <cell r="C6174" t="str">
            <v>Soft-World International</v>
          </cell>
          <cell r="D6174">
            <v>8.49</v>
          </cell>
        </row>
        <row r="6175">
          <cell r="C6175" t="str">
            <v>Collins Foods Limited</v>
          </cell>
          <cell r="D6175">
            <v>11.85</v>
          </cell>
        </row>
        <row r="6176">
          <cell r="C6176" t="str">
            <v>OneSpan</v>
          </cell>
          <cell r="D6176">
            <v>0.71148</v>
          </cell>
        </row>
        <row r="6177">
          <cell r="C6177" t="str">
            <v>Pakistan Oilfields Limited</v>
          </cell>
          <cell r="D6177">
            <v>9.31</v>
          </cell>
        </row>
        <row r="6178">
          <cell r="C6178" t="str">
            <v>IGM Biosciences</v>
          </cell>
          <cell r="D6178">
            <v>12.689299999999999</v>
          </cell>
        </row>
        <row r="6179">
          <cell r="C6179" t="str">
            <v>Overseas Shipholding Group</v>
          </cell>
          <cell r="D6179">
            <v>0.93955999999999995</v>
          </cell>
        </row>
        <row r="6180">
          <cell r="C6180" t="str">
            <v>Strawberry Fields REIT</v>
          </cell>
          <cell r="D6180">
            <v>25969</v>
          </cell>
        </row>
        <row r="6181">
          <cell r="C6181" t="str">
            <v>Fission Uranium</v>
          </cell>
          <cell r="D6181">
            <v>21.39</v>
          </cell>
        </row>
        <row r="6182">
          <cell r="C6182" t="str">
            <v>Global Medical REIT</v>
          </cell>
          <cell r="D6182">
            <v>1.8</v>
          </cell>
        </row>
        <row r="6183">
          <cell r="C6183" t="str">
            <v>Autohellas</v>
          </cell>
          <cell r="D6183">
            <v>0.99133899999999997</v>
          </cell>
        </row>
        <row r="6184">
          <cell r="C6184" t="str">
            <v>Meeza QSTP LLC (Public)</v>
          </cell>
          <cell r="D6184">
            <v>7.5667200000000004E-2</v>
          </cell>
        </row>
        <row r="6185">
          <cell r="C6185" t="str">
            <v>GDI Integrated Facility Services</v>
          </cell>
          <cell r="D6185">
            <v>10268</v>
          </cell>
        </row>
        <row r="6186">
          <cell r="C6186" t="str">
            <v>Universal Insurance Holdings</v>
          </cell>
          <cell r="D6186">
            <v>4.9400000000000004</v>
          </cell>
        </row>
        <row r="6187">
          <cell r="C6187" t="str">
            <v>ECARX Holdings</v>
          </cell>
          <cell r="D6187">
            <v>6.4808599999999998</v>
          </cell>
        </row>
        <row r="6188">
          <cell r="C6188" t="str">
            <v>Service Stream Limited</v>
          </cell>
          <cell r="D6188">
            <v>6.67</v>
          </cell>
        </row>
        <row r="6189">
          <cell r="C6189" t="str">
            <v>Shui On Land</v>
          </cell>
          <cell r="D6189">
            <v>12.22</v>
          </cell>
        </row>
        <row r="6190">
          <cell r="C6190" t="str">
            <v>Saudi Advanced Industries Company</v>
          </cell>
          <cell r="D6190">
            <v>0.54</v>
          </cell>
        </row>
        <row r="6191">
          <cell r="C6191" t="str">
            <v>Jumia</v>
          </cell>
          <cell r="D6191">
            <v>1.0388200000000001</v>
          </cell>
        </row>
        <row r="6192">
          <cell r="C6192" t="str">
            <v>Alandalus Property Company</v>
          </cell>
          <cell r="D6192">
            <v>8.33</v>
          </cell>
        </row>
        <row r="6193">
          <cell r="C6193" t="str">
            <v>New York Mortgage Trust</v>
          </cell>
          <cell r="D6193">
            <v>5.7</v>
          </cell>
        </row>
        <row r="6194">
          <cell r="C6194" t="str">
            <v>REGENXBIO</v>
          </cell>
          <cell r="D6194">
            <v>2.67</v>
          </cell>
        </row>
        <row r="6195">
          <cell r="C6195" t="str">
            <v>Invictus Investment Company</v>
          </cell>
          <cell r="D6195">
            <v>80.722899999999996</v>
          </cell>
        </row>
        <row r="6196">
          <cell r="C6196" t="str">
            <v>Café de Coral</v>
          </cell>
          <cell r="D6196">
            <v>0.77922100000000005</v>
          </cell>
        </row>
        <row r="6197">
          <cell r="C6197" t="str">
            <v>Titan International</v>
          </cell>
          <cell r="D6197">
            <v>11.17</v>
          </cell>
        </row>
        <row r="6198">
          <cell r="C6198" t="str">
            <v>Annexon</v>
          </cell>
          <cell r="D6198">
            <v>6.20322</v>
          </cell>
        </row>
        <row r="6199">
          <cell r="C6199" t="str">
            <v>Eos Energy Enterprises</v>
          </cell>
          <cell r="D6199">
            <v>19.809999999999999</v>
          </cell>
        </row>
        <row r="6200">
          <cell r="C6200" t="str">
            <v>Caisse Régionale de Crédit Agricole Mutuel Alpes Provence</v>
          </cell>
          <cell r="D6200">
            <v>0.12311999999999999</v>
          </cell>
        </row>
        <row r="6201">
          <cell r="C6201" t="str">
            <v>Abraj Energy Services</v>
          </cell>
          <cell r="D6201">
            <v>1.1024799999999999</v>
          </cell>
        </row>
        <row r="6202">
          <cell r="C6202" t="str">
            <v>Green Dot</v>
          </cell>
          <cell r="D6202">
            <v>10.688599999999999</v>
          </cell>
        </row>
        <row r="6203">
          <cell r="C6203" t="str">
            <v>Canaccord Genuity Group</v>
          </cell>
          <cell r="D6203">
            <v>1.19217</v>
          </cell>
        </row>
        <row r="6204">
          <cell r="C6204" t="str">
            <v>Hanmi Financial</v>
          </cell>
          <cell r="D6204">
            <v>16.1158</v>
          </cell>
        </row>
        <row r="6205">
          <cell r="C6205" t="str">
            <v>Hutchison Telecommunications Hong Kong Holdings</v>
          </cell>
          <cell r="D6205">
            <v>18.84</v>
          </cell>
        </row>
        <row r="6206">
          <cell r="C6206" t="str">
            <v>Imagicaaworld Entertainment</v>
          </cell>
          <cell r="D6206">
            <v>3.4210199999999999</v>
          </cell>
        </row>
        <row r="6207">
          <cell r="C6207" t="str">
            <v>Nexity</v>
          </cell>
          <cell r="D6207">
            <v>46.96</v>
          </cell>
        </row>
        <row r="6208">
          <cell r="C6208" t="str">
            <v>Gateway Distriparks</v>
          </cell>
          <cell r="D6208">
            <v>3.41</v>
          </cell>
        </row>
        <row r="6209">
          <cell r="C6209" t="str">
            <v>Care Property Invest NV</v>
          </cell>
          <cell r="D6209">
            <v>5.5954899999999999</v>
          </cell>
        </row>
        <row r="6210">
          <cell r="C6210" t="str">
            <v>DouYu</v>
          </cell>
          <cell r="D6210">
            <v>8.34</v>
          </cell>
        </row>
        <row r="6211">
          <cell r="C6211" t="str">
            <v>About You</v>
          </cell>
          <cell r="D6211">
            <v>10239</v>
          </cell>
        </row>
        <row r="6212">
          <cell r="C6212" t="str">
            <v>iRadimed</v>
          </cell>
          <cell r="D6212">
            <v>2.9097300000000001</v>
          </cell>
        </row>
        <row r="6213">
          <cell r="C6213" t="str">
            <v>Ribbon Communications</v>
          </cell>
          <cell r="D6213">
            <v>43.44</v>
          </cell>
        </row>
        <row r="6214">
          <cell r="C6214" t="str">
            <v>Fiera Capital</v>
          </cell>
          <cell r="D6214">
            <v>18.149999999999999</v>
          </cell>
        </row>
        <row r="6215">
          <cell r="C6215" t="str">
            <v>Glass House Brands</v>
          </cell>
          <cell r="D6215">
            <v>0.48361900000000002</v>
          </cell>
        </row>
        <row r="6216">
          <cell r="C6216" t="str">
            <v>Mortgage Advice Bureau (Holdings)</v>
          </cell>
          <cell r="D6216">
            <v>2.37</v>
          </cell>
        </row>
        <row r="6217">
          <cell r="C6217" t="str">
            <v>Hansen Technologies</v>
          </cell>
          <cell r="D6217">
            <v>3.1684199999999998</v>
          </cell>
        </row>
        <row r="6218">
          <cell r="C6218" t="str">
            <v>Cass Information Systems</v>
          </cell>
          <cell r="D6218">
            <v>8.1999999999999993</v>
          </cell>
        </row>
        <row r="6219">
          <cell r="C6219" t="str">
            <v>International Money Express</v>
          </cell>
          <cell r="D6219">
            <v>24.34</v>
          </cell>
        </row>
        <row r="6220">
          <cell r="C6220" t="str">
            <v>Jain Irrigation Systems</v>
          </cell>
          <cell r="D6220">
            <v>2.33</v>
          </cell>
        </row>
        <row r="6221">
          <cell r="C6221" t="str">
            <v>Emirates Stallions Group (ESG)</v>
          </cell>
          <cell r="D6221">
            <v>7.09</v>
          </cell>
        </row>
        <row r="6222">
          <cell r="C6222" t="str">
            <v>Jadwa Investment - Jadwa Reit Saudi Fund</v>
          </cell>
          <cell r="D6222">
            <v>119.93</v>
          </cell>
        </row>
        <row r="6223">
          <cell r="C6223" t="str">
            <v>Orchid Island Capital</v>
          </cell>
          <cell r="D6223">
            <v>13.91</v>
          </cell>
        </row>
        <row r="6224">
          <cell r="C6224" t="str">
            <v>GAMCO Investors</v>
          </cell>
          <cell r="D6224">
            <v>7.2399699999999996</v>
          </cell>
        </row>
        <row r="6225">
          <cell r="C6225" t="str">
            <v>Kingsoft Cloud</v>
          </cell>
          <cell r="D6225">
            <v>9.3382100000000001</v>
          </cell>
        </row>
        <row r="6226">
          <cell r="C6226" t="str">
            <v>Ranpak</v>
          </cell>
          <cell r="D6226">
            <v>48.3033</v>
          </cell>
        </row>
        <row r="6227">
          <cell r="C6227" t="str">
            <v>Preformed Line Products</v>
          </cell>
          <cell r="D6227">
            <v>45.543300000000002</v>
          </cell>
        </row>
        <row r="6228">
          <cell r="C6228" t="str">
            <v>UroGen Pharma</v>
          </cell>
          <cell r="D6228">
            <v>13.2</v>
          </cell>
        </row>
        <row r="6229">
          <cell r="C6229" t="str">
            <v>Hamborner REIT</v>
          </cell>
          <cell r="D6229">
            <v>34.520000000000003</v>
          </cell>
        </row>
        <row r="6230">
          <cell r="C6230" t="str">
            <v>Jumbo Interactive Limited</v>
          </cell>
          <cell r="D6230">
            <v>39.979999999999997</v>
          </cell>
        </row>
        <row r="6231">
          <cell r="C6231" t="str">
            <v>STRATEC</v>
          </cell>
          <cell r="D6231">
            <v>26.167100000000001</v>
          </cell>
        </row>
        <row r="6232">
          <cell r="C6232" t="str">
            <v>DocMorris</v>
          </cell>
          <cell r="D6232">
            <v>29.775300000000001</v>
          </cell>
        </row>
        <row r="6233">
          <cell r="C6233" t="str">
            <v>HarborOne Bancorp</v>
          </cell>
          <cell r="D6233">
            <v>51.71</v>
          </cell>
        </row>
        <row r="6234">
          <cell r="C6234" t="str">
            <v>Capital City Bank Group</v>
          </cell>
          <cell r="D6234">
            <v>2.8186100000000001</v>
          </cell>
        </row>
        <row r="6235">
          <cell r="C6235" t="str">
            <v>Camden National Bank</v>
          </cell>
          <cell r="D6235">
            <v>34.090000000000003</v>
          </cell>
        </row>
        <row r="6236">
          <cell r="C6236" t="str">
            <v>Happinet</v>
          </cell>
          <cell r="D6236">
            <v>10.98</v>
          </cell>
        </row>
        <row r="6237">
          <cell r="C6237" t="str">
            <v>cBrain</v>
          </cell>
          <cell r="D6237">
            <v>5.21</v>
          </cell>
        </row>
        <row r="6238">
          <cell r="C6238" t="str">
            <v>Metropolitan Bank Holding</v>
          </cell>
          <cell r="D6238">
            <v>4.7157299999999998</v>
          </cell>
        </row>
        <row r="6239">
          <cell r="C6239" t="str">
            <v>Bpost</v>
          </cell>
          <cell r="D6239">
            <v>11.8734</v>
          </cell>
        </row>
        <row r="6240">
          <cell r="C6240" t="str">
            <v>Greene County Bancorp</v>
          </cell>
          <cell r="D6240">
            <v>73.59</v>
          </cell>
        </row>
        <row r="6241">
          <cell r="C6241" t="str">
            <v>Sun Country Airlines</v>
          </cell>
          <cell r="D6241">
            <v>4.95</v>
          </cell>
        </row>
        <row r="6242">
          <cell r="C6242" t="str">
            <v>Canopy Growth</v>
          </cell>
          <cell r="D6242">
            <v>71.010000000000005</v>
          </cell>
        </row>
        <row r="6243">
          <cell r="C6243" t="str">
            <v>Greenpanel Industries</v>
          </cell>
          <cell r="D6243">
            <v>14.9884</v>
          </cell>
        </row>
        <row r="6244">
          <cell r="C6244" t="str">
            <v>Diversified Energy</v>
          </cell>
          <cell r="D6244">
            <v>0.85157700000000003</v>
          </cell>
        </row>
        <row r="6245">
          <cell r="C6245" t="str">
            <v>Cambridge Bancorp</v>
          </cell>
          <cell r="D6245">
            <v>13.39</v>
          </cell>
        </row>
        <row r="6246">
          <cell r="C6246" t="str">
            <v>Lavoro</v>
          </cell>
          <cell r="D6246">
            <v>144162</v>
          </cell>
        </row>
        <row r="6247">
          <cell r="C6247" t="str">
            <v>Northeast Bank</v>
          </cell>
          <cell r="D6247">
            <v>1.12104</v>
          </cell>
        </row>
        <row r="6248">
          <cell r="C6248" t="str">
            <v>PORR</v>
          </cell>
          <cell r="D6248">
            <v>1.1875800000000001</v>
          </cell>
        </row>
        <row r="6249">
          <cell r="C6249" t="str">
            <v>Chow Sang Sang Holdings</v>
          </cell>
          <cell r="D6249">
            <v>13.15</v>
          </cell>
        </row>
        <row r="6250">
          <cell r="C6250" t="str">
            <v>KalVista Pharmaceuticals</v>
          </cell>
          <cell r="D6250">
            <v>8.9</v>
          </cell>
        </row>
        <row r="6251">
          <cell r="C6251" t="str">
            <v>Thurgauer Kantonalbank</v>
          </cell>
          <cell r="D6251">
            <v>11.94</v>
          </cell>
        </row>
        <row r="6252">
          <cell r="C6252" t="str">
            <v>Jupiter Fund Management</v>
          </cell>
          <cell r="D6252">
            <v>1.5834299999999999</v>
          </cell>
        </row>
        <row r="6253">
          <cell r="C6253" t="str">
            <v>Superloop Limited</v>
          </cell>
          <cell r="D6253">
            <v>7.0110400000000004</v>
          </cell>
        </row>
        <row r="6254">
          <cell r="C6254" t="str">
            <v>Axogen</v>
          </cell>
          <cell r="D6254">
            <v>0.85714299999999999</v>
          </cell>
        </row>
        <row r="6255">
          <cell r="C6255" t="str">
            <v>Perpetua Resources</v>
          </cell>
          <cell r="D6255">
            <v>10097</v>
          </cell>
        </row>
        <row r="6256">
          <cell r="C6256" t="str">
            <v>nLIGHT</v>
          </cell>
          <cell r="D6256">
            <v>7.1004199999999997</v>
          </cell>
        </row>
        <row r="6257">
          <cell r="C6257" t="str">
            <v>Austal Limited</v>
          </cell>
          <cell r="D6257">
            <v>34.909999999999997</v>
          </cell>
        </row>
        <row r="6258">
          <cell r="C6258" t="str">
            <v>Major Drilling Group International</v>
          </cell>
          <cell r="D6258">
            <v>5.7256499999999999</v>
          </cell>
        </row>
        <row r="6259">
          <cell r="C6259" t="str">
            <v>Ominvest</v>
          </cell>
          <cell r="D6259">
            <v>3.64</v>
          </cell>
        </row>
        <row r="6260">
          <cell r="C6260" t="str">
            <v>Wonderla Holidays</v>
          </cell>
          <cell r="D6260">
            <v>0.94735400000000003</v>
          </cell>
        </row>
        <row r="6261">
          <cell r="C6261" t="str">
            <v>Jeju Air</v>
          </cell>
          <cell r="D6261">
            <v>26.75</v>
          </cell>
        </row>
        <row r="6262">
          <cell r="C6262" t="str">
            <v>South Plains Financial</v>
          </cell>
          <cell r="D6262">
            <v>10.5</v>
          </cell>
        </row>
        <row r="6263">
          <cell r="C6263" t="str">
            <v>Klöckner &amp;amp; Co</v>
          </cell>
          <cell r="D6263">
            <v>21.1</v>
          </cell>
        </row>
        <row r="6264">
          <cell r="C6264" t="str">
            <v>UP Fintech (Tiger Brokers)</v>
          </cell>
          <cell r="D6264">
            <v>36.144599999999997</v>
          </cell>
        </row>
        <row r="6265">
          <cell r="C6265" t="str">
            <v>Australian Agricultural Company</v>
          </cell>
          <cell r="D6265">
            <v>15.29</v>
          </cell>
        </row>
        <row r="6266">
          <cell r="C6266" t="str">
            <v>One Liberty Properties</v>
          </cell>
          <cell r="D6266">
            <v>32304</v>
          </cell>
        </row>
        <row r="6267">
          <cell r="C6267" t="str">
            <v>GH Research</v>
          </cell>
          <cell r="D6267">
            <v>3.02</v>
          </cell>
        </row>
        <row r="6268">
          <cell r="C6268" t="str">
            <v>Arcturus Therapeutics</v>
          </cell>
          <cell r="D6268">
            <v>11.361499999999999</v>
          </cell>
        </row>
        <row r="6269">
          <cell r="C6269" t="str">
            <v>Schoeller-Bleckmann Oilfield Equipment</v>
          </cell>
          <cell r="D6269">
            <v>7.93</v>
          </cell>
        </row>
        <row r="6270">
          <cell r="C6270" t="str">
            <v>Myers Industries</v>
          </cell>
          <cell r="D6270">
            <v>23.94</v>
          </cell>
        </row>
        <row r="6271">
          <cell r="C6271" t="str">
            <v>Leonteq</v>
          </cell>
          <cell r="D6271">
            <v>4.5785799999999997</v>
          </cell>
        </row>
        <row r="6272">
          <cell r="C6272" t="str">
            <v>Navitas Semiconductor</v>
          </cell>
          <cell r="D6272">
            <v>6.7</v>
          </cell>
        </row>
        <row r="6273">
          <cell r="C6273" t="str">
            <v>Sumou Real Estate Company</v>
          </cell>
          <cell r="D6273">
            <v>4.7572200000000002</v>
          </cell>
        </row>
        <row r="6274">
          <cell r="C6274" t="str">
            <v>LSB Industries</v>
          </cell>
          <cell r="D6274">
            <v>39.630000000000003</v>
          </cell>
        </row>
        <row r="6275">
          <cell r="C6275" t="str">
            <v>CEVA</v>
          </cell>
          <cell r="D6275">
            <v>28.25</v>
          </cell>
        </row>
        <row r="6276">
          <cell r="C6276" t="str">
            <v>Greenply</v>
          </cell>
          <cell r="D6276">
            <v>29.62</v>
          </cell>
        </row>
        <row r="6277">
          <cell r="C6277" t="str">
            <v>Verve Therapeutics</v>
          </cell>
          <cell r="D6277">
            <v>0.11917700000000001</v>
          </cell>
        </row>
        <row r="6278">
          <cell r="C6278" t="str">
            <v>ASOS</v>
          </cell>
          <cell r="D6278">
            <v>1002.66</v>
          </cell>
        </row>
        <row r="6279">
          <cell r="C6279" t="str">
            <v>SurModics</v>
          </cell>
          <cell r="D6279">
            <v>4.9852699999999999</v>
          </cell>
        </row>
        <row r="6280">
          <cell r="C6280" t="str">
            <v>Ituran</v>
          </cell>
          <cell r="D6280">
            <v>27.74</v>
          </cell>
        </row>
        <row r="6281">
          <cell r="C6281" t="str">
            <v>FRP Holdings</v>
          </cell>
          <cell r="D6281">
            <v>4.0199999999999996</v>
          </cell>
        </row>
        <row r="6282">
          <cell r="C6282" t="str">
            <v>Kvika banki</v>
          </cell>
          <cell r="D6282">
            <v>16.309999999999999</v>
          </cell>
        </row>
        <row r="6283">
          <cell r="C6283" t="str">
            <v>Basellandschaftliche Kantonalbank</v>
          </cell>
          <cell r="D6283">
            <v>3.90517</v>
          </cell>
        </row>
        <row r="6284">
          <cell r="C6284" t="str">
            <v>Skipper Limited</v>
          </cell>
          <cell r="D6284">
            <v>29.758600000000001</v>
          </cell>
        </row>
        <row r="6285">
          <cell r="C6285" t="str">
            <v>Zumiez</v>
          </cell>
          <cell r="D6285">
            <v>13.838800000000001</v>
          </cell>
        </row>
        <row r="6286">
          <cell r="C6286" t="str">
            <v>AlTi Global</v>
          </cell>
          <cell r="D6286">
            <v>5.0790300000000004</v>
          </cell>
        </row>
        <row r="6287">
          <cell r="C6287" t="str">
            <v>Dril-Quip</v>
          </cell>
          <cell r="D6287">
            <v>256.97000000000003</v>
          </cell>
        </row>
        <row r="6288">
          <cell r="C6288" t="str">
            <v>Volue ASA</v>
          </cell>
          <cell r="D6288">
            <v>38.979999999999997</v>
          </cell>
        </row>
        <row r="6289">
          <cell r="C6289" t="str">
            <v>Fujimori Kogyo</v>
          </cell>
          <cell r="D6289">
            <v>103018</v>
          </cell>
        </row>
        <row r="6290">
          <cell r="C6290" t="str">
            <v>Marimekko</v>
          </cell>
          <cell r="D6290">
            <v>32.799999999999997</v>
          </cell>
        </row>
        <row r="6291">
          <cell r="C6291" t="str">
            <v>Bahnhof AB</v>
          </cell>
          <cell r="D6291">
            <v>1.88117</v>
          </cell>
        </row>
        <row r="6292">
          <cell r="C6292" t="str">
            <v>Hingham Institution for Savings</v>
          </cell>
          <cell r="D6292">
            <v>3.02</v>
          </cell>
        </row>
        <row r="6293">
          <cell r="C6293" t="str">
            <v>York Water</v>
          </cell>
          <cell r="D6293">
            <v>10.47</v>
          </cell>
        </row>
        <row r="6294">
          <cell r="C6294" t="str">
            <v>Amadeus Fire</v>
          </cell>
          <cell r="D6294">
            <v>12.68</v>
          </cell>
        </row>
        <row r="6295">
          <cell r="C6295" t="str">
            <v>Washington Trust Bancorp</v>
          </cell>
          <cell r="D6295">
            <v>10.9</v>
          </cell>
        </row>
        <row r="6296">
          <cell r="C6296" t="str">
            <v>Generation Development Group</v>
          </cell>
          <cell r="D6296">
            <v>9.4617000000000004</v>
          </cell>
        </row>
        <row r="6297">
          <cell r="C6297" t="str">
            <v>Leslie's</v>
          </cell>
          <cell r="D6297">
            <v>5.3212799999999998</v>
          </cell>
        </row>
        <row r="6298">
          <cell r="C6298" t="str">
            <v>Funko</v>
          </cell>
          <cell r="D6298">
            <v>78.290000000000006</v>
          </cell>
        </row>
        <row r="6299">
          <cell r="C6299" t="str">
            <v>Solaris Oilfield Infrastructure</v>
          </cell>
          <cell r="D6299">
            <v>2.97</v>
          </cell>
        </row>
        <row r="6300">
          <cell r="C6300" t="str">
            <v>Telesat</v>
          </cell>
          <cell r="D6300">
            <v>10.06</v>
          </cell>
        </row>
        <row r="6301">
          <cell r="C6301" t="str">
            <v>ProCredit</v>
          </cell>
          <cell r="D6301">
            <v>11.7</v>
          </cell>
        </row>
        <row r="6302">
          <cell r="C6302" t="str">
            <v>Artis REIT</v>
          </cell>
          <cell r="D6302">
            <v>178.99</v>
          </cell>
        </row>
        <row r="6303">
          <cell r="C6303" t="str">
            <v>National Presto Industries</v>
          </cell>
          <cell r="D6303">
            <v>0.88656299999999999</v>
          </cell>
        </row>
        <row r="6304">
          <cell r="C6304" t="str">
            <v>AMTD Digital</v>
          </cell>
          <cell r="D6304">
            <v>33.270000000000003</v>
          </cell>
        </row>
        <row r="6305">
          <cell r="C6305" t="str">
            <v>Vinci Partners</v>
          </cell>
          <cell r="D6305">
            <v>1.68</v>
          </cell>
        </row>
        <row r="6306">
          <cell r="C6306" t="str">
            <v>Ambac</v>
          </cell>
          <cell r="D6306">
            <v>20.706499999999998</v>
          </cell>
        </row>
        <row r="6307">
          <cell r="C6307" t="str">
            <v>Biglari</v>
          </cell>
          <cell r="D6307">
            <v>6.3144799999999996</v>
          </cell>
        </row>
        <row r="6308">
          <cell r="C6308" t="str">
            <v>Hampiðjan</v>
          </cell>
          <cell r="D6308">
            <v>19.770800000000001</v>
          </cell>
        </row>
        <row r="6309">
          <cell r="C6309" t="str">
            <v>Clearwater Paper</v>
          </cell>
          <cell r="D6309">
            <v>13.87</v>
          </cell>
        </row>
        <row r="6310">
          <cell r="C6310" t="str">
            <v>fuboTV</v>
          </cell>
          <cell r="D6310">
            <v>12.7575</v>
          </cell>
        </row>
        <row r="6311">
          <cell r="C6311" t="str">
            <v>EQT Holdings Limited</v>
          </cell>
          <cell r="D6311">
            <v>1.84</v>
          </cell>
        </row>
        <row r="6312">
          <cell r="C6312" t="str">
            <v>VRL Logistics</v>
          </cell>
          <cell r="D6312">
            <v>500654</v>
          </cell>
        </row>
        <row r="6313">
          <cell r="C6313" t="str">
            <v>R&amp;S Group</v>
          </cell>
          <cell r="D6313">
            <v>7.66</v>
          </cell>
        </row>
        <row r="6314">
          <cell r="C6314" t="str">
            <v>Groupon</v>
          </cell>
          <cell r="D6314">
            <v>23</v>
          </cell>
        </row>
        <row r="6315">
          <cell r="C6315" t="str">
            <v>Atal S.A.</v>
          </cell>
          <cell r="D6315">
            <v>2.63</v>
          </cell>
        </row>
        <row r="6316">
          <cell r="C6316" t="str">
            <v>Ballard Power Systems</v>
          </cell>
          <cell r="D6316">
            <v>2.6887400000000001</v>
          </cell>
        </row>
        <row r="6317">
          <cell r="C6317" t="str">
            <v>Shamal Az-Zour Al-Oula Power and Water Company</v>
          </cell>
          <cell r="D6317">
            <v>0.89525999999999994</v>
          </cell>
        </row>
        <row r="6318">
          <cell r="C6318" t="str">
            <v>Cognyte Software</v>
          </cell>
          <cell r="D6318">
            <v>4.6900000000000004</v>
          </cell>
        </row>
        <row r="6319">
          <cell r="C6319" t="str">
            <v>PureTech Health</v>
          </cell>
          <cell r="D6319">
            <v>6.87</v>
          </cell>
        </row>
        <row r="6320">
          <cell r="C6320" t="str">
            <v>Allogene Therapeutics</v>
          </cell>
          <cell r="D6320">
            <v>2.3599000000000001</v>
          </cell>
        </row>
        <row r="6321">
          <cell r="C6321" t="str">
            <v>Finnair</v>
          </cell>
          <cell r="D6321">
            <v>21.442900000000002</v>
          </cell>
        </row>
        <row r="6322">
          <cell r="C6322" t="str">
            <v>Mobico Group</v>
          </cell>
          <cell r="D6322">
            <v>4.12</v>
          </cell>
        </row>
        <row r="6323">
          <cell r="C6323" t="str">
            <v>Definitive Healthcare</v>
          </cell>
          <cell r="D6323">
            <v>8.4585199999999999E-2</v>
          </cell>
        </row>
        <row r="6324">
          <cell r="C6324" t="str">
            <v>Obsidian Energy</v>
          </cell>
          <cell r="D6324">
            <v>7.81</v>
          </cell>
        </row>
        <row r="6325">
          <cell r="C6325" t="str">
            <v>Admie Holding</v>
          </cell>
          <cell r="D6325">
            <v>5.1100000000000003</v>
          </cell>
        </row>
        <row r="6326">
          <cell r="C6326" t="str">
            <v>Alamar Foods Company</v>
          </cell>
          <cell r="D6326">
            <v>8.5500000000000007</v>
          </cell>
        </row>
        <row r="6327">
          <cell r="C6327" t="str">
            <v>NGL Energy Partners</v>
          </cell>
          <cell r="D6327">
            <v>1197.6400000000001</v>
          </cell>
        </row>
        <row r="6328">
          <cell r="C6328" t="str">
            <v>Pantoro Limited</v>
          </cell>
          <cell r="D6328">
            <v>36.324800000000003</v>
          </cell>
        </row>
        <row r="6329">
          <cell r="C6329" t="str">
            <v>Nexxen</v>
          </cell>
          <cell r="D6329">
            <v>22.8</v>
          </cell>
        </row>
        <row r="6330">
          <cell r="C6330" t="str">
            <v>Safe Bulkers</v>
          </cell>
          <cell r="D6330">
            <v>4.8899999999999997</v>
          </cell>
        </row>
        <row r="6331">
          <cell r="C6331" t="str">
            <v>Fulcrum Therapeutics</v>
          </cell>
          <cell r="D6331">
            <v>52.7</v>
          </cell>
        </row>
        <row r="6332">
          <cell r="C6332" t="str">
            <v>Tamdeen Real Estate Company</v>
          </cell>
          <cell r="D6332">
            <v>7.3024399999999998</v>
          </cell>
        </row>
        <row r="6333">
          <cell r="C6333" t="str">
            <v>Arabian Pipes Company</v>
          </cell>
          <cell r="D6333">
            <v>15.707100000000001</v>
          </cell>
        </row>
        <row r="6334">
          <cell r="C6334" t="str">
            <v>NRC Health</v>
          </cell>
          <cell r="D6334">
            <v>53.387900000000002</v>
          </cell>
        </row>
        <row r="6335">
          <cell r="C6335" t="str">
            <v>Anywhere Real Estate</v>
          </cell>
          <cell r="D6335">
            <v>0.49247800000000003</v>
          </cell>
        </row>
        <row r="6336">
          <cell r="C6336" t="str">
            <v>Oppenheimer Holdings</v>
          </cell>
          <cell r="D6336">
            <v>2.2173600000000002</v>
          </cell>
        </row>
        <row r="6337">
          <cell r="C6337" t="str">
            <v>Asiana Airlines</v>
          </cell>
          <cell r="D6337">
            <v>16.4253</v>
          </cell>
        </row>
        <row r="6338">
          <cell r="C6338" t="str">
            <v>Eiken Chemical</v>
          </cell>
          <cell r="D6338">
            <v>4.57</v>
          </cell>
        </row>
        <row r="6339">
          <cell r="C6339" t="str">
            <v>AlzChem Group</v>
          </cell>
          <cell r="D6339">
            <v>40.455399999999997</v>
          </cell>
        </row>
        <row r="6340">
          <cell r="C6340" t="str">
            <v>SmarTone Telecommunications</v>
          </cell>
          <cell r="D6340">
            <v>1.3849</v>
          </cell>
        </row>
        <row r="6341">
          <cell r="C6341" t="str">
            <v>Hangzhou Electronic Soul Network Technology</v>
          </cell>
          <cell r="D6341">
            <v>0.90145399999999998</v>
          </cell>
        </row>
        <row r="6342">
          <cell r="C6342" t="str">
            <v>Norma Group</v>
          </cell>
          <cell r="D6342">
            <v>11.23</v>
          </cell>
        </row>
        <row r="6343">
          <cell r="C6343" t="str">
            <v>Consolidated Communications</v>
          </cell>
          <cell r="D6343">
            <v>7.62</v>
          </cell>
        </row>
        <row r="6344">
          <cell r="C6344" t="str">
            <v>WashTec AG</v>
          </cell>
          <cell r="D6344">
            <v>9.92</v>
          </cell>
        </row>
        <row r="6345">
          <cell r="C6345" t="str">
            <v>MBM Resources</v>
          </cell>
          <cell r="D6345">
            <v>1.56</v>
          </cell>
        </row>
        <row r="6346">
          <cell r="C6346" t="str">
            <v>Batic Investments and Logistics Company</v>
          </cell>
          <cell r="D6346">
            <v>5.1343500000000004</v>
          </cell>
        </row>
        <row r="6347">
          <cell r="C6347" t="str">
            <v>American Coastal Insurance Corporation</v>
          </cell>
          <cell r="D6347">
            <v>23.86</v>
          </cell>
        </row>
        <row r="6348">
          <cell r="C6348" t="str">
            <v>Terns Pharmaceuticals</v>
          </cell>
          <cell r="D6348">
            <v>26086</v>
          </cell>
        </row>
        <row r="6349">
          <cell r="C6349" t="str">
            <v>Lindblad Expeditions</v>
          </cell>
          <cell r="D6349">
            <v>2.4500000000000002</v>
          </cell>
        </row>
        <row r="6350">
          <cell r="C6350" t="str">
            <v>Cresco Labs</v>
          </cell>
          <cell r="D6350">
            <v>14.05</v>
          </cell>
        </row>
        <row r="6351">
          <cell r="C6351" t="str">
            <v>The Tinplate Company Of India</v>
          </cell>
          <cell r="D6351">
            <v>9.3290600000000001</v>
          </cell>
        </row>
        <row r="6352">
          <cell r="C6352" t="str">
            <v>Movado</v>
          </cell>
          <cell r="D6352">
            <v>10.85</v>
          </cell>
        </row>
        <row r="6353">
          <cell r="C6353" t="str">
            <v>BayWa</v>
          </cell>
          <cell r="D6353">
            <v>119331</v>
          </cell>
        </row>
        <row r="6354">
          <cell r="C6354" t="str">
            <v>Lithium Americas</v>
          </cell>
          <cell r="D6354">
            <v>7.5005699999999997</v>
          </cell>
        </row>
        <row r="6355">
          <cell r="C6355" t="str">
            <v>Celesc (Centrais Elétricas de Santa Catarina)</v>
          </cell>
          <cell r="D6355">
            <v>1.05165</v>
          </cell>
        </row>
        <row r="6356">
          <cell r="C6356" t="str">
            <v>Exmar</v>
          </cell>
          <cell r="D6356">
            <v>3.65</v>
          </cell>
        </row>
        <row r="6357">
          <cell r="C6357" t="str">
            <v>Magic Software</v>
          </cell>
          <cell r="D6357">
            <v>4.7635500000000004</v>
          </cell>
        </row>
        <row r="6358">
          <cell r="C6358" t="str">
            <v>Rieter Holding</v>
          </cell>
          <cell r="D6358">
            <v>38.11</v>
          </cell>
        </row>
        <row r="6359">
          <cell r="C6359" t="str">
            <v>Spandana Sphoorty Financial</v>
          </cell>
          <cell r="D6359">
            <v>10.578099999999999</v>
          </cell>
        </row>
        <row r="6360">
          <cell r="C6360" t="str">
            <v>Transport International Holdings</v>
          </cell>
          <cell r="D6360">
            <v>6.3946399999999999</v>
          </cell>
        </row>
        <row r="6361">
          <cell r="C6361" t="str">
            <v>Applied Blockchain</v>
          </cell>
          <cell r="D6361">
            <v>5.0999999999999996</v>
          </cell>
        </row>
        <row r="6362">
          <cell r="C6362" t="str">
            <v>Grieg Seafood</v>
          </cell>
          <cell r="D6362">
            <v>43.922199999999997</v>
          </cell>
        </row>
        <row r="6363">
          <cell r="C6363" t="str">
            <v>Willdan Group</v>
          </cell>
          <cell r="D6363">
            <v>10.617100000000001</v>
          </cell>
        </row>
        <row r="6364">
          <cell r="C6364" t="str">
            <v>Brunel International</v>
          </cell>
          <cell r="D6364">
            <v>19.583500000000001</v>
          </cell>
        </row>
        <row r="6365">
          <cell r="C6365" t="str">
            <v>Audinate Group</v>
          </cell>
          <cell r="D6365">
            <v>2450.92</v>
          </cell>
        </row>
        <row r="6366">
          <cell r="C6366" t="str">
            <v>Gray Television</v>
          </cell>
          <cell r="D6366">
            <v>37.299999999999997</v>
          </cell>
        </row>
        <row r="6367">
          <cell r="C6367" t="str">
            <v>SP Group A/S</v>
          </cell>
          <cell r="D6367">
            <v>14.9887</v>
          </cell>
        </row>
        <row r="6368">
          <cell r="C6368" t="str">
            <v>Clinuvel Pharmaceuticals</v>
          </cell>
          <cell r="D6368">
            <v>2.68</v>
          </cell>
        </row>
        <row r="6369">
          <cell r="C6369" t="str">
            <v>Nilfisk Holding</v>
          </cell>
          <cell r="D6369">
            <v>8.0431600000000003</v>
          </cell>
        </row>
        <row r="6370">
          <cell r="C6370" t="str">
            <v>Al-Ahleia Insurance</v>
          </cell>
          <cell r="D6370">
            <v>31121</v>
          </cell>
        </row>
        <row r="6371">
          <cell r="C6371" t="str">
            <v>Clearfield</v>
          </cell>
          <cell r="D6371">
            <v>19.739999999999998</v>
          </cell>
        </row>
        <row r="6372">
          <cell r="C6372" t="str">
            <v>Halwani Bros</v>
          </cell>
          <cell r="D6372">
            <v>44.7</v>
          </cell>
        </row>
        <row r="6373">
          <cell r="C6373" t="str">
            <v>New Found Gold</v>
          </cell>
          <cell r="D6373">
            <v>40.26</v>
          </cell>
        </row>
        <row r="6374">
          <cell r="C6374" t="str">
            <v>Koh Young Technology</v>
          </cell>
          <cell r="D6374">
            <v>2.1586099999999999</v>
          </cell>
        </row>
        <row r="6375">
          <cell r="C6375" t="str">
            <v>Tide Water Oil</v>
          </cell>
          <cell r="D6375">
            <v>16.3048</v>
          </cell>
        </row>
        <row r="6376">
          <cell r="C6376" t="str">
            <v>North American Construction Group</v>
          </cell>
          <cell r="D6376">
            <v>6.64</v>
          </cell>
        </row>
        <row r="6377">
          <cell r="C6377" t="str">
            <v>First Financial</v>
          </cell>
          <cell r="D6377">
            <v>0.89752699999999996</v>
          </cell>
        </row>
        <row r="6378">
          <cell r="C6378" t="str">
            <v>Franklin Covey</v>
          </cell>
          <cell r="D6378">
            <v>26351</v>
          </cell>
        </row>
        <row r="6379">
          <cell r="C6379" t="str">
            <v>FleetPartners Group</v>
          </cell>
          <cell r="D6379">
            <v>7.98</v>
          </cell>
        </row>
        <row r="6380">
          <cell r="C6380" t="str">
            <v>Wall Financial Corporation</v>
          </cell>
          <cell r="D6380">
            <v>18.73</v>
          </cell>
        </row>
        <row r="6381">
          <cell r="C6381" t="str">
            <v>Murano Global Investments</v>
          </cell>
          <cell r="D6381">
            <v>2.37</v>
          </cell>
        </row>
        <row r="6382">
          <cell r="C6382" t="str">
            <v>Gulf Warehousing Company</v>
          </cell>
          <cell r="D6382">
            <v>7.69</v>
          </cell>
        </row>
        <row r="6383">
          <cell r="C6383" t="str">
            <v>Anup Engineering</v>
          </cell>
          <cell r="D6383">
            <v>5.48</v>
          </cell>
        </row>
        <row r="6384">
          <cell r="C6384" t="str">
            <v>Rayonier Advanced Materials</v>
          </cell>
          <cell r="D6384">
            <v>4.7699999999999996</v>
          </cell>
        </row>
        <row r="6385">
          <cell r="C6385" t="str">
            <v>Community Healthcare Trust</v>
          </cell>
          <cell r="D6385">
            <v>43.48</v>
          </cell>
        </row>
        <row r="6386">
          <cell r="C6386" t="str">
            <v>ATRenew</v>
          </cell>
          <cell r="D6386">
            <v>9.6346299999999996</v>
          </cell>
        </row>
        <row r="6387">
          <cell r="C6387" t="str">
            <v>Pharming Group</v>
          </cell>
          <cell r="D6387">
            <v>35.260300000000001</v>
          </cell>
        </row>
        <row r="6388">
          <cell r="C6388" t="str">
            <v>Acco Brands</v>
          </cell>
          <cell r="D6388">
            <v>12.12</v>
          </cell>
        </row>
        <row r="6389">
          <cell r="C6389" t="str">
            <v>OppFi</v>
          </cell>
          <cell r="D6389">
            <v>3.05796</v>
          </cell>
        </row>
        <row r="6390">
          <cell r="C6390" t="str">
            <v>Q32 Bio</v>
          </cell>
          <cell r="D6390">
            <v>3.1964199999999998</v>
          </cell>
        </row>
        <row r="6391">
          <cell r="C6391" t="str">
            <v>D2L Inc.</v>
          </cell>
          <cell r="D6391">
            <v>1.97</v>
          </cell>
        </row>
        <row r="6392">
          <cell r="C6392" t="str">
            <v>EnviTec Biogas</v>
          </cell>
          <cell r="D6392">
            <v>20.47</v>
          </cell>
        </row>
        <row r="6393">
          <cell r="C6393" t="str">
            <v>Northfield Bancorp</v>
          </cell>
          <cell r="D6393">
            <v>15.78</v>
          </cell>
        </row>
        <row r="6394">
          <cell r="C6394" t="str">
            <v>Gree</v>
          </cell>
          <cell r="D6394">
            <v>35.35</v>
          </cell>
        </row>
        <row r="6395">
          <cell r="C6395" t="str">
            <v>Synthomer</v>
          </cell>
          <cell r="D6395">
            <v>0.87250000000000005</v>
          </cell>
        </row>
        <row r="6396">
          <cell r="C6396" t="str">
            <v>Sundial Growers</v>
          </cell>
          <cell r="D6396">
            <v>15.578099999999999</v>
          </cell>
        </row>
        <row r="6397">
          <cell r="C6397" t="str">
            <v>United Fire Group</v>
          </cell>
          <cell r="D6397">
            <v>2.2999999999999998</v>
          </cell>
        </row>
        <row r="6398">
          <cell r="C6398" t="str">
            <v>Sohu.com</v>
          </cell>
          <cell r="D6398">
            <v>20.1584</v>
          </cell>
        </row>
        <row r="6399">
          <cell r="C6399" t="str">
            <v>Atlanticus</v>
          </cell>
          <cell r="D6399">
            <v>4.0539500000000004</v>
          </cell>
        </row>
        <row r="6400">
          <cell r="C6400" t="str">
            <v>Oatly</v>
          </cell>
          <cell r="D6400">
            <v>2.0366900000000001</v>
          </cell>
        </row>
        <row r="6401">
          <cell r="C6401" t="str">
            <v>Asseco Business Solutions</v>
          </cell>
          <cell r="D6401">
            <v>4.28</v>
          </cell>
        </row>
        <row r="6402">
          <cell r="C6402" t="str">
            <v>Rackspace Technology</v>
          </cell>
          <cell r="D6402">
            <v>1122.3800000000001</v>
          </cell>
        </row>
        <row r="6403">
          <cell r="C6403" t="str">
            <v>Text (LiveChat)</v>
          </cell>
          <cell r="D6403">
            <v>8.1153200000000005</v>
          </cell>
        </row>
        <row r="6404">
          <cell r="C6404" t="str">
            <v>Rogers Sugar (Lantic)</v>
          </cell>
          <cell r="D6404">
            <v>1.39</v>
          </cell>
        </row>
        <row r="6405">
          <cell r="C6405" t="str">
            <v>JTEKT India</v>
          </cell>
          <cell r="D6405">
            <v>8.43</v>
          </cell>
        </row>
        <row r="6406">
          <cell r="C6406" t="str">
            <v>Prime Medicine</v>
          </cell>
          <cell r="D6406">
            <v>5.7180200000000001</v>
          </cell>
        </row>
        <row r="6407">
          <cell r="C6407" t="str">
            <v>International Financial Advisors Holding</v>
          </cell>
          <cell r="D6407">
            <v>5.28</v>
          </cell>
        </row>
        <row r="6408">
          <cell r="C6408" t="str">
            <v>Cineplex</v>
          </cell>
          <cell r="D6408">
            <v>7.91</v>
          </cell>
        </row>
        <row r="6409">
          <cell r="C6409" t="str">
            <v>Sharecare</v>
          </cell>
          <cell r="D6409">
            <v>24.31</v>
          </cell>
        </row>
        <row r="6410">
          <cell r="C6410" t="str">
            <v>Sage Therapeutics</v>
          </cell>
          <cell r="D6410">
            <v>1.7065600000000001</v>
          </cell>
        </row>
        <row r="6411">
          <cell r="C6411" t="str">
            <v>Dubai Refreshment</v>
          </cell>
          <cell r="D6411">
            <v>19.239999999999998</v>
          </cell>
        </row>
        <row r="6412">
          <cell r="C6412" t="str">
            <v>Alector</v>
          </cell>
          <cell r="D6412">
            <v>7.39</v>
          </cell>
        </row>
        <row r="6413">
          <cell r="C6413" t="str">
            <v>Larimar Therapeutics</v>
          </cell>
          <cell r="D6413">
            <v>3.98834</v>
          </cell>
        </row>
        <row r="6414">
          <cell r="C6414" t="str">
            <v>CNB Financial Corp</v>
          </cell>
          <cell r="D6414">
            <v>16.549199999999999</v>
          </cell>
        </row>
        <row r="6415">
          <cell r="C6415" t="str">
            <v>Prime Focus</v>
          </cell>
          <cell r="D6415">
            <v>6.0221400000000003</v>
          </cell>
        </row>
        <row r="6416">
          <cell r="C6416" t="str">
            <v>Aurelius Group</v>
          </cell>
          <cell r="D6416">
            <v>1.2586299999999999</v>
          </cell>
        </row>
        <row r="6417">
          <cell r="C6417" t="str">
            <v>Greenfire Resources</v>
          </cell>
          <cell r="D6417">
            <v>26.01</v>
          </cell>
        </row>
        <row r="6418">
          <cell r="C6418" t="str">
            <v>COLOPL</v>
          </cell>
          <cell r="D6418">
            <v>0.18467900000000001</v>
          </cell>
        </row>
        <row r="6419">
          <cell r="C6419" t="str">
            <v>India Glycols</v>
          </cell>
          <cell r="D6419">
            <v>2840.31</v>
          </cell>
        </row>
        <row r="6420">
          <cell r="C6420" t="str">
            <v>Walaa Cooperative Insurance Company</v>
          </cell>
          <cell r="D6420">
            <v>27.6</v>
          </cell>
        </row>
        <row r="6421">
          <cell r="C6421" t="str">
            <v>VGI Partners Global Investments</v>
          </cell>
          <cell r="D6421">
            <v>7.48</v>
          </cell>
        </row>
        <row r="6422">
          <cell r="C6422" t="str">
            <v>Maui Land &amp;amp; Pineapple Company</v>
          </cell>
          <cell r="D6422">
            <v>14.92</v>
          </cell>
        </row>
        <row r="6423">
          <cell r="C6423" t="str">
            <v>7Road</v>
          </cell>
          <cell r="D6423">
            <v>6.02</v>
          </cell>
        </row>
        <row r="6424">
          <cell r="C6424" t="str">
            <v>Heisco (Heavy Engineering Industries and Shipbuilding Company)</v>
          </cell>
          <cell r="D6424">
            <v>30.49</v>
          </cell>
        </row>
        <row r="6425">
          <cell r="C6425" t="str">
            <v>Sonida Senior Living</v>
          </cell>
          <cell r="D6425">
            <v>12.48</v>
          </cell>
        </row>
        <row r="6426">
          <cell r="C6426" t="str">
            <v>COMPASS Pathways</v>
          </cell>
          <cell r="D6426">
            <v>7.8410500000000001</v>
          </cell>
        </row>
        <row r="6427">
          <cell r="C6427" t="str">
            <v>Cross Country Healthcare</v>
          </cell>
          <cell r="D6427">
            <v>7.32</v>
          </cell>
        </row>
        <row r="6428">
          <cell r="C6428" t="str">
            <v>Anavex Life Sciences</v>
          </cell>
          <cell r="D6428">
            <v>14.82</v>
          </cell>
        </row>
        <row r="6429">
          <cell r="C6429" t="str">
            <v>Arrow Financial</v>
          </cell>
          <cell r="D6429">
            <v>46.42</v>
          </cell>
        </row>
        <row r="6430">
          <cell r="C6430" t="str">
            <v>Varex Imaging</v>
          </cell>
          <cell r="D6430">
            <v>8.8268000000000004</v>
          </cell>
        </row>
        <row r="6431">
          <cell r="C6431" t="str">
            <v>Al Khaleej Training and Education Company</v>
          </cell>
          <cell r="D6431">
            <v>1.02</v>
          </cell>
        </row>
        <row r="6432">
          <cell r="C6432" t="str">
            <v>Valneva SE</v>
          </cell>
          <cell r="D6432">
            <v>13.03</v>
          </cell>
        </row>
        <row r="6433">
          <cell r="C6433" t="str">
            <v>Macatawa Bank</v>
          </cell>
          <cell r="D6433">
            <v>8.0299999999999994</v>
          </cell>
        </row>
        <row r="6434">
          <cell r="C6434" t="str">
            <v>MoneyLion</v>
          </cell>
          <cell r="D6434">
            <v>10.877599999999999</v>
          </cell>
        </row>
        <row r="6435">
          <cell r="C6435" t="str">
            <v>DRI Healthcare Trust</v>
          </cell>
          <cell r="D6435">
            <v>25.34</v>
          </cell>
        </row>
        <row r="6436">
          <cell r="C6436" t="str">
            <v>Luminar Technologies</v>
          </cell>
          <cell r="D6436">
            <v>19.989999999999998</v>
          </cell>
        </row>
        <row r="6437">
          <cell r="C6437" t="str">
            <v>Quanterix</v>
          </cell>
          <cell r="D6437">
            <v>13.57</v>
          </cell>
        </row>
        <row r="6438">
          <cell r="C6438" t="str">
            <v>1-800-Flowers</v>
          </cell>
          <cell r="D6438">
            <v>10.24</v>
          </cell>
        </row>
        <row r="6439">
          <cell r="C6439" t="str">
            <v>Hinduja Global Solutions</v>
          </cell>
          <cell r="D6439">
            <v>7.76</v>
          </cell>
        </row>
        <row r="6440">
          <cell r="C6440" t="str">
            <v>Karat Packaging</v>
          </cell>
          <cell r="D6440">
            <v>28.56</v>
          </cell>
        </row>
        <row r="6441">
          <cell r="C6441" t="str">
            <v>IperionX</v>
          </cell>
          <cell r="D6441">
            <v>3.95</v>
          </cell>
        </row>
        <row r="6442">
          <cell r="C6442" t="str">
            <v>Betterware de Mexico</v>
          </cell>
          <cell r="D6442">
            <v>30.21</v>
          </cell>
        </row>
        <row r="6443">
          <cell r="C6443" t="str">
            <v>Farmland Partners</v>
          </cell>
          <cell r="D6443">
            <v>2.08</v>
          </cell>
        </row>
        <row r="6444">
          <cell r="C6444" t="str">
            <v>Reservoir Media</v>
          </cell>
          <cell r="D6444">
            <v>33.15</v>
          </cell>
        </row>
        <row r="6445">
          <cell r="C6445" t="str">
            <v>Peapack-Gladstone Financial</v>
          </cell>
          <cell r="D6445">
            <v>25.201699999999999</v>
          </cell>
        </row>
        <row r="6446">
          <cell r="C6446" t="str">
            <v>Hesai Group</v>
          </cell>
          <cell r="D6446">
            <v>4.1900000000000004</v>
          </cell>
        </row>
        <row r="6447">
          <cell r="C6447" t="str">
            <v>Mid Penn Bancorp</v>
          </cell>
          <cell r="D6447">
            <v>6.92</v>
          </cell>
        </row>
        <row r="6448">
          <cell r="C6448" t="str">
            <v>Vizsla Silver</v>
          </cell>
          <cell r="D6448">
            <v>12.3332</v>
          </cell>
        </row>
        <row r="6449">
          <cell r="C6449" t="str">
            <v>Carriage Services</v>
          </cell>
          <cell r="D6449">
            <v>76.079099999999997</v>
          </cell>
        </row>
        <row r="6450">
          <cell r="C6450" t="str">
            <v>Friedrich Vorwerk Group</v>
          </cell>
          <cell r="D6450">
            <v>8.7899999999999991</v>
          </cell>
        </row>
        <row r="6451">
          <cell r="C6451" t="str">
            <v>OmniAb</v>
          </cell>
          <cell r="D6451">
            <v>9.5399999999999991</v>
          </cell>
        </row>
        <row r="6452">
          <cell r="C6452" t="str">
            <v>Cantaloupe</v>
          </cell>
          <cell r="D6452">
            <v>19.489999999999998</v>
          </cell>
        </row>
        <row r="6453">
          <cell r="C6453" t="str">
            <v>Medmix</v>
          </cell>
          <cell r="D6453">
            <v>12</v>
          </cell>
        </row>
        <row r="6454">
          <cell r="C6454" t="str">
            <v>PlayWay</v>
          </cell>
          <cell r="D6454">
            <v>17.28</v>
          </cell>
        </row>
        <row r="6455">
          <cell r="C6455" t="str">
            <v>Geopark</v>
          </cell>
          <cell r="D6455">
            <v>16.668900000000001</v>
          </cell>
        </row>
        <row r="6456">
          <cell r="C6456" t="str">
            <v>Carrols Restaurant Group</v>
          </cell>
          <cell r="D6456">
            <v>4.4000000000000004</v>
          </cell>
        </row>
        <row r="6457">
          <cell r="C6457" t="str">
            <v>Contineum Therapeutics</v>
          </cell>
          <cell r="D6457">
            <v>0.83796700000000002</v>
          </cell>
        </row>
        <row r="6458">
          <cell r="C6458" t="str">
            <v>Oculis Holding AG</v>
          </cell>
          <cell r="D6458">
            <v>4.83955</v>
          </cell>
        </row>
        <row r="6459">
          <cell r="C6459" t="str">
            <v>Innodata</v>
          </cell>
          <cell r="D6459">
            <v>13.28</v>
          </cell>
        </row>
        <row r="6460">
          <cell r="C6460" t="str">
            <v>Al-Jouf Agricultural Development</v>
          </cell>
          <cell r="D6460">
            <v>3.12</v>
          </cell>
        </row>
        <row r="6461">
          <cell r="C6461" t="str">
            <v>Absci</v>
          </cell>
          <cell r="D6461">
            <v>0.40109899999999998</v>
          </cell>
        </row>
        <row r="6462">
          <cell r="C6462" t="str">
            <v>Bestway Cement</v>
          </cell>
          <cell r="D6462">
            <v>16.13</v>
          </cell>
        </row>
        <row r="6463">
          <cell r="C6463" t="str">
            <v>Surge Energy</v>
          </cell>
          <cell r="D6463">
            <v>21.052600000000002</v>
          </cell>
        </row>
        <row r="6464">
          <cell r="C6464" t="str">
            <v>SandRidge Energy</v>
          </cell>
          <cell r="D6464">
            <v>2.6458200000000001</v>
          </cell>
        </row>
        <row r="6465">
          <cell r="C6465" t="str">
            <v>Altus Power</v>
          </cell>
          <cell r="D6465">
            <v>29.23</v>
          </cell>
        </row>
        <row r="6466">
          <cell r="C6466" t="str">
            <v>Qatari Investors Group</v>
          </cell>
          <cell r="D6466">
            <v>6.16</v>
          </cell>
        </row>
        <row r="6467">
          <cell r="C6467" t="str">
            <v>Heritage Insurance</v>
          </cell>
          <cell r="D6467">
            <v>589005</v>
          </cell>
        </row>
        <row r="6468">
          <cell r="C6468" t="str">
            <v>Enento Group</v>
          </cell>
          <cell r="D6468">
            <v>1.82</v>
          </cell>
        </row>
        <row r="6469">
          <cell r="C6469" t="str">
            <v>Vulcan Energy Resources</v>
          </cell>
          <cell r="D6469">
            <v>68.19</v>
          </cell>
        </row>
        <row r="6470">
          <cell r="C6470" t="str">
            <v>SmartFinancial (SmartBank)</v>
          </cell>
          <cell r="D6470">
            <v>15.22</v>
          </cell>
        </row>
        <row r="6471">
          <cell r="C6471" t="str">
            <v>Lifezone Metals</v>
          </cell>
          <cell r="D6471">
            <v>19.850000000000001</v>
          </cell>
        </row>
        <row r="6472">
          <cell r="C6472" t="str">
            <v>Arzan Financial Group for Financing and Investment</v>
          </cell>
          <cell r="D6472">
            <v>12.984500000000001</v>
          </cell>
        </row>
        <row r="6473">
          <cell r="C6473" t="str">
            <v>Allego</v>
          </cell>
          <cell r="D6473">
            <v>22.73</v>
          </cell>
        </row>
        <row r="6474">
          <cell r="C6474" t="str">
            <v>Oil-Dri Corporation Of America</v>
          </cell>
          <cell r="D6474">
            <v>9.9136600000000001</v>
          </cell>
        </row>
        <row r="6475">
          <cell r="C6475" t="str">
            <v>Donegal Group</v>
          </cell>
          <cell r="D6475">
            <v>19.02</v>
          </cell>
        </row>
        <row r="6476">
          <cell r="C6476" t="str">
            <v>Hippo</v>
          </cell>
          <cell r="D6476">
            <v>6.06</v>
          </cell>
        </row>
        <row r="6477">
          <cell r="C6477" t="str">
            <v>MCAN Mortgage Corporation</v>
          </cell>
          <cell r="D6477">
            <v>13.97</v>
          </cell>
        </row>
        <row r="6478">
          <cell r="C6478" t="str">
            <v>Gladstone Capital</v>
          </cell>
          <cell r="D6478">
            <v>0.98679799999999995</v>
          </cell>
        </row>
        <row r="6479">
          <cell r="C6479" t="str">
            <v>Shinpoong Pharm</v>
          </cell>
          <cell r="D6479">
            <v>6.87</v>
          </cell>
        </row>
        <row r="6480">
          <cell r="C6480" t="str">
            <v>Proficient Auto Logistics</v>
          </cell>
          <cell r="D6480">
            <v>14.9191</v>
          </cell>
        </row>
        <row r="6481">
          <cell r="C6481" t="str">
            <v>Mind Medicine</v>
          </cell>
          <cell r="D6481">
            <v>4.57</v>
          </cell>
        </row>
        <row r="6482">
          <cell r="C6482" t="str">
            <v>Greenlight Reinsurance</v>
          </cell>
          <cell r="D6482">
            <v>0.753247</v>
          </cell>
        </row>
        <row r="6483">
          <cell r="C6483" t="str">
            <v>Ladun Investment Company</v>
          </cell>
          <cell r="D6483">
            <v>0.270673</v>
          </cell>
        </row>
        <row r="6484">
          <cell r="C6484" t="str">
            <v>Stratasys</v>
          </cell>
          <cell r="D6484">
            <v>16.329999999999998</v>
          </cell>
        </row>
        <row r="6485">
          <cell r="C6485" t="str">
            <v>NHN Corp</v>
          </cell>
          <cell r="D6485">
            <v>18.459199999999999</v>
          </cell>
        </row>
        <row r="6486">
          <cell r="C6486" t="str">
            <v>PowerFleet</v>
          </cell>
          <cell r="D6486">
            <v>32.06</v>
          </cell>
        </row>
        <row r="6487">
          <cell r="C6487" t="str">
            <v>Ooredoo Oman</v>
          </cell>
          <cell r="D6487">
            <v>0.38538499999999998</v>
          </cell>
        </row>
        <row r="6488">
          <cell r="C6488" t="str">
            <v>Botanix Pharmaceuticals</v>
          </cell>
          <cell r="D6488">
            <v>14.19</v>
          </cell>
        </row>
        <row r="6489">
          <cell r="C6489" t="str">
            <v>Avon Protection</v>
          </cell>
          <cell r="D6489">
            <v>6.19</v>
          </cell>
        </row>
        <row r="6490">
          <cell r="C6490" t="str">
            <v>Villeroy &amp;amp; Boch</v>
          </cell>
          <cell r="D6490">
            <v>1.2215</v>
          </cell>
        </row>
        <row r="6491">
          <cell r="C6491" t="str">
            <v>Bar Harbor Bankshares</v>
          </cell>
          <cell r="D6491">
            <v>0.226688</v>
          </cell>
        </row>
        <row r="6492">
          <cell r="C6492" t="str">
            <v>Argonaut Gold</v>
          </cell>
          <cell r="D6492">
            <v>60241</v>
          </cell>
        </row>
        <row r="6493">
          <cell r="C6493" t="str">
            <v>The Shyft Group</v>
          </cell>
          <cell r="D6493">
            <v>2.1586599999999998</v>
          </cell>
        </row>
        <row r="6494">
          <cell r="C6494" t="str">
            <v>Berry Corporation</v>
          </cell>
          <cell r="D6494">
            <v>9.1</v>
          </cell>
        </row>
        <row r="6495">
          <cell r="C6495" t="str">
            <v>Thob Al Aseel Company</v>
          </cell>
          <cell r="D6495">
            <v>0.16916999999999999</v>
          </cell>
        </row>
        <row r="6496">
          <cell r="C6496" t="str">
            <v>Macmahon Holdings</v>
          </cell>
          <cell r="D6496">
            <v>28527</v>
          </cell>
        </row>
        <row r="6497">
          <cell r="C6497" t="str">
            <v>Caisse Régionale de Crédit Agricole Mutuel Loire Haute-Loire</v>
          </cell>
          <cell r="D6497">
            <v>22.77</v>
          </cell>
        </row>
        <row r="6498">
          <cell r="C6498" t="str">
            <v>Mail.ru Group</v>
          </cell>
          <cell r="D6498">
            <v>15.49</v>
          </cell>
        </row>
        <row r="6499">
          <cell r="C6499" t="str">
            <v>McEwen Mining</v>
          </cell>
          <cell r="D6499">
            <v>6.58</v>
          </cell>
        </row>
        <row r="6500">
          <cell r="C6500" t="str">
            <v>BCI Minerals Limited</v>
          </cell>
          <cell r="D6500">
            <v>13.57</v>
          </cell>
        </row>
        <row r="6501">
          <cell r="C6501" t="str">
            <v>MPS Limited</v>
          </cell>
          <cell r="D6501">
            <v>1.95153</v>
          </cell>
        </row>
        <row r="6502">
          <cell r="C6502" t="str">
            <v>Midland States Bancorp</v>
          </cell>
          <cell r="D6502">
            <v>37.42</v>
          </cell>
        </row>
        <row r="6503">
          <cell r="C6503" t="str">
            <v>Lands' End</v>
          </cell>
          <cell r="D6503">
            <v>5.8548900000000001</v>
          </cell>
        </row>
        <row r="6504">
          <cell r="C6504" t="str">
            <v>Auna</v>
          </cell>
          <cell r="D6504">
            <v>13.34</v>
          </cell>
        </row>
        <row r="6505">
          <cell r="C6505" t="str">
            <v>Gladstone Land</v>
          </cell>
          <cell r="D6505">
            <v>1.8886799999999999</v>
          </cell>
        </row>
        <row r="6506">
          <cell r="C6506" t="str">
            <v>Sequent Scientific</v>
          </cell>
          <cell r="D6506">
            <v>0.63446400000000003</v>
          </cell>
        </row>
        <row r="6507">
          <cell r="C6507" t="str">
            <v>Neurogene</v>
          </cell>
          <cell r="D6507">
            <v>507214</v>
          </cell>
        </row>
        <row r="6508">
          <cell r="C6508" t="str">
            <v>Timbercreek Financial</v>
          </cell>
          <cell r="D6508">
            <v>3.9273899999999999</v>
          </cell>
        </row>
        <row r="6509">
          <cell r="C6509" t="str">
            <v>Peakstone Realty Trust</v>
          </cell>
          <cell r="D6509">
            <v>241165</v>
          </cell>
        </row>
        <row r="6510">
          <cell r="C6510" t="str">
            <v>Alembic Limited</v>
          </cell>
          <cell r="D6510">
            <v>31.62</v>
          </cell>
        </row>
        <row r="6511">
          <cell r="C6511" t="str">
            <v>Tallink Grupp</v>
          </cell>
          <cell r="D6511">
            <v>9.5212699999999995</v>
          </cell>
        </row>
        <row r="6512">
          <cell r="C6512" t="str">
            <v>Phoenix Mecano</v>
          </cell>
          <cell r="D6512">
            <v>5.52</v>
          </cell>
        </row>
        <row r="6513">
          <cell r="C6513" t="str">
            <v>Hikal</v>
          </cell>
          <cell r="D6513">
            <v>39.9024</v>
          </cell>
        </row>
        <row r="6514">
          <cell r="C6514" t="str">
            <v>National Real Estate Company - K.P.S.C.</v>
          </cell>
          <cell r="D6514">
            <v>4.8099999999999996</v>
          </cell>
        </row>
        <row r="6515">
          <cell r="C6515" t="str">
            <v>Dine Brands Global</v>
          </cell>
          <cell r="D6515">
            <v>12.0952</v>
          </cell>
        </row>
        <row r="6516">
          <cell r="C6516" t="str">
            <v>Al-Yamamah Steel Industries Company</v>
          </cell>
          <cell r="D6516">
            <v>5.6325500000000002</v>
          </cell>
        </row>
        <row r="6517">
          <cell r="C6517" t="str">
            <v>WideOpenWest</v>
          </cell>
          <cell r="D6517">
            <v>1.0557700000000001</v>
          </cell>
        </row>
        <row r="6518">
          <cell r="C6518" t="str">
            <v>Kingfa Science &amp; Technology</v>
          </cell>
          <cell r="D6518">
            <v>52172</v>
          </cell>
        </row>
        <row r="6519">
          <cell r="C6519" t="str">
            <v>Acacia Research</v>
          </cell>
          <cell r="D6519">
            <v>14975</v>
          </cell>
        </row>
        <row r="6520">
          <cell r="C6520" t="str">
            <v>Minto Apartment Real Estate Investment Trust</v>
          </cell>
          <cell r="D6520">
            <v>2.69028</v>
          </cell>
        </row>
        <row r="6521">
          <cell r="C6521" t="str">
            <v>Frontera Energy</v>
          </cell>
          <cell r="D6521">
            <v>7.27217</v>
          </cell>
        </row>
        <row r="6522">
          <cell r="C6522" t="str">
            <v>Mannai Corporation</v>
          </cell>
          <cell r="D6522">
            <v>47.61</v>
          </cell>
        </row>
        <row r="6523">
          <cell r="C6523" t="str">
            <v>ABO Energy</v>
          </cell>
          <cell r="D6523">
            <v>2.19</v>
          </cell>
        </row>
        <row r="6524">
          <cell r="C6524" t="str">
            <v>Southern California Bancorp</v>
          </cell>
          <cell r="D6524">
            <v>4.78</v>
          </cell>
        </row>
        <row r="6525">
          <cell r="C6525" t="str">
            <v>IsoEnergy</v>
          </cell>
          <cell r="D6525">
            <v>3.3342499999999999</v>
          </cell>
        </row>
        <row r="6526">
          <cell r="C6526" t="str">
            <v>West Coast Paper Mills</v>
          </cell>
          <cell r="D6526">
            <v>47.474299999999999</v>
          </cell>
        </row>
        <row r="6527">
          <cell r="C6527" t="str">
            <v>Penseco Financial Services</v>
          </cell>
          <cell r="D6527">
            <v>17.89</v>
          </cell>
        </row>
        <row r="6528">
          <cell r="C6528" t="str">
            <v>Nano Dimension</v>
          </cell>
          <cell r="D6528">
            <v>11.55</v>
          </cell>
        </row>
        <row r="6529">
          <cell r="C6529" t="str">
            <v>ACELYRIN</v>
          </cell>
          <cell r="D6529">
            <v>2365.84</v>
          </cell>
        </row>
        <row r="6530">
          <cell r="C6530" t="str">
            <v>Team17</v>
          </cell>
          <cell r="D6530">
            <v>8.9499999999999993</v>
          </cell>
        </row>
        <row r="6531">
          <cell r="C6531" t="str">
            <v>Nextensa</v>
          </cell>
          <cell r="D6531">
            <v>0.28343099999999999</v>
          </cell>
        </row>
        <row r="6532">
          <cell r="C6532" t="str">
            <v>Tejon Ranch</v>
          </cell>
          <cell r="D6532">
            <v>17.34</v>
          </cell>
        </row>
        <row r="6533">
          <cell r="C6533" t="str">
            <v>Third Harmonic Bio</v>
          </cell>
          <cell r="D6533">
            <v>7.04</v>
          </cell>
        </row>
        <row r="6534">
          <cell r="C6534" t="str">
            <v>Al-Maidan Clinic for Oral Health Services</v>
          </cell>
          <cell r="D6534">
            <v>18.724399999999999</v>
          </cell>
        </row>
        <row r="6535">
          <cell r="C6535" t="str">
            <v>EyePoint Pharmaceuticals</v>
          </cell>
          <cell r="D6535">
            <v>3.22</v>
          </cell>
        </row>
        <row r="6536">
          <cell r="C6536" t="str">
            <v>iDreamSky</v>
          </cell>
          <cell r="D6536">
            <v>47.2</v>
          </cell>
        </row>
        <row r="6537">
          <cell r="C6537" t="str">
            <v>ZimVie</v>
          </cell>
          <cell r="D6537">
            <v>73.062899999999999</v>
          </cell>
        </row>
        <row r="6538">
          <cell r="C6538" t="str">
            <v>First Foundation</v>
          </cell>
          <cell r="D6538">
            <v>37.6</v>
          </cell>
        </row>
        <row r="6539">
          <cell r="C6539" t="str">
            <v>Medios AG</v>
          </cell>
          <cell r="D6539">
            <v>6.7</v>
          </cell>
        </row>
        <row r="6540">
          <cell r="C6540" t="str">
            <v>Bit Digital</v>
          </cell>
          <cell r="D6540">
            <v>41.212600000000002</v>
          </cell>
        </row>
        <row r="6541">
          <cell r="C6541" t="str">
            <v>Omega Flex</v>
          </cell>
          <cell r="D6541">
            <v>0.41552800000000001</v>
          </cell>
        </row>
        <row r="6542">
          <cell r="C6542" t="str">
            <v>adesso SE</v>
          </cell>
          <cell r="D6542">
            <v>1.50223</v>
          </cell>
        </row>
        <row r="6543">
          <cell r="C6543" t="str">
            <v>Dave Inc.</v>
          </cell>
          <cell r="D6543">
            <v>0.65765600000000002</v>
          </cell>
        </row>
        <row r="6544">
          <cell r="C6544" t="str">
            <v>Altimmune</v>
          </cell>
          <cell r="D6544">
            <v>25551</v>
          </cell>
        </row>
        <row r="6545">
          <cell r="C6545" t="str">
            <v>Zur Rose Group</v>
          </cell>
          <cell r="D6545">
            <v>0.16839699999999999</v>
          </cell>
        </row>
        <row r="6546">
          <cell r="C6546" t="str">
            <v>IGG Inc</v>
          </cell>
          <cell r="D6546">
            <v>12.91</v>
          </cell>
        </row>
        <row r="6547">
          <cell r="C6547" t="str">
            <v>Ridley Corporation</v>
          </cell>
          <cell r="D6547">
            <v>32.15</v>
          </cell>
        </row>
        <row r="6548">
          <cell r="C6548" t="str">
            <v>Reitir fasteignafélag</v>
          </cell>
          <cell r="D6548">
            <v>64.993899999999996</v>
          </cell>
        </row>
        <row r="6549">
          <cell r="C6549" t="str">
            <v>YG Entertainment</v>
          </cell>
          <cell r="D6549">
            <v>2.1997100000000001</v>
          </cell>
        </row>
        <row r="6550">
          <cell r="C6550" t="str">
            <v>Reginn</v>
          </cell>
          <cell r="D6550">
            <v>14.2</v>
          </cell>
        </row>
        <row r="6551">
          <cell r="C6551" t="str">
            <v>Gladstone Investment</v>
          </cell>
          <cell r="D6551">
            <v>2.44556</v>
          </cell>
        </row>
        <row r="6552">
          <cell r="C6552" t="str">
            <v>Village Super Market</v>
          </cell>
          <cell r="D6552">
            <v>49.8508</v>
          </cell>
        </row>
        <row r="6553">
          <cell r="C6553" t="str">
            <v>SNP Schneider-Neureither &amp;amp; Partner</v>
          </cell>
          <cell r="D6553">
            <v>2.6368299999999998</v>
          </cell>
        </row>
        <row r="6554">
          <cell r="C6554" t="str">
            <v>T’way Air</v>
          </cell>
          <cell r="D6554">
            <v>3.7338300000000002</v>
          </cell>
        </row>
        <row r="6555">
          <cell r="C6555" t="str">
            <v>Shore Bancshares</v>
          </cell>
          <cell r="D6555">
            <v>0.81074800000000002</v>
          </cell>
        </row>
        <row r="6556">
          <cell r="C6556" t="str">
            <v>Ceres Power</v>
          </cell>
          <cell r="D6556">
            <v>8.31</v>
          </cell>
        </row>
        <row r="6557">
          <cell r="C6557" t="str">
            <v>Jensen-Group</v>
          </cell>
          <cell r="D6557">
            <v>4.6399999999999997</v>
          </cell>
        </row>
        <row r="6558">
          <cell r="C6558" t="str">
            <v>Prakash Industries</v>
          </cell>
          <cell r="D6558">
            <v>0.565029</v>
          </cell>
        </row>
        <row r="6559">
          <cell r="C6559" t="str">
            <v>Sinad Holding Company</v>
          </cell>
          <cell r="D6559">
            <v>2.16</v>
          </cell>
        </row>
        <row r="6560">
          <cell r="C6560" t="str">
            <v>Locaweb</v>
          </cell>
          <cell r="D6560">
            <v>17.16</v>
          </cell>
        </row>
        <row r="6561">
          <cell r="C6561" t="str">
            <v>Emergent BioSolutions</v>
          </cell>
          <cell r="D6561">
            <v>1.5699000000000001</v>
          </cell>
        </row>
        <row r="6562">
          <cell r="C6562" t="str">
            <v>Brasil Agro</v>
          </cell>
          <cell r="D6562">
            <v>7.2276300000000004</v>
          </cell>
        </row>
        <row r="6563">
          <cell r="C6563" t="str">
            <v>Myer Holdings</v>
          </cell>
          <cell r="D6563">
            <v>4.67</v>
          </cell>
        </row>
        <row r="6564">
          <cell r="C6564" t="str">
            <v>Dingdong Maicai</v>
          </cell>
          <cell r="D6564">
            <v>4.2223899999999999</v>
          </cell>
        </row>
        <row r="6565">
          <cell r="C6565" t="str">
            <v>Bandwidth</v>
          </cell>
          <cell r="D6565">
            <v>4.0600899999999998</v>
          </cell>
        </row>
        <row r="6566">
          <cell r="C6566" t="str">
            <v>Qualitas Limited</v>
          </cell>
          <cell r="D6566">
            <v>0.36781799999999998</v>
          </cell>
        </row>
        <row r="6567">
          <cell r="C6567" t="str">
            <v>Herfy Food Services Company</v>
          </cell>
          <cell r="D6567">
            <v>77.6708</v>
          </cell>
        </row>
        <row r="6568">
          <cell r="C6568" t="str">
            <v>The Honest Company</v>
          </cell>
          <cell r="D6568">
            <v>14.828200000000001</v>
          </cell>
        </row>
        <row r="6569">
          <cell r="C6569" t="str">
            <v>Borussia Dortmund</v>
          </cell>
          <cell r="D6569">
            <v>16.23</v>
          </cell>
        </row>
        <row r="6570">
          <cell r="C6570" t="str">
            <v>Chrysos Corporation Limited</v>
          </cell>
          <cell r="D6570">
            <v>1.60568</v>
          </cell>
        </row>
        <row r="6571">
          <cell r="C6571" t="str">
            <v>Boohoo Group</v>
          </cell>
          <cell r="D6571">
            <v>45.868099999999998</v>
          </cell>
        </row>
        <row r="6572">
          <cell r="C6572" t="str">
            <v>CPH Group AG</v>
          </cell>
          <cell r="D6572">
            <v>1.9846299999999999</v>
          </cell>
        </row>
        <row r="6573">
          <cell r="C6573" t="str">
            <v>Polyplex</v>
          </cell>
          <cell r="D6573">
            <v>24.09</v>
          </cell>
        </row>
        <row r="6574">
          <cell r="C6574" t="str">
            <v>NETGEAR</v>
          </cell>
          <cell r="D6574">
            <v>30.9908</v>
          </cell>
        </row>
        <row r="6575">
          <cell r="C6575" t="str">
            <v>Wing On Company International</v>
          </cell>
          <cell r="D6575">
            <v>3.59</v>
          </cell>
        </row>
        <row r="6576">
          <cell r="C6576" t="str">
            <v>Honda Siel Power Products</v>
          </cell>
          <cell r="D6576">
            <v>0.59636</v>
          </cell>
        </row>
        <row r="6577">
          <cell r="C6577" t="str">
            <v>Shenzhen Bingchuan Network</v>
          </cell>
          <cell r="D6577">
            <v>47.72</v>
          </cell>
        </row>
        <row r="6578">
          <cell r="C6578" t="str">
            <v>Consensus Cloud Solutions</v>
          </cell>
          <cell r="D6578">
            <v>3.78</v>
          </cell>
        </row>
        <row r="6579">
          <cell r="C6579" t="str">
            <v>Almawarid Manpower Company</v>
          </cell>
          <cell r="D6579">
            <v>0.18179699999999999</v>
          </cell>
        </row>
        <row r="6580">
          <cell r="C6580" t="str">
            <v>Traeger</v>
          </cell>
          <cell r="D6580">
            <v>11.35</v>
          </cell>
        </row>
        <row r="6581">
          <cell r="C6581" t="str">
            <v>BOE Varitronix</v>
          </cell>
          <cell r="D6581">
            <v>0.65037699999999998</v>
          </cell>
        </row>
        <row r="6582">
          <cell r="C6582" t="str">
            <v>Korro Bio</v>
          </cell>
          <cell r="D6582">
            <v>0.21785199999999999</v>
          </cell>
        </row>
        <row r="6583">
          <cell r="C6583" t="str">
            <v>Stitch Fix</v>
          </cell>
          <cell r="D6583">
            <v>15.91</v>
          </cell>
        </row>
        <row r="6584">
          <cell r="C6584" t="str">
            <v>Supermax Corporation Berhad</v>
          </cell>
          <cell r="D6584">
            <v>12.733499999999999</v>
          </cell>
        </row>
        <row r="6585">
          <cell r="C6585" t="str">
            <v>Applied Optoelectronics</v>
          </cell>
          <cell r="D6585">
            <v>8.93</v>
          </cell>
        </row>
        <row r="6586">
          <cell r="C6586" t="str">
            <v>Nyab AB</v>
          </cell>
          <cell r="D6586">
            <v>15.3887</v>
          </cell>
        </row>
        <row r="6587">
          <cell r="C6587" t="str">
            <v>National Bank of Pakistan</v>
          </cell>
          <cell r="D6587">
            <v>9.83</v>
          </cell>
        </row>
        <row r="6588">
          <cell r="C6588" t="str">
            <v>LSI Industries</v>
          </cell>
          <cell r="D6588">
            <v>5.2619899999999999</v>
          </cell>
        </row>
        <row r="6589">
          <cell r="C6589" t="str">
            <v>TINC NV</v>
          </cell>
          <cell r="D6589">
            <v>6</v>
          </cell>
        </row>
        <row r="6590">
          <cell r="C6590" t="str">
            <v>Nu Skin</v>
          </cell>
          <cell r="D6590">
            <v>29.22</v>
          </cell>
        </row>
        <row r="6591">
          <cell r="C6591" t="str">
            <v>Scientific and Medical Equipment House Company</v>
          </cell>
          <cell r="D6591">
            <v>33.380000000000003</v>
          </cell>
        </row>
        <row r="6592">
          <cell r="C6592" t="str">
            <v>Beyond, Inc.</v>
          </cell>
          <cell r="D6592">
            <v>4.32</v>
          </cell>
        </row>
        <row r="6593">
          <cell r="C6593" t="str">
            <v>Doman Building Materials Group</v>
          </cell>
          <cell r="D6593">
            <v>9.32</v>
          </cell>
        </row>
        <row r="6594">
          <cell r="C6594" t="str">
            <v>Priority Technology Holdings</v>
          </cell>
          <cell r="D6594">
            <v>7.05</v>
          </cell>
        </row>
        <row r="6595">
          <cell r="C6595" t="str">
            <v>MidWestOne Financial Group</v>
          </cell>
          <cell r="D6595">
            <v>7.4093299999999997</v>
          </cell>
        </row>
        <row r="6596">
          <cell r="C6596" t="str">
            <v>Build-A-Bear</v>
          </cell>
          <cell r="D6596">
            <v>4.7135600000000002</v>
          </cell>
        </row>
        <row r="6597">
          <cell r="C6597" t="str">
            <v>MaxCyte</v>
          </cell>
          <cell r="D6597">
            <v>1816.1</v>
          </cell>
        </row>
        <row r="6598">
          <cell r="C6598" t="str">
            <v>CryoPort</v>
          </cell>
          <cell r="D6598">
            <v>0.85261900000000002</v>
          </cell>
        </row>
        <row r="6599">
          <cell r="C6599" t="str">
            <v>PennantPark Investment</v>
          </cell>
          <cell r="D6599">
            <v>2.2400000000000002</v>
          </cell>
        </row>
        <row r="6600">
          <cell r="C6600" t="str">
            <v>Kewal Kiran Clothing</v>
          </cell>
          <cell r="D6600">
            <v>8.2799999999999994</v>
          </cell>
        </row>
        <row r="6601">
          <cell r="C6601" t="str">
            <v>Coveo Solutions</v>
          </cell>
          <cell r="D6601">
            <v>5.1508200000000004</v>
          </cell>
        </row>
        <row r="6602">
          <cell r="C6602" t="str">
            <v>Integrated Holding Company K.S.C.P.</v>
          </cell>
          <cell r="D6602">
            <v>76.2684</v>
          </cell>
        </row>
        <row r="6603">
          <cell r="C6603" t="str">
            <v>oOh!media Limited</v>
          </cell>
          <cell r="D6603">
            <v>18.45</v>
          </cell>
        </row>
        <row r="6604">
          <cell r="C6604" t="str">
            <v>Taysha Gene Therapies</v>
          </cell>
          <cell r="D6604">
            <v>2.3413200000000001</v>
          </cell>
        </row>
        <row r="6605">
          <cell r="C6605" t="str">
            <v>Foghorn Therapeutics</v>
          </cell>
          <cell r="D6605">
            <v>5.86</v>
          </cell>
        </row>
        <row r="6606">
          <cell r="C6606" t="str">
            <v>5N Plus</v>
          </cell>
          <cell r="D6606">
            <v>7.7890499999999996</v>
          </cell>
        </row>
        <row r="6607">
          <cell r="C6607" t="str">
            <v>Simona</v>
          </cell>
          <cell r="D6607">
            <v>11.32</v>
          </cell>
        </row>
        <row r="6608">
          <cell r="C6608" t="str">
            <v>Kimball Electronics</v>
          </cell>
          <cell r="D6608">
            <v>1.2722500000000001</v>
          </cell>
        </row>
        <row r="6609">
          <cell r="C6609" t="str">
            <v>Hotel Property Investments</v>
          </cell>
          <cell r="D6609">
            <v>4.5232700000000001</v>
          </cell>
        </row>
        <row r="6610">
          <cell r="C6610" t="str">
            <v>BigCommerce</v>
          </cell>
          <cell r="D6610">
            <v>8.4499099999999991</v>
          </cell>
        </row>
        <row r="6611">
          <cell r="C6611" t="str">
            <v>Archicom</v>
          </cell>
          <cell r="D6611">
            <v>2.5207700000000002</v>
          </cell>
        </row>
        <row r="6612">
          <cell r="C6612" t="str">
            <v>PlayAGS</v>
          </cell>
          <cell r="D6612">
            <v>14.15</v>
          </cell>
        </row>
        <row r="6613">
          <cell r="C6613" t="str">
            <v>Movida Participações</v>
          </cell>
          <cell r="D6613">
            <v>0.63996500000000001</v>
          </cell>
        </row>
        <row r="6614">
          <cell r="C6614" t="str">
            <v>Ayyan Investment Company</v>
          </cell>
          <cell r="D6614">
            <v>0.71940599999999999</v>
          </cell>
        </row>
        <row r="6615">
          <cell r="C6615" t="str">
            <v>Quick Heal</v>
          </cell>
          <cell r="D6615">
            <v>0.487348</v>
          </cell>
        </row>
        <row r="6616">
          <cell r="C6616" t="str">
            <v>Idorsia</v>
          </cell>
          <cell r="D6616">
            <v>1.31179</v>
          </cell>
        </row>
        <row r="6617">
          <cell r="C6617" t="str">
            <v>Marcus Corporation</v>
          </cell>
          <cell r="D6617">
            <v>25.08</v>
          </cell>
        </row>
        <row r="6618">
          <cell r="C6618" t="str">
            <v>Harbour Centre Development</v>
          </cell>
          <cell r="D6618">
            <v>4596</v>
          </cell>
        </row>
        <row r="6619">
          <cell r="C6619" t="str">
            <v>Mahanagar Telephone Nigam</v>
          </cell>
          <cell r="D6619">
            <v>35.426099999999998</v>
          </cell>
        </row>
        <row r="6620">
          <cell r="C6620" t="str">
            <v>Asia Financial Holdings</v>
          </cell>
          <cell r="D6620">
            <v>1.60083</v>
          </cell>
        </row>
        <row r="6621">
          <cell r="C6621" t="str">
            <v>Montage Gold Corp.</v>
          </cell>
          <cell r="D6621">
            <v>9.98</v>
          </cell>
        </row>
        <row r="6622">
          <cell r="C6622" t="str">
            <v>Limoneira</v>
          </cell>
          <cell r="D6622">
            <v>15.21</v>
          </cell>
        </row>
        <row r="6623">
          <cell r="C6623" t="str">
            <v>Euroapi</v>
          </cell>
          <cell r="D6623">
            <v>16.456800000000001</v>
          </cell>
        </row>
        <row r="6624">
          <cell r="C6624" t="str">
            <v>Van de Velde</v>
          </cell>
          <cell r="D6624">
            <v>3.7444999999999999</v>
          </cell>
        </row>
        <row r="6625">
          <cell r="C6625" t="str">
            <v>ECN Capital</v>
          </cell>
          <cell r="D6625">
            <v>6.75</v>
          </cell>
        </row>
        <row r="6626">
          <cell r="C6626" t="str">
            <v>Tata Steel Long Products</v>
          </cell>
          <cell r="D6626">
            <v>40.1</v>
          </cell>
        </row>
        <row r="6627">
          <cell r="C6627" t="str">
            <v>Aehr Test Systems</v>
          </cell>
          <cell r="D6627">
            <v>1.07254</v>
          </cell>
        </row>
        <row r="6628">
          <cell r="C6628" t="str">
            <v>Cigniti Technologies</v>
          </cell>
          <cell r="D6628">
            <v>0.39152300000000001</v>
          </cell>
        </row>
        <row r="6629">
          <cell r="C6629" t="str">
            <v>Nayifat Finance Company</v>
          </cell>
          <cell r="D6629">
            <v>0.74612100000000003</v>
          </cell>
        </row>
        <row r="6630">
          <cell r="C6630" t="str">
            <v>Redwire</v>
          </cell>
          <cell r="D6630">
            <v>8.7950700000000007E-2</v>
          </cell>
        </row>
        <row r="6631">
          <cell r="C6631" t="str">
            <v>Olympic Steel</v>
          </cell>
          <cell r="D6631">
            <v>14.29</v>
          </cell>
        </row>
        <row r="6632">
          <cell r="C6632" t="str">
            <v>Cobram Estate Olives</v>
          </cell>
          <cell r="D6632">
            <v>1.1875800000000001</v>
          </cell>
        </row>
        <row r="6633">
          <cell r="C6633" t="str">
            <v>Allied Bank (Pakistan)</v>
          </cell>
          <cell r="D6633">
            <v>5.6060800000000004</v>
          </cell>
        </row>
        <row r="6634">
          <cell r="C6634" t="str">
            <v>SpiceJet</v>
          </cell>
          <cell r="D6634">
            <v>6.9754500000000004</v>
          </cell>
        </row>
        <row r="6635">
          <cell r="C6635" t="str">
            <v>Greatland Gold</v>
          </cell>
          <cell r="D6635">
            <v>16.698899999999998</v>
          </cell>
        </row>
        <row r="6636">
          <cell r="C6636" t="str">
            <v>Boston Omaha</v>
          </cell>
          <cell r="D6636">
            <v>16.739999999999998</v>
          </cell>
        </row>
        <row r="6637">
          <cell r="C6637" t="str">
            <v>Infomedia Ltd</v>
          </cell>
          <cell r="D6637">
            <v>6.32</v>
          </cell>
        </row>
        <row r="6638">
          <cell r="C6638" t="str">
            <v>Arabian Shield Cooperative Insurance Company</v>
          </cell>
          <cell r="D6638">
            <v>0.25176799999999999</v>
          </cell>
        </row>
        <row r="6639">
          <cell r="C6639" t="str">
            <v>Dutch Lady Milk Industries</v>
          </cell>
          <cell r="D6639">
            <v>4.38</v>
          </cell>
        </row>
        <row r="6640">
          <cell r="C6640" t="str">
            <v>Nucleus Software Exports</v>
          </cell>
          <cell r="D6640">
            <v>13.485099999999999</v>
          </cell>
        </row>
        <row r="6641">
          <cell r="C6641" t="str">
            <v>Genie Energy</v>
          </cell>
          <cell r="D6641">
            <v>2.2871800000000002</v>
          </cell>
        </row>
        <row r="6642">
          <cell r="C6642" t="str">
            <v>C4 Therapeutics</v>
          </cell>
          <cell r="D6642">
            <v>32.500300000000003</v>
          </cell>
        </row>
        <row r="6643">
          <cell r="C6643" t="str">
            <v>Hathway</v>
          </cell>
          <cell r="D6643">
            <v>22.45</v>
          </cell>
        </row>
        <row r="6644">
          <cell r="C6644" t="str">
            <v>Troops</v>
          </cell>
          <cell r="D6644">
            <v>27.4</v>
          </cell>
        </row>
        <row r="6645">
          <cell r="C6645" t="str">
            <v>Kri-Kri Milk Industry</v>
          </cell>
          <cell r="D6645">
            <v>24</v>
          </cell>
        </row>
        <row r="6646">
          <cell r="C6646" t="str">
            <v>Mirrabooka Investments Limited</v>
          </cell>
          <cell r="D6646">
            <v>3.1423700000000001</v>
          </cell>
        </row>
        <row r="6647">
          <cell r="C6647" t="str">
            <v>Global Indemnity</v>
          </cell>
          <cell r="D6647">
            <v>7.3876499999999998</v>
          </cell>
        </row>
        <row r="6648">
          <cell r="C6648" t="str">
            <v>Alerus Financial</v>
          </cell>
          <cell r="D6648">
            <v>21.070499999999999</v>
          </cell>
        </row>
        <row r="6649">
          <cell r="C6649" t="str">
            <v>Havertys</v>
          </cell>
          <cell r="D6649">
            <v>0.68827700000000003</v>
          </cell>
        </row>
        <row r="6650">
          <cell r="C6650" t="str">
            <v>Nexters</v>
          </cell>
          <cell r="D6650">
            <v>1.4679199999999999</v>
          </cell>
        </row>
        <row r="6651">
          <cell r="C6651" t="str">
            <v>Patriot Battery Metals</v>
          </cell>
          <cell r="D6651">
            <v>5.58</v>
          </cell>
        </row>
        <row r="6652">
          <cell r="C6652" t="str">
            <v>Zamil Industrial Investment Company</v>
          </cell>
          <cell r="D6652">
            <v>16.850000000000001</v>
          </cell>
        </row>
        <row r="6653">
          <cell r="C6653" t="str">
            <v>J.S.B.Co.</v>
          </cell>
          <cell r="D6653">
            <v>2.81</v>
          </cell>
        </row>
        <row r="6654">
          <cell r="C6654" t="str">
            <v>PTC Financial Services</v>
          </cell>
          <cell r="D6654">
            <v>1472.51</v>
          </cell>
        </row>
        <row r="6655">
          <cell r="C6655" t="str">
            <v>Festi hf.</v>
          </cell>
          <cell r="D6655">
            <v>22.2285</v>
          </cell>
        </row>
        <row r="6656">
          <cell r="C6656" t="str">
            <v>ADTRAN</v>
          </cell>
          <cell r="D6656">
            <v>0.15646399999999999</v>
          </cell>
        </row>
        <row r="6657">
          <cell r="C6657" t="str">
            <v>Tourmaline Bio</v>
          </cell>
          <cell r="D6657">
            <v>50.9696</v>
          </cell>
        </row>
        <row r="6658">
          <cell r="C6658" t="str">
            <v>Azul</v>
          </cell>
          <cell r="D6658">
            <v>0.95300300000000004</v>
          </cell>
        </row>
        <row r="6659">
          <cell r="C6659" t="str">
            <v>Beyout Investment Group</v>
          </cell>
          <cell r="D6659">
            <v>6.81</v>
          </cell>
        </row>
        <row r="6660">
          <cell r="C6660" t="str">
            <v>PCC Rokita</v>
          </cell>
          <cell r="D6660">
            <v>19.02</v>
          </cell>
        </row>
        <row r="6661">
          <cell r="C6661" t="str">
            <v>Far East Consortium International</v>
          </cell>
          <cell r="D6661">
            <v>27.76</v>
          </cell>
        </row>
        <row r="6662">
          <cell r="C6662" t="str">
            <v>Vst Tillers Tractors</v>
          </cell>
          <cell r="D6662">
            <v>7.3198999999999996</v>
          </cell>
        </row>
        <row r="6663">
          <cell r="C6663" t="str">
            <v>Sukoon Insurance</v>
          </cell>
          <cell r="D6663">
            <v>10.1249</v>
          </cell>
        </row>
        <row r="6664">
          <cell r="C6664" t="str">
            <v>Kearny Financial</v>
          </cell>
          <cell r="D6664">
            <v>63.12</v>
          </cell>
        </row>
        <row r="6665">
          <cell r="C6665" t="str">
            <v>CTO Realty Growth</v>
          </cell>
          <cell r="D6665">
            <v>615183</v>
          </cell>
        </row>
        <row r="6666">
          <cell r="C6666" t="str">
            <v>Consolidated Water</v>
          </cell>
          <cell r="D6666">
            <v>0.73758299999999999</v>
          </cell>
        </row>
        <row r="6667">
          <cell r="C6667" t="str">
            <v>Intchains Group</v>
          </cell>
          <cell r="D6667">
            <v>3.7285200000000001</v>
          </cell>
        </row>
        <row r="6668">
          <cell r="C6668" t="str">
            <v>Instone Real Estate Group</v>
          </cell>
          <cell r="D6668">
            <v>39.267699999999998</v>
          </cell>
        </row>
        <row r="6669">
          <cell r="C6669" t="str">
            <v>Gravity Co.</v>
          </cell>
          <cell r="D6669">
            <v>1.50101</v>
          </cell>
        </row>
        <row r="6670">
          <cell r="C6670" t="str">
            <v>Kuwait Cement Company</v>
          </cell>
          <cell r="D6670">
            <v>7.2542799999999996</v>
          </cell>
        </row>
        <row r="6671">
          <cell r="C6671" t="str">
            <v>SRG Global Limited</v>
          </cell>
          <cell r="D6671">
            <v>7.2852600000000001</v>
          </cell>
        </row>
        <row r="6672">
          <cell r="C6672" t="str">
            <v>Whitefield Industrials Limited</v>
          </cell>
          <cell r="D6672">
            <v>43.98</v>
          </cell>
        </row>
        <row r="6673">
          <cell r="C6673" t="str">
            <v>Weathernews Inc.</v>
          </cell>
          <cell r="D6673">
            <v>0.66690000000000005</v>
          </cell>
        </row>
        <row r="6674">
          <cell r="C6674" t="str">
            <v>Systems Limited (Pakistan)</v>
          </cell>
          <cell r="D6674">
            <v>30.13</v>
          </cell>
        </row>
        <row r="6675">
          <cell r="C6675" t="str">
            <v>Sandhar</v>
          </cell>
          <cell r="D6675">
            <v>8.9700000000000006</v>
          </cell>
        </row>
        <row r="6676">
          <cell r="C6676" t="str">
            <v>Black Diamond Group</v>
          </cell>
          <cell r="D6676">
            <v>7.19</v>
          </cell>
        </row>
        <row r="6677">
          <cell r="C6677" t="str">
            <v>Northwest Pipe Company</v>
          </cell>
          <cell r="D6677">
            <v>158.03</v>
          </cell>
        </row>
        <row r="6678">
          <cell r="C6678" t="str">
            <v>Lilium</v>
          </cell>
          <cell r="D6678">
            <v>2.4755400000000001</v>
          </cell>
        </row>
        <row r="6679">
          <cell r="C6679" t="str">
            <v>Sierra Bancorp</v>
          </cell>
          <cell r="D6679">
            <v>9.85</v>
          </cell>
        </row>
        <row r="6680">
          <cell r="C6680" t="str">
            <v>SkyWater Technology</v>
          </cell>
          <cell r="D6680">
            <v>15.8063</v>
          </cell>
        </row>
        <row r="6681">
          <cell r="C6681" t="str">
            <v>Health Catalyst</v>
          </cell>
          <cell r="D6681">
            <v>13.011699999999999</v>
          </cell>
        </row>
        <row r="6682">
          <cell r="C6682" t="str">
            <v>Diamond Hill Investment Group</v>
          </cell>
          <cell r="D6682">
            <v>11.91</v>
          </cell>
        </row>
        <row r="6683">
          <cell r="C6683" t="str">
            <v>Gamania Digital</v>
          </cell>
          <cell r="D6683">
            <v>6.8118100000000004</v>
          </cell>
        </row>
        <row r="6684">
          <cell r="C6684" t="str">
            <v>AMC Networks</v>
          </cell>
          <cell r="D6684">
            <v>9.32</v>
          </cell>
        </row>
        <row r="6685">
          <cell r="C6685" t="str">
            <v>Plastika Kritis</v>
          </cell>
          <cell r="D6685">
            <v>1.6240399999999999</v>
          </cell>
        </row>
        <row r="6686">
          <cell r="C6686" t="str">
            <v>Computer Engineering &amp;amp; Consulting</v>
          </cell>
          <cell r="D6686">
            <v>7.9776300000000004</v>
          </cell>
        </row>
        <row r="6687">
          <cell r="C6687" t="str">
            <v>Landsea Homes</v>
          </cell>
          <cell r="D6687">
            <v>8.56</v>
          </cell>
        </row>
        <row r="6688">
          <cell r="C6688" t="str">
            <v>TCNS Clothing</v>
          </cell>
          <cell r="D6688">
            <v>8.44</v>
          </cell>
        </row>
        <row r="6689">
          <cell r="C6689" t="str">
            <v>Mitek Systems</v>
          </cell>
          <cell r="D6689">
            <v>2.3843200000000002</v>
          </cell>
        </row>
        <row r="6690">
          <cell r="C6690" t="str">
            <v>GWA Group Limited</v>
          </cell>
          <cell r="D6690">
            <v>1.2078199999999999</v>
          </cell>
        </row>
        <row r="6691">
          <cell r="C6691" t="str">
            <v>Indian Metals &amp;amp; Ferro Alloys</v>
          </cell>
          <cell r="D6691">
            <v>10.5684</v>
          </cell>
        </row>
        <row r="6692">
          <cell r="C6692" t="str">
            <v>Chatham Lodging Trust</v>
          </cell>
          <cell r="D6692">
            <v>5.9405799999999997</v>
          </cell>
        </row>
        <row r="6693">
          <cell r="C6693" t="str">
            <v>Enhabit</v>
          </cell>
          <cell r="D6693">
            <v>23.8201</v>
          </cell>
        </row>
        <row r="6694">
          <cell r="C6694" t="str">
            <v>Northern Region Cement Company</v>
          </cell>
          <cell r="D6694">
            <v>1.64412E-2</v>
          </cell>
        </row>
        <row r="6695">
          <cell r="C6695" t="str">
            <v>TerrAscend</v>
          </cell>
          <cell r="D6695">
            <v>2.4538500000000001</v>
          </cell>
        </row>
        <row r="6696">
          <cell r="C6696" t="str">
            <v>Algoma Central Corporation</v>
          </cell>
          <cell r="D6696">
            <v>1.17</v>
          </cell>
        </row>
        <row r="6697">
          <cell r="C6697" t="str">
            <v>Mahindra Logistics</v>
          </cell>
          <cell r="D6697">
            <v>1.5920700000000001</v>
          </cell>
        </row>
        <row r="6698">
          <cell r="C6698" t="str">
            <v>2G Energy AG</v>
          </cell>
          <cell r="D6698">
            <v>7.6676900000000003</v>
          </cell>
        </row>
        <row r="6699">
          <cell r="C6699" t="str">
            <v>Bank Mayapada Internasional</v>
          </cell>
          <cell r="D6699">
            <v>2.2599999999999998</v>
          </cell>
        </row>
        <row r="6700">
          <cell r="C6700" t="str">
            <v>Eagle Football Group</v>
          </cell>
          <cell r="D6700">
            <v>28.67</v>
          </cell>
        </row>
        <row r="6701">
          <cell r="C6701" t="str">
            <v>Ur Energy</v>
          </cell>
          <cell r="D6701">
            <v>225.29</v>
          </cell>
        </row>
        <row r="6702">
          <cell r="C6702" t="str">
            <v>Delta Corp</v>
          </cell>
          <cell r="D6702">
            <v>14.6</v>
          </cell>
        </row>
        <row r="6703">
          <cell r="C6703" t="str">
            <v>Al Hassan Ghazi Ibrahim Shaker</v>
          </cell>
          <cell r="D6703">
            <v>5.28</v>
          </cell>
        </row>
        <row r="6704">
          <cell r="C6704" t="str">
            <v>Cerus</v>
          </cell>
          <cell r="D6704">
            <v>15.14</v>
          </cell>
        </row>
        <row r="6705">
          <cell r="C6705" t="str">
            <v>TWFG Insurance</v>
          </cell>
          <cell r="D6705">
            <v>4236.59</v>
          </cell>
        </row>
        <row r="6706">
          <cell r="C6706" t="str">
            <v>Investors Title Company</v>
          </cell>
          <cell r="D6706">
            <v>30.065200000000001</v>
          </cell>
        </row>
        <row r="6707">
          <cell r="C6707" t="str">
            <v>Flushing Financial Corp</v>
          </cell>
          <cell r="D6707">
            <v>1.6164799999999999</v>
          </cell>
        </row>
        <row r="6708">
          <cell r="C6708" t="str">
            <v>Eastman Kodak Company</v>
          </cell>
          <cell r="D6708">
            <v>831152</v>
          </cell>
        </row>
        <row r="6709">
          <cell r="C6709" t="str">
            <v>Radius Recycling (Schnitzer Steel)</v>
          </cell>
          <cell r="D6709">
            <v>25.49</v>
          </cell>
        </row>
        <row r="6710">
          <cell r="C6710" t="str">
            <v>Schweizerische Nationalbank</v>
          </cell>
          <cell r="D6710">
            <v>4.2245600000000003</v>
          </cell>
        </row>
        <row r="6711">
          <cell r="C6711" t="str">
            <v>STEICO SE</v>
          </cell>
          <cell r="D6711">
            <v>150.63999999999999</v>
          </cell>
        </row>
        <row r="6712">
          <cell r="C6712" t="str">
            <v>Shenzhen Zqgame</v>
          </cell>
          <cell r="D6712">
            <v>0.27323599999999998</v>
          </cell>
        </row>
        <row r="6713">
          <cell r="C6713" t="str">
            <v>Noor Financial Investment Company</v>
          </cell>
          <cell r="D6713">
            <v>0.24495700000000001</v>
          </cell>
        </row>
        <row r="6714">
          <cell r="C6714" t="str">
            <v>The RMR Group</v>
          </cell>
          <cell r="D6714">
            <v>31.6127</v>
          </cell>
        </row>
        <row r="6715">
          <cell r="C6715" t="str">
            <v>SHL Finance Company</v>
          </cell>
          <cell r="D6715">
            <v>0.58701800000000004</v>
          </cell>
        </row>
        <row r="6716">
          <cell r="C6716" t="str">
            <v>United Heavy Machinery</v>
          </cell>
          <cell r="D6716">
            <v>8.2030799999999999</v>
          </cell>
        </row>
        <row r="6717">
          <cell r="C6717" t="str">
            <v>Sjóvá-Almennar tryggingar</v>
          </cell>
          <cell r="D6717">
            <v>2.81</v>
          </cell>
        </row>
        <row r="6718">
          <cell r="C6718" t="str">
            <v>Sunlight REIT</v>
          </cell>
          <cell r="D6718">
            <v>9.5578900000000004</v>
          </cell>
        </row>
        <row r="6719">
          <cell r="C6719" t="str">
            <v>Frequentis</v>
          </cell>
          <cell r="D6719">
            <v>14.49</v>
          </cell>
        </row>
        <row r="6720">
          <cell r="C6720" t="str">
            <v>CGG</v>
          </cell>
          <cell r="D6720">
            <v>3.18</v>
          </cell>
        </row>
        <row r="6721">
          <cell r="C6721" t="str">
            <v>Celon Pharma</v>
          </cell>
          <cell r="D6721">
            <v>3.67</v>
          </cell>
        </row>
        <row r="6722">
          <cell r="C6722" t="str">
            <v>Xeris Pharmaceuticals</v>
          </cell>
          <cell r="D6722">
            <v>60.27</v>
          </cell>
        </row>
        <row r="6723">
          <cell r="C6723" t="str">
            <v>Jindal Poly Films</v>
          </cell>
          <cell r="D6723">
            <v>2.5434199999999998</v>
          </cell>
        </row>
        <row r="6724">
          <cell r="C6724" t="str">
            <v>Postal Realty Trust</v>
          </cell>
          <cell r="D6724">
            <v>12.6684</v>
          </cell>
        </row>
        <row r="6725">
          <cell r="C6725" t="str">
            <v>Tetra Technologies</v>
          </cell>
          <cell r="D6725">
            <v>14.1335</v>
          </cell>
        </row>
        <row r="6726">
          <cell r="C6726" t="str">
            <v>Fate Therapeutics</v>
          </cell>
          <cell r="D6726">
            <v>5.6696099999999996</v>
          </cell>
        </row>
        <row r="6727">
          <cell r="C6727" t="str">
            <v>Seneca Foods</v>
          </cell>
          <cell r="D6727">
            <v>1.3087599999999999</v>
          </cell>
        </row>
        <row r="6728">
          <cell r="C6728" t="str">
            <v>Eimskipafélag Íslands</v>
          </cell>
          <cell r="D6728">
            <v>30.24</v>
          </cell>
        </row>
        <row r="6729">
          <cell r="C6729" t="str">
            <v>The National Company for Glass Industries</v>
          </cell>
          <cell r="D6729">
            <v>25.111799999999999</v>
          </cell>
        </row>
        <row r="6730">
          <cell r="C6730" t="str">
            <v>Webzen</v>
          </cell>
          <cell r="D6730">
            <v>11.9162</v>
          </cell>
        </row>
        <row r="6731">
          <cell r="C6731" t="str">
            <v>Real Matters</v>
          </cell>
          <cell r="D6731">
            <v>45.59</v>
          </cell>
        </row>
        <row r="6732">
          <cell r="C6732" t="str">
            <v>Reach plc</v>
          </cell>
          <cell r="D6732">
            <v>13.86</v>
          </cell>
        </row>
        <row r="6733">
          <cell r="C6733" t="str">
            <v>Park-Ohio Holdings</v>
          </cell>
          <cell r="D6733">
            <v>1.82704</v>
          </cell>
        </row>
        <row r="6734">
          <cell r="C6734" t="str">
            <v>RPG Life Sciences</v>
          </cell>
          <cell r="D6734">
            <v>3.1265299999999998</v>
          </cell>
        </row>
        <row r="6735">
          <cell r="C6735" t="str">
            <v>KSB ltd</v>
          </cell>
          <cell r="D6735">
            <v>1.49785E-2</v>
          </cell>
        </row>
        <row r="6736">
          <cell r="C6736" t="str">
            <v>RCI Hospitality Holdings</v>
          </cell>
          <cell r="D6736">
            <v>0.36895600000000001</v>
          </cell>
        </row>
        <row r="6737">
          <cell r="C6737" t="str">
            <v>El Pollo Loco</v>
          </cell>
          <cell r="D6737">
            <v>4.53</v>
          </cell>
        </row>
        <row r="6738">
          <cell r="C6738" t="str">
            <v>Beacon Lighting Group</v>
          </cell>
          <cell r="D6738">
            <v>7.24</v>
          </cell>
        </row>
        <row r="6739">
          <cell r="C6739" t="str">
            <v>Hindustan Oil Exploration Company</v>
          </cell>
          <cell r="D6739">
            <v>20493</v>
          </cell>
        </row>
        <row r="6740">
          <cell r="C6740" t="str">
            <v>K-Electric</v>
          </cell>
          <cell r="D6740">
            <v>6.21549</v>
          </cell>
        </row>
        <row r="6741">
          <cell r="C6741" t="str">
            <v>Lesha Bank</v>
          </cell>
          <cell r="D6741">
            <v>28.86</v>
          </cell>
        </row>
        <row r="6742">
          <cell r="C6742" t="str">
            <v>Aquestive Therapeutics</v>
          </cell>
          <cell r="D6742">
            <v>8.82</v>
          </cell>
        </row>
        <row r="6743">
          <cell r="C6743" t="str">
            <v>Ispire Technology</v>
          </cell>
          <cell r="D6743">
            <v>18.898700000000002</v>
          </cell>
        </row>
        <row r="6744">
          <cell r="C6744" t="str">
            <v>Home Invest Belgium</v>
          </cell>
          <cell r="D6744">
            <v>8.5500000000000007</v>
          </cell>
        </row>
        <row r="6745">
          <cell r="C6745" t="str">
            <v>Avalon Technologies</v>
          </cell>
          <cell r="D6745">
            <v>12815</v>
          </cell>
        </row>
        <row r="6746">
          <cell r="C6746" t="str">
            <v>ModivCare</v>
          </cell>
          <cell r="D6746">
            <v>23.02</v>
          </cell>
        </row>
        <row r="6747">
          <cell r="C6747" t="str">
            <v>Xperi</v>
          </cell>
          <cell r="D6747">
            <v>2.0300400000000001</v>
          </cell>
        </row>
        <row r="6748">
          <cell r="C6748" t="str">
            <v>Wajax Corporation</v>
          </cell>
          <cell r="D6748">
            <v>5.12998E-2</v>
          </cell>
        </row>
        <row r="6749">
          <cell r="C6749" t="str">
            <v>Perion Network</v>
          </cell>
          <cell r="D6749">
            <v>28.45</v>
          </cell>
        </row>
        <row r="6750">
          <cell r="C6750" t="str">
            <v>Al Obeikan Glass Company</v>
          </cell>
          <cell r="D6750">
            <v>22.96</v>
          </cell>
        </row>
        <row r="6751">
          <cell r="C6751" t="str">
            <v>Calavo Growers</v>
          </cell>
          <cell r="D6751">
            <v>62.489699999999999</v>
          </cell>
        </row>
        <row r="6752">
          <cell r="C6752" t="str">
            <v>Australian Clinical Labs</v>
          </cell>
          <cell r="D6752">
            <v>7.9234400000000003</v>
          </cell>
        </row>
        <row r="6753">
          <cell r="C6753" t="str">
            <v>Digital Domain</v>
          </cell>
          <cell r="D6753">
            <v>10.59</v>
          </cell>
        </row>
        <row r="6754">
          <cell r="C6754" t="str">
            <v>Civeo</v>
          </cell>
          <cell r="D6754">
            <v>1.06</v>
          </cell>
        </row>
        <row r="6755">
          <cell r="C6755" t="str">
            <v>RBB Bancorp</v>
          </cell>
          <cell r="D6755">
            <v>3.1843700000000003E-2</v>
          </cell>
        </row>
        <row r="6756">
          <cell r="C6756" t="str">
            <v>ORIOR AG</v>
          </cell>
          <cell r="D6756">
            <v>0.19392999999999999</v>
          </cell>
        </row>
        <row r="6757">
          <cell r="C6757" t="str">
            <v>Jin Air</v>
          </cell>
          <cell r="D6757">
            <v>63.313499999999998</v>
          </cell>
        </row>
        <row r="6758">
          <cell r="C6758" t="str">
            <v>Runway Growth Finance</v>
          </cell>
          <cell r="D6758">
            <v>9.0311599999999999</v>
          </cell>
        </row>
        <row r="6759">
          <cell r="C6759" t="str">
            <v>i-80 Gold</v>
          </cell>
          <cell r="D6759">
            <v>72.289199999999994</v>
          </cell>
        </row>
        <row r="6760">
          <cell r="C6760" t="str">
            <v>GTL Infrastructure</v>
          </cell>
          <cell r="D6760">
            <v>15.45</v>
          </cell>
        </row>
        <row r="6761">
          <cell r="C6761" t="str">
            <v>Fatima Fertilizer</v>
          </cell>
          <cell r="D6761">
            <v>38.049999999999997</v>
          </cell>
        </row>
        <row r="6762">
          <cell r="C6762" t="str">
            <v>V-ZUG Holding</v>
          </cell>
          <cell r="D6762">
            <v>1.59</v>
          </cell>
        </row>
        <row r="6763">
          <cell r="C6763" t="str">
            <v>Newag</v>
          </cell>
          <cell r="D6763">
            <v>83.75</v>
          </cell>
        </row>
        <row r="6764">
          <cell r="C6764" t="str">
            <v>New Work</v>
          </cell>
          <cell r="D6764">
            <v>0.65529899999999996</v>
          </cell>
        </row>
        <row r="6765">
          <cell r="C6765" t="str">
            <v>Silvaco Group</v>
          </cell>
          <cell r="D6765">
            <v>26.76</v>
          </cell>
        </row>
        <row r="6766">
          <cell r="C6766" t="str">
            <v>Summit Midstream</v>
          </cell>
          <cell r="D6766">
            <v>2.7</v>
          </cell>
        </row>
        <row r="6767">
          <cell r="C6767" t="str">
            <v>BigBear.ai</v>
          </cell>
          <cell r="D6767">
            <v>9.2483900000000006</v>
          </cell>
        </row>
        <row r="6768">
          <cell r="C6768" t="str">
            <v>NVE Corporation</v>
          </cell>
          <cell r="D6768">
            <v>40.897500000000001</v>
          </cell>
        </row>
        <row r="6769">
          <cell r="C6769" t="str">
            <v>ITM Power</v>
          </cell>
          <cell r="D6769">
            <v>28.9</v>
          </cell>
        </row>
        <row r="6770">
          <cell r="C6770" t="str">
            <v>ATN International</v>
          </cell>
          <cell r="D6770">
            <v>8.25</v>
          </cell>
        </row>
        <row r="6771">
          <cell r="C6771" t="str">
            <v>Palms Sports</v>
          </cell>
          <cell r="D6771">
            <v>0.91352</v>
          </cell>
        </row>
        <row r="6772">
          <cell r="C6772" t="str">
            <v>Kalyani Steels</v>
          </cell>
          <cell r="D6772">
            <v>26.02</v>
          </cell>
        </row>
        <row r="6773">
          <cell r="C6773" t="str">
            <v>init innovation in traffic systems</v>
          </cell>
          <cell r="D6773">
            <v>7.65</v>
          </cell>
        </row>
        <row r="6774">
          <cell r="C6774" t="str">
            <v>Red Violet</v>
          </cell>
          <cell r="D6774">
            <v>5.8178299999999998</v>
          </cell>
        </row>
        <row r="6775">
          <cell r="C6775" t="str">
            <v>Theravance Biopharma</v>
          </cell>
          <cell r="D6775">
            <v>6</v>
          </cell>
        </row>
        <row r="6776">
          <cell r="C6776" t="str">
            <v>Pepper Money Limited</v>
          </cell>
          <cell r="D6776">
            <v>2.35765</v>
          </cell>
        </row>
        <row r="6777">
          <cell r="C6777" t="str">
            <v>Financial Institutions</v>
          </cell>
          <cell r="D6777">
            <v>62.855400000000003</v>
          </cell>
        </row>
        <row r="6778">
          <cell r="C6778" t="str">
            <v>Zevra Therapeutics</v>
          </cell>
          <cell r="D6778">
            <v>19.309999999999999</v>
          </cell>
        </row>
        <row r="6779">
          <cell r="C6779" t="str">
            <v>Stingray Group</v>
          </cell>
          <cell r="D6779">
            <v>11.53</v>
          </cell>
        </row>
        <row r="6780">
          <cell r="C6780" t="str">
            <v>Mercer International</v>
          </cell>
          <cell r="D6780">
            <v>0.88983599999999996</v>
          </cell>
        </row>
        <row r="6781">
          <cell r="C6781" t="str">
            <v>Najran Cement Company</v>
          </cell>
          <cell r="D6781">
            <v>3.9619800000000001</v>
          </cell>
        </row>
        <row r="6782">
          <cell r="C6782" t="str">
            <v>Unilever Pakistan Foods</v>
          </cell>
          <cell r="D6782">
            <v>2.0789900000000001</v>
          </cell>
        </row>
        <row r="6783">
          <cell r="C6783" t="str">
            <v>Mayville Engineering Company</v>
          </cell>
          <cell r="D6783">
            <v>11.05</v>
          </cell>
        </row>
        <row r="6784">
          <cell r="C6784" t="str">
            <v>Star Group</v>
          </cell>
          <cell r="D6784">
            <v>29.29</v>
          </cell>
        </row>
        <row r="6785">
          <cell r="C6785" t="str">
            <v>Bravura Solutions</v>
          </cell>
          <cell r="D6785">
            <v>22.9358</v>
          </cell>
        </row>
        <row r="6786">
          <cell r="C6786" t="str">
            <v>Ashiana Housing</v>
          </cell>
          <cell r="D6786">
            <v>0.53277699999999995</v>
          </cell>
        </row>
        <row r="6787">
          <cell r="C6787" t="str">
            <v>Millat Tractors</v>
          </cell>
          <cell r="D6787">
            <v>46369</v>
          </cell>
        </row>
        <row r="6788">
          <cell r="C6788" t="str">
            <v>Horizon Technology Finance</v>
          </cell>
          <cell r="D6788">
            <v>164579</v>
          </cell>
        </row>
        <row r="6789">
          <cell r="C6789" t="str">
            <v>Hamilton Beach Brands</v>
          </cell>
          <cell r="D6789">
            <v>33.580399999999997</v>
          </cell>
        </row>
        <row r="6790">
          <cell r="C6790" t="str">
            <v>SFC Energy AG</v>
          </cell>
          <cell r="D6790">
            <v>4.3108300000000002</v>
          </cell>
        </row>
        <row r="6791">
          <cell r="C6791" t="str">
            <v>Diagnosticos da America (DASA)</v>
          </cell>
          <cell r="D6791">
            <v>1.7999700000000001</v>
          </cell>
        </row>
        <row r="6792">
          <cell r="C6792" t="str">
            <v>DATAGROUP SE</v>
          </cell>
          <cell r="D6792">
            <v>9.2577499999999993E-2</v>
          </cell>
        </row>
        <row r="6793">
          <cell r="C6793" t="str">
            <v>11 bit studios</v>
          </cell>
          <cell r="D6793">
            <v>4286.6499999999996</v>
          </cell>
        </row>
        <row r="6794">
          <cell r="C6794" t="str">
            <v>Calian Group</v>
          </cell>
          <cell r="D6794">
            <v>14.34</v>
          </cell>
        </row>
        <row r="6795">
          <cell r="C6795" t="str">
            <v>Indoco Remedies</v>
          </cell>
          <cell r="D6795">
            <v>34.79</v>
          </cell>
        </row>
        <row r="6796">
          <cell r="C6796" t="str">
            <v>RPMGlobal Holdings Limited</v>
          </cell>
          <cell r="D6796">
            <v>0.84585200000000005</v>
          </cell>
        </row>
        <row r="6797">
          <cell r="C6797" t="str">
            <v>Union Properties</v>
          </cell>
          <cell r="D6797">
            <v>6.08</v>
          </cell>
        </row>
        <row r="6798">
          <cell r="C6798" t="str">
            <v>Kuwait National Cinema Company</v>
          </cell>
          <cell r="D6798">
            <v>3.3</v>
          </cell>
        </row>
        <row r="6799">
          <cell r="C6799" t="str">
            <v>Stoneridge</v>
          </cell>
          <cell r="D6799">
            <v>14.42</v>
          </cell>
        </row>
        <row r="6800">
          <cell r="C6800" t="str">
            <v>Guaranty Bancshares</v>
          </cell>
          <cell r="D6800">
            <v>7.95</v>
          </cell>
        </row>
        <row r="6801">
          <cell r="C6801" t="str">
            <v>Peet Limited</v>
          </cell>
          <cell r="D6801">
            <v>41.46</v>
          </cell>
        </row>
        <row r="6802">
          <cell r="C6802" t="str">
            <v>Beyond Meat</v>
          </cell>
          <cell r="D6802">
            <v>0.77480000000000004</v>
          </cell>
        </row>
        <row r="6803">
          <cell r="C6803" t="str">
            <v>Youdao</v>
          </cell>
          <cell r="D6803">
            <v>38.8354</v>
          </cell>
        </row>
        <row r="6804">
          <cell r="C6804" t="str">
            <v>Bridgewater Bancshares</v>
          </cell>
          <cell r="D6804">
            <v>4.5199999999999996</v>
          </cell>
        </row>
        <row r="6805">
          <cell r="C6805" t="str">
            <v>Aura Biosciences</v>
          </cell>
          <cell r="D6805">
            <v>76.964699999999993</v>
          </cell>
        </row>
        <row r="6806">
          <cell r="C6806" t="str">
            <v>Value Line</v>
          </cell>
          <cell r="D6806">
            <v>2.2880500000000001</v>
          </cell>
        </row>
        <row r="6807">
          <cell r="C6807" t="str">
            <v>Civmec Limited</v>
          </cell>
          <cell r="D6807">
            <v>6.17</v>
          </cell>
        </row>
        <row r="6808">
          <cell r="C6808" t="str">
            <v>Varia US Properties</v>
          </cell>
          <cell r="D6808">
            <v>2.41</v>
          </cell>
        </row>
        <row r="6809">
          <cell r="C6809" t="str">
            <v>Yiren Digital</v>
          </cell>
          <cell r="D6809">
            <v>1.25718</v>
          </cell>
        </row>
        <row r="6810">
          <cell r="C6810" t="str">
            <v>Basler Kantonalbank</v>
          </cell>
          <cell r="D6810">
            <v>6.23874</v>
          </cell>
        </row>
        <row r="6811">
          <cell r="C6811" t="str">
            <v>Econocom Group</v>
          </cell>
          <cell r="D6811">
            <v>6.17</v>
          </cell>
        </row>
        <row r="6812">
          <cell r="C6812" t="str">
            <v>Monte Rosa Therapeutics</v>
          </cell>
          <cell r="D6812">
            <v>32.53</v>
          </cell>
        </row>
        <row r="6813">
          <cell r="C6813" t="str">
            <v>Solaris Resources</v>
          </cell>
          <cell r="D6813">
            <v>7.06</v>
          </cell>
        </row>
        <row r="6814">
          <cell r="C6814" t="str">
            <v>IFL (Ibrahim Fibres)</v>
          </cell>
          <cell r="D6814">
            <v>42.12</v>
          </cell>
        </row>
        <row r="6815">
          <cell r="C6815" t="str">
            <v>Repco Home Finance</v>
          </cell>
          <cell r="D6815">
            <v>5.31</v>
          </cell>
        </row>
        <row r="6816">
          <cell r="C6816" t="str">
            <v>Treace Medical Concepts</v>
          </cell>
          <cell r="D6816">
            <v>13.286199999999999</v>
          </cell>
        </row>
        <row r="6817">
          <cell r="C6817" t="str">
            <v>J.Jill</v>
          </cell>
          <cell r="D6817">
            <v>1.05</v>
          </cell>
        </row>
        <row r="6818">
          <cell r="C6818" t="str">
            <v>Ares Commercial Real Estate</v>
          </cell>
          <cell r="D6818">
            <v>60.53</v>
          </cell>
        </row>
        <row r="6819">
          <cell r="C6819" t="str">
            <v>Universal Stainless &amp; Alloy Products</v>
          </cell>
          <cell r="D6819">
            <v>161226</v>
          </cell>
        </row>
        <row r="6820">
          <cell r="C6820" t="str">
            <v>Nkarta</v>
          </cell>
          <cell r="D6820">
            <v>3.23</v>
          </cell>
        </row>
        <row r="6821">
          <cell r="C6821" t="str">
            <v>Ion Beam Applications</v>
          </cell>
          <cell r="D6821">
            <v>3.78</v>
          </cell>
        </row>
        <row r="6822">
          <cell r="C6822" t="str">
            <v>Waterdrop Inc.</v>
          </cell>
          <cell r="D6822">
            <v>20.399999999999999</v>
          </cell>
        </row>
        <row r="6823">
          <cell r="C6823" t="str">
            <v>America's Car-Mart</v>
          </cell>
          <cell r="D6823">
            <v>5.8197900000000002</v>
          </cell>
        </row>
        <row r="6824">
          <cell r="C6824" t="str">
            <v>IVF Hartmann</v>
          </cell>
          <cell r="D6824">
            <v>2.5784600000000002</v>
          </cell>
        </row>
        <row r="6825">
          <cell r="C6825" t="str">
            <v>Holley</v>
          </cell>
          <cell r="D6825">
            <v>2.88</v>
          </cell>
        </row>
        <row r="6826">
          <cell r="C6826" t="str">
            <v>DocGo</v>
          </cell>
          <cell r="D6826">
            <v>30.99</v>
          </cell>
        </row>
        <row r="6827">
          <cell r="C6827" t="str">
            <v>Community West Bancshares</v>
          </cell>
          <cell r="D6827">
            <v>5.53</v>
          </cell>
        </row>
        <row r="6828">
          <cell r="C6828" t="str">
            <v>Ismail Industries</v>
          </cell>
          <cell r="D6828">
            <v>3.36</v>
          </cell>
        </row>
        <row r="6829">
          <cell r="C6829" t="str">
            <v>GuangZhou Wahlap Technology</v>
          </cell>
          <cell r="D6829">
            <v>0.402003</v>
          </cell>
        </row>
        <row r="6830">
          <cell r="C6830" t="str">
            <v>Organogenesis</v>
          </cell>
          <cell r="D6830">
            <v>11.51</v>
          </cell>
        </row>
        <row r="6831">
          <cell r="C6831" t="str">
            <v>Enterprise Bancorp</v>
          </cell>
          <cell r="D6831">
            <v>24.03</v>
          </cell>
        </row>
        <row r="6832">
          <cell r="C6832" t="str">
            <v>Unisys</v>
          </cell>
          <cell r="D6832">
            <v>6.64</v>
          </cell>
        </row>
        <row r="6833">
          <cell r="C6833" t="str">
            <v>Phnom Penh Autonomous Port</v>
          </cell>
          <cell r="D6833">
            <v>4.5284899999999997</v>
          </cell>
        </row>
        <row r="6834">
          <cell r="C6834" t="str">
            <v>Kaiser (China) Culture</v>
          </cell>
          <cell r="D6834">
            <v>11.51</v>
          </cell>
        </row>
        <row r="6835">
          <cell r="C6835" t="str">
            <v>Lexeo Therapeutics</v>
          </cell>
          <cell r="D6835">
            <v>1.48193</v>
          </cell>
        </row>
        <row r="6836">
          <cell r="C6836" t="str">
            <v>OneWater Marine</v>
          </cell>
          <cell r="D6836">
            <v>2.63</v>
          </cell>
        </row>
        <row r="6837">
          <cell r="C6837" t="str">
            <v>Designer Brands</v>
          </cell>
          <cell r="D6837">
            <v>0.73702900000000005</v>
          </cell>
        </row>
        <row r="6838">
          <cell r="C6838" t="str">
            <v>Capacit'e Infraprojects</v>
          </cell>
          <cell r="D6838">
            <v>0.34242099999999998</v>
          </cell>
        </row>
        <row r="6839">
          <cell r="C6839" t="str">
            <v>American Software</v>
          </cell>
          <cell r="D6839">
            <v>25.7</v>
          </cell>
        </row>
        <row r="6840">
          <cell r="C6840" t="str">
            <v>Develop Global Limited</v>
          </cell>
          <cell r="D6840">
            <v>8.5599900000000009</v>
          </cell>
        </row>
        <row r="6841">
          <cell r="C6841" t="str">
            <v>Immutep</v>
          </cell>
          <cell r="D6841">
            <v>30.134899999999998</v>
          </cell>
        </row>
        <row r="6842">
          <cell r="C6842" t="str">
            <v>Stillfront Group</v>
          </cell>
          <cell r="D6842">
            <v>1.9862200000000001</v>
          </cell>
        </row>
        <row r="6843">
          <cell r="C6843" t="str">
            <v>Bank AL Habib</v>
          </cell>
          <cell r="D6843">
            <v>68.97</v>
          </cell>
        </row>
        <row r="6844">
          <cell r="C6844" t="str">
            <v>Anika Therapeutics</v>
          </cell>
          <cell r="D6844">
            <v>0.13533600000000001</v>
          </cell>
        </row>
        <row r="6845">
          <cell r="C6845" t="str">
            <v>Atrium Mortgage Investment</v>
          </cell>
          <cell r="D6845">
            <v>1.07</v>
          </cell>
        </row>
        <row r="6846">
          <cell r="C6846" t="str">
            <v>SRA Holdings</v>
          </cell>
          <cell r="D6846">
            <v>0.13195299999999999</v>
          </cell>
        </row>
        <row r="6847">
          <cell r="C6847" t="str">
            <v>Chorus Aviation</v>
          </cell>
          <cell r="D6847">
            <v>3.12</v>
          </cell>
        </row>
        <row r="6848">
          <cell r="C6848" t="str">
            <v>Northrim BanCorp</v>
          </cell>
          <cell r="D6848">
            <v>19.54</v>
          </cell>
        </row>
        <row r="6849">
          <cell r="C6849" t="str">
            <v>Latin Resources</v>
          </cell>
          <cell r="D6849">
            <v>12455</v>
          </cell>
        </row>
        <row r="6850">
          <cell r="C6850" t="str">
            <v>SES AI</v>
          </cell>
          <cell r="D6850">
            <v>45.37</v>
          </cell>
        </row>
        <row r="6851">
          <cell r="C6851" t="str">
            <v>Strike Energy</v>
          </cell>
          <cell r="D6851">
            <v>27.49</v>
          </cell>
        </row>
        <row r="6852">
          <cell r="C6852" t="str">
            <v>HIVE Blockchain Technologies</v>
          </cell>
          <cell r="D6852">
            <v>1.57179</v>
          </cell>
        </row>
        <row r="6853">
          <cell r="C6853" t="str">
            <v>ASA Gold and Precious Metals</v>
          </cell>
          <cell r="D6853">
            <v>7.11</v>
          </cell>
        </row>
        <row r="6854">
          <cell r="C6854" t="str">
            <v>Red Sea International Company</v>
          </cell>
          <cell r="D6854">
            <v>1.46</v>
          </cell>
        </row>
        <row r="6855">
          <cell r="C6855" t="str">
            <v>First Business Financial Services</v>
          </cell>
          <cell r="D6855">
            <v>8.1881300000000004E-2</v>
          </cell>
        </row>
        <row r="6856">
          <cell r="C6856" t="str">
            <v>Farmers &amp;amp; Merchants Bancorp</v>
          </cell>
          <cell r="D6856">
            <v>40.130000000000003</v>
          </cell>
        </row>
        <row r="6857">
          <cell r="C6857" t="str">
            <v>Geojit Financial Services</v>
          </cell>
          <cell r="D6857">
            <v>4.57</v>
          </cell>
        </row>
        <row r="6858">
          <cell r="C6858" t="str">
            <v>G1 Therapeutics</v>
          </cell>
          <cell r="D6858">
            <v>1.3</v>
          </cell>
        </row>
        <row r="6859">
          <cell r="C6859" t="str">
            <v>Galiano Gold</v>
          </cell>
          <cell r="D6859">
            <v>8.2200000000000006</v>
          </cell>
        </row>
        <row r="6860">
          <cell r="C6860" t="str">
            <v>Viaplay Group</v>
          </cell>
          <cell r="D6860">
            <v>3.2</v>
          </cell>
        </row>
        <row r="6861">
          <cell r="C6861" t="str">
            <v>Bank7</v>
          </cell>
          <cell r="D6861">
            <v>1.45</v>
          </cell>
        </row>
        <row r="6862">
          <cell r="C6862" t="str">
            <v>Sutro Biopharma</v>
          </cell>
          <cell r="D6862">
            <v>1.37</v>
          </cell>
        </row>
        <row r="6863">
          <cell r="C6863" t="str">
            <v>Ocugen</v>
          </cell>
          <cell r="D6863">
            <v>2.91262</v>
          </cell>
        </row>
        <row r="6864">
          <cell r="C6864" t="str">
            <v>Hudson Technologies</v>
          </cell>
          <cell r="D6864">
            <v>58.407600000000002</v>
          </cell>
        </row>
        <row r="6865">
          <cell r="C6865" t="str">
            <v>Waldencast</v>
          </cell>
          <cell r="D6865">
            <v>1.83511</v>
          </cell>
        </row>
        <row r="6866">
          <cell r="C6866" t="str">
            <v>Lyell Immunopharma</v>
          </cell>
          <cell r="D6866">
            <v>6.37</v>
          </cell>
        </row>
        <row r="6867">
          <cell r="C6867" t="str">
            <v>Pacific Biosciences</v>
          </cell>
          <cell r="D6867">
            <v>16.63</v>
          </cell>
        </row>
        <row r="6868">
          <cell r="C6868" t="str">
            <v>The Westaim Corporation</v>
          </cell>
          <cell r="D6868">
            <v>36.11</v>
          </cell>
        </row>
        <row r="6869">
          <cell r="C6869" t="str">
            <v>Foseco India</v>
          </cell>
          <cell r="D6869">
            <v>35.950000000000003</v>
          </cell>
        </row>
        <row r="6870">
          <cell r="C6870" t="str">
            <v>Sichuan Xunyou Network Technology</v>
          </cell>
          <cell r="D6870">
            <v>6.69</v>
          </cell>
        </row>
        <row r="6871">
          <cell r="C6871" t="str">
            <v>Nano-X Imaging</v>
          </cell>
          <cell r="D6871">
            <v>5.54</v>
          </cell>
        </row>
        <row r="6872">
          <cell r="C6872" t="str">
            <v>NexPoint Real Estate Finance</v>
          </cell>
          <cell r="D6872">
            <v>5.2332000000000001</v>
          </cell>
        </row>
        <row r="6873">
          <cell r="C6873" t="str">
            <v>Artesian Resources</v>
          </cell>
          <cell r="D6873">
            <v>11.96</v>
          </cell>
        </row>
        <row r="6874">
          <cell r="C6874" t="str">
            <v>Johnson Outdoors</v>
          </cell>
          <cell r="D6874">
            <v>10.19</v>
          </cell>
        </row>
        <row r="6875">
          <cell r="C6875" t="str">
            <v>Ginkgo Bioworks</v>
          </cell>
          <cell r="D6875">
            <v>9.2412299999999998</v>
          </cell>
        </row>
        <row r="6876">
          <cell r="C6876" t="str">
            <v>Inozyme Pharma</v>
          </cell>
          <cell r="D6876">
            <v>4.3495100000000004</v>
          </cell>
        </row>
        <row r="6877">
          <cell r="C6877" t="str">
            <v>Arctic Paper</v>
          </cell>
          <cell r="D6877">
            <v>10.42</v>
          </cell>
        </row>
        <row r="6878">
          <cell r="C6878" t="str">
            <v>MISTRAS Group</v>
          </cell>
          <cell r="D6878">
            <v>8.0358099999999997</v>
          </cell>
        </row>
        <row r="6879">
          <cell r="C6879" t="str">
            <v>Gambling.com Group</v>
          </cell>
          <cell r="D6879">
            <v>29.87</v>
          </cell>
        </row>
        <row r="6880">
          <cell r="C6880" t="str">
            <v>Middle East Specialized Cables Company</v>
          </cell>
          <cell r="D6880">
            <v>15.111499999999999</v>
          </cell>
        </row>
        <row r="6881">
          <cell r="C6881" t="str">
            <v>Branicks Group</v>
          </cell>
          <cell r="D6881">
            <v>24.290099999999999</v>
          </cell>
        </row>
        <row r="6882">
          <cell r="C6882" t="str">
            <v>Methode Electronics</v>
          </cell>
          <cell r="D6882">
            <v>4.8570599999999997</v>
          </cell>
        </row>
        <row r="6883">
          <cell r="C6883" t="str">
            <v>FACC AG</v>
          </cell>
          <cell r="D6883">
            <v>0.50637699999999997</v>
          </cell>
        </row>
        <row r="6884">
          <cell r="C6884" t="str">
            <v>CompX International</v>
          </cell>
          <cell r="D6884">
            <v>1.85</v>
          </cell>
        </row>
        <row r="6885">
          <cell r="C6885" t="str">
            <v>Vecima Networks</v>
          </cell>
          <cell r="D6885">
            <v>0.155637</v>
          </cell>
        </row>
        <row r="6886">
          <cell r="C6886" t="str">
            <v>Automotive Axles</v>
          </cell>
          <cell r="D6886">
            <v>53.11</v>
          </cell>
        </row>
        <row r="6887">
          <cell r="C6887" t="str">
            <v>Huhtamaki India</v>
          </cell>
          <cell r="D6887">
            <v>19.18</v>
          </cell>
        </row>
        <row r="6888">
          <cell r="C6888" t="str">
            <v>Oceania Healthcare</v>
          </cell>
          <cell r="D6888">
            <v>20166</v>
          </cell>
        </row>
        <row r="6889">
          <cell r="C6889" t="str">
            <v>Ring Energy</v>
          </cell>
          <cell r="D6889">
            <v>8.83</v>
          </cell>
        </row>
        <row r="6890">
          <cell r="C6890" t="str">
            <v>Predictive Discovery Limited</v>
          </cell>
          <cell r="D6890">
            <v>27.61</v>
          </cell>
        </row>
        <row r="6891">
          <cell r="C6891" t="str">
            <v>Red River Bancshares</v>
          </cell>
          <cell r="D6891">
            <v>21.947900000000001</v>
          </cell>
        </row>
        <row r="6892">
          <cell r="C6892" t="str">
            <v>Forrester Research</v>
          </cell>
          <cell r="D6892">
            <v>0.12789800000000001</v>
          </cell>
        </row>
        <row r="6893">
          <cell r="C6893" t="str">
            <v>Information Services Corporation</v>
          </cell>
          <cell r="D6893">
            <v>0.15</v>
          </cell>
        </row>
        <row r="6894">
          <cell r="C6894" t="str">
            <v>Compass Minerals</v>
          </cell>
          <cell r="D6894">
            <v>18.790800000000001</v>
          </cell>
        </row>
        <row r="6895">
          <cell r="C6895" t="str">
            <v>Vishay Precision Group</v>
          </cell>
          <cell r="D6895">
            <v>5.5961600000000002</v>
          </cell>
        </row>
        <row r="6896">
          <cell r="C6896" t="str">
            <v>Mikron Holding</v>
          </cell>
          <cell r="D6896">
            <v>49.551400000000001</v>
          </cell>
        </row>
        <row r="6897">
          <cell r="C6897" t="str">
            <v>Ölgerðin Egill Skallagrímsson</v>
          </cell>
          <cell r="D6897">
            <v>23.24</v>
          </cell>
        </row>
        <row r="6898">
          <cell r="C6898" t="str">
            <v>Via S.A.</v>
          </cell>
          <cell r="D6898">
            <v>34.818199999999997</v>
          </cell>
        </row>
        <row r="6899">
          <cell r="C6899" t="str">
            <v>Addiko Bank</v>
          </cell>
          <cell r="D6899">
            <v>3.2812299999999999</v>
          </cell>
        </row>
        <row r="6900">
          <cell r="C6900" t="str">
            <v>Ricegrowers Limited</v>
          </cell>
          <cell r="D6900">
            <v>44.66</v>
          </cell>
        </row>
        <row r="6901">
          <cell r="C6901" t="str">
            <v>Solar A/S</v>
          </cell>
          <cell r="D6901">
            <v>2.7910400000000002</v>
          </cell>
        </row>
        <row r="6902">
          <cell r="C6902" t="str">
            <v>LoveSac</v>
          </cell>
          <cell r="D6902">
            <v>2.59755</v>
          </cell>
        </row>
        <row r="6903">
          <cell r="C6903" t="str">
            <v>Knaus Tabbert AG</v>
          </cell>
          <cell r="D6903">
            <v>1.83</v>
          </cell>
        </row>
        <row r="6904">
          <cell r="C6904" t="str">
            <v>Mirbud S.A.</v>
          </cell>
          <cell r="D6904">
            <v>42.02</v>
          </cell>
        </row>
        <row r="6905">
          <cell r="C6905" t="str">
            <v>Home Bancorp</v>
          </cell>
          <cell r="D6905">
            <v>5.44</v>
          </cell>
        </row>
        <row r="6906">
          <cell r="C6906" t="str">
            <v>KCP Limited</v>
          </cell>
          <cell r="D6906">
            <v>16.508199999999999</v>
          </cell>
        </row>
        <row r="6907">
          <cell r="C6907" t="str">
            <v>Deceuninck</v>
          </cell>
          <cell r="D6907">
            <v>1.07708</v>
          </cell>
        </row>
        <row r="6908">
          <cell r="C6908" t="str">
            <v>Esperion Therapeutics</v>
          </cell>
          <cell r="D6908">
            <v>24729</v>
          </cell>
        </row>
        <row r="6909">
          <cell r="C6909" t="str">
            <v>ACNB Corporation</v>
          </cell>
          <cell r="D6909">
            <v>21.24</v>
          </cell>
        </row>
        <row r="6910">
          <cell r="C6910" t="str">
            <v>Personalis</v>
          </cell>
          <cell r="D6910">
            <v>6.56</v>
          </cell>
        </row>
        <row r="6911">
          <cell r="C6911" t="str">
            <v>Alfen</v>
          </cell>
          <cell r="D6911">
            <v>2.5670199999999999</v>
          </cell>
        </row>
        <row r="6912">
          <cell r="C6912" t="str">
            <v>Confidence Petroleum</v>
          </cell>
          <cell r="D6912">
            <v>5.25</v>
          </cell>
        </row>
        <row r="6913">
          <cell r="C6913" t="str">
            <v>SML Isuzu</v>
          </cell>
          <cell r="D6913">
            <v>11.32</v>
          </cell>
        </row>
        <row r="6914">
          <cell r="C6914" t="str">
            <v>Allient</v>
          </cell>
          <cell r="D6914">
            <v>2.95</v>
          </cell>
        </row>
        <row r="6915">
          <cell r="C6915" t="str">
            <v>Voyager Therapeutics</v>
          </cell>
          <cell r="D6915">
            <v>8495</v>
          </cell>
        </row>
        <row r="6916">
          <cell r="C6916" t="str">
            <v>Eurocash</v>
          </cell>
          <cell r="D6916">
            <v>3.22</v>
          </cell>
        </row>
        <row r="6917">
          <cell r="C6917" t="str">
            <v>Yellow Corporation</v>
          </cell>
          <cell r="D6917">
            <v>30.19</v>
          </cell>
        </row>
        <row r="6918">
          <cell r="C6918" t="str">
            <v>RE/MAX Holdings</v>
          </cell>
          <cell r="D6918">
            <v>13.66</v>
          </cell>
        </row>
        <row r="6919">
          <cell r="C6919" t="str">
            <v>Lightwave Logic</v>
          </cell>
          <cell r="D6919">
            <v>0.334731</v>
          </cell>
        </row>
        <row r="6920">
          <cell r="C6920" t="str">
            <v>Serve Robotics</v>
          </cell>
          <cell r="D6920">
            <v>0.25294499999999998</v>
          </cell>
        </row>
        <row r="6921">
          <cell r="C6921" t="str">
            <v>Digital Turbine</v>
          </cell>
          <cell r="D6921">
            <v>19.45</v>
          </cell>
        </row>
        <row r="6922">
          <cell r="C6922" t="str">
            <v>Genesco</v>
          </cell>
          <cell r="D6922">
            <v>22.880500000000001</v>
          </cell>
        </row>
        <row r="6923">
          <cell r="C6923" t="str">
            <v>Stellus Capital</v>
          </cell>
          <cell r="D6923">
            <v>10.09</v>
          </cell>
        </row>
        <row r="6924">
          <cell r="C6924" t="str">
            <v>Zengame Technology</v>
          </cell>
          <cell r="D6924">
            <v>2071.34</v>
          </cell>
        </row>
        <row r="6925">
          <cell r="C6925" t="str">
            <v>Interloop</v>
          </cell>
          <cell r="D6925">
            <v>0.219307</v>
          </cell>
        </row>
        <row r="6926">
          <cell r="C6926" t="str">
            <v>ReposiTrak</v>
          </cell>
          <cell r="D6926">
            <v>49.160400000000003</v>
          </cell>
        </row>
        <row r="6927">
          <cell r="C6927" t="str">
            <v>PSI Software</v>
          </cell>
          <cell r="D6927">
            <v>8643</v>
          </cell>
        </row>
        <row r="6928">
          <cell r="C6928" t="str">
            <v>The Manitowoc Company</v>
          </cell>
          <cell r="D6928">
            <v>8.5876699999999992</v>
          </cell>
        </row>
        <row r="6929">
          <cell r="C6929" t="str">
            <v>Combined Group Contracting Company</v>
          </cell>
          <cell r="D6929">
            <v>3.4571100000000001</v>
          </cell>
        </row>
        <row r="6930">
          <cell r="C6930" t="str">
            <v>Giordano</v>
          </cell>
          <cell r="D6930">
            <v>0.58247400000000005</v>
          </cell>
        </row>
        <row r="6931">
          <cell r="C6931" t="str">
            <v>Vadilal Industries</v>
          </cell>
          <cell r="D6931">
            <v>15.474600000000001</v>
          </cell>
        </row>
        <row r="6932">
          <cell r="C6932" t="str">
            <v>Murapol S.A.</v>
          </cell>
          <cell r="D6932">
            <v>7.0741699999999996</v>
          </cell>
        </row>
        <row r="6933">
          <cell r="C6933" t="str">
            <v>Somany Ceramics</v>
          </cell>
          <cell r="D6933">
            <v>18</v>
          </cell>
        </row>
        <row r="6934">
          <cell r="C6934" t="str">
            <v>Pexip</v>
          </cell>
          <cell r="D6934">
            <v>13.5</v>
          </cell>
        </row>
        <row r="6935">
          <cell r="C6935" t="str">
            <v>Aker Carbon Capture</v>
          </cell>
          <cell r="D6935">
            <v>10.43</v>
          </cell>
        </row>
        <row r="6936">
          <cell r="C6936" t="str">
            <v>Sygnity</v>
          </cell>
          <cell r="D6936">
            <v>25.61</v>
          </cell>
        </row>
        <row r="6937">
          <cell r="C6937" t="str">
            <v>Greenyard</v>
          </cell>
          <cell r="D6937">
            <v>30.6388</v>
          </cell>
        </row>
        <row r="6938">
          <cell r="C6938" t="str">
            <v>Faro Technologies</v>
          </cell>
          <cell r="D6938">
            <v>17.786799999999999</v>
          </cell>
        </row>
        <row r="6939">
          <cell r="C6939" t="str">
            <v>VersaBank</v>
          </cell>
          <cell r="D6939">
            <v>30819</v>
          </cell>
        </row>
        <row r="6940">
          <cell r="C6940" t="str">
            <v>RGP</v>
          </cell>
          <cell r="D6940">
            <v>5.21373</v>
          </cell>
        </row>
        <row r="6941">
          <cell r="C6941" t="str">
            <v>Third Coast Bancshares</v>
          </cell>
          <cell r="D6941">
            <v>3.2416200000000002</v>
          </cell>
        </row>
        <row r="6942">
          <cell r="C6942" t="str">
            <v>Com2uS</v>
          </cell>
          <cell r="D6942">
            <v>30.8918</v>
          </cell>
        </row>
        <row r="6943">
          <cell r="C6943" t="str">
            <v>YAKUODO HOLDINGS</v>
          </cell>
          <cell r="D6943">
            <v>6.24</v>
          </cell>
        </row>
        <row r="6944">
          <cell r="C6944" t="str">
            <v>Fujibo Holdings</v>
          </cell>
          <cell r="D6944">
            <v>8.93</v>
          </cell>
        </row>
        <row r="6945">
          <cell r="C6945" t="str">
            <v>Nordic Paper</v>
          </cell>
          <cell r="D6945">
            <v>1.84</v>
          </cell>
        </row>
        <row r="6946">
          <cell r="C6946" t="str">
            <v>Shalby</v>
          </cell>
          <cell r="D6946">
            <v>0.13195299999999999</v>
          </cell>
        </row>
        <row r="6947">
          <cell r="C6947" t="str">
            <v>Meier Tobler Group</v>
          </cell>
          <cell r="D6947">
            <v>3.4446099999999999</v>
          </cell>
        </row>
        <row r="6948">
          <cell r="C6948" t="str">
            <v>Cormedix</v>
          </cell>
          <cell r="D6948">
            <v>1.1000000000000001</v>
          </cell>
        </row>
        <row r="6949">
          <cell r="C6949" t="str">
            <v>Solid Biosciences</v>
          </cell>
          <cell r="D6949">
            <v>21.39</v>
          </cell>
        </row>
        <row r="6950">
          <cell r="C6950" t="str">
            <v>Qudian</v>
          </cell>
          <cell r="D6950">
            <v>52.724699999999999</v>
          </cell>
        </row>
        <row r="6951">
          <cell r="C6951" t="str">
            <v>Cooper Energy</v>
          </cell>
          <cell r="D6951">
            <v>7.8143799999999999</v>
          </cell>
        </row>
        <row r="6952">
          <cell r="C6952" t="str">
            <v>Delegat</v>
          </cell>
          <cell r="D6952">
            <v>3.3631099999999998</v>
          </cell>
        </row>
        <row r="6953">
          <cell r="C6953" t="str">
            <v>Gogoro</v>
          </cell>
          <cell r="D6953">
            <v>4.34</v>
          </cell>
        </row>
        <row r="6954">
          <cell r="C6954" t="str">
            <v>Bank of Marin Bancorp</v>
          </cell>
          <cell r="D6954">
            <v>31.84</v>
          </cell>
        </row>
        <row r="6955">
          <cell r="C6955" t="str">
            <v>Ascencio</v>
          </cell>
          <cell r="D6955">
            <v>11.592499999999999</v>
          </cell>
        </row>
        <row r="6956">
          <cell r="C6956" t="str">
            <v>The Saudi Arabian Amiantit Company</v>
          </cell>
          <cell r="D6956">
            <v>8.0299999999999994</v>
          </cell>
        </row>
        <row r="6957">
          <cell r="C6957" t="str">
            <v>IPD Group Limited</v>
          </cell>
          <cell r="D6957">
            <v>53.277299999999997</v>
          </cell>
        </row>
        <row r="6958">
          <cell r="C6958" t="str">
            <v>Accolade</v>
          </cell>
          <cell r="D6958">
            <v>0.69230800000000003</v>
          </cell>
        </row>
        <row r="6959">
          <cell r="C6959" t="str">
            <v>Graham Corporation</v>
          </cell>
          <cell r="D6959">
            <v>7.09</v>
          </cell>
        </row>
        <row r="6960">
          <cell r="C6960" t="str">
            <v>CARE's Ratings</v>
          </cell>
          <cell r="D6960">
            <v>12.81</v>
          </cell>
        </row>
        <row r="6961">
          <cell r="C6961" t="str">
            <v>Kyverna Therapeutics</v>
          </cell>
          <cell r="D6961">
            <v>27.45</v>
          </cell>
        </row>
        <row r="6962">
          <cell r="C6962" t="str">
            <v>Stemmer Imaging</v>
          </cell>
          <cell r="D6962">
            <v>680628</v>
          </cell>
        </row>
        <row r="6963">
          <cell r="C6963" t="str">
            <v>Doha Insurance Group</v>
          </cell>
          <cell r="D6963">
            <v>15.11</v>
          </cell>
        </row>
        <row r="6964">
          <cell r="C6964" t="str">
            <v>Ouster</v>
          </cell>
          <cell r="D6964">
            <v>1.7</v>
          </cell>
        </row>
        <row r="6965">
          <cell r="C6965" t="str">
            <v>Alto Neuroscience</v>
          </cell>
          <cell r="D6965">
            <v>1.0389600000000001</v>
          </cell>
        </row>
        <row r="6966">
          <cell r="C6966" t="str">
            <v>Aviat Networks</v>
          </cell>
          <cell r="D6966">
            <v>0.92211399999999999</v>
          </cell>
        </row>
        <row r="6967">
          <cell r="C6967" t="str">
            <v>Commercial Facilities Company S.A.K.P.</v>
          </cell>
          <cell r="D6967">
            <v>7.1147400000000003</v>
          </cell>
        </row>
        <row r="6968">
          <cell r="C6968" t="str">
            <v>Titan Machinery</v>
          </cell>
          <cell r="D6968">
            <v>517016</v>
          </cell>
        </row>
        <row r="6969">
          <cell r="C6969" t="str">
            <v>SmartRent</v>
          </cell>
          <cell r="D6969">
            <v>4777.93</v>
          </cell>
        </row>
        <row r="6970">
          <cell r="C6970" t="str">
            <v>Oman Cement Company</v>
          </cell>
          <cell r="D6970">
            <v>12.1882</v>
          </cell>
        </row>
        <row r="6971">
          <cell r="C6971" t="str">
            <v>The Cross-Harbour Holdings</v>
          </cell>
          <cell r="D6971">
            <v>6.0377799999999997</v>
          </cell>
        </row>
        <row r="6972">
          <cell r="C6972" t="str">
            <v>MM Forgings</v>
          </cell>
          <cell r="D6972">
            <v>29.25</v>
          </cell>
        </row>
        <row r="6973">
          <cell r="C6973" t="str">
            <v>A'ayan Leasing and Investment Company</v>
          </cell>
          <cell r="D6973">
            <v>5755</v>
          </cell>
        </row>
        <row r="6974">
          <cell r="C6974" t="str">
            <v>Hypothekarbank Lenzburg</v>
          </cell>
          <cell r="D6974">
            <v>3.1148199999999999</v>
          </cell>
        </row>
        <row r="6975">
          <cell r="C6975" t="str">
            <v>Shoper</v>
          </cell>
          <cell r="D6975">
            <v>0.85714299999999999</v>
          </cell>
        </row>
        <row r="6976">
          <cell r="C6976" t="str">
            <v>Dollar Industries</v>
          </cell>
          <cell r="D6976">
            <v>13.485099999999999</v>
          </cell>
        </row>
        <row r="6977">
          <cell r="C6977" t="str">
            <v>XOMA</v>
          </cell>
          <cell r="D6977">
            <v>1194.3699999999999</v>
          </cell>
        </row>
        <row r="6978">
          <cell r="C6978" t="str">
            <v>Aldeyra Therapeutics</v>
          </cell>
          <cell r="D6978">
            <v>170024</v>
          </cell>
        </row>
        <row r="6979">
          <cell r="C6979" t="str">
            <v>Maytronics</v>
          </cell>
          <cell r="D6979">
            <v>13</v>
          </cell>
        </row>
        <row r="6980">
          <cell r="C6980" t="str">
            <v>Liva Group</v>
          </cell>
          <cell r="D6980">
            <v>6.77</v>
          </cell>
        </row>
        <row r="6981">
          <cell r="C6981" t="str">
            <v>Chargeurs</v>
          </cell>
          <cell r="D6981">
            <v>33.53</v>
          </cell>
        </row>
        <row r="6982">
          <cell r="C6982" t="str">
            <v>Kuwait Reinsurance Company</v>
          </cell>
          <cell r="D6982">
            <v>15.21</v>
          </cell>
        </row>
        <row r="6983">
          <cell r="C6983" t="str">
            <v>Wendt India</v>
          </cell>
          <cell r="D6983">
            <v>23.798100000000002</v>
          </cell>
        </row>
        <row r="6984">
          <cell r="C6984" t="str">
            <v>Barnes &amp;amp; Noble Education</v>
          </cell>
          <cell r="D6984">
            <v>5.03477</v>
          </cell>
        </row>
        <row r="6985">
          <cell r="C6985" t="str">
            <v>Sight Sciences</v>
          </cell>
          <cell r="D6985">
            <v>3.7581500000000001</v>
          </cell>
        </row>
        <row r="6986">
          <cell r="C6986" t="str">
            <v>Regional Management</v>
          </cell>
          <cell r="D6986">
            <v>5.29</v>
          </cell>
        </row>
        <row r="6987">
          <cell r="C6987" t="str">
            <v>Sleep Number</v>
          </cell>
          <cell r="D6987">
            <v>33.93</v>
          </cell>
        </row>
        <row r="6988">
          <cell r="C6988" t="str">
            <v>Rane Holdings</v>
          </cell>
          <cell r="D6988">
            <v>57.45</v>
          </cell>
        </row>
        <row r="6989">
          <cell r="C6989" t="str">
            <v>GE Power India</v>
          </cell>
          <cell r="D6989">
            <v>18.989999999999998</v>
          </cell>
        </row>
        <row r="6990">
          <cell r="C6990" t="str">
            <v>kneat.com</v>
          </cell>
          <cell r="D6990">
            <v>7.69</v>
          </cell>
        </row>
        <row r="6991">
          <cell r="C6991" t="str">
            <v>Oil States International</v>
          </cell>
          <cell r="D6991">
            <v>2.29</v>
          </cell>
        </row>
        <row r="6992">
          <cell r="C6992" t="str">
            <v>Unity Bancorp</v>
          </cell>
          <cell r="D6992">
            <v>8.58</v>
          </cell>
        </row>
        <row r="6993">
          <cell r="C6993" t="str">
            <v>Orange County Bancorp</v>
          </cell>
          <cell r="D6993">
            <v>24.948799999999999</v>
          </cell>
        </row>
        <row r="6994">
          <cell r="C6994" t="str">
            <v>BRT Apartments</v>
          </cell>
          <cell r="D6994">
            <v>16.828900000000001</v>
          </cell>
        </row>
        <row r="6995">
          <cell r="C6995" t="str">
            <v>Himalaya Shipping</v>
          </cell>
          <cell r="D6995">
            <v>0.75673500000000005</v>
          </cell>
        </row>
        <row r="6996">
          <cell r="C6996" t="str">
            <v>W&amp;amp;T Offshore</v>
          </cell>
          <cell r="D6996">
            <v>2</v>
          </cell>
        </row>
        <row r="6997">
          <cell r="C6997" t="str">
            <v>Arteris</v>
          </cell>
          <cell r="D6997">
            <v>10.56</v>
          </cell>
        </row>
        <row r="6998">
          <cell r="C6998" t="str">
            <v>Glarner Kantonalbank</v>
          </cell>
          <cell r="D6998">
            <v>6.54</v>
          </cell>
        </row>
        <row r="6999">
          <cell r="C6999" t="str">
            <v>Naqi Water Company</v>
          </cell>
          <cell r="D6999">
            <v>1.27216</v>
          </cell>
        </row>
        <row r="7000">
          <cell r="C7000" t="str">
            <v>Filatex India</v>
          </cell>
          <cell r="D7000">
            <v>19.95</v>
          </cell>
        </row>
        <row r="7001">
          <cell r="C7001" t="str">
            <v>Talkspace</v>
          </cell>
          <cell r="D7001">
            <v>25.864899999999999</v>
          </cell>
        </row>
        <row r="7002">
          <cell r="C7002" t="str">
            <v>Logistic Properties of the Americas</v>
          </cell>
          <cell r="D7002">
            <v>325</v>
          </cell>
        </row>
        <row r="7003">
          <cell r="C7003" t="str">
            <v>Denny's</v>
          </cell>
          <cell r="D7003">
            <v>6.63</v>
          </cell>
        </row>
        <row r="7004">
          <cell r="C7004" t="str">
            <v>Southern Cross Electrical Engineering</v>
          </cell>
          <cell r="D7004">
            <v>33.5321</v>
          </cell>
        </row>
        <row r="7005">
          <cell r="C7005" t="str">
            <v>West Bancorporation</v>
          </cell>
          <cell r="D7005">
            <v>1.87</v>
          </cell>
        </row>
        <row r="7006">
          <cell r="C7006" t="str">
            <v>JDC Group AG</v>
          </cell>
          <cell r="D7006">
            <v>12.1662</v>
          </cell>
        </row>
        <row r="7007">
          <cell r="C7007" t="str">
            <v>Al Baraka Group</v>
          </cell>
          <cell r="D7007">
            <v>8.4179200000000005</v>
          </cell>
        </row>
        <row r="7008">
          <cell r="C7008" t="str">
            <v>Nikola</v>
          </cell>
          <cell r="D7008">
            <v>2.7355</v>
          </cell>
        </row>
        <row r="7009">
          <cell r="C7009" t="str">
            <v>Emirates Investment Bank</v>
          </cell>
          <cell r="D7009">
            <v>0.93857900000000005</v>
          </cell>
        </row>
        <row r="7010">
          <cell r="C7010" t="str">
            <v>Hyliion</v>
          </cell>
          <cell r="D7010">
            <v>2.7608600000000001</v>
          </cell>
        </row>
        <row r="7011">
          <cell r="C7011" t="str">
            <v>Mangalam Cement</v>
          </cell>
          <cell r="D7011">
            <v>4.4800000000000004</v>
          </cell>
        </row>
        <row r="7012">
          <cell r="C7012" t="str">
            <v>Lycopodium</v>
          </cell>
          <cell r="D7012">
            <v>3.1976599999999999</v>
          </cell>
        </row>
        <row r="7013">
          <cell r="C7013" t="str">
            <v>Ice Fish Farm</v>
          </cell>
          <cell r="D7013">
            <v>14.579499999999999</v>
          </cell>
        </row>
        <row r="7014">
          <cell r="C7014" t="str">
            <v>Avacta Group</v>
          </cell>
          <cell r="D7014">
            <v>0.70027499999999998</v>
          </cell>
        </row>
        <row r="7015">
          <cell r="C7015" t="str">
            <v>Select Harvests Limited</v>
          </cell>
          <cell r="D7015">
            <v>3.5994600000000001</v>
          </cell>
        </row>
        <row r="7016">
          <cell r="C7016" t="str">
            <v>OraSure Technologies</v>
          </cell>
          <cell r="D7016">
            <v>6.08</v>
          </cell>
        </row>
        <row r="7017">
          <cell r="C7017" t="str">
            <v>B Communications</v>
          </cell>
          <cell r="D7017">
            <v>22.2608</v>
          </cell>
        </row>
        <row r="7018">
          <cell r="C7018" t="str">
            <v>Nelco</v>
          </cell>
          <cell r="D7018">
            <v>1796.47</v>
          </cell>
        </row>
        <row r="7019">
          <cell r="C7019" t="str">
            <v>Qatar Industrial Manufacturing Company</v>
          </cell>
          <cell r="D7019">
            <v>5.53</v>
          </cell>
        </row>
        <row r="7020">
          <cell r="C7020" t="str">
            <v>Lucky Core Industries (LCI)</v>
          </cell>
          <cell r="D7020">
            <v>2.2090700000000001</v>
          </cell>
        </row>
        <row r="7021">
          <cell r="C7021" t="str">
            <v>Aurora Cannabis</v>
          </cell>
          <cell r="D7021">
            <v>3.2431000000000001</v>
          </cell>
        </row>
        <row r="7022">
          <cell r="C7022" t="str">
            <v>Nilkamal</v>
          </cell>
          <cell r="D7022">
            <v>5.75</v>
          </cell>
        </row>
        <row r="7023">
          <cell r="C7023" t="str">
            <v>Kuwait Insurance Company</v>
          </cell>
          <cell r="D7023">
            <v>20.8995</v>
          </cell>
        </row>
        <row r="7024">
          <cell r="C7024" t="str">
            <v>CS Disco</v>
          </cell>
          <cell r="D7024">
            <v>61.070300000000003</v>
          </cell>
        </row>
        <row r="7025">
          <cell r="C7025" t="str">
            <v>Qatar Islamic Insurance Group</v>
          </cell>
          <cell r="D7025">
            <v>10.7218</v>
          </cell>
        </row>
        <row r="7026">
          <cell r="C7026" t="str">
            <v>Amlak International Finance Company</v>
          </cell>
          <cell r="D7026">
            <v>21.8</v>
          </cell>
        </row>
        <row r="7027">
          <cell r="C7027" t="str">
            <v>Kamada</v>
          </cell>
          <cell r="D7027">
            <v>31.502199999999998</v>
          </cell>
        </row>
        <row r="7028">
          <cell r="C7028" t="str">
            <v>Maruzen</v>
          </cell>
          <cell r="D7028">
            <v>11.7349</v>
          </cell>
        </row>
        <row r="7029">
          <cell r="C7029" t="str">
            <v>Stalprodukt</v>
          </cell>
          <cell r="D7029">
            <v>38.505299999999998</v>
          </cell>
        </row>
        <row r="7030">
          <cell r="C7030" t="str">
            <v>Basler Aktiengesellschaft</v>
          </cell>
          <cell r="D7030">
            <v>13.69</v>
          </cell>
        </row>
        <row r="7031">
          <cell r="C7031" t="str">
            <v>Jasper Therapeutics</v>
          </cell>
          <cell r="D7031">
            <v>10.934799999999999</v>
          </cell>
        </row>
        <row r="7032">
          <cell r="C7032" t="str">
            <v>Brockhaus Technologies</v>
          </cell>
          <cell r="D7032">
            <v>24.68</v>
          </cell>
        </row>
        <row r="7033">
          <cell r="C7033" t="str">
            <v>Group Five Pipe Saudi Company</v>
          </cell>
          <cell r="D7033">
            <v>1.1620900000000001</v>
          </cell>
        </row>
        <row r="7034">
          <cell r="C7034" t="str">
            <v>Synektik Spólka Akcyjna</v>
          </cell>
          <cell r="D7034">
            <v>6.62</v>
          </cell>
        </row>
        <row r="7035">
          <cell r="C7035" t="str">
            <v>Tactile Medical</v>
          </cell>
          <cell r="D7035">
            <v>4.95</v>
          </cell>
        </row>
        <row r="7036">
          <cell r="C7036" t="str">
            <v>Chubb Arabia Cooperative Insurance Company</v>
          </cell>
          <cell r="D7036">
            <v>0.56800499999999998</v>
          </cell>
        </row>
        <row r="7037">
          <cell r="C7037" t="str">
            <v>Intrepid Potash</v>
          </cell>
          <cell r="D7037">
            <v>9.4</v>
          </cell>
        </row>
        <row r="7038">
          <cell r="C7038" t="str">
            <v>Medicare Group</v>
          </cell>
          <cell r="D7038">
            <v>0.206897</v>
          </cell>
        </row>
        <row r="7039">
          <cell r="C7039" t="str">
            <v>NL Industries</v>
          </cell>
          <cell r="D7039">
            <v>2.6</v>
          </cell>
        </row>
        <row r="7040">
          <cell r="C7040" t="str">
            <v>Industrial Logistics Properties Trust</v>
          </cell>
          <cell r="D7040">
            <v>1.55</v>
          </cell>
        </row>
        <row r="7041">
          <cell r="C7041" t="str">
            <v>Grenevia</v>
          </cell>
          <cell r="D7041">
            <v>27.261700000000001</v>
          </cell>
        </row>
        <row r="7042">
          <cell r="C7042" t="str">
            <v>Marine Products Corporation</v>
          </cell>
          <cell r="D7042">
            <v>34.852800000000002</v>
          </cell>
        </row>
        <row r="7043">
          <cell r="C7043" t="str">
            <v>Bank Alfalah</v>
          </cell>
          <cell r="D7043">
            <v>0.47</v>
          </cell>
        </row>
        <row r="7044">
          <cell r="C7044" t="str">
            <v>Nautilus Biotechnology</v>
          </cell>
          <cell r="D7044">
            <v>12.53</v>
          </cell>
        </row>
        <row r="7045">
          <cell r="C7045" t="str">
            <v>Akebia Therapeutics</v>
          </cell>
          <cell r="D7045">
            <v>3.85</v>
          </cell>
        </row>
        <row r="7046">
          <cell r="C7046" t="str">
            <v>Kyokuyo</v>
          </cell>
          <cell r="D7046">
            <v>15.8993</v>
          </cell>
        </row>
        <row r="7047">
          <cell r="C7047" t="str">
            <v>Lumax Industries</v>
          </cell>
          <cell r="D7047">
            <v>1.27</v>
          </cell>
        </row>
        <row r="7048">
          <cell r="C7048" t="str">
            <v>Gulf Medical Projects Company</v>
          </cell>
          <cell r="D7048">
            <v>30.1525</v>
          </cell>
        </row>
        <row r="7049">
          <cell r="C7049" t="str">
            <v>Newtek</v>
          </cell>
          <cell r="D7049">
            <v>2.16</v>
          </cell>
        </row>
        <row r="7050">
          <cell r="C7050" t="str">
            <v>Atea Pharmaceuticals</v>
          </cell>
          <cell r="D7050">
            <v>15.62</v>
          </cell>
        </row>
        <row r="7051">
          <cell r="C7051" t="str">
            <v>Neowiz Games</v>
          </cell>
          <cell r="D7051">
            <v>23.57</v>
          </cell>
        </row>
        <row r="7052">
          <cell r="C7052" t="str">
            <v>Adaptimmune Therapeutics</v>
          </cell>
          <cell r="D7052">
            <v>0.17591599999999999</v>
          </cell>
        </row>
        <row r="7053">
          <cell r="C7053" t="str">
            <v>Devsisters</v>
          </cell>
          <cell r="D7053">
            <v>0.23854400000000001</v>
          </cell>
        </row>
        <row r="7054">
          <cell r="C7054" t="str">
            <v>Emirates Insurance Company</v>
          </cell>
          <cell r="D7054">
            <v>4.4986699999999998E-2</v>
          </cell>
        </row>
        <row r="7055">
          <cell r="C7055" t="str">
            <v>Turtle Beach Corp</v>
          </cell>
          <cell r="D7055">
            <v>10.119999999999999</v>
          </cell>
        </row>
        <row r="7056">
          <cell r="C7056" t="str">
            <v>Saratoga Investment</v>
          </cell>
          <cell r="D7056">
            <v>5.0999999999999996</v>
          </cell>
        </row>
        <row r="7057">
          <cell r="C7057" t="str">
            <v>Dish TV</v>
          </cell>
          <cell r="D7057">
            <v>5.21</v>
          </cell>
        </row>
        <row r="7058">
          <cell r="C7058" t="str">
            <v>Wing Tai Properties</v>
          </cell>
          <cell r="D7058">
            <v>3.1871700000000001</v>
          </cell>
        </row>
        <row r="7059">
          <cell r="C7059" t="str">
            <v>Arwana Citramulia Tbk</v>
          </cell>
          <cell r="D7059">
            <v>4.07</v>
          </cell>
        </row>
        <row r="7060">
          <cell r="C7060" t="str">
            <v>NANO Nuclear Energy</v>
          </cell>
          <cell r="D7060">
            <v>0.55788499999999996</v>
          </cell>
        </row>
        <row r="7061">
          <cell r="C7061" t="str">
            <v>Transphorm</v>
          </cell>
          <cell r="D7061">
            <v>3.26837</v>
          </cell>
        </row>
        <row r="7062">
          <cell r="C7062" t="str">
            <v>Reitar Logtech Holdings</v>
          </cell>
          <cell r="D7062">
            <v>10376</v>
          </cell>
        </row>
        <row r="7063">
          <cell r="C7063" t="str">
            <v>Kogan.com Ltd</v>
          </cell>
          <cell r="D7063">
            <v>4.7529599999999999</v>
          </cell>
        </row>
        <row r="7064">
          <cell r="C7064" t="str">
            <v>MeiraGTx</v>
          </cell>
          <cell r="D7064">
            <v>15.54</v>
          </cell>
        </row>
        <row r="7065">
          <cell r="C7065" t="str">
            <v>Eagle Nice</v>
          </cell>
          <cell r="D7065">
            <v>0.169289</v>
          </cell>
        </row>
        <row r="7066">
          <cell r="C7066" t="str">
            <v>Servcorp Limited</v>
          </cell>
          <cell r="D7066">
            <v>2.59</v>
          </cell>
        </row>
        <row r="7067">
          <cell r="C7067" t="str">
            <v>Arnarlax (Icelandic Salmon)</v>
          </cell>
          <cell r="D7067">
            <v>19.896100000000001</v>
          </cell>
        </row>
        <row r="7068">
          <cell r="C7068" t="str">
            <v>Anora Group</v>
          </cell>
          <cell r="D7068">
            <v>987</v>
          </cell>
        </row>
        <row r="7069">
          <cell r="C7069" t="str">
            <v>NI Holdings</v>
          </cell>
          <cell r="D7069">
            <v>16.7348</v>
          </cell>
        </row>
        <row r="7070">
          <cell r="C7070" t="str">
            <v>China Yongda Automobiles Services</v>
          </cell>
          <cell r="D7070">
            <v>3.23</v>
          </cell>
        </row>
        <row r="7071">
          <cell r="C7071" t="str">
            <v>Golden Matrix Group</v>
          </cell>
          <cell r="D7071">
            <v>33.380000000000003</v>
          </cell>
        </row>
        <row r="7072">
          <cell r="C7072" t="str">
            <v>Lucas Bols</v>
          </cell>
          <cell r="D7072">
            <v>7.98773</v>
          </cell>
        </row>
        <row r="7073">
          <cell r="C7073" t="str">
            <v>TMC the metals company</v>
          </cell>
          <cell r="D7073">
            <v>11.45</v>
          </cell>
        </row>
        <row r="7074">
          <cell r="C7074" t="str">
            <v>Fastned</v>
          </cell>
          <cell r="D7074">
            <v>10.09</v>
          </cell>
        </row>
        <row r="7075">
          <cell r="C7075" t="str">
            <v>AC Immune</v>
          </cell>
          <cell r="D7075">
            <v>17.337800000000001</v>
          </cell>
        </row>
        <row r="7076">
          <cell r="C7076" t="str">
            <v>Weyco Group</v>
          </cell>
          <cell r="D7076">
            <v>6.75</v>
          </cell>
        </row>
        <row r="7077">
          <cell r="C7077" t="str">
            <v>Wataniya Insurance Company</v>
          </cell>
          <cell r="D7077">
            <v>77.83</v>
          </cell>
        </row>
        <row r="7078">
          <cell r="C7078" t="str">
            <v>SEACOR Marine</v>
          </cell>
          <cell r="D7078">
            <v>0.81540100000000004</v>
          </cell>
        </row>
        <row r="7079">
          <cell r="C7079" t="str">
            <v>Aaron's</v>
          </cell>
          <cell r="D7079">
            <v>1.67</v>
          </cell>
        </row>
        <row r="7080">
          <cell r="C7080" t="str">
            <v>Selvita</v>
          </cell>
          <cell r="D7080">
            <v>3.3910800000000001</v>
          </cell>
        </row>
        <row r="7081">
          <cell r="C7081" t="str">
            <v>Pangaea Logistics Solutions</v>
          </cell>
          <cell r="D7081">
            <v>45.24</v>
          </cell>
        </row>
        <row r="7082">
          <cell r="C7082" t="str">
            <v>Nathan's Famous</v>
          </cell>
          <cell r="D7082">
            <v>28.64</v>
          </cell>
        </row>
        <row r="7083">
          <cell r="C7083" t="str">
            <v>Monash IVF Group</v>
          </cell>
          <cell r="D7083">
            <v>0.81689999999999996</v>
          </cell>
        </row>
        <row r="7084">
          <cell r="C7084" t="str">
            <v>The Original BARK Company</v>
          </cell>
          <cell r="D7084">
            <v>2.80823</v>
          </cell>
        </row>
        <row r="7085">
          <cell r="C7085" t="str">
            <v>Selvaag Bolig</v>
          </cell>
          <cell r="D7085">
            <v>3.73</v>
          </cell>
        </row>
        <row r="7086">
          <cell r="C7086" t="str">
            <v>Euroseas</v>
          </cell>
          <cell r="D7086">
            <v>13.96</v>
          </cell>
        </row>
        <row r="7087">
          <cell r="C7087" t="str">
            <v>CPI Card Group</v>
          </cell>
          <cell r="D7087">
            <v>1.1000000000000001</v>
          </cell>
        </row>
        <row r="7088">
          <cell r="C7088" t="str">
            <v>Newegg</v>
          </cell>
          <cell r="D7088">
            <v>5.35</v>
          </cell>
        </row>
        <row r="7089">
          <cell r="C7089" t="str">
            <v>Australian Ethical Investment Limited</v>
          </cell>
          <cell r="D7089">
            <v>3.31</v>
          </cell>
        </row>
        <row r="7090">
          <cell r="C7090" t="str">
            <v>MYT Netherlands Parent (Mytheresa)</v>
          </cell>
          <cell r="D7090">
            <v>3.19</v>
          </cell>
        </row>
        <row r="7091">
          <cell r="C7091" t="str">
            <v>Cartesian Therapeutics</v>
          </cell>
          <cell r="D7091">
            <v>41.189100000000003</v>
          </cell>
        </row>
        <row r="7092">
          <cell r="C7092" t="str">
            <v>Precigen</v>
          </cell>
          <cell r="D7092">
            <v>6.00352</v>
          </cell>
        </row>
        <row r="7093">
          <cell r="C7093" t="str">
            <v>Materialise NV</v>
          </cell>
          <cell r="D7093">
            <v>36.29</v>
          </cell>
        </row>
        <row r="7094">
          <cell r="C7094" t="str">
            <v>Zhihu</v>
          </cell>
          <cell r="D7094">
            <v>1.9556100000000001</v>
          </cell>
        </row>
        <row r="7095">
          <cell r="C7095" t="str">
            <v>Yatsen Holding</v>
          </cell>
          <cell r="D7095">
            <v>10.73</v>
          </cell>
        </row>
        <row r="7096">
          <cell r="C7096" t="str">
            <v>Lalique Group</v>
          </cell>
          <cell r="D7096">
            <v>9.4271100000000008</v>
          </cell>
        </row>
        <row r="7097">
          <cell r="C7097" t="str">
            <v>MCI Capital Alternatywna Spólka Inwestycyjna</v>
          </cell>
          <cell r="D7097">
            <v>35.89</v>
          </cell>
        </row>
        <row r="7098">
          <cell r="C7098" t="str">
            <v>First Internet Bancorp</v>
          </cell>
          <cell r="D7098">
            <v>8.6879600000000003</v>
          </cell>
        </row>
        <row r="7099">
          <cell r="C7099" t="str">
            <v>Alliance Aviation Services</v>
          </cell>
          <cell r="D7099">
            <v>4.7197800000000001</v>
          </cell>
        </row>
        <row r="7100">
          <cell r="C7100" t="str">
            <v>AudioCodes</v>
          </cell>
          <cell r="D7100">
            <v>9.6300000000000008</v>
          </cell>
        </row>
        <row r="7101">
          <cell r="C7101" t="str">
            <v>Pizza Pizza</v>
          </cell>
          <cell r="D7101">
            <v>2.8857200000000001</v>
          </cell>
        </row>
        <row r="7102">
          <cell r="C7102" t="str">
            <v>Sanara MedTech</v>
          </cell>
          <cell r="D7102">
            <v>2.7755100000000001</v>
          </cell>
        </row>
        <row r="7103">
          <cell r="C7103" t="str">
            <v>Aeroporto G. Marconi Bologna</v>
          </cell>
          <cell r="D7103">
            <v>3.93872</v>
          </cell>
        </row>
        <row r="7104">
          <cell r="C7104" t="str">
            <v>Bafang Yunji</v>
          </cell>
          <cell r="D7104">
            <v>2.5</v>
          </cell>
        </row>
        <row r="7105">
          <cell r="C7105" t="str">
            <v>PepGen</v>
          </cell>
          <cell r="D7105">
            <v>4.97</v>
          </cell>
        </row>
        <row r="7106">
          <cell r="C7106" t="str">
            <v>Al Jouf Cement Company</v>
          </cell>
          <cell r="D7106">
            <v>18.53</v>
          </cell>
        </row>
        <row r="7107">
          <cell r="C7107" t="str">
            <v>Plaza Retail REIT</v>
          </cell>
          <cell r="D7107">
            <v>20.9513</v>
          </cell>
        </row>
        <row r="7108">
          <cell r="C7108" t="str">
            <v>Rupa Company</v>
          </cell>
          <cell r="D7108">
            <v>27.89</v>
          </cell>
        </row>
        <row r="7109">
          <cell r="C7109" t="str">
            <v>Diana Shipping</v>
          </cell>
          <cell r="D7109">
            <v>15.9</v>
          </cell>
        </row>
        <row r="7110">
          <cell r="C7110" t="str">
            <v>Intuitive Machines</v>
          </cell>
          <cell r="D7110">
            <v>45.871600000000001</v>
          </cell>
        </row>
        <row r="7111">
          <cell r="C7111" t="str">
            <v>MasterCraft Boat</v>
          </cell>
          <cell r="D7111">
            <v>4.7206299999999999</v>
          </cell>
        </row>
        <row r="7112">
          <cell r="C7112" t="str">
            <v>Accelya</v>
          </cell>
          <cell r="D7112">
            <v>2.14</v>
          </cell>
        </row>
        <row r="7113">
          <cell r="C7113" t="str">
            <v>First Bancorp</v>
          </cell>
          <cell r="D7113">
            <v>2.7096900000000002</v>
          </cell>
        </row>
        <row r="7114">
          <cell r="C7114" t="str">
            <v>Chicago Atlantic Real Estate Finance</v>
          </cell>
          <cell r="D7114">
            <v>0.58548900000000004</v>
          </cell>
        </row>
        <row r="7115">
          <cell r="C7115" t="str">
            <v>Rosenbauer International</v>
          </cell>
          <cell r="D7115">
            <v>3.4457900000000001</v>
          </cell>
        </row>
        <row r="7116">
          <cell r="C7116" t="str">
            <v>Aljazira Takaful Taawuni Company</v>
          </cell>
          <cell r="D7116">
            <v>0.34499099999999999</v>
          </cell>
        </row>
        <row r="7117">
          <cell r="C7117" t="str">
            <v>3D Systems</v>
          </cell>
          <cell r="D7117">
            <v>20.14</v>
          </cell>
        </row>
        <row r="7118">
          <cell r="C7118" t="str">
            <v>Cenomi Retail (Fawaz Abdulaziz Al Hokair &amp;amp; Company)</v>
          </cell>
          <cell r="D7118">
            <v>0.28537099999999999</v>
          </cell>
        </row>
        <row r="7119">
          <cell r="C7119" t="str">
            <v>Coelacanth Energy</v>
          </cell>
          <cell r="D7119">
            <v>6.4477900000000004</v>
          </cell>
        </row>
        <row r="7120">
          <cell r="C7120" t="str">
            <v>Tabuk Cement Company</v>
          </cell>
          <cell r="D7120">
            <v>3.74</v>
          </cell>
        </row>
        <row r="7121">
          <cell r="C7121" t="str">
            <v>Regal Hotels International</v>
          </cell>
          <cell r="D7121">
            <v>5.29</v>
          </cell>
        </row>
        <row r="7122">
          <cell r="C7122" t="str">
            <v>Citizens &amp;amp; Northern Corp</v>
          </cell>
          <cell r="D7122">
            <v>11.334199999999999</v>
          </cell>
        </row>
        <row r="7123">
          <cell r="C7123" t="str">
            <v>Anaam International</v>
          </cell>
          <cell r="D7123">
            <v>6.98</v>
          </cell>
        </row>
        <row r="7124">
          <cell r="C7124" t="str">
            <v>Payfare Inc.</v>
          </cell>
          <cell r="D7124">
            <v>1.12015</v>
          </cell>
        </row>
        <row r="7125">
          <cell r="C7125" t="str">
            <v>Editas Medicine</v>
          </cell>
          <cell r="D7125">
            <v>3.31229</v>
          </cell>
        </row>
        <row r="7126">
          <cell r="C7126" t="str">
            <v>Vanda Pharmaceuticals</v>
          </cell>
          <cell r="D7126">
            <v>12.69</v>
          </cell>
        </row>
        <row r="7127">
          <cell r="C7127" t="str">
            <v>Gielda Papierów Wartosciowych w Warszawie</v>
          </cell>
          <cell r="D7127">
            <v>19.010000000000002</v>
          </cell>
        </row>
        <row r="7128">
          <cell r="C7128" t="str">
            <v>enGene</v>
          </cell>
          <cell r="D7128">
            <v>8.07972E-2</v>
          </cell>
        </row>
        <row r="7129">
          <cell r="C7129" t="str">
            <v>Fitaihi Holding Group</v>
          </cell>
          <cell r="D7129">
            <v>3.18</v>
          </cell>
        </row>
        <row r="7130">
          <cell r="C7130" t="str">
            <v>Bank Ochrony Srodowiska</v>
          </cell>
          <cell r="D7130">
            <v>9.1199999999999992</v>
          </cell>
        </row>
        <row r="7131">
          <cell r="C7131" t="str">
            <v>Global Water Resources</v>
          </cell>
          <cell r="D7131">
            <v>9.07</v>
          </cell>
        </row>
        <row r="7132">
          <cell r="C7132" t="str">
            <v>American Realty Investors</v>
          </cell>
          <cell r="D7132">
            <v>5.4342199999999998</v>
          </cell>
        </row>
        <row r="7133">
          <cell r="C7133" t="str">
            <v>Shimao Property</v>
          </cell>
          <cell r="D7133">
            <v>2.8162799999999999</v>
          </cell>
        </row>
        <row r="7134">
          <cell r="C7134" t="str">
            <v>Eventbrite</v>
          </cell>
          <cell r="D7134">
            <v>11.29</v>
          </cell>
        </row>
        <row r="7135">
          <cell r="C7135" t="str">
            <v>GEN Restaurant Group</v>
          </cell>
          <cell r="D7135">
            <v>5.85</v>
          </cell>
        </row>
        <row r="7136">
          <cell r="C7136" t="str">
            <v>Vitru</v>
          </cell>
          <cell r="D7136">
            <v>0.159029</v>
          </cell>
        </row>
        <row r="7137">
          <cell r="C7137" t="str">
            <v>Huuuge</v>
          </cell>
          <cell r="D7137">
            <v>5.79</v>
          </cell>
        </row>
        <row r="7138">
          <cell r="C7138" t="str">
            <v>Taiga Building Products</v>
          </cell>
          <cell r="D7138">
            <v>2.01172</v>
          </cell>
        </row>
        <row r="7139">
          <cell r="C7139" t="str">
            <v>Forafric Global PLC</v>
          </cell>
          <cell r="D7139">
            <v>1.49</v>
          </cell>
        </row>
        <row r="7140">
          <cell r="C7140" t="str">
            <v>uniQure</v>
          </cell>
          <cell r="D7140">
            <v>9.4</v>
          </cell>
        </row>
        <row r="7141">
          <cell r="C7141" t="str">
            <v>Chinese Estates Holdings</v>
          </cell>
          <cell r="D7141">
            <v>21.2225</v>
          </cell>
        </row>
        <row r="7142">
          <cell r="C7142" t="str">
            <v>Sterling Bancorp</v>
          </cell>
          <cell r="D7142">
            <v>7.05</v>
          </cell>
        </row>
        <row r="7143">
          <cell r="C7143" t="str">
            <v>WCM Beteiligungs- und Grundbesitz</v>
          </cell>
          <cell r="D7143">
            <v>16</v>
          </cell>
        </row>
        <row r="7144">
          <cell r="C7144" t="str">
            <v>LanzaTech Global</v>
          </cell>
          <cell r="D7144">
            <v>14.87</v>
          </cell>
        </row>
        <row r="7145">
          <cell r="C7145" t="str">
            <v>Immersion Corporation</v>
          </cell>
          <cell r="D7145">
            <v>5.53</v>
          </cell>
        </row>
        <row r="7146">
          <cell r="C7146" t="str">
            <v>OVB Holding</v>
          </cell>
          <cell r="D7146">
            <v>11.22</v>
          </cell>
        </row>
        <row r="7147">
          <cell r="C7147" t="str">
            <v>Iteris</v>
          </cell>
          <cell r="D7147">
            <v>6.6369100000000003</v>
          </cell>
        </row>
        <row r="7148">
          <cell r="C7148" t="str">
            <v>HomeStreet Bank</v>
          </cell>
          <cell r="D7148">
            <v>9.9310799999999997</v>
          </cell>
        </row>
        <row r="7149">
          <cell r="C7149" t="str">
            <v>Spok Holdings</v>
          </cell>
          <cell r="D7149">
            <v>7.46</v>
          </cell>
        </row>
        <row r="7150">
          <cell r="C7150" t="str">
            <v>Alimera Sciences</v>
          </cell>
          <cell r="D7150">
            <v>12.15</v>
          </cell>
        </row>
        <row r="7151">
          <cell r="C7151" t="str">
            <v>Luxfer</v>
          </cell>
          <cell r="D7151">
            <v>6.37</v>
          </cell>
        </row>
        <row r="7152">
          <cell r="C7152" t="str">
            <v>China Motor Bus Company</v>
          </cell>
          <cell r="D7152">
            <v>1655.76</v>
          </cell>
        </row>
        <row r="7153">
          <cell r="C7153" t="str">
            <v>High Liner Foods</v>
          </cell>
          <cell r="D7153">
            <v>543194</v>
          </cell>
        </row>
        <row r="7154">
          <cell r="C7154" t="str">
            <v>AngioDynamics</v>
          </cell>
          <cell r="D7154">
            <v>8.01</v>
          </cell>
        </row>
        <row r="7155">
          <cell r="C7155" t="str">
            <v>Primis Financial</v>
          </cell>
          <cell r="D7155">
            <v>54.840299999999999</v>
          </cell>
        </row>
        <row r="7156">
          <cell r="C7156" t="str">
            <v>Radiant Logistics</v>
          </cell>
          <cell r="D7156">
            <v>3.0904500000000001</v>
          </cell>
        </row>
        <row r="7157">
          <cell r="C7157" t="str">
            <v>Independent Petroleum Group K.S.C.P.</v>
          </cell>
          <cell r="D7157">
            <v>4.6900000000000004</v>
          </cell>
        </row>
        <row r="7158">
          <cell r="C7158" t="str">
            <v>Kuwait Investment Company</v>
          </cell>
          <cell r="D7158">
            <v>7.2167199999999996</v>
          </cell>
        </row>
        <row r="7159">
          <cell r="C7159" t="str">
            <v>Mama's Creations</v>
          </cell>
          <cell r="D7159">
            <v>15.53</v>
          </cell>
        </row>
        <row r="7160">
          <cell r="C7160" t="str">
            <v>StarragTornos Group</v>
          </cell>
          <cell r="D7160">
            <v>17.239999999999998</v>
          </cell>
        </row>
        <row r="7161">
          <cell r="C7161" t="str">
            <v>Hail Cement Company</v>
          </cell>
          <cell r="D7161">
            <v>5.63</v>
          </cell>
        </row>
        <row r="7162">
          <cell r="C7162" t="str">
            <v>Lesaka Technologies</v>
          </cell>
          <cell r="D7162">
            <v>17.122900000000001</v>
          </cell>
        </row>
        <row r="7163">
          <cell r="C7163" t="str">
            <v>Apollo Pipes</v>
          </cell>
          <cell r="D7163">
            <v>7.2378499999999999</v>
          </cell>
        </row>
        <row r="7164">
          <cell r="C7164" t="str">
            <v>M1 Kliniken AG</v>
          </cell>
          <cell r="D7164">
            <v>16.72</v>
          </cell>
        </row>
        <row r="7165">
          <cell r="C7165" t="str">
            <v>IBEX</v>
          </cell>
          <cell r="D7165">
            <v>0.26</v>
          </cell>
        </row>
        <row r="7166">
          <cell r="C7166" t="str">
            <v>TScan Therapeutics</v>
          </cell>
          <cell r="D7166">
            <v>7.6</v>
          </cell>
        </row>
        <row r="7167">
          <cell r="C7167" t="str">
            <v>Aluflexpack AG</v>
          </cell>
          <cell r="D7167">
            <v>0.24360499999999999</v>
          </cell>
        </row>
        <row r="7168">
          <cell r="C7168" t="str">
            <v>PLAID,Inc.</v>
          </cell>
          <cell r="D7168">
            <v>7.47</v>
          </cell>
        </row>
        <row r="7169">
          <cell r="C7169" t="str">
            <v>American Public Education</v>
          </cell>
          <cell r="D7169">
            <v>4.65374</v>
          </cell>
        </row>
        <row r="7170">
          <cell r="C7170" t="str">
            <v>Gulf Pharmaceutical Industries</v>
          </cell>
          <cell r="D7170">
            <v>38.299999999999997</v>
          </cell>
        </row>
        <row r="7171">
          <cell r="C7171" t="str">
            <v>Viemed Healthcare</v>
          </cell>
          <cell r="D7171">
            <v>15.15</v>
          </cell>
        </row>
        <row r="7172">
          <cell r="C7172" t="str">
            <v>Qoria Limited</v>
          </cell>
          <cell r="D7172">
            <v>6.09</v>
          </cell>
        </row>
        <row r="7173">
          <cell r="C7173" t="str">
            <v>Domo</v>
          </cell>
          <cell r="D7173">
            <v>6</v>
          </cell>
        </row>
        <row r="7174">
          <cell r="C7174" t="str">
            <v>ElringKlinger</v>
          </cell>
          <cell r="D7174">
            <v>3.2</v>
          </cell>
        </row>
        <row r="7175">
          <cell r="C7175" t="str">
            <v>Bijou Brigitte</v>
          </cell>
          <cell r="D7175">
            <v>1.55637</v>
          </cell>
        </row>
        <row r="7176">
          <cell r="C7176" t="str">
            <v>Waterstone Financial</v>
          </cell>
          <cell r="D7176">
            <v>9.49</v>
          </cell>
        </row>
        <row r="7177">
          <cell r="C7177" t="str">
            <v>United Homes Group</v>
          </cell>
          <cell r="D7177">
            <v>1.93</v>
          </cell>
        </row>
        <row r="7178">
          <cell r="C7178" t="str">
            <v>Nanobiotix</v>
          </cell>
          <cell r="D7178">
            <v>20.170000000000002</v>
          </cell>
        </row>
        <row r="7179">
          <cell r="C7179" t="str">
            <v>AdTheorent</v>
          </cell>
          <cell r="D7179">
            <v>14.214700000000001</v>
          </cell>
        </row>
        <row r="7180">
          <cell r="C7180" t="str">
            <v>Weebit Nano</v>
          </cell>
          <cell r="D7180">
            <v>7.4731399999999999</v>
          </cell>
        </row>
        <row r="7181">
          <cell r="C7181" t="str">
            <v>Acrivon Therapeutics</v>
          </cell>
          <cell r="D7181">
            <v>1.41</v>
          </cell>
        </row>
        <row r="7182">
          <cell r="C7182" t="str">
            <v>Heron Therapeutics</v>
          </cell>
          <cell r="D7182">
            <v>4.3772599999999997</v>
          </cell>
        </row>
        <row r="7183">
          <cell r="C7183" t="str">
            <v>Gencor Industries</v>
          </cell>
          <cell r="D7183">
            <v>12.27</v>
          </cell>
        </row>
        <row r="7184">
          <cell r="C7184" t="str">
            <v>Semperit</v>
          </cell>
          <cell r="D7184">
            <v>0.90675300000000003</v>
          </cell>
        </row>
        <row r="7185">
          <cell r="C7185" t="str">
            <v>Barbeque Nation Hospitality</v>
          </cell>
          <cell r="D7185">
            <v>3.5039199999999999</v>
          </cell>
        </row>
        <row r="7186">
          <cell r="C7186" t="str">
            <v>Uxin Limited</v>
          </cell>
          <cell r="D7186">
            <v>0.92220000000000002</v>
          </cell>
        </row>
        <row r="7187">
          <cell r="C7187" t="str">
            <v>Kitex Garments</v>
          </cell>
          <cell r="D7187">
            <v>0.69047899999999995</v>
          </cell>
        </row>
        <row r="7188">
          <cell r="C7188" t="str">
            <v>Inogen</v>
          </cell>
          <cell r="D7188">
            <v>2.8755700000000002</v>
          </cell>
        </row>
        <row r="7189">
          <cell r="C7189" t="str">
            <v>Bell Financial Group</v>
          </cell>
          <cell r="D7189">
            <v>27.747699999999998</v>
          </cell>
        </row>
        <row r="7190">
          <cell r="C7190" t="str">
            <v>Intracom Holdings</v>
          </cell>
          <cell r="D7190">
            <v>0.110678</v>
          </cell>
        </row>
        <row r="7191">
          <cell r="C7191" t="str">
            <v>Canaan</v>
          </cell>
          <cell r="D7191">
            <v>5.2088900000000002</v>
          </cell>
        </row>
        <row r="7192">
          <cell r="C7192" t="str">
            <v>REC Silicon</v>
          </cell>
          <cell r="D7192">
            <v>1.4481900000000001</v>
          </cell>
        </row>
        <row r="7193">
          <cell r="C7193" t="str">
            <v>Marimaca Copper</v>
          </cell>
          <cell r="D7193">
            <v>2.58</v>
          </cell>
        </row>
        <row r="7194">
          <cell r="C7194" t="str">
            <v>K-Bro Linen</v>
          </cell>
          <cell r="D7194">
            <v>4.99613</v>
          </cell>
        </row>
        <row r="7195">
          <cell r="C7195" t="str">
            <v>Unitech Group</v>
          </cell>
          <cell r="D7195">
            <v>1.37</v>
          </cell>
        </row>
        <row r="7196">
          <cell r="C7196" t="str">
            <v>Federal-Mogul Goetze</v>
          </cell>
          <cell r="D7196">
            <v>1.0900000000000001</v>
          </cell>
        </row>
        <row r="7197">
          <cell r="C7197" t="str">
            <v>Banan Real Estate Company</v>
          </cell>
          <cell r="D7197">
            <v>0.74096600000000001</v>
          </cell>
        </row>
        <row r="7198">
          <cell r="C7198" t="str">
            <v>Spirit Airlines</v>
          </cell>
          <cell r="D7198">
            <v>814</v>
          </cell>
        </row>
        <row r="7199">
          <cell r="C7199" t="str">
            <v>Hellenic Exchanges (Athens Stock Exchange)</v>
          </cell>
          <cell r="D7199">
            <v>24.21</v>
          </cell>
        </row>
        <row r="7200">
          <cell r="C7200" t="str">
            <v>Wallbox</v>
          </cell>
          <cell r="D7200">
            <v>57.477600000000002</v>
          </cell>
        </row>
        <row r="7201">
          <cell r="C7201" t="str">
            <v>Dada Nexus</v>
          </cell>
          <cell r="D7201">
            <v>7.32</v>
          </cell>
        </row>
        <row r="7202">
          <cell r="C7202" t="str">
            <v>Chalice Mining</v>
          </cell>
          <cell r="D7202">
            <v>2.64</v>
          </cell>
        </row>
        <row r="7203">
          <cell r="C7203" t="str">
            <v>Mobile-health Network Solutions</v>
          </cell>
          <cell r="D7203">
            <v>6.71</v>
          </cell>
        </row>
        <row r="7204">
          <cell r="C7204" t="str">
            <v>AudioEye</v>
          </cell>
          <cell r="D7204">
            <v>0.50470000000000004</v>
          </cell>
        </row>
        <row r="7205">
          <cell r="C7205" t="str">
            <v>Bitcoin Group</v>
          </cell>
          <cell r="D7205">
            <v>7.13</v>
          </cell>
        </row>
        <row r="7206">
          <cell r="C7206" t="str">
            <v>Pulmonx</v>
          </cell>
          <cell r="D7206">
            <v>18.878399999999999</v>
          </cell>
        </row>
        <row r="7207">
          <cell r="C7207" t="str">
            <v>The RealReal</v>
          </cell>
          <cell r="D7207">
            <v>5.2</v>
          </cell>
        </row>
        <row r="7208">
          <cell r="C7208" t="str">
            <v>Hallador Energy Company</v>
          </cell>
          <cell r="D7208">
            <v>9.0812100000000004</v>
          </cell>
        </row>
        <row r="7209">
          <cell r="C7209" t="str">
            <v>P3 Health Partners</v>
          </cell>
          <cell r="D7209">
            <v>1.96</v>
          </cell>
        </row>
        <row r="7210">
          <cell r="C7210" t="str">
            <v>Amplify Energy</v>
          </cell>
          <cell r="D7210">
            <v>19.989999999999998</v>
          </cell>
        </row>
        <row r="7211">
          <cell r="C7211" t="str">
            <v>Sasken Technologies</v>
          </cell>
          <cell r="D7211">
            <v>0.18467900000000001</v>
          </cell>
        </row>
        <row r="7212">
          <cell r="C7212" t="str">
            <v>Prelude Therapeutics</v>
          </cell>
          <cell r="D7212">
            <v>13.1396</v>
          </cell>
        </row>
        <row r="7213">
          <cell r="C7213" t="str">
            <v>Saudi Company for Hardware (SACO)</v>
          </cell>
          <cell r="D7213">
            <v>19.18</v>
          </cell>
        </row>
        <row r="7214">
          <cell r="C7214" t="str">
            <v>Biodesix</v>
          </cell>
          <cell r="D7214">
            <v>34572</v>
          </cell>
        </row>
        <row r="7215">
          <cell r="C7215" t="str">
            <v>John Marshall Bancorp</v>
          </cell>
          <cell r="D7215">
            <v>4.7526299999999999</v>
          </cell>
        </row>
        <row r="7216">
          <cell r="C7216" t="str">
            <v>Prosperity Real Estate Investment Trust</v>
          </cell>
          <cell r="D7216">
            <v>19.2</v>
          </cell>
        </row>
        <row r="7217">
          <cell r="C7217" t="str">
            <v>Brødrene A &amp;amp; O Johansen</v>
          </cell>
          <cell r="D7217">
            <v>5.63</v>
          </cell>
        </row>
        <row r="7218">
          <cell r="C7218" t="str">
            <v>Lifeway Foods</v>
          </cell>
          <cell r="D7218">
            <v>9.9607200000000002</v>
          </cell>
        </row>
        <row r="7219">
          <cell r="C7219" t="str">
            <v>Unimot</v>
          </cell>
          <cell r="D7219">
            <v>7.4</v>
          </cell>
        </row>
        <row r="7220">
          <cell r="C7220" t="str">
            <v>Allianz Saudi Fransi Cooperative Insurance</v>
          </cell>
          <cell r="D7220">
            <v>14.3666</v>
          </cell>
        </row>
        <row r="7221">
          <cell r="C7221" t="str">
            <v>Tectonic Therapeutic</v>
          </cell>
          <cell r="D7221">
            <v>6.3</v>
          </cell>
        </row>
        <row r="7222">
          <cell r="C7222" t="str">
            <v>Cabaletta Bio</v>
          </cell>
          <cell r="D7222">
            <v>2.9</v>
          </cell>
        </row>
        <row r="7223">
          <cell r="C7223" t="str">
            <v>Corby Spirit and Wine</v>
          </cell>
          <cell r="D7223">
            <v>2.66</v>
          </cell>
        </row>
        <row r="7224">
          <cell r="C7224" t="str">
            <v>James River Group</v>
          </cell>
          <cell r="D7224">
            <v>1.4</v>
          </cell>
        </row>
        <row r="7225">
          <cell r="C7225" t="str">
            <v>Astec Lifesciences</v>
          </cell>
          <cell r="D7225">
            <v>4.4800000000000004</v>
          </cell>
        </row>
        <row r="7226">
          <cell r="C7226" t="str">
            <v>Tile Shop Holdings</v>
          </cell>
          <cell r="D7226">
            <v>9.1825399999999995</v>
          </cell>
        </row>
        <row r="7227">
          <cell r="C7227" t="str">
            <v>ADC Therapeutics</v>
          </cell>
          <cell r="D7227">
            <v>19.04</v>
          </cell>
        </row>
        <row r="7228">
          <cell r="C7228" t="str">
            <v>GreenTree Hospitality</v>
          </cell>
          <cell r="D7228">
            <v>14.2</v>
          </cell>
        </row>
        <row r="7229">
          <cell r="C7229" t="str">
            <v>Forge Global</v>
          </cell>
          <cell r="D7229">
            <v>4.6837900000000001</v>
          </cell>
        </row>
        <row r="7230">
          <cell r="C7230" t="str">
            <v>Corvus Pharmaceuticals</v>
          </cell>
          <cell r="D7230">
            <v>2781.41</v>
          </cell>
        </row>
        <row r="7231">
          <cell r="C7231" t="str">
            <v>Melcor Developments</v>
          </cell>
          <cell r="D7231">
            <v>4.1285499999999997</v>
          </cell>
        </row>
        <row r="7232">
          <cell r="C7232" t="str">
            <v>Alpine Income Property Trust</v>
          </cell>
          <cell r="D7232">
            <v>31.22</v>
          </cell>
        </row>
        <row r="7233">
          <cell r="C7233" t="str">
            <v>Grindrod Shipping</v>
          </cell>
          <cell r="D7233">
            <v>0.224437</v>
          </cell>
        </row>
        <row r="7234">
          <cell r="C7234" t="str">
            <v>Orascom Development</v>
          </cell>
          <cell r="D7234">
            <v>1.55637</v>
          </cell>
        </row>
        <row r="7235">
          <cell r="C7235" t="str">
            <v>Kuwait Portland Cement</v>
          </cell>
          <cell r="D7235">
            <v>1.07</v>
          </cell>
        </row>
        <row r="7236">
          <cell r="C7236" t="str">
            <v>Methanol Chemicals Company</v>
          </cell>
          <cell r="D7236">
            <v>1.73</v>
          </cell>
        </row>
        <row r="7237">
          <cell r="C7237" t="str">
            <v>Southern States Bancshares</v>
          </cell>
          <cell r="D7237">
            <v>2.86</v>
          </cell>
        </row>
        <row r="7238">
          <cell r="C7238" t="str">
            <v>Pico Far East Holdings</v>
          </cell>
          <cell r="D7238">
            <v>9.9886099999999995</v>
          </cell>
        </row>
        <row r="7239">
          <cell r="C7239" t="str">
            <v>Bannerman Energy</v>
          </cell>
          <cell r="D7239">
            <v>3.0855999999999999</v>
          </cell>
        </row>
        <row r="7240">
          <cell r="C7240" t="str">
            <v>NWTN Inc.</v>
          </cell>
          <cell r="D7240">
            <v>11</v>
          </cell>
        </row>
        <row r="7241">
          <cell r="C7241" t="str">
            <v>LexinFintech Holdings</v>
          </cell>
          <cell r="D7241">
            <v>0.86229800000000001</v>
          </cell>
        </row>
        <row r="7242">
          <cell r="C7242" t="str">
            <v>Poseida Therapeutics</v>
          </cell>
          <cell r="D7242">
            <v>12.45</v>
          </cell>
        </row>
        <row r="7243">
          <cell r="C7243" t="str">
            <v>Gobarto</v>
          </cell>
          <cell r="D7243">
            <v>11.89</v>
          </cell>
        </row>
        <row r="7244">
          <cell r="C7244" t="str">
            <v>Opthea</v>
          </cell>
          <cell r="D7244">
            <v>26.804500000000001</v>
          </cell>
        </row>
        <row r="7245">
          <cell r="C7245" t="str">
            <v>Pioneer Bancorp</v>
          </cell>
          <cell r="D7245">
            <v>32.951300000000003</v>
          </cell>
        </row>
        <row r="7246">
          <cell r="C7246" t="str">
            <v>APM Terminals Bahrain</v>
          </cell>
          <cell r="D7246">
            <v>2.99</v>
          </cell>
        </row>
        <row r="7247">
          <cell r="C7247" t="str">
            <v>Ranger Energy Services</v>
          </cell>
          <cell r="D7247">
            <v>6.24</v>
          </cell>
        </row>
        <row r="7248">
          <cell r="C7248" t="str">
            <v>WhiteHorse Finance</v>
          </cell>
          <cell r="D7248">
            <v>12.88</v>
          </cell>
        </row>
        <row r="7249">
          <cell r="C7249" t="str">
            <v>Immobel</v>
          </cell>
          <cell r="D7249">
            <v>18.711600000000001</v>
          </cell>
        </row>
        <row r="7250">
          <cell r="C7250" t="str">
            <v>CALIDA Holding</v>
          </cell>
          <cell r="D7250">
            <v>1.5496000000000001</v>
          </cell>
        </row>
        <row r="7251">
          <cell r="C7251" t="str">
            <v>Metalla Royalty &amp; Streaming</v>
          </cell>
          <cell r="D7251">
            <v>8</v>
          </cell>
        </row>
        <row r="7252">
          <cell r="C7252" t="str">
            <v>FutureFuel</v>
          </cell>
          <cell r="D7252">
            <v>7.0703300000000002</v>
          </cell>
        </row>
        <row r="7253">
          <cell r="C7253" t="str">
            <v>Enanta Pharmaceuticals</v>
          </cell>
          <cell r="D7253">
            <v>10.4</v>
          </cell>
        </row>
        <row r="7254">
          <cell r="C7254" t="str">
            <v>Feintool International</v>
          </cell>
          <cell r="D7254">
            <v>0.31373600000000001</v>
          </cell>
        </row>
        <row r="7255">
          <cell r="C7255" t="str">
            <v>Argo Global Listed Infrastructure</v>
          </cell>
          <cell r="D7255">
            <v>19.260000000000002</v>
          </cell>
        </row>
        <row r="7256">
          <cell r="C7256" t="str">
            <v>Nyxoah</v>
          </cell>
          <cell r="D7256">
            <v>13.51</v>
          </cell>
        </row>
        <row r="7257">
          <cell r="C7257" t="str">
            <v>Total Energy Services</v>
          </cell>
          <cell r="D7257">
            <v>15604</v>
          </cell>
        </row>
        <row r="7258">
          <cell r="C7258" t="str">
            <v>Ooma</v>
          </cell>
          <cell r="D7258">
            <v>27.246600000000001</v>
          </cell>
        </row>
        <row r="7259">
          <cell r="C7259" t="str">
            <v>Qatar General Insurance &amp; Reinsurance Company</v>
          </cell>
          <cell r="D7259">
            <v>20.1614</v>
          </cell>
        </row>
        <row r="7260">
          <cell r="C7260" t="str">
            <v>PCB Bancorp</v>
          </cell>
          <cell r="D7260">
            <v>1.0581199999999999</v>
          </cell>
        </row>
        <row r="7261">
          <cell r="C7261" t="str">
            <v>Park Aerospace</v>
          </cell>
          <cell r="D7261">
            <v>3.53</v>
          </cell>
        </row>
        <row r="7262">
          <cell r="C7262" t="str">
            <v>Enter Air</v>
          </cell>
          <cell r="D7262">
            <v>7.9936099999999996E-2</v>
          </cell>
        </row>
        <row r="7263">
          <cell r="C7263" t="str">
            <v>Eurobio Scientific</v>
          </cell>
          <cell r="D7263">
            <v>79055</v>
          </cell>
        </row>
        <row r="7264">
          <cell r="C7264" t="str">
            <v>Remedy Entertainment</v>
          </cell>
          <cell r="D7264">
            <v>1.4918800000000001</v>
          </cell>
        </row>
        <row r="7265">
          <cell r="C7265" t="str">
            <v>Sanghi Industries</v>
          </cell>
          <cell r="D7265">
            <v>3</v>
          </cell>
        </row>
        <row r="7266">
          <cell r="C7266" t="str">
            <v>Performant Financial</v>
          </cell>
          <cell r="D7266">
            <v>0.38538499999999998</v>
          </cell>
        </row>
        <row r="7267">
          <cell r="C7267" t="str">
            <v>Eik fasteignafélag</v>
          </cell>
          <cell r="D7267">
            <v>9.9600000000000009</v>
          </cell>
        </row>
        <row r="7268">
          <cell r="C7268" t="str">
            <v>Mo-BRUK S.A.</v>
          </cell>
          <cell r="D7268">
            <v>3.65</v>
          </cell>
        </row>
        <row r="7269">
          <cell r="C7269" t="str">
            <v>Omaxe</v>
          </cell>
          <cell r="D7269">
            <v>14.5905</v>
          </cell>
        </row>
        <row r="7270">
          <cell r="C7270" t="str">
            <v>TrueCar</v>
          </cell>
          <cell r="D7270">
            <v>21</v>
          </cell>
        </row>
        <row r="7271">
          <cell r="C7271" t="str">
            <v>Ascot Resources</v>
          </cell>
          <cell r="D7271">
            <v>0.17887900000000001</v>
          </cell>
        </row>
        <row r="7272">
          <cell r="C7272" t="str">
            <v>Matrix Service</v>
          </cell>
          <cell r="D7272">
            <v>2.27617</v>
          </cell>
        </row>
        <row r="7273">
          <cell r="C7273" t="str">
            <v>Telos</v>
          </cell>
          <cell r="D7273">
            <v>0.57719100000000001</v>
          </cell>
        </row>
        <row r="7274">
          <cell r="C7274" t="str">
            <v>Toscana Aeroporti</v>
          </cell>
          <cell r="D7274">
            <v>15.53</v>
          </cell>
        </row>
        <row r="7275">
          <cell r="C7275" t="str">
            <v>MVB Financial</v>
          </cell>
          <cell r="D7275">
            <v>0.71051600000000004</v>
          </cell>
        </row>
        <row r="7276">
          <cell r="C7276" t="str">
            <v>Faysal Bank</v>
          </cell>
          <cell r="D7276">
            <v>5.09</v>
          </cell>
        </row>
        <row r="7277">
          <cell r="C7277" t="str">
            <v>Parag Milk Foods</v>
          </cell>
          <cell r="D7277">
            <v>24.64</v>
          </cell>
        </row>
        <row r="7278">
          <cell r="C7278" t="str">
            <v>Pakistan State Oil Company</v>
          </cell>
          <cell r="D7278">
            <v>22.5489</v>
          </cell>
        </row>
        <row r="7279">
          <cell r="C7279" t="str">
            <v>IVU Traffic Technologies</v>
          </cell>
          <cell r="D7279">
            <v>6.5436100000000001</v>
          </cell>
        </row>
        <row r="7280">
          <cell r="C7280" t="str">
            <v>Cettire Limited</v>
          </cell>
          <cell r="D7280">
            <v>2.1630400000000001</v>
          </cell>
        </row>
        <row r="7281">
          <cell r="C7281" t="str">
            <v>AerSale</v>
          </cell>
          <cell r="D7281">
            <v>4.75</v>
          </cell>
        </row>
        <row r="7282">
          <cell r="C7282" t="str">
            <v>Jakks Pacific</v>
          </cell>
          <cell r="D7282">
            <v>1.7855099999999999</v>
          </cell>
        </row>
        <row r="7283">
          <cell r="C7283" t="str">
            <v>PharmaSGP</v>
          </cell>
          <cell r="D7283">
            <v>11.54</v>
          </cell>
        </row>
        <row r="7284">
          <cell r="C7284" t="str">
            <v>MAX Automation</v>
          </cell>
          <cell r="D7284">
            <v>5.3728800000000003</v>
          </cell>
        </row>
        <row r="7285">
          <cell r="C7285" t="str">
            <v>Restaurant Brands New Zealand</v>
          </cell>
          <cell r="D7285">
            <v>0.60009999999999997</v>
          </cell>
        </row>
        <row r="7286">
          <cell r="C7286" t="str">
            <v>Design Therapeutics</v>
          </cell>
          <cell r="D7286">
            <v>1.83</v>
          </cell>
        </row>
        <row r="7287">
          <cell r="C7287" t="str">
            <v>Navkar Corp</v>
          </cell>
          <cell r="D7287">
            <v>18.072299999999998</v>
          </cell>
        </row>
        <row r="7288">
          <cell r="C7288" t="str">
            <v>Artiva Biotherapeutics</v>
          </cell>
          <cell r="D7288">
            <v>6.45</v>
          </cell>
        </row>
        <row r="7289">
          <cell r="C7289" t="str">
            <v>Vidhi Specialty Food</v>
          </cell>
          <cell r="D7289">
            <v>16.97</v>
          </cell>
        </row>
        <row r="7290">
          <cell r="C7290" t="str">
            <v>Qurate Retail Group</v>
          </cell>
          <cell r="D7290">
            <v>15.45</v>
          </cell>
        </row>
        <row r="7291">
          <cell r="C7291" t="str">
            <v>Innovid</v>
          </cell>
          <cell r="D7291">
            <v>8.4839099999999998</v>
          </cell>
        </row>
        <row r="7292">
          <cell r="C7292" t="str">
            <v>Ekopak</v>
          </cell>
          <cell r="D7292">
            <v>8.0579199999999993</v>
          </cell>
        </row>
        <row r="7293">
          <cell r="C7293" t="str">
            <v>ON24</v>
          </cell>
          <cell r="D7293">
            <v>2.19</v>
          </cell>
        </row>
        <row r="7294">
          <cell r="C7294" t="str">
            <v>Civista Bancshares</v>
          </cell>
          <cell r="D7294">
            <v>29.512499999999999</v>
          </cell>
        </row>
        <row r="7295">
          <cell r="C7295" t="str">
            <v>Cooper Standard</v>
          </cell>
          <cell r="D7295">
            <v>4.6500000000000004</v>
          </cell>
        </row>
        <row r="7296">
          <cell r="C7296" t="str">
            <v>Igarashi Motors India</v>
          </cell>
          <cell r="D7296">
            <v>32.479999999999997</v>
          </cell>
        </row>
        <row r="7297">
          <cell r="C7297" t="str">
            <v>VIB Vermögen</v>
          </cell>
          <cell r="D7297">
            <v>52.393099999999997</v>
          </cell>
        </row>
        <row r="7298">
          <cell r="C7298" t="str">
            <v>Uranium Royalty</v>
          </cell>
          <cell r="D7298">
            <v>5.8117799999999997</v>
          </cell>
        </row>
        <row r="7299">
          <cell r="C7299" t="str">
            <v>Hawesko</v>
          </cell>
          <cell r="D7299">
            <v>52.945700000000002</v>
          </cell>
        </row>
        <row r="7300">
          <cell r="C7300" t="str">
            <v>Seritage Growth Properties</v>
          </cell>
          <cell r="D7300">
            <v>11.3</v>
          </cell>
        </row>
        <row r="7301">
          <cell r="C7301" t="str">
            <v>Southern First Bancshares</v>
          </cell>
          <cell r="D7301">
            <v>4.76</v>
          </cell>
        </row>
        <row r="7302">
          <cell r="C7302" t="str">
            <v>Uzin Utz</v>
          </cell>
          <cell r="D7302">
            <v>9.2339699999999997E-2</v>
          </cell>
        </row>
        <row r="7303">
          <cell r="C7303" t="str">
            <v>Siyaram Silk Mills</v>
          </cell>
          <cell r="D7303">
            <v>6.1014699999999999</v>
          </cell>
        </row>
        <row r="7304">
          <cell r="C7304" t="str">
            <v>All for One Group</v>
          </cell>
          <cell r="D7304">
            <v>4.5999999999999996</v>
          </cell>
        </row>
        <row r="7305">
          <cell r="C7305" t="str">
            <v>Angel Oak REIT</v>
          </cell>
          <cell r="D7305">
            <v>6.11</v>
          </cell>
        </row>
        <row r="7306">
          <cell r="C7306" t="str">
            <v>Rezolute</v>
          </cell>
          <cell r="D7306">
            <v>3.45</v>
          </cell>
        </row>
        <row r="7307">
          <cell r="C7307" t="str">
            <v>CMGE Technology Group</v>
          </cell>
          <cell r="D7307">
            <v>21.52</v>
          </cell>
        </row>
        <row r="7308">
          <cell r="C7308" t="str">
            <v>Zumtobel Group</v>
          </cell>
          <cell r="D7308">
            <v>11.14</v>
          </cell>
        </row>
        <row r="7309">
          <cell r="C7309" t="str">
            <v>Gilat Satellite Networks</v>
          </cell>
          <cell r="D7309">
            <v>6.3512799999999999E-3</v>
          </cell>
        </row>
        <row r="7310">
          <cell r="C7310" t="str">
            <v>Backblaze</v>
          </cell>
          <cell r="D7310">
            <v>4.13</v>
          </cell>
        </row>
        <row r="7311">
          <cell r="C7311" t="str">
            <v>ChromaDex</v>
          </cell>
          <cell r="D7311">
            <v>3.0312000000000001</v>
          </cell>
        </row>
        <row r="7312">
          <cell r="C7312" t="str">
            <v>Contango Ore</v>
          </cell>
          <cell r="D7312">
            <v>30.07</v>
          </cell>
        </row>
        <row r="7313">
          <cell r="C7313" t="str">
            <v>Slam Corp</v>
          </cell>
          <cell r="D7313">
            <v>5.2006899999999998</v>
          </cell>
        </row>
        <row r="7314">
          <cell r="C7314" t="str">
            <v>Icelandair</v>
          </cell>
          <cell r="D7314">
            <v>1.0048699999999999</v>
          </cell>
        </row>
        <row r="7315">
          <cell r="C7315" t="str">
            <v>Zura Bio</v>
          </cell>
          <cell r="D7315">
            <v>25.643899999999999</v>
          </cell>
        </row>
        <row r="7316">
          <cell r="C7316" t="str">
            <v>Calfrac Well Services</v>
          </cell>
          <cell r="D7316">
            <v>0.24629999999999999</v>
          </cell>
        </row>
        <row r="7317">
          <cell r="C7317" t="str">
            <v>Transcontinental Realty Investors</v>
          </cell>
          <cell r="D7317">
            <v>3.0777399999999999</v>
          </cell>
        </row>
        <row r="7318">
          <cell r="C7318" t="str">
            <v>Al-Etihad Cooperative Insurance</v>
          </cell>
          <cell r="D7318">
            <v>0.27012999999999998</v>
          </cell>
        </row>
        <row r="7319">
          <cell r="C7319" t="str">
            <v>Magnetic Resources NL</v>
          </cell>
          <cell r="D7319">
            <v>0.71889099999999995</v>
          </cell>
        </row>
        <row r="7320">
          <cell r="C7320" t="str">
            <v>Bertrandt</v>
          </cell>
          <cell r="D7320">
            <v>0.62549999999999994</v>
          </cell>
        </row>
        <row r="7321">
          <cell r="C7321" t="str">
            <v>Habib Metropolitan Bank</v>
          </cell>
          <cell r="D7321">
            <v>16.580100000000002</v>
          </cell>
        </row>
        <row r="7322">
          <cell r="C7322" t="str">
            <v>Khaleeji Bank</v>
          </cell>
          <cell r="D7322">
            <v>23.03</v>
          </cell>
        </row>
        <row r="7323">
          <cell r="C7323" t="str">
            <v>Sembcorp Salalah Power &amp; Water Company</v>
          </cell>
          <cell r="D7323">
            <v>8.1301400000000008</v>
          </cell>
        </row>
        <row r="7324">
          <cell r="C7324" t="str">
            <v>Pine Cliff Energy</v>
          </cell>
          <cell r="D7324">
            <v>34.011400000000002</v>
          </cell>
        </row>
        <row r="7325">
          <cell r="C7325" t="str">
            <v>Amarin Corporation</v>
          </cell>
          <cell r="D7325">
            <v>10.65</v>
          </cell>
        </row>
        <row r="7326">
          <cell r="C7326" t="str">
            <v>Surteco Group</v>
          </cell>
          <cell r="D7326">
            <v>19.358899999999998</v>
          </cell>
        </row>
        <row r="7327">
          <cell r="C7327" t="str">
            <v>BayCom (United Business Bank)</v>
          </cell>
          <cell r="D7327">
            <v>37.24</v>
          </cell>
        </row>
        <row r="7328">
          <cell r="C7328" t="str">
            <v>Kits Eyecare</v>
          </cell>
          <cell r="D7328">
            <v>1.43</v>
          </cell>
        </row>
        <row r="7329">
          <cell r="C7329" t="str">
            <v>Hyderabad Industries Limited</v>
          </cell>
          <cell r="D7329">
            <v>2.98</v>
          </cell>
        </row>
        <row r="7330">
          <cell r="C7330" t="str">
            <v>Pure Cycle (water)</v>
          </cell>
          <cell r="D7330">
            <v>4.6023899999999998</v>
          </cell>
        </row>
        <row r="7331">
          <cell r="C7331" t="str">
            <v>Bellevue Group</v>
          </cell>
          <cell r="D7331">
            <v>0.89378199999999997</v>
          </cell>
        </row>
        <row r="7332">
          <cell r="C7332" t="str">
            <v>Princeton Bancorp</v>
          </cell>
          <cell r="D7332">
            <v>13.8</v>
          </cell>
        </row>
        <row r="7333">
          <cell r="C7333" t="str">
            <v>Solid Power</v>
          </cell>
          <cell r="D7333">
            <v>5.09</v>
          </cell>
        </row>
        <row r="7334">
          <cell r="C7334" t="str">
            <v>Ceragon Networks</v>
          </cell>
          <cell r="D7334">
            <v>2.1247799999999999</v>
          </cell>
        </row>
        <row r="7335">
          <cell r="C7335" t="str">
            <v>Lithium Royalty Corp.</v>
          </cell>
          <cell r="D7335">
            <v>11.34</v>
          </cell>
        </row>
        <row r="7336">
          <cell r="C7336" t="str">
            <v>Orrön Energy</v>
          </cell>
          <cell r="D7336">
            <v>3.84</v>
          </cell>
        </row>
        <row r="7337">
          <cell r="C7337" t="str">
            <v>Nature's Sunshine Products</v>
          </cell>
          <cell r="D7337">
            <v>1.46</v>
          </cell>
        </row>
        <row r="7338">
          <cell r="C7338" t="str">
            <v>scPharmaceuticals</v>
          </cell>
          <cell r="D7338">
            <v>10.9748</v>
          </cell>
        </row>
        <row r="7339">
          <cell r="C7339" t="str">
            <v>ReadyTech Holdings</v>
          </cell>
          <cell r="D7339">
            <v>4.1867299999999998</v>
          </cell>
        </row>
        <row r="7340">
          <cell r="C7340" t="str">
            <v>Ponce Financial Group</v>
          </cell>
          <cell r="D7340">
            <v>2.59415</v>
          </cell>
        </row>
        <row r="7341">
          <cell r="C7341" t="str">
            <v>SOPHiA GENETICS</v>
          </cell>
          <cell r="D7341">
            <v>6.7</v>
          </cell>
        </row>
        <row r="7342">
          <cell r="C7342" t="str">
            <v>New Pacific Metals</v>
          </cell>
          <cell r="D7342">
            <v>7.86</v>
          </cell>
        </row>
        <row r="7343">
          <cell r="C7343" t="str">
            <v>Wafrah for Industry and Development Company</v>
          </cell>
          <cell r="D7343">
            <v>1.0598099999999999</v>
          </cell>
        </row>
        <row r="7344">
          <cell r="C7344" t="str">
            <v>Marvelous</v>
          </cell>
          <cell r="D7344">
            <v>2794.5</v>
          </cell>
        </row>
        <row r="7345">
          <cell r="C7345" t="str">
            <v>Abbott Laboratories (Pakistan)</v>
          </cell>
          <cell r="D7345">
            <v>7.56</v>
          </cell>
        </row>
        <row r="7346">
          <cell r="C7346" t="str">
            <v>Orchestra BioMed</v>
          </cell>
          <cell r="D7346">
            <v>4.74</v>
          </cell>
        </row>
        <row r="7347">
          <cell r="C7347" t="str">
            <v>Zynex</v>
          </cell>
          <cell r="D7347">
            <v>15.53</v>
          </cell>
        </row>
        <row r="7348">
          <cell r="C7348" t="str">
            <v>G2 Goldfields</v>
          </cell>
          <cell r="D7348">
            <v>0.20638799999999999</v>
          </cell>
        </row>
        <row r="7349">
          <cell r="C7349" t="str">
            <v>National Petroleum Services Company</v>
          </cell>
          <cell r="D7349">
            <v>5.0999999999999996</v>
          </cell>
        </row>
        <row r="7350">
          <cell r="C7350" t="str">
            <v>orion-group-holdings</v>
          </cell>
          <cell r="D7350">
            <v>4.87</v>
          </cell>
        </row>
        <row r="7351">
          <cell r="C7351" t="str">
            <v>Paysign</v>
          </cell>
          <cell r="D7351">
            <v>20.5</v>
          </cell>
        </row>
        <row r="7352">
          <cell r="C7352" t="str">
            <v>Virco Manufacturing</v>
          </cell>
          <cell r="D7352">
            <v>1.14554</v>
          </cell>
        </row>
        <row r="7353">
          <cell r="C7353" t="str">
            <v>Mount Gibson Iron</v>
          </cell>
          <cell r="D7353">
            <v>12.98</v>
          </cell>
        </row>
        <row r="7354">
          <cell r="C7354" t="str">
            <v>Outbrain</v>
          </cell>
          <cell r="D7354">
            <v>6.82</v>
          </cell>
        </row>
        <row r="7355">
          <cell r="C7355" t="str">
            <v>2seventy bio</v>
          </cell>
          <cell r="D7355">
            <v>31.23</v>
          </cell>
        </row>
        <row r="7356">
          <cell r="C7356" t="str">
            <v>Parke Bancorp</v>
          </cell>
          <cell r="D7356">
            <v>0.51673899999999995</v>
          </cell>
        </row>
        <row r="7357">
          <cell r="C7357" t="str">
            <v>Jagran Prakashan</v>
          </cell>
          <cell r="D7357">
            <v>10272</v>
          </cell>
        </row>
        <row r="7358">
          <cell r="C7358" t="str">
            <v>Caledonia Mining</v>
          </cell>
          <cell r="D7358">
            <v>5.59</v>
          </cell>
        </row>
        <row r="7359">
          <cell r="C7359" t="str">
            <v>Arq Inc.</v>
          </cell>
          <cell r="D7359">
            <v>1.05141</v>
          </cell>
        </row>
        <row r="7360">
          <cell r="C7360" t="str">
            <v>Timberland Bancorp</v>
          </cell>
          <cell r="D7360">
            <v>12.37</v>
          </cell>
        </row>
        <row r="7361">
          <cell r="C7361" t="str">
            <v>Dawood Hercules Corporation</v>
          </cell>
          <cell r="D7361">
            <v>2.9631400000000001</v>
          </cell>
        </row>
        <row r="7362">
          <cell r="C7362" t="str">
            <v>Medical Facilities Corporation</v>
          </cell>
          <cell r="D7362">
            <v>8.0420300000000005</v>
          </cell>
        </row>
        <row r="7363">
          <cell r="C7363" t="str">
            <v>ESSA Pharma</v>
          </cell>
          <cell r="D7363">
            <v>5.7</v>
          </cell>
        </row>
        <row r="7364">
          <cell r="C7364" t="str">
            <v>Hong Leong Capital</v>
          </cell>
          <cell r="D7364">
            <v>26.7212</v>
          </cell>
        </row>
        <row r="7365">
          <cell r="C7365" t="str">
            <v>Dynamic Materials Corporation</v>
          </cell>
          <cell r="D7365">
            <v>3.47</v>
          </cell>
        </row>
        <row r="7366">
          <cell r="C7366" t="str">
            <v>Cantabil Retail India</v>
          </cell>
          <cell r="D7366">
            <v>2.01172</v>
          </cell>
        </row>
        <row r="7367">
          <cell r="C7367" t="str">
            <v>I.g. Petrochemicals</v>
          </cell>
          <cell r="D7367">
            <v>13.750500000000001</v>
          </cell>
        </row>
        <row r="7368">
          <cell r="C7368" t="str">
            <v>Abeona Therapeutics</v>
          </cell>
          <cell r="D7368">
            <v>2.4418299999999999</v>
          </cell>
        </row>
        <row r="7369">
          <cell r="C7369" t="str">
            <v>Rafhan Maize Products Company</v>
          </cell>
          <cell r="D7369">
            <v>3.13</v>
          </cell>
        </row>
        <row r="7370">
          <cell r="C7370" t="str">
            <v>Zentalis Pharmaceuticals</v>
          </cell>
          <cell r="D7370">
            <v>0.12518599999999999</v>
          </cell>
        </row>
        <row r="7371">
          <cell r="C7371" t="str">
            <v>Deezer</v>
          </cell>
          <cell r="D7371">
            <v>81.795100000000005</v>
          </cell>
        </row>
        <row r="7372">
          <cell r="C7372" t="str">
            <v>World Holdings</v>
          </cell>
          <cell r="D7372">
            <v>28.517700000000001</v>
          </cell>
        </row>
        <row r="7373">
          <cell r="C7373" t="str">
            <v>Kokuyo Camlin</v>
          </cell>
          <cell r="D7373">
            <v>2.0005000000000002</v>
          </cell>
        </row>
        <row r="7374">
          <cell r="C7374" t="str">
            <v>Blade Air Mobility</v>
          </cell>
          <cell r="D7374">
            <v>1.0363599999999999</v>
          </cell>
        </row>
        <row r="7375">
          <cell r="C7375" t="str">
            <v>Jupiter Mines Limited</v>
          </cell>
          <cell r="D7375">
            <v>0.35396899999999998</v>
          </cell>
        </row>
        <row r="7376">
          <cell r="C7376" t="str">
            <v>Burgenland Holding</v>
          </cell>
          <cell r="D7376">
            <v>5.4405200000000002</v>
          </cell>
        </row>
        <row r="7377">
          <cell r="C7377" t="str">
            <v>FRIWO</v>
          </cell>
          <cell r="D7377">
            <v>0.68071700000000002</v>
          </cell>
        </row>
        <row r="7378">
          <cell r="C7378" t="str">
            <v>Serko Limited</v>
          </cell>
          <cell r="D7378">
            <v>3.77</v>
          </cell>
        </row>
        <row r="7379">
          <cell r="C7379" t="str">
            <v>Renaissance Services</v>
          </cell>
          <cell r="D7379">
            <v>1.18</v>
          </cell>
        </row>
        <row r="7380">
          <cell r="C7380" t="str">
            <v>Qingci Games</v>
          </cell>
          <cell r="D7380">
            <v>4.21</v>
          </cell>
        </row>
        <row r="7381">
          <cell r="C7381" t="str">
            <v>Kelly Partners Group</v>
          </cell>
          <cell r="D7381">
            <v>5.1100000000000003</v>
          </cell>
        </row>
        <row r="7382">
          <cell r="C7382" t="str">
            <v>National Cement Company P.S.C.</v>
          </cell>
          <cell r="D7382">
            <v>7.03</v>
          </cell>
        </row>
        <row r="7383">
          <cell r="C7383" t="str">
            <v>Hindustan Sanitaryware &amp;amp; Industries</v>
          </cell>
          <cell r="D7383">
            <v>9.8989800000000003E-2</v>
          </cell>
        </row>
        <row r="7384">
          <cell r="C7384" t="str">
            <v>Al Wathba National Insurance</v>
          </cell>
          <cell r="D7384">
            <v>9.36</v>
          </cell>
        </row>
        <row r="7385">
          <cell r="C7385" t="str">
            <v>Omeros Corporation</v>
          </cell>
          <cell r="D7385">
            <v>4.6900000000000004</v>
          </cell>
        </row>
        <row r="7386">
          <cell r="C7386" t="str">
            <v>TTEC</v>
          </cell>
          <cell r="D7386">
            <v>14.48</v>
          </cell>
        </row>
        <row r="7387">
          <cell r="C7387" t="str">
            <v>KNOT Offshore Partners</v>
          </cell>
          <cell r="D7387">
            <v>5.9</v>
          </cell>
        </row>
        <row r="7388">
          <cell r="C7388" t="str">
            <v>Jaypee Group</v>
          </cell>
          <cell r="D7388">
            <v>1.29</v>
          </cell>
        </row>
        <row r="7389">
          <cell r="C7389" t="str">
            <v>Avita Medical</v>
          </cell>
          <cell r="D7389">
            <v>5.0670099999999998</v>
          </cell>
        </row>
        <row r="7390">
          <cell r="C7390" t="str">
            <v>Quad</v>
          </cell>
          <cell r="D7390">
            <v>3.1684199999999998</v>
          </cell>
        </row>
        <row r="7391">
          <cell r="C7391" t="str">
            <v>Superior Group of Companies</v>
          </cell>
          <cell r="D7391">
            <v>7.4057700000000004</v>
          </cell>
        </row>
        <row r="7392">
          <cell r="C7392" t="str">
            <v>NexPoint Diversified Real Estate Trust</v>
          </cell>
          <cell r="D7392">
            <v>7.97</v>
          </cell>
        </row>
        <row r="7393">
          <cell r="C7393" t="str">
            <v>Standard Lithium</v>
          </cell>
          <cell r="D7393">
            <v>9.3068299999999997</v>
          </cell>
        </row>
        <row r="7394">
          <cell r="C7394" t="str">
            <v>Celtic</v>
          </cell>
          <cell r="D7394">
            <v>4.1900000000000004</v>
          </cell>
        </row>
        <row r="7395">
          <cell r="C7395" t="str">
            <v>Takween Advanced Industries</v>
          </cell>
          <cell r="D7395">
            <v>0.58960999999999997</v>
          </cell>
        </row>
        <row r="7396">
          <cell r="C7396" t="str">
            <v>Bonduelle</v>
          </cell>
          <cell r="D7396">
            <v>1.88</v>
          </cell>
        </row>
        <row r="7397">
          <cell r="C7397" t="str">
            <v>TrueBlue</v>
          </cell>
          <cell r="D7397">
            <v>40.79</v>
          </cell>
        </row>
        <row r="7398">
          <cell r="C7398" t="str">
            <v>Cosmo First</v>
          </cell>
          <cell r="D7398">
            <v>2.4</v>
          </cell>
        </row>
        <row r="7399">
          <cell r="C7399" t="str">
            <v>AirSculpt Technologies</v>
          </cell>
          <cell r="D7399">
            <v>32.24</v>
          </cell>
        </row>
        <row r="7400">
          <cell r="C7400" t="str">
            <v>Dhofar International Development &amp;amp; Investment Holding</v>
          </cell>
          <cell r="D7400">
            <v>0.09</v>
          </cell>
        </row>
        <row r="7401">
          <cell r="C7401" t="str">
            <v>8x8</v>
          </cell>
          <cell r="D7401">
            <v>4.3632499999999999</v>
          </cell>
        </row>
        <row r="7402">
          <cell r="C7402" t="str">
            <v>Plumas Bancorp</v>
          </cell>
          <cell r="D7402">
            <v>9.0299999999999994</v>
          </cell>
        </row>
        <row r="7403">
          <cell r="C7403" t="str">
            <v>Cellectis</v>
          </cell>
          <cell r="D7403">
            <v>0.22817699999999999</v>
          </cell>
        </row>
        <row r="7404">
          <cell r="C7404" t="str">
            <v>Rocky Brands</v>
          </cell>
          <cell r="D7404">
            <v>28.1721</v>
          </cell>
        </row>
        <row r="7405">
          <cell r="C7405" t="str">
            <v>Manazel</v>
          </cell>
          <cell r="D7405">
            <v>30.48</v>
          </cell>
        </row>
        <row r="7406">
          <cell r="C7406" t="str">
            <v>Umm Al-Qura Cement Company</v>
          </cell>
          <cell r="D7406">
            <v>7.98</v>
          </cell>
        </row>
        <row r="7407">
          <cell r="C7407" t="str">
            <v>Inspired Entertainment</v>
          </cell>
          <cell r="D7407">
            <v>13.44</v>
          </cell>
        </row>
        <row r="7408">
          <cell r="C7408" t="str">
            <v>Gulf Hotels Group</v>
          </cell>
          <cell r="D7408">
            <v>1.56</v>
          </cell>
        </row>
        <row r="7409">
          <cell r="C7409" t="str">
            <v>Hester Biosciences</v>
          </cell>
          <cell r="D7409">
            <v>7.35</v>
          </cell>
        </row>
        <row r="7410">
          <cell r="C7410" t="str">
            <v>Bankwell Financial Group</v>
          </cell>
          <cell r="D7410">
            <v>0.115036</v>
          </cell>
        </row>
        <row r="7411">
          <cell r="C7411" t="str">
            <v>Potbelly Corporation</v>
          </cell>
          <cell r="D7411">
            <v>21.41</v>
          </cell>
        </row>
        <row r="7412">
          <cell r="C7412" t="str">
            <v>Rigel Pharmaceuticals</v>
          </cell>
          <cell r="D7412">
            <v>6.5214999999999996</v>
          </cell>
        </row>
        <row r="7413">
          <cell r="C7413" t="str">
            <v>iHeartMedia</v>
          </cell>
          <cell r="D7413">
            <v>4.49</v>
          </cell>
        </row>
        <row r="7414">
          <cell r="C7414" t="str">
            <v>Sera Prognostics</v>
          </cell>
          <cell r="D7414">
            <v>11.5</v>
          </cell>
        </row>
        <row r="7415">
          <cell r="C7415" t="str">
            <v>BrainChip</v>
          </cell>
          <cell r="D7415">
            <v>4.6578999999999997</v>
          </cell>
        </row>
        <row r="7416">
          <cell r="C7416" t="str">
            <v>Tucows</v>
          </cell>
          <cell r="D7416">
            <v>6.5902500000000002</v>
          </cell>
        </row>
        <row r="7417">
          <cell r="C7417" t="str">
            <v>Austriacard Holdings</v>
          </cell>
          <cell r="D7417">
            <v>67.989999999999995</v>
          </cell>
        </row>
        <row r="7418">
          <cell r="C7418" t="str">
            <v>ioneer</v>
          </cell>
          <cell r="D7418">
            <v>6.19</v>
          </cell>
        </row>
        <row r="7419">
          <cell r="C7419" t="str">
            <v>Seanergy Maritime</v>
          </cell>
          <cell r="D7419">
            <v>4.2825100000000003</v>
          </cell>
        </row>
        <row r="7420">
          <cell r="C7420" t="str">
            <v>ZE PAK SA</v>
          </cell>
          <cell r="D7420">
            <v>5.88</v>
          </cell>
        </row>
        <row r="7421">
          <cell r="C7421" t="str">
            <v>Ascom Holding</v>
          </cell>
          <cell r="D7421">
            <v>3.11</v>
          </cell>
        </row>
        <row r="7422">
          <cell r="C7422" t="str">
            <v>Utah Medical Products</v>
          </cell>
          <cell r="D7422">
            <v>64.510000000000005</v>
          </cell>
        </row>
        <row r="7423">
          <cell r="C7423" t="str">
            <v>Nevro</v>
          </cell>
          <cell r="D7423">
            <v>1.28</v>
          </cell>
        </row>
        <row r="7424">
          <cell r="C7424" t="str">
            <v>OPTiM</v>
          </cell>
          <cell r="D7424">
            <v>22.22</v>
          </cell>
        </row>
        <row r="7425">
          <cell r="C7425" t="str">
            <v>City Office REIT</v>
          </cell>
          <cell r="D7425">
            <v>133.02000000000001</v>
          </cell>
        </row>
        <row r="7426">
          <cell r="C7426" t="str">
            <v>Braemar Hotels &amp;amp; Resorts</v>
          </cell>
          <cell r="D7426">
            <v>9.5716000000000001</v>
          </cell>
        </row>
        <row r="7427">
          <cell r="C7427" t="str">
            <v>Belpointe OZ</v>
          </cell>
          <cell r="D7427">
            <v>4.0999999999999996</v>
          </cell>
        </row>
        <row r="7428">
          <cell r="C7428" t="str">
            <v>Nektar Therapeutics</v>
          </cell>
          <cell r="D7428">
            <v>3.11</v>
          </cell>
        </row>
        <row r="7429">
          <cell r="C7429" t="str">
            <v>a.k.a. Brands</v>
          </cell>
          <cell r="D7429">
            <v>30.367799999999999</v>
          </cell>
        </row>
        <row r="7430">
          <cell r="C7430" t="str">
            <v>PrimeEnergy Resources</v>
          </cell>
          <cell r="D7430">
            <v>24.04</v>
          </cell>
        </row>
        <row r="7431">
          <cell r="C7431" t="str">
            <v>Wheels India</v>
          </cell>
          <cell r="D7431">
            <v>1.01</v>
          </cell>
        </row>
        <row r="7432">
          <cell r="C7432" t="str">
            <v>Orion Office REIT</v>
          </cell>
          <cell r="D7432">
            <v>7.92</v>
          </cell>
        </row>
        <row r="7433">
          <cell r="C7433" t="str">
            <v>Red Cat Holdings</v>
          </cell>
          <cell r="D7433">
            <v>0.42204399999999997</v>
          </cell>
        </row>
        <row r="7434">
          <cell r="C7434" t="str">
            <v>MT Højgaard Holding</v>
          </cell>
          <cell r="D7434">
            <v>3.37</v>
          </cell>
        </row>
        <row r="7435">
          <cell r="C7435" t="str">
            <v>Codorus Valley Bancorp</v>
          </cell>
          <cell r="D7435">
            <v>26.749199999999998</v>
          </cell>
        </row>
        <row r="7436">
          <cell r="C7436" t="str">
            <v>D-Wave Quantum</v>
          </cell>
          <cell r="D7436">
            <v>3.4851399999999999</v>
          </cell>
        </row>
        <row r="7437">
          <cell r="C7437" t="str">
            <v>NeuroPace</v>
          </cell>
          <cell r="D7437">
            <v>1.15805</v>
          </cell>
        </row>
        <row r="7438">
          <cell r="C7438" t="str">
            <v>Al Ramz Corporation Investment and Development</v>
          </cell>
          <cell r="D7438">
            <v>8.2899999999999991</v>
          </cell>
        </row>
        <row r="7439">
          <cell r="C7439" t="str">
            <v>Cadiz</v>
          </cell>
          <cell r="D7439">
            <v>1.58</v>
          </cell>
        </row>
        <row r="7440">
          <cell r="C7440" t="str">
            <v>Frauenthal Holding</v>
          </cell>
          <cell r="D7440">
            <v>27.97</v>
          </cell>
        </row>
        <row r="7441">
          <cell r="C7441" t="str">
            <v>X-Legend Entertainment</v>
          </cell>
          <cell r="D7441">
            <v>3.16</v>
          </cell>
        </row>
        <row r="7442">
          <cell r="C7442" t="str">
            <v>Shen Zhen Shengxunda Technology (gamexun)</v>
          </cell>
          <cell r="D7442">
            <v>2.14</v>
          </cell>
        </row>
        <row r="7443">
          <cell r="C7443" t="str">
            <v>Kingsway Financial Services</v>
          </cell>
          <cell r="D7443">
            <v>7.62</v>
          </cell>
        </row>
        <row r="7444">
          <cell r="C7444" t="str">
            <v>Origin Materials</v>
          </cell>
          <cell r="D7444">
            <v>5.1029900000000001</v>
          </cell>
        </row>
        <row r="7445">
          <cell r="C7445" t="str">
            <v>Middlefield Banc</v>
          </cell>
          <cell r="D7445">
            <v>36.484900000000003</v>
          </cell>
        </row>
        <row r="7446">
          <cell r="C7446" t="str">
            <v>Trevi Therapeutics</v>
          </cell>
          <cell r="D7446">
            <v>0.59548000000000001</v>
          </cell>
        </row>
        <row r="7447">
          <cell r="C7447" t="str">
            <v>Valens Semiconductor</v>
          </cell>
          <cell r="D7447">
            <v>1.1499999999999999</v>
          </cell>
        </row>
        <row r="7448">
          <cell r="C7448" t="str">
            <v>Easy Lease Motorcycle Rental</v>
          </cell>
          <cell r="D7448">
            <v>9.15</v>
          </cell>
        </row>
        <row r="7449">
          <cell r="C7449" t="str">
            <v>Pkp Cargo</v>
          </cell>
          <cell r="D7449">
            <v>1.0721099999999999</v>
          </cell>
        </row>
        <row r="7450">
          <cell r="C7450" t="str">
            <v>Raoom trading Company</v>
          </cell>
          <cell r="D7450">
            <v>0.46352700000000002</v>
          </cell>
        </row>
        <row r="7451">
          <cell r="C7451" t="str">
            <v>TASK Group</v>
          </cell>
          <cell r="D7451">
            <v>1.0900000000000001</v>
          </cell>
        </row>
        <row r="7452">
          <cell r="C7452" t="str">
            <v>Western Copper and Gold</v>
          </cell>
          <cell r="D7452">
            <v>8.2677700000000005</v>
          </cell>
        </row>
        <row r="7453">
          <cell r="C7453" t="str">
            <v>Profound Medical</v>
          </cell>
          <cell r="D7453">
            <v>8.59</v>
          </cell>
        </row>
        <row r="7454">
          <cell r="C7454" t="str">
            <v>Air Asia Company Limited (AACL)</v>
          </cell>
          <cell r="D7454">
            <v>1532</v>
          </cell>
        </row>
        <row r="7455">
          <cell r="C7455" t="str">
            <v>Humm Group</v>
          </cell>
          <cell r="D7455">
            <v>18.0167</v>
          </cell>
        </row>
        <row r="7456">
          <cell r="C7456" t="str">
            <v>Butterfly Network</v>
          </cell>
          <cell r="D7456">
            <v>2.16</v>
          </cell>
        </row>
        <row r="7457">
          <cell r="C7457" t="str">
            <v>Basic Chemical Industries Company</v>
          </cell>
          <cell r="D7457">
            <v>174644</v>
          </cell>
        </row>
        <row r="7458">
          <cell r="C7458" t="str">
            <v>Asure Software</v>
          </cell>
          <cell r="D7458">
            <v>16</v>
          </cell>
        </row>
        <row r="7459">
          <cell r="C7459" t="str">
            <v>Avax S.A.</v>
          </cell>
          <cell r="D7459">
            <v>24.096399999999999</v>
          </cell>
        </row>
        <row r="7460">
          <cell r="C7460" t="str">
            <v>Excel Industries</v>
          </cell>
          <cell r="D7460">
            <v>7.37</v>
          </cell>
        </row>
        <row r="7461">
          <cell r="C7461" t="str">
            <v>Chegg</v>
          </cell>
          <cell r="D7461">
            <v>0.99310799999999999</v>
          </cell>
        </row>
        <row r="7462">
          <cell r="C7462" t="str">
            <v>Hydratec Industries</v>
          </cell>
          <cell r="D7462">
            <v>9.1964199999999998</v>
          </cell>
        </row>
        <row r="7463">
          <cell r="C7463" t="str">
            <v>LCNB</v>
          </cell>
          <cell r="D7463">
            <v>1.3614299999999999</v>
          </cell>
        </row>
        <row r="7464">
          <cell r="C7464" t="str">
            <v>Italian Wine Brands</v>
          </cell>
          <cell r="D7464">
            <v>5.7259700000000002</v>
          </cell>
        </row>
        <row r="7465">
          <cell r="C7465" t="str">
            <v>Gran Tierra Energy</v>
          </cell>
          <cell r="D7465">
            <v>7.32</v>
          </cell>
        </row>
        <row r="7466">
          <cell r="C7466" t="str">
            <v>Global Atomic</v>
          </cell>
          <cell r="D7466">
            <v>1.79</v>
          </cell>
        </row>
        <row r="7467">
          <cell r="C7467" t="str">
            <v>LPKF Laser &amp;amp; Electronics</v>
          </cell>
          <cell r="D7467">
            <v>5.21</v>
          </cell>
        </row>
        <row r="7468">
          <cell r="C7468" t="str">
            <v>National General Insurance Company</v>
          </cell>
          <cell r="D7468">
            <v>15.13</v>
          </cell>
        </row>
        <row r="7469">
          <cell r="C7469" t="str">
            <v>UNITED</v>
          </cell>
          <cell r="D7469">
            <v>0.08</v>
          </cell>
        </row>
        <row r="7470">
          <cell r="C7470" t="str">
            <v>iRobot</v>
          </cell>
          <cell r="D7470">
            <v>21.25</v>
          </cell>
        </row>
        <row r="7471">
          <cell r="C7471" t="str">
            <v>The Beauty Health Company</v>
          </cell>
          <cell r="D7471">
            <v>29.3</v>
          </cell>
        </row>
        <row r="7472">
          <cell r="C7472" t="str">
            <v>LifeMD</v>
          </cell>
          <cell r="D7472">
            <v>0.38961000000000001</v>
          </cell>
        </row>
        <row r="7473">
          <cell r="C7473" t="str">
            <v>Merrimack Pharmaceuticals</v>
          </cell>
          <cell r="D7473">
            <v>4.4699299999999997</v>
          </cell>
        </row>
        <row r="7474">
          <cell r="C7474" t="str">
            <v>Eshraq Investments</v>
          </cell>
          <cell r="D7474">
            <v>3.79</v>
          </cell>
        </row>
        <row r="7475">
          <cell r="C7475" t="str">
            <v>RGC Resources</v>
          </cell>
          <cell r="D7475">
            <v>6.74</v>
          </cell>
        </row>
        <row r="7476">
          <cell r="C7476" t="str">
            <v>Alico</v>
          </cell>
          <cell r="D7476">
            <v>14.347300000000001</v>
          </cell>
        </row>
        <row r="7477">
          <cell r="C7477" t="str">
            <v>National Finance</v>
          </cell>
          <cell r="D7477">
            <v>1.97</v>
          </cell>
        </row>
        <row r="7478">
          <cell r="C7478" t="str">
            <v>Malath Cooperative Insurance Company</v>
          </cell>
          <cell r="D7478">
            <v>0.63488999999999995</v>
          </cell>
        </row>
        <row r="7479">
          <cell r="C7479" t="str">
            <v>Pyxis Oncology</v>
          </cell>
          <cell r="D7479">
            <v>1.9739500000000001</v>
          </cell>
        </row>
        <row r="7480">
          <cell r="C7480" t="str">
            <v>Alta Equipment Group</v>
          </cell>
          <cell r="D7480">
            <v>1.31</v>
          </cell>
        </row>
        <row r="7481">
          <cell r="C7481" t="str">
            <v>Kendrion</v>
          </cell>
          <cell r="D7481">
            <v>3.8511799999999998</v>
          </cell>
        </row>
        <row r="7482">
          <cell r="C7482" t="str">
            <v>Procaps Group</v>
          </cell>
          <cell r="D7482">
            <v>26.07</v>
          </cell>
        </row>
        <row r="7483">
          <cell r="C7483" t="str">
            <v>QLM Life &amp;amp; Medical Insurance Company</v>
          </cell>
          <cell r="D7483">
            <v>0.117724</v>
          </cell>
        </row>
        <row r="7484">
          <cell r="C7484" t="str">
            <v>GTPL Hathway</v>
          </cell>
          <cell r="D7484">
            <v>0.78</v>
          </cell>
        </row>
        <row r="7485">
          <cell r="C7485" t="str">
            <v>Gold Royalty Corp</v>
          </cell>
          <cell r="D7485">
            <v>31.6127</v>
          </cell>
        </row>
        <row r="7486">
          <cell r="C7486" t="str">
            <v>L'azurde Company for Jewelry</v>
          </cell>
          <cell r="D7486">
            <v>17.350000000000001</v>
          </cell>
        </row>
        <row r="7487">
          <cell r="C7487" t="str">
            <v>Stratus Properties</v>
          </cell>
          <cell r="D7487">
            <v>9.7879699999999996</v>
          </cell>
        </row>
        <row r="7488">
          <cell r="C7488" t="str">
            <v>Skel fjárfestingafélag</v>
          </cell>
          <cell r="D7488">
            <v>3.51</v>
          </cell>
        </row>
        <row r="7489">
          <cell r="C7489" t="str">
            <v>Gallantt Ispat</v>
          </cell>
          <cell r="D7489">
            <v>6.1014699999999999</v>
          </cell>
        </row>
        <row r="7490">
          <cell r="C7490" t="str">
            <v>ÖKOWORLD</v>
          </cell>
          <cell r="D7490">
            <v>20.079999999999998</v>
          </cell>
        </row>
        <row r="7491">
          <cell r="C7491" t="str">
            <v>Forum Energy Technologies</v>
          </cell>
          <cell r="D7491">
            <v>1.2586299999999999</v>
          </cell>
        </row>
        <row r="7492">
          <cell r="C7492" t="str">
            <v>Zahrat Al Waha For Trading Company</v>
          </cell>
          <cell r="D7492">
            <v>0.19230800000000001</v>
          </cell>
        </row>
        <row r="7493">
          <cell r="C7493" t="str">
            <v>MacroGenics</v>
          </cell>
          <cell r="D7493">
            <v>1.0989</v>
          </cell>
        </row>
        <row r="7494">
          <cell r="C7494" t="str">
            <v>UmweltBank</v>
          </cell>
          <cell r="D7494">
            <v>0.68616200000000005</v>
          </cell>
        </row>
        <row r="7495">
          <cell r="C7495" t="str">
            <v>L.B. Foster</v>
          </cell>
          <cell r="D7495">
            <v>7.44</v>
          </cell>
        </row>
        <row r="7496">
          <cell r="C7496" t="str">
            <v>Adairs Limited</v>
          </cell>
          <cell r="D7496">
            <v>2.68</v>
          </cell>
        </row>
        <row r="7497">
          <cell r="C7497" t="str">
            <v>Salam International Investment</v>
          </cell>
          <cell r="D7497">
            <v>1.3</v>
          </cell>
        </row>
        <row r="7498">
          <cell r="C7498" t="str">
            <v>Damaan Islamic Insurance Company (Beema)</v>
          </cell>
          <cell r="D7498">
            <v>445</v>
          </cell>
        </row>
        <row r="7499">
          <cell r="C7499" t="str">
            <v>Emirates Reem Investments Company</v>
          </cell>
          <cell r="D7499">
            <v>6.0509000000000004</v>
          </cell>
        </row>
        <row r="7500">
          <cell r="C7500" t="str">
            <v>AG Mortgage Investment Trust</v>
          </cell>
          <cell r="D7500">
            <v>17.600000000000001</v>
          </cell>
        </row>
        <row r="7501">
          <cell r="C7501" t="str">
            <v>Tenaya Therapeutics</v>
          </cell>
          <cell r="D7501">
            <v>1.58</v>
          </cell>
        </row>
        <row r="7502">
          <cell r="C7502" t="str">
            <v>Atai Life Sciences</v>
          </cell>
          <cell r="D7502">
            <v>2.3199999999999998</v>
          </cell>
        </row>
        <row r="7503">
          <cell r="C7503" t="str">
            <v>GPA</v>
          </cell>
          <cell r="D7503">
            <v>7.2198399999999996E-2</v>
          </cell>
        </row>
        <row r="7504">
          <cell r="C7504" t="str">
            <v>Sterling Tools</v>
          </cell>
          <cell r="D7504">
            <v>2.4605399999999999</v>
          </cell>
        </row>
        <row r="7505">
          <cell r="C7505" t="str">
            <v>SWK Holdings</v>
          </cell>
          <cell r="D7505">
            <v>2.3199999999999998</v>
          </cell>
        </row>
        <row r="7506">
          <cell r="C7506" t="str">
            <v>Compass Therapeutics</v>
          </cell>
          <cell r="D7506">
            <v>9.5692199999999996</v>
          </cell>
        </row>
        <row r="7507">
          <cell r="C7507" t="str">
            <v>Dakota Gold</v>
          </cell>
          <cell r="D7507">
            <v>0.14805199999999999</v>
          </cell>
        </row>
        <row r="7508">
          <cell r="C7508" t="str">
            <v>Jubilee Metals Group</v>
          </cell>
          <cell r="D7508">
            <v>4.34</v>
          </cell>
        </row>
        <row r="7509">
          <cell r="C7509" t="str">
            <v>BTB Real Estate Investment Trust</v>
          </cell>
          <cell r="D7509">
            <v>2.1800000000000002</v>
          </cell>
        </row>
        <row r="7510">
          <cell r="C7510" t="str">
            <v>Expensify</v>
          </cell>
          <cell r="D7510">
            <v>5.97</v>
          </cell>
        </row>
        <row r="7511">
          <cell r="C7511" t="str">
            <v>India Nippon Electricals</v>
          </cell>
          <cell r="D7511">
            <v>10.46</v>
          </cell>
        </row>
        <row r="7512">
          <cell r="C7512" t="str">
            <v>Phoenix Power Company</v>
          </cell>
          <cell r="D7512">
            <v>3.1415000000000002</v>
          </cell>
        </row>
        <row r="7513">
          <cell r="C7513" t="str">
            <v>Genfit</v>
          </cell>
          <cell r="D7513">
            <v>1.02</v>
          </cell>
        </row>
        <row r="7514">
          <cell r="C7514" t="str">
            <v>Accuray</v>
          </cell>
          <cell r="D7514">
            <v>7.4057700000000004</v>
          </cell>
        </row>
        <row r="7515">
          <cell r="C7515" t="str">
            <v>StealthGas</v>
          </cell>
          <cell r="D7515">
            <v>1.0612900000000001</v>
          </cell>
        </row>
        <row r="7516">
          <cell r="C7516" t="str">
            <v>AFC Gamma</v>
          </cell>
          <cell r="D7516">
            <v>7.17</v>
          </cell>
        </row>
        <row r="7517">
          <cell r="C7517" t="str">
            <v>Columbus Energy</v>
          </cell>
          <cell r="D7517">
            <v>1.65</v>
          </cell>
        </row>
        <row r="7518">
          <cell r="C7518" t="str">
            <v>Abu Dhabi Ship Building</v>
          </cell>
          <cell r="D7518">
            <v>87.085499999999996</v>
          </cell>
        </row>
        <row r="7519">
          <cell r="C7519" t="str">
            <v>CM.com</v>
          </cell>
          <cell r="D7519">
            <v>7.65435</v>
          </cell>
        </row>
        <row r="7520">
          <cell r="C7520" t="str">
            <v>BMMI Group</v>
          </cell>
          <cell r="D7520">
            <v>9.86</v>
          </cell>
        </row>
        <row r="7521">
          <cell r="C7521" t="str">
            <v>eGain</v>
          </cell>
          <cell r="D7521">
            <v>1088.57</v>
          </cell>
        </row>
        <row r="7522">
          <cell r="C7522" t="str">
            <v>Gati</v>
          </cell>
          <cell r="D7522">
            <v>1.3330599999999999</v>
          </cell>
        </row>
        <row r="7523">
          <cell r="C7523" t="str">
            <v>Private Equity Holding</v>
          </cell>
          <cell r="D7523">
            <v>0.36540800000000001</v>
          </cell>
        </row>
        <row r="7524">
          <cell r="C7524" t="str">
            <v>United Wire Factories Company</v>
          </cell>
          <cell r="D7524">
            <v>6.2985199999999999</v>
          </cell>
        </row>
        <row r="7525">
          <cell r="C7525" t="str">
            <v>CVRx</v>
          </cell>
          <cell r="D7525">
            <v>0.109004</v>
          </cell>
        </row>
        <row r="7526">
          <cell r="C7526" t="str">
            <v>BVZ Holding</v>
          </cell>
          <cell r="D7526">
            <v>41.38</v>
          </cell>
        </row>
        <row r="7527">
          <cell r="C7527" t="str">
            <v>Helloworld Travel</v>
          </cell>
          <cell r="D7527">
            <v>4.0271999999999997</v>
          </cell>
        </row>
        <row r="7528">
          <cell r="C7528" t="str">
            <v>Austin Engineering</v>
          </cell>
          <cell r="D7528">
            <v>39.72</v>
          </cell>
        </row>
        <row r="7529">
          <cell r="C7529" t="str">
            <v>Lubelski Wegiel Bogdanka</v>
          </cell>
          <cell r="D7529">
            <v>1.82935</v>
          </cell>
        </row>
        <row r="7530">
          <cell r="C7530" t="str">
            <v>Vátryggingafélag Íslands</v>
          </cell>
          <cell r="D7530">
            <v>1.0470299999999999</v>
          </cell>
        </row>
        <row r="7531">
          <cell r="C7531" t="str">
            <v>Flexsteel Industries</v>
          </cell>
          <cell r="D7531">
            <v>112745</v>
          </cell>
        </row>
        <row r="7532">
          <cell r="C7532" t="str">
            <v>Arabia Insurance Cooperative Company</v>
          </cell>
          <cell r="D7532">
            <v>6.32254</v>
          </cell>
        </row>
        <row r="7533">
          <cell r="C7533" t="str">
            <v>Virginia National Bankshares</v>
          </cell>
          <cell r="D7533">
            <v>25.09</v>
          </cell>
        </row>
        <row r="7534">
          <cell r="C7534" t="str">
            <v>Air Busan</v>
          </cell>
          <cell r="D7534">
            <v>3.5418099999999999</v>
          </cell>
        </row>
        <row r="7535">
          <cell r="C7535" t="str">
            <v>Southern Petrochemical Industries Corp</v>
          </cell>
          <cell r="D7535">
            <v>12.41</v>
          </cell>
        </row>
        <row r="7536">
          <cell r="C7536" t="str">
            <v>Josef Manner &amp;amp; Comp</v>
          </cell>
          <cell r="D7536">
            <v>6.4</v>
          </cell>
        </row>
        <row r="7537">
          <cell r="C7537" t="str">
            <v>Ernst Russ</v>
          </cell>
          <cell r="D7537">
            <v>6.2900299999999998</v>
          </cell>
        </row>
        <row r="7538">
          <cell r="C7538" t="str">
            <v>California BanCorp</v>
          </cell>
          <cell r="D7538">
            <v>16.53</v>
          </cell>
        </row>
        <row r="7539">
          <cell r="C7539" t="str">
            <v>Saudi Printing and Packaging Company</v>
          </cell>
          <cell r="D7539">
            <v>4.87</v>
          </cell>
        </row>
        <row r="7540">
          <cell r="C7540" t="str">
            <v>BCB Bancorp</v>
          </cell>
          <cell r="D7540">
            <v>6.13</v>
          </cell>
        </row>
        <row r="7541">
          <cell r="C7541" t="str">
            <v>XBiotech</v>
          </cell>
          <cell r="D7541">
            <v>0.14235700000000001</v>
          </cell>
        </row>
        <row r="7542">
          <cell r="C7542" t="str">
            <v>Oriental Aromatics</v>
          </cell>
          <cell r="D7542">
            <v>4.3218699999999997</v>
          </cell>
        </row>
        <row r="7543">
          <cell r="C7543" t="str">
            <v>EVI Industries</v>
          </cell>
          <cell r="D7543">
            <v>14.56</v>
          </cell>
        </row>
        <row r="7544">
          <cell r="C7544" t="str">
            <v>Whole Earth Brands</v>
          </cell>
          <cell r="D7544">
            <v>13.927300000000001</v>
          </cell>
        </row>
        <row r="7545">
          <cell r="C7545" t="str">
            <v>Tredegar</v>
          </cell>
          <cell r="D7545">
            <v>5.2540300000000002</v>
          </cell>
        </row>
        <row r="7546">
          <cell r="C7546" t="str">
            <v>HKR International</v>
          </cell>
          <cell r="D7546">
            <v>1.69</v>
          </cell>
        </row>
        <row r="7547">
          <cell r="C7547" t="str">
            <v>Baader Bank</v>
          </cell>
          <cell r="D7547">
            <v>1.1191</v>
          </cell>
        </row>
        <row r="7548">
          <cell r="C7548" t="str">
            <v>Inhibrx</v>
          </cell>
          <cell r="D7548">
            <v>10.454700000000001</v>
          </cell>
        </row>
        <row r="7549">
          <cell r="C7549" t="str">
            <v>STINAG Stuttgart Invest</v>
          </cell>
          <cell r="D7549">
            <v>8.58</v>
          </cell>
        </row>
        <row r="7550">
          <cell r="C7550" t="str">
            <v>Saudi Fisheries Company</v>
          </cell>
          <cell r="D7550">
            <v>0.3891</v>
          </cell>
        </row>
        <row r="7551">
          <cell r="C7551" t="str">
            <v>Novonix</v>
          </cell>
          <cell r="D7551">
            <v>2.54</v>
          </cell>
        </row>
        <row r="7552">
          <cell r="C7552" t="str">
            <v>Tiny Ltd.</v>
          </cell>
          <cell r="D7552">
            <v>2.02</v>
          </cell>
        </row>
        <row r="7553">
          <cell r="C7553" t="str">
            <v>Arabian International Healthcare Holding</v>
          </cell>
          <cell r="D7553">
            <v>1.9472400000000001</v>
          </cell>
        </row>
        <row r="7554">
          <cell r="C7554" t="str">
            <v>Spire Global</v>
          </cell>
          <cell r="D7554">
            <v>7.0332800000000004</v>
          </cell>
        </row>
        <row r="7555">
          <cell r="C7555" t="str">
            <v>Senseonics Holdings</v>
          </cell>
          <cell r="D7555">
            <v>6.5395399999999997</v>
          </cell>
        </row>
        <row r="7556">
          <cell r="C7556" t="str">
            <v>AGBA Group</v>
          </cell>
          <cell r="D7556">
            <v>1.03</v>
          </cell>
        </row>
        <row r="7557">
          <cell r="C7557" t="str">
            <v>Perfect Corp.</v>
          </cell>
          <cell r="D7557">
            <v>0.65608699999999998</v>
          </cell>
        </row>
        <row r="7558">
          <cell r="C7558" t="str">
            <v>Cavotec</v>
          </cell>
          <cell r="D7558">
            <v>3.15</v>
          </cell>
        </row>
        <row r="7559">
          <cell r="C7559" t="str">
            <v>Los Andes Copper</v>
          </cell>
          <cell r="D7559">
            <v>546466</v>
          </cell>
        </row>
        <row r="7560">
          <cell r="C7560" t="str">
            <v>National Gypsum Company</v>
          </cell>
          <cell r="D7560">
            <v>1.81</v>
          </cell>
        </row>
        <row r="7561">
          <cell r="C7561" t="str">
            <v>Response Plus Holding</v>
          </cell>
          <cell r="D7561">
            <v>1.3090900000000001</v>
          </cell>
        </row>
        <row r="7562">
          <cell r="C7562" t="str">
            <v>Abdulmohsen Al-Hokair Group for Tourism and Development Company</v>
          </cell>
          <cell r="D7562">
            <v>14291</v>
          </cell>
        </row>
        <row r="7563">
          <cell r="C7563" t="str">
            <v>POET Technologies</v>
          </cell>
          <cell r="D7563">
            <v>0.40479999999999999</v>
          </cell>
        </row>
        <row r="7564">
          <cell r="C7564" t="str">
            <v>United Projects Company For Aviation Services</v>
          </cell>
          <cell r="D7564">
            <v>4.33</v>
          </cell>
        </row>
        <row r="7565">
          <cell r="C7565" t="str">
            <v>Lanvin Group</v>
          </cell>
          <cell r="D7565">
            <v>41.229100000000003</v>
          </cell>
        </row>
        <row r="7566">
          <cell r="C7566" t="str">
            <v>Oman Flour Mills</v>
          </cell>
          <cell r="D7566">
            <v>2.89</v>
          </cell>
        </row>
        <row r="7567">
          <cell r="C7567" t="str">
            <v>Akatsuki Inc</v>
          </cell>
          <cell r="D7567">
            <v>13.87</v>
          </cell>
        </row>
        <row r="7568">
          <cell r="C7568" t="str">
            <v>FuelCell Energy</v>
          </cell>
          <cell r="D7568">
            <v>27.88</v>
          </cell>
        </row>
        <row r="7569">
          <cell r="C7569" t="str">
            <v>TPI Composites</v>
          </cell>
          <cell r="D7569">
            <v>0.95820000000000005</v>
          </cell>
        </row>
        <row r="7570">
          <cell r="C7570" t="str">
            <v>Deutsche Rohstoff</v>
          </cell>
          <cell r="D7570">
            <v>4.92</v>
          </cell>
        </row>
        <row r="7571">
          <cell r="C7571" t="str">
            <v>Codexis</v>
          </cell>
          <cell r="D7571">
            <v>45.766399999999997</v>
          </cell>
        </row>
        <row r="7572">
          <cell r="C7572" t="str">
            <v>Seven Hills Realty Trust</v>
          </cell>
          <cell r="D7572">
            <v>287147</v>
          </cell>
        </row>
        <row r="7573">
          <cell r="C7573" t="str">
            <v>NACCO Industries</v>
          </cell>
          <cell r="D7573">
            <v>15.008800000000001</v>
          </cell>
        </row>
        <row r="7574">
          <cell r="C7574" t="str">
            <v>Ascend Wellness (AWH)</v>
          </cell>
          <cell r="D7574">
            <v>4.0999999999999996</v>
          </cell>
        </row>
        <row r="7575">
          <cell r="C7575" t="str">
            <v>Clipper Realty</v>
          </cell>
          <cell r="D7575">
            <v>2.85371</v>
          </cell>
        </row>
        <row r="7576">
          <cell r="C7576" t="str">
            <v>Absa Bank</v>
          </cell>
          <cell r="D7576">
            <v>18.3</v>
          </cell>
        </row>
        <row r="7577">
          <cell r="C7577" t="str">
            <v>Carlo Gavazzi Holding</v>
          </cell>
          <cell r="D7577">
            <v>1.36</v>
          </cell>
        </row>
        <row r="7578">
          <cell r="C7578" t="str">
            <v>Schaffer Corporation</v>
          </cell>
          <cell r="D7578">
            <v>3.91</v>
          </cell>
        </row>
        <row r="7579">
          <cell r="C7579" t="str">
            <v>Southland Holdings</v>
          </cell>
          <cell r="D7579">
            <v>0.94820000000000004</v>
          </cell>
        </row>
        <row r="7580">
          <cell r="C7580" t="str">
            <v>Morabaha Marina Financing Company</v>
          </cell>
          <cell r="D7580">
            <v>1.2154499999999999</v>
          </cell>
        </row>
        <row r="7581">
          <cell r="C7581" t="str">
            <v>Medifast</v>
          </cell>
          <cell r="D7581">
            <v>17.5749</v>
          </cell>
        </row>
        <row r="7582">
          <cell r="C7582" t="str">
            <v>Kaltura</v>
          </cell>
          <cell r="D7582">
            <v>1.64917</v>
          </cell>
        </row>
        <row r="7583">
          <cell r="C7583" t="str">
            <v>Cardlytics</v>
          </cell>
          <cell r="D7583">
            <v>13.706200000000001</v>
          </cell>
        </row>
        <row r="7584">
          <cell r="C7584" t="str">
            <v>Microvision</v>
          </cell>
          <cell r="D7584">
            <v>14.24</v>
          </cell>
        </row>
        <row r="7585">
          <cell r="C7585" t="str">
            <v>Amerigo Resources</v>
          </cell>
          <cell r="D7585">
            <v>2.1566700000000001</v>
          </cell>
        </row>
        <row r="7586">
          <cell r="C7586" t="str">
            <v>Allgeier</v>
          </cell>
          <cell r="D7586">
            <v>10735</v>
          </cell>
        </row>
        <row r="7587">
          <cell r="C7587" t="str">
            <v>Azerion Group</v>
          </cell>
          <cell r="D7587">
            <v>1.28</v>
          </cell>
        </row>
        <row r="7588">
          <cell r="C7588" t="str">
            <v>Aumann AG</v>
          </cell>
          <cell r="D7588">
            <v>3.92</v>
          </cell>
        </row>
        <row r="7589">
          <cell r="C7589" t="str">
            <v>HireQuest</v>
          </cell>
          <cell r="D7589">
            <v>0.42662699999999998</v>
          </cell>
        </row>
        <row r="7590">
          <cell r="C7590" t="str">
            <v>Mandalay Resources</v>
          </cell>
          <cell r="D7590">
            <v>1.9785600000000001</v>
          </cell>
        </row>
        <row r="7591">
          <cell r="C7591" t="str">
            <v>Gauzy</v>
          </cell>
          <cell r="D7591">
            <v>255</v>
          </cell>
        </row>
        <row r="7592">
          <cell r="C7592" t="str">
            <v>GoPro</v>
          </cell>
          <cell r="D7592">
            <v>35.51</v>
          </cell>
        </row>
        <row r="7593">
          <cell r="C7593" t="str">
            <v>MBIA</v>
          </cell>
          <cell r="D7593">
            <v>0.87780000000000002</v>
          </cell>
        </row>
        <row r="7594">
          <cell r="C7594" t="str">
            <v>Devolver Digital</v>
          </cell>
          <cell r="D7594">
            <v>0.60746999999999995</v>
          </cell>
        </row>
        <row r="7595">
          <cell r="C7595" t="str">
            <v>Softstar Entertainment</v>
          </cell>
          <cell r="D7595">
            <v>0.86519999999999997</v>
          </cell>
        </row>
        <row r="7596">
          <cell r="C7596" t="str">
            <v>Cybin</v>
          </cell>
          <cell r="D7596">
            <v>0.58871300000000004</v>
          </cell>
        </row>
        <row r="7597">
          <cell r="C7597" t="str">
            <v>Evans Bancorp</v>
          </cell>
          <cell r="D7597">
            <v>0.15389900000000001</v>
          </cell>
        </row>
        <row r="7598">
          <cell r="C7598" t="str">
            <v>Gossamer Bio</v>
          </cell>
          <cell r="D7598">
            <v>2.0779200000000002</v>
          </cell>
        </row>
        <row r="7599">
          <cell r="C7599" t="str">
            <v>Nykode Therapeutics</v>
          </cell>
          <cell r="D7599">
            <v>7.9584400000000004</v>
          </cell>
        </row>
        <row r="7600">
          <cell r="C7600" t="str">
            <v>Vertical Aerospace</v>
          </cell>
          <cell r="D7600">
            <v>4.2992400000000002</v>
          </cell>
        </row>
        <row r="7601">
          <cell r="C7601" t="str">
            <v>Ainsworth Game Technology</v>
          </cell>
          <cell r="D7601">
            <v>3.94</v>
          </cell>
        </row>
        <row r="7602">
          <cell r="C7602" t="str">
            <v>Homeland Interactive Technology</v>
          </cell>
          <cell r="D7602">
            <v>0.8669</v>
          </cell>
        </row>
        <row r="7603">
          <cell r="C7603" t="str">
            <v>Shell Oman Marketing Company</v>
          </cell>
          <cell r="D7603">
            <v>15.735799999999999</v>
          </cell>
        </row>
        <row r="7604">
          <cell r="C7604" t="str">
            <v>Compagnie d'Entreprises CFE</v>
          </cell>
          <cell r="D7604">
            <v>0.95605099999999998</v>
          </cell>
        </row>
        <row r="7605">
          <cell r="C7605" t="str">
            <v>Gulf Union Alahlia Cooperative Insurance</v>
          </cell>
          <cell r="D7605">
            <v>30.2</v>
          </cell>
        </row>
        <row r="7606">
          <cell r="C7606" t="str">
            <v>NN, Inc.</v>
          </cell>
          <cell r="D7606">
            <v>4.9073200000000003</v>
          </cell>
        </row>
        <row r="7607">
          <cell r="C7607" t="str">
            <v>Vaxart</v>
          </cell>
          <cell r="D7607">
            <v>9.18</v>
          </cell>
        </row>
        <row r="7608">
          <cell r="C7608" t="str">
            <v>India Motor Parts and Accessories</v>
          </cell>
          <cell r="D7608">
            <v>1.39</v>
          </cell>
        </row>
        <row r="7609">
          <cell r="C7609" t="str">
            <v>WildBrain</v>
          </cell>
          <cell r="D7609">
            <v>1.4484699999999999</v>
          </cell>
        </row>
        <row r="7610">
          <cell r="C7610" t="str">
            <v>National Bankshares</v>
          </cell>
          <cell r="D7610">
            <v>1.15036</v>
          </cell>
        </row>
        <row r="7611">
          <cell r="C7611" t="str">
            <v>Liva Insurance Company</v>
          </cell>
          <cell r="D7611">
            <v>8.4600000000000009</v>
          </cell>
        </row>
        <row r="7612">
          <cell r="C7612" t="str">
            <v>Borealis Foods</v>
          </cell>
          <cell r="D7612">
            <v>151641</v>
          </cell>
        </row>
        <row r="7613">
          <cell r="C7613" t="str">
            <v>iLearningEngines</v>
          </cell>
          <cell r="D7613">
            <v>25.08</v>
          </cell>
        </row>
        <row r="7614">
          <cell r="C7614" t="str">
            <v>Rico Auto Industries</v>
          </cell>
          <cell r="D7614">
            <v>7.8232200000000001</v>
          </cell>
        </row>
        <row r="7615">
          <cell r="C7615" t="str">
            <v>Race Oncology</v>
          </cell>
          <cell r="D7615">
            <v>4.91</v>
          </cell>
        </row>
        <row r="7616">
          <cell r="C7616" t="str">
            <v>GoHealth</v>
          </cell>
          <cell r="D7616">
            <v>11.03</v>
          </cell>
        </row>
        <row r="7617">
          <cell r="C7617" t="str">
            <v>Wawel</v>
          </cell>
          <cell r="D7617">
            <v>60.253700000000002</v>
          </cell>
        </row>
        <row r="7618">
          <cell r="C7618" t="str">
            <v>Onity Group</v>
          </cell>
          <cell r="D7618">
            <v>6.19</v>
          </cell>
        </row>
        <row r="7619">
          <cell r="C7619" t="str">
            <v>Melbourne Enterprises</v>
          </cell>
          <cell r="D7619">
            <v>13.98</v>
          </cell>
        </row>
        <row r="7620">
          <cell r="C7620" t="str">
            <v>1stdibs.Com</v>
          </cell>
          <cell r="D7620">
            <v>8.3080099999999995</v>
          </cell>
        </row>
        <row r="7621">
          <cell r="C7621" t="str">
            <v>Provident Bancorp</v>
          </cell>
          <cell r="D7621">
            <v>2.29</v>
          </cell>
        </row>
        <row r="7622">
          <cell r="C7622" t="str">
            <v>Cicor Technologies</v>
          </cell>
          <cell r="D7622">
            <v>5.7477600000000004</v>
          </cell>
        </row>
        <row r="7623">
          <cell r="C7623" t="str">
            <v>Skye Bioscience</v>
          </cell>
          <cell r="D7623">
            <v>1.58</v>
          </cell>
        </row>
        <row r="7624">
          <cell r="C7624" t="str">
            <v>Escalade Sports</v>
          </cell>
          <cell r="D7624">
            <v>0.16578699999999999</v>
          </cell>
        </row>
        <row r="7625">
          <cell r="C7625" t="str">
            <v>Sylogist</v>
          </cell>
          <cell r="D7625">
            <v>1.2490300000000001</v>
          </cell>
        </row>
        <row r="7626">
          <cell r="C7626" t="str">
            <v>Stereotaxis</v>
          </cell>
          <cell r="D7626">
            <v>1.9639800000000001</v>
          </cell>
        </row>
        <row r="7627">
          <cell r="C7627" t="str">
            <v>home24</v>
          </cell>
          <cell r="D7627">
            <v>1.69</v>
          </cell>
        </row>
        <row r="7628">
          <cell r="C7628" t="str">
            <v>Mersana Therapeutics</v>
          </cell>
          <cell r="D7628">
            <v>1.85</v>
          </cell>
        </row>
        <row r="7629">
          <cell r="C7629" t="str">
            <v>Base Resources Limited</v>
          </cell>
          <cell r="D7629">
            <v>0.555844</v>
          </cell>
        </row>
        <row r="7630">
          <cell r="C7630" t="str">
            <v>Agfa-Gevaert</v>
          </cell>
          <cell r="D7630">
            <v>7.8591999999999995E-2</v>
          </cell>
        </row>
        <row r="7631">
          <cell r="C7631" t="str">
            <v>Aimia</v>
          </cell>
          <cell r="D7631">
            <v>1.08</v>
          </cell>
        </row>
        <row r="7632">
          <cell r="C7632" t="str">
            <v>EMX Royalty</v>
          </cell>
          <cell r="D7632">
            <v>20.338200000000001</v>
          </cell>
        </row>
        <row r="7633">
          <cell r="C7633" t="str">
            <v>OrganiGram Holdings</v>
          </cell>
          <cell r="D7633">
            <v>4.42136</v>
          </cell>
        </row>
        <row r="7634">
          <cell r="C7634" t="str">
            <v>Planet13</v>
          </cell>
          <cell r="D7634">
            <v>0.63608100000000001</v>
          </cell>
        </row>
        <row r="7635">
          <cell r="C7635" t="str">
            <v>Fauji Cement Company</v>
          </cell>
          <cell r="D7635">
            <v>1.19773</v>
          </cell>
        </row>
        <row r="7636">
          <cell r="C7636" t="str">
            <v>Nerdy</v>
          </cell>
          <cell r="D7636">
            <v>0.53480000000000005</v>
          </cell>
        </row>
        <row r="7637">
          <cell r="C7637" t="str">
            <v>Lang &amp;amp; Schwarz</v>
          </cell>
          <cell r="D7637">
            <v>12.88</v>
          </cell>
        </row>
        <row r="7638">
          <cell r="C7638" t="str">
            <v>Quirin Privatbank</v>
          </cell>
          <cell r="D7638">
            <v>0.76</v>
          </cell>
        </row>
        <row r="7639">
          <cell r="C7639" t="str">
            <v>Acrow Limited</v>
          </cell>
          <cell r="D7639">
            <v>6.69</v>
          </cell>
        </row>
        <row r="7640">
          <cell r="C7640" t="str">
            <v>Pacific Smiles Group</v>
          </cell>
          <cell r="D7640">
            <v>0.60901300000000003</v>
          </cell>
        </row>
        <row r="7641">
          <cell r="C7641" t="str">
            <v>Hong Kong Ferry</v>
          </cell>
          <cell r="D7641">
            <v>0.42065799999999998</v>
          </cell>
        </row>
        <row r="7642">
          <cell r="C7642" t="str">
            <v>OP Bancorp (Open Bank)</v>
          </cell>
          <cell r="D7642">
            <v>0.79</v>
          </cell>
        </row>
        <row r="7643">
          <cell r="C7643" t="str">
            <v>Al Buhaira National Insurance Company</v>
          </cell>
          <cell r="D7643">
            <v>7.22</v>
          </cell>
        </row>
        <row r="7644">
          <cell r="C7644" t="str">
            <v>Virgin Galactic</v>
          </cell>
          <cell r="D7644">
            <v>17.409099999999999</v>
          </cell>
        </row>
        <row r="7645">
          <cell r="C7645" t="str">
            <v>Atturra</v>
          </cell>
          <cell r="D7645">
            <v>8.8800000000000008</v>
          </cell>
        </row>
        <row r="7646">
          <cell r="C7646" t="str">
            <v>Television Broadcasts (TVB)</v>
          </cell>
          <cell r="D7646">
            <v>474.19</v>
          </cell>
        </row>
        <row r="7647">
          <cell r="C7647" t="str">
            <v>Gevo</v>
          </cell>
          <cell r="D7647">
            <v>58.02</v>
          </cell>
        </row>
        <row r="7648">
          <cell r="C7648" t="str">
            <v>Inovio Pharmaceuticals</v>
          </cell>
          <cell r="D7648">
            <v>1.52</v>
          </cell>
        </row>
        <row r="7649">
          <cell r="C7649" t="str">
            <v>Fabasoft</v>
          </cell>
          <cell r="D7649">
            <v>2.7275900000000002</v>
          </cell>
        </row>
        <row r="7650">
          <cell r="C7650" t="str">
            <v>Western New England Bancorp</v>
          </cell>
          <cell r="D7650">
            <v>1.59</v>
          </cell>
        </row>
        <row r="7651">
          <cell r="C7651" t="str">
            <v>Banque nationale de Belgique</v>
          </cell>
          <cell r="D7651">
            <v>243175</v>
          </cell>
        </row>
        <row r="7652">
          <cell r="C7652" t="str">
            <v>C&amp;amp;F Financial Corporation</v>
          </cell>
          <cell r="D7652">
            <v>0.54811200000000004</v>
          </cell>
        </row>
        <row r="7653">
          <cell r="C7653" t="str">
            <v>Playstudios</v>
          </cell>
          <cell r="D7653">
            <v>1.82</v>
          </cell>
        </row>
        <row r="7654">
          <cell r="C7654" t="str">
            <v>Tamil Nadu Newsprint and Papers Limited</v>
          </cell>
          <cell r="D7654">
            <v>5.68</v>
          </cell>
        </row>
        <row r="7655">
          <cell r="C7655" t="str">
            <v>AMMO</v>
          </cell>
          <cell r="D7655">
            <v>1.86</v>
          </cell>
        </row>
        <row r="7656">
          <cell r="C7656" t="str">
            <v>ADM Hamburg</v>
          </cell>
          <cell r="D7656">
            <v>2.1</v>
          </cell>
        </row>
        <row r="7657">
          <cell r="C7657" t="str">
            <v>Pact Group</v>
          </cell>
          <cell r="D7657">
            <v>14.02</v>
          </cell>
        </row>
        <row r="7658">
          <cell r="C7658" t="str">
            <v>Franklin Street Properties</v>
          </cell>
          <cell r="D7658">
            <v>9.3732699999999998</v>
          </cell>
        </row>
        <row r="7659">
          <cell r="C7659" t="str">
            <v>Molecular Partners</v>
          </cell>
          <cell r="D7659">
            <v>34.71</v>
          </cell>
        </row>
        <row r="7660">
          <cell r="C7660" t="str">
            <v>Blink Charging</v>
          </cell>
          <cell r="D7660">
            <v>0.10488599999999999</v>
          </cell>
        </row>
        <row r="7661">
          <cell r="C7661" t="str">
            <v>Compugen</v>
          </cell>
          <cell r="D7661">
            <v>30.11</v>
          </cell>
        </row>
        <row r="7662">
          <cell r="C7662" t="str">
            <v>Greenwich LifeSciences</v>
          </cell>
          <cell r="D7662">
            <v>2.94</v>
          </cell>
        </row>
        <row r="7663">
          <cell r="C7663" t="str">
            <v>The Platform Group</v>
          </cell>
          <cell r="D7663">
            <v>3.55</v>
          </cell>
        </row>
        <row r="7664">
          <cell r="C7664" t="str">
            <v>Smith-Midland</v>
          </cell>
          <cell r="D7664">
            <v>2.08</v>
          </cell>
        </row>
        <row r="7665">
          <cell r="C7665" t="str">
            <v>Carnarvon Energy</v>
          </cell>
          <cell r="D7665">
            <v>0.34689999999999999</v>
          </cell>
        </row>
        <row r="7666">
          <cell r="C7666" t="str">
            <v>The Eastern Company</v>
          </cell>
          <cell r="D7666">
            <v>18.440000000000001</v>
          </cell>
        </row>
        <row r="7667">
          <cell r="C7667" t="str">
            <v>Oxford Square Capital</v>
          </cell>
          <cell r="D7667">
            <v>26.7</v>
          </cell>
        </row>
        <row r="7668">
          <cell r="C7668" t="str">
            <v>HF Foods Group</v>
          </cell>
          <cell r="D7668">
            <v>12.47</v>
          </cell>
        </row>
        <row r="7669">
          <cell r="C7669" t="str">
            <v>Entravision Communications</v>
          </cell>
          <cell r="D7669">
            <v>3.7284999999999999</v>
          </cell>
        </row>
        <row r="7670">
          <cell r="C7670" t="str">
            <v>Northern Dynasty Minerals</v>
          </cell>
          <cell r="D7670">
            <v>39.835700000000003</v>
          </cell>
        </row>
        <row r="7671">
          <cell r="C7671" t="str">
            <v>ESSA Bancorp</v>
          </cell>
          <cell r="D7671">
            <v>0.59548000000000001</v>
          </cell>
        </row>
        <row r="7672">
          <cell r="C7672" t="str">
            <v>Semler Scientific</v>
          </cell>
          <cell r="D7672">
            <v>19.239999999999998</v>
          </cell>
        </row>
        <row r="7673">
          <cell r="C7673" t="str">
            <v>TruBridge</v>
          </cell>
          <cell r="D7673">
            <v>2295</v>
          </cell>
        </row>
        <row r="7674">
          <cell r="C7674" t="str">
            <v>Jazan Development and Investment (JAZADCO)</v>
          </cell>
          <cell r="D7674">
            <v>48.192799999999998</v>
          </cell>
        </row>
        <row r="7675">
          <cell r="C7675" t="str">
            <v>Gurit Holding</v>
          </cell>
          <cell r="D7675">
            <v>1.56511</v>
          </cell>
        </row>
        <row r="7676">
          <cell r="C7676" t="str">
            <v>Lindsay Australia</v>
          </cell>
          <cell r="D7676">
            <v>7.26691E-2</v>
          </cell>
        </row>
        <row r="7677">
          <cell r="C7677" t="str">
            <v>First Western Financial</v>
          </cell>
          <cell r="D7677">
            <v>10.5007</v>
          </cell>
        </row>
        <row r="7678">
          <cell r="C7678" t="str">
            <v>Innate Pharma</v>
          </cell>
          <cell r="D7678">
            <v>6.9847299999999999</v>
          </cell>
        </row>
        <row r="7679">
          <cell r="C7679" t="str">
            <v>AGROB Immobilien</v>
          </cell>
          <cell r="D7679">
            <v>2.6753200000000001</v>
          </cell>
        </row>
        <row r="7680">
          <cell r="C7680" t="str">
            <v>Mangalore Chemicals and Fertilizers</v>
          </cell>
          <cell r="D7680">
            <v>2.46</v>
          </cell>
        </row>
        <row r="7681">
          <cell r="C7681" t="str">
            <v>Síminn hf.</v>
          </cell>
          <cell r="D7681">
            <v>13.16</v>
          </cell>
        </row>
        <row r="7682">
          <cell r="C7682" t="str">
            <v>Eisen- und Hüttenwerke</v>
          </cell>
          <cell r="D7682">
            <v>3.82</v>
          </cell>
        </row>
        <row r="7683">
          <cell r="C7683" t="str">
            <v>FuRyu</v>
          </cell>
          <cell r="D7683">
            <v>6.2116899999999999</v>
          </cell>
        </row>
        <row r="7684">
          <cell r="C7684" t="str">
            <v>Al-Maha Petroleum</v>
          </cell>
          <cell r="D7684">
            <v>11.0976</v>
          </cell>
        </row>
        <row r="7685">
          <cell r="C7685" t="str">
            <v>Context Therapeutics</v>
          </cell>
          <cell r="D7685">
            <v>18.62</v>
          </cell>
        </row>
        <row r="7686">
          <cell r="C7686" t="str">
            <v>Twin Disc</v>
          </cell>
          <cell r="D7686">
            <v>1.05375</v>
          </cell>
        </row>
        <row r="7687">
          <cell r="C7687" t="str">
            <v>Mammoth Energy Services</v>
          </cell>
          <cell r="D7687">
            <v>1.80291</v>
          </cell>
        </row>
        <row r="7688">
          <cell r="C7688" t="str">
            <v>Drecom</v>
          </cell>
          <cell r="D7688">
            <v>4.64595</v>
          </cell>
        </row>
        <row r="7689">
          <cell r="C7689" t="str">
            <v>Koenig &amp;amp; Bauer</v>
          </cell>
          <cell r="D7689">
            <v>1.97</v>
          </cell>
        </row>
        <row r="7690">
          <cell r="C7690" t="str">
            <v>Investar Holding</v>
          </cell>
          <cell r="D7690">
            <v>0.6</v>
          </cell>
        </row>
        <row r="7691">
          <cell r="C7691" t="str">
            <v>BHM Capital Financial Services</v>
          </cell>
          <cell r="D7691">
            <v>6.0434700000000001</v>
          </cell>
        </row>
        <row r="7692">
          <cell r="C7692" t="str">
            <v>Baazeem Trading Company</v>
          </cell>
          <cell r="D7692">
            <v>4.72</v>
          </cell>
        </row>
        <row r="7693">
          <cell r="C7693" t="str">
            <v>Tabuk Agricultural Development Company</v>
          </cell>
          <cell r="D7693">
            <v>1.47254</v>
          </cell>
        </row>
        <row r="7694">
          <cell r="C7694" t="str">
            <v>E. W. Scripps Company</v>
          </cell>
          <cell r="D7694">
            <v>22.438400000000001</v>
          </cell>
        </row>
        <row r="7695">
          <cell r="C7695" t="str">
            <v>Finance House</v>
          </cell>
          <cell r="D7695">
            <v>2.04</v>
          </cell>
        </row>
        <row r="7696">
          <cell r="C7696" t="str">
            <v>Buruj Cooperative Insurance Company</v>
          </cell>
          <cell r="D7696">
            <v>24.609300000000001</v>
          </cell>
        </row>
        <row r="7697">
          <cell r="C7697" t="str">
            <v>Magnachip</v>
          </cell>
          <cell r="D7697">
            <v>0.86615200000000003</v>
          </cell>
        </row>
        <row r="7698">
          <cell r="C7698" t="str">
            <v>Bahrain Duty Free Shop Complex</v>
          </cell>
          <cell r="D7698">
            <v>14.1</v>
          </cell>
        </row>
        <row r="7699">
          <cell r="C7699" t="str">
            <v>Funkwerk AG</v>
          </cell>
          <cell r="D7699">
            <v>8.84</v>
          </cell>
        </row>
        <row r="7700">
          <cell r="C7700" t="str">
            <v>Osisko Development</v>
          </cell>
          <cell r="D7700">
            <v>3.24</v>
          </cell>
        </row>
        <row r="7701">
          <cell r="C7701" t="str">
            <v>Ten Square Games</v>
          </cell>
          <cell r="D7701">
            <v>18.956600000000002</v>
          </cell>
        </row>
        <row r="7702">
          <cell r="C7702" t="str">
            <v>Solvar Limited</v>
          </cell>
          <cell r="D7702">
            <v>2.2000000000000002</v>
          </cell>
        </row>
        <row r="7703">
          <cell r="C7703" t="str">
            <v>SoundThinking </v>
          </cell>
          <cell r="D7703">
            <v>14.59</v>
          </cell>
        </row>
        <row r="7704">
          <cell r="C7704" t="str">
            <v> (ShotSpotter)</v>
          </cell>
          <cell r="D7704">
            <v>1.8358399999999999</v>
          </cell>
        </row>
        <row r="7705">
          <cell r="C7705" t="str">
            <v>Quest Resource Holding</v>
          </cell>
          <cell r="D7705">
            <v>0.674257</v>
          </cell>
        </row>
        <row r="7706">
          <cell r="C7706" t="str">
            <v>Nam Tai Property</v>
          </cell>
          <cell r="D7706">
            <v>4.4821499999999999</v>
          </cell>
        </row>
        <row r="7707">
          <cell r="C7707" t="str">
            <v>Leifheit</v>
          </cell>
          <cell r="D7707">
            <v>1.78</v>
          </cell>
        </row>
        <row r="7708">
          <cell r="C7708" t="str">
            <v>Vasta Platform</v>
          </cell>
          <cell r="D7708">
            <v>57.22</v>
          </cell>
        </row>
        <row r="7709">
          <cell r="C7709" t="str">
            <v>Inseego</v>
          </cell>
          <cell r="D7709">
            <v>24.1</v>
          </cell>
        </row>
        <row r="7710">
          <cell r="C7710" t="str">
            <v>Kellton Tech Solutions</v>
          </cell>
          <cell r="D7710">
            <v>2.5380400000000001</v>
          </cell>
        </row>
        <row r="7711">
          <cell r="C7711" t="str">
            <v>ReconAfrica</v>
          </cell>
          <cell r="D7711">
            <v>1.94</v>
          </cell>
        </row>
        <row r="7712">
          <cell r="C7712" t="str">
            <v>Kamux</v>
          </cell>
          <cell r="D7712">
            <v>5.1100000000000003</v>
          </cell>
        </row>
        <row r="7713">
          <cell r="C7713" t="str">
            <v>Maiden Holdings</v>
          </cell>
          <cell r="D7713">
            <v>0.36879099999999998</v>
          </cell>
        </row>
        <row r="7714">
          <cell r="C7714" t="str">
            <v>Taylor Devices</v>
          </cell>
          <cell r="D7714">
            <v>0.44467499999999999</v>
          </cell>
        </row>
        <row r="7715">
          <cell r="C7715" t="str">
            <v>Lakeland Industries</v>
          </cell>
          <cell r="D7715">
            <v>2.64</v>
          </cell>
        </row>
        <row r="7716">
          <cell r="C7716" t="str">
            <v>Bushiroad</v>
          </cell>
          <cell r="D7716">
            <v>1.23</v>
          </cell>
        </row>
        <row r="7717">
          <cell r="C7717" t="str">
            <v>Aenza</v>
          </cell>
          <cell r="D7717">
            <v>1.2154499999999999</v>
          </cell>
        </row>
        <row r="7718">
          <cell r="C7718" t="str">
            <v>Full House Resorts</v>
          </cell>
          <cell r="D7718">
            <v>1575</v>
          </cell>
        </row>
        <row r="7719">
          <cell r="C7719" t="str">
            <v>Praemium Limited</v>
          </cell>
          <cell r="D7719">
            <v>17.46</v>
          </cell>
        </row>
        <row r="7720">
          <cell r="C7720" t="str">
            <v>Discovery Silver Corp.</v>
          </cell>
          <cell r="D7720">
            <v>3.3</v>
          </cell>
        </row>
        <row r="7721">
          <cell r="C7721" t="str">
            <v>Generation Bio</v>
          </cell>
          <cell r="D7721">
            <v>5.31</v>
          </cell>
        </row>
        <row r="7722">
          <cell r="C7722" t="str">
            <v>FREYR Battery</v>
          </cell>
          <cell r="D7722">
            <v>5.7429300000000003</v>
          </cell>
        </row>
        <row r="7723">
          <cell r="C7723" t="str">
            <v>Prime Mining Corp.</v>
          </cell>
          <cell r="D7723">
            <v>848</v>
          </cell>
        </row>
        <row r="7724">
          <cell r="C7724" t="str">
            <v>Nouveau Monde Graphite</v>
          </cell>
          <cell r="D7724">
            <v>0.47029399999999999</v>
          </cell>
        </row>
        <row r="7725">
          <cell r="C7725" t="str">
            <v>TAT Technologies</v>
          </cell>
          <cell r="D7725">
            <v>0.68579999999999997</v>
          </cell>
        </row>
        <row r="7726">
          <cell r="C7726" t="str">
            <v>Aeva Technologies</v>
          </cell>
          <cell r="D7726">
            <v>0.48</v>
          </cell>
        </row>
        <row r="7727">
          <cell r="C7727" t="str">
            <v>Sangoma Technologies</v>
          </cell>
          <cell r="D7727">
            <v>1.6</v>
          </cell>
        </row>
        <row r="7728">
          <cell r="C7728" t="str">
            <v>Swiss Steel</v>
          </cell>
          <cell r="D7728">
            <v>0.64284699999999995</v>
          </cell>
        </row>
        <row r="7729">
          <cell r="C7729" t="str">
            <v>Sangamo Therapeutics</v>
          </cell>
          <cell r="D7729">
            <v>6.92</v>
          </cell>
        </row>
        <row r="7730">
          <cell r="C7730" t="str">
            <v>EML Payments</v>
          </cell>
          <cell r="D7730">
            <v>0.91639999999999999</v>
          </cell>
        </row>
        <row r="7731">
          <cell r="C7731" t="str">
            <v>GrafTech</v>
          </cell>
          <cell r="D7731">
            <v>2.97932</v>
          </cell>
        </row>
        <row r="7732">
          <cell r="C7732" t="str">
            <v>Arab Insurance Group</v>
          </cell>
          <cell r="D7732">
            <v>2.6780900000000001</v>
          </cell>
        </row>
        <row r="7733">
          <cell r="C7733" t="str">
            <v>Ayr Wellness</v>
          </cell>
          <cell r="D7733">
            <v>9.94</v>
          </cell>
        </row>
        <row r="7734">
          <cell r="C7734" t="str">
            <v>3P Learning</v>
          </cell>
          <cell r="D7734">
            <v>2</v>
          </cell>
        </row>
        <row r="7735">
          <cell r="C7735" t="str">
            <v>Ellington Residential Mortgage REIT</v>
          </cell>
          <cell r="D7735">
            <v>1.9</v>
          </cell>
        </row>
        <row r="7736">
          <cell r="C7736" t="str">
            <v>Rigetti Computing</v>
          </cell>
          <cell r="D7736">
            <v>8.4153300000000009</v>
          </cell>
        </row>
        <row r="7737">
          <cell r="C7737" t="str">
            <v>EcoSynthetix</v>
          </cell>
          <cell r="D7737">
            <v>1.7442299999999999</v>
          </cell>
        </row>
        <row r="7738">
          <cell r="C7738" t="str">
            <v>Dhampur Sugar Mills</v>
          </cell>
          <cell r="D7738">
            <v>0.96346299999999996</v>
          </cell>
        </row>
        <row r="7739">
          <cell r="C7739" t="str">
            <v>INEOS Styrolution</v>
          </cell>
          <cell r="D7739">
            <v>1.1100000000000001</v>
          </cell>
        </row>
        <row r="7740">
          <cell r="C7740" t="str">
            <v>Mondee</v>
          </cell>
          <cell r="D7740">
            <v>1.74</v>
          </cell>
        </row>
        <row r="7741">
          <cell r="C7741" t="str">
            <v>Agora.io</v>
          </cell>
          <cell r="D7741">
            <v>1.7675099999999999</v>
          </cell>
        </row>
        <row r="7742">
          <cell r="C7742" t="str">
            <v>Monte Carlo Fashions</v>
          </cell>
          <cell r="D7742">
            <v>10.46</v>
          </cell>
        </row>
        <row r="7743">
          <cell r="C7743" t="str">
            <v>Arab Sea Information Systems Company</v>
          </cell>
          <cell r="D7743">
            <v>7.35</v>
          </cell>
        </row>
        <row r="7744">
          <cell r="C7744" t="str">
            <v>Probe Gold Inc.</v>
          </cell>
          <cell r="D7744">
            <v>11</v>
          </cell>
        </row>
        <row r="7745">
          <cell r="C7745" t="str">
            <v>BlackSky Technology</v>
          </cell>
          <cell r="D7745">
            <v>13.14</v>
          </cell>
        </row>
        <row r="7746">
          <cell r="C7746" t="str">
            <v>LiveOne</v>
          </cell>
          <cell r="D7746">
            <v>2.1225800000000001</v>
          </cell>
        </row>
        <row r="7747">
          <cell r="C7747" t="str">
            <v>Himatsingka Seide</v>
          </cell>
          <cell r="D7747">
            <v>4.93</v>
          </cell>
        </row>
        <row r="7748">
          <cell r="C7748" t="str">
            <v>Ultralife Corporation</v>
          </cell>
          <cell r="D7748">
            <v>7.1391900000000001</v>
          </cell>
        </row>
        <row r="7749">
          <cell r="C7749" t="str">
            <v>Outlook Therapeutics</v>
          </cell>
          <cell r="D7749">
            <v>15.84</v>
          </cell>
        </row>
        <row r="7750">
          <cell r="C7750" t="str">
            <v>Perma-Fix Environmental Services</v>
          </cell>
          <cell r="D7750">
            <v>18.670000000000002</v>
          </cell>
        </row>
        <row r="7751">
          <cell r="C7751" t="str">
            <v>FinWise Bancorp</v>
          </cell>
          <cell r="D7751">
            <v>5.4134500000000002E-2</v>
          </cell>
        </row>
        <row r="7752">
          <cell r="C7752" t="str">
            <v>Bahrain Commercial Facilities Company</v>
          </cell>
          <cell r="D7752">
            <v>11.85</v>
          </cell>
        </row>
        <row r="7753">
          <cell r="C7753" t="str">
            <v>EUDA Health</v>
          </cell>
          <cell r="D7753">
            <v>30.0092</v>
          </cell>
        </row>
        <row r="7754">
          <cell r="C7754" t="str">
            <v>Shankara Building</v>
          </cell>
          <cell r="D7754">
            <v>1.37</v>
          </cell>
        </row>
        <row r="7755">
          <cell r="C7755" t="str">
            <v>Hooker Furniture</v>
          </cell>
          <cell r="D7755">
            <v>17.6281</v>
          </cell>
        </row>
        <row r="7756">
          <cell r="C7756" t="str">
            <v>Portman Ridge</v>
          </cell>
          <cell r="D7756">
            <v>5.83</v>
          </cell>
        </row>
        <row r="7757">
          <cell r="C7757" t="str">
            <v>Peninsula Energy</v>
          </cell>
          <cell r="D7757">
            <v>0.76010100000000003</v>
          </cell>
        </row>
        <row r="7758">
          <cell r="C7758" t="str">
            <v>Richardson Electronics</v>
          </cell>
          <cell r="D7758">
            <v>7.7818399999999996E-2</v>
          </cell>
        </row>
        <row r="7759">
          <cell r="C7759" t="str">
            <v>Xlife Sciences</v>
          </cell>
          <cell r="D7759">
            <v>22.46</v>
          </cell>
        </row>
        <row r="7760">
          <cell r="C7760" t="str">
            <v>Atossa Therapeutics</v>
          </cell>
          <cell r="D7760">
            <v>3.5</v>
          </cell>
        </row>
        <row r="7761">
          <cell r="C7761" t="str">
            <v>Parken Sport (F.C. Copenhagen)</v>
          </cell>
          <cell r="D7761">
            <v>3.59</v>
          </cell>
        </row>
        <row r="7762">
          <cell r="C7762" t="str">
            <v>Vera Bradley</v>
          </cell>
          <cell r="D7762">
            <v>2.4500000000000002</v>
          </cell>
        </row>
        <row r="7763">
          <cell r="C7763" t="str">
            <v>Al Kathiri Holding Company</v>
          </cell>
          <cell r="D7763">
            <v>3.5</v>
          </cell>
        </row>
        <row r="7764">
          <cell r="C7764" t="str">
            <v>Strickland Metals Limited</v>
          </cell>
          <cell r="D7764">
            <v>1.9285399999999999</v>
          </cell>
        </row>
        <row r="7765">
          <cell r="C7765" t="str">
            <v>Penns Woods Bancorp</v>
          </cell>
          <cell r="D7765">
            <v>0.21674199999999999</v>
          </cell>
        </row>
        <row r="7766">
          <cell r="C7766" t="str">
            <v>Fractyl Health</v>
          </cell>
          <cell r="D7766">
            <v>18.39</v>
          </cell>
        </row>
        <row r="7767">
          <cell r="C7767" t="str">
            <v>Shattuck Labs</v>
          </cell>
          <cell r="D7767">
            <v>18.98</v>
          </cell>
        </row>
        <row r="7768">
          <cell r="C7768" t="str">
            <v>Alpha Tau Medical</v>
          </cell>
          <cell r="D7768">
            <v>19.3</v>
          </cell>
        </row>
        <row r="7769">
          <cell r="C7769" t="str">
            <v>Information Services Group</v>
          </cell>
          <cell r="D7769">
            <v>0.66651899999999997</v>
          </cell>
        </row>
        <row r="7770">
          <cell r="C7770" t="str">
            <v>LGI Limited</v>
          </cell>
          <cell r="D7770">
            <v>753</v>
          </cell>
        </row>
        <row r="7771">
          <cell r="C7771" t="str">
            <v>Hong Kong Technology Venture Company (HKTV)</v>
          </cell>
          <cell r="D7771">
            <v>2695</v>
          </cell>
        </row>
        <row r="7772">
          <cell r="C7772" t="str">
            <v>MediWound</v>
          </cell>
          <cell r="D7772">
            <v>11.43</v>
          </cell>
        </row>
        <row r="7773">
          <cell r="C7773" t="str">
            <v>Ames National Corp.</v>
          </cell>
          <cell r="D7773">
            <v>11.31</v>
          </cell>
        </row>
        <row r="7774">
          <cell r="C7774" t="str">
            <v>Klingelnberg AG</v>
          </cell>
          <cell r="D7774">
            <v>4.9000000000000004</v>
          </cell>
        </row>
        <row r="7775">
          <cell r="C7775" t="str">
            <v>GEOX</v>
          </cell>
          <cell r="D7775">
            <v>0.84903200000000001</v>
          </cell>
        </row>
        <row r="7776">
          <cell r="C7776" t="str">
            <v>Lion Electric</v>
          </cell>
          <cell r="D7776">
            <v>0.59886300000000003</v>
          </cell>
        </row>
        <row r="7777">
          <cell r="C7777" t="str">
            <v>Galectin Therapeutics</v>
          </cell>
          <cell r="D7777">
            <v>1.17743</v>
          </cell>
        </row>
        <row r="7778">
          <cell r="C7778" t="str">
            <v>Vericity</v>
          </cell>
          <cell r="D7778">
            <v>8.4005700000000001</v>
          </cell>
        </row>
        <row r="7779">
          <cell r="C7779" t="str">
            <v>The Joint Corp.</v>
          </cell>
          <cell r="D7779">
            <v>0.41277599999999998</v>
          </cell>
        </row>
        <row r="7780">
          <cell r="C7780" t="str">
            <v>Caesarstone</v>
          </cell>
          <cell r="D7780">
            <v>6.6314799999999993E-2</v>
          </cell>
        </row>
        <row r="7781">
          <cell r="C7781" t="str">
            <v>Bahrain Islamic Bank</v>
          </cell>
          <cell r="D7781">
            <v>22.5489</v>
          </cell>
        </row>
        <row r="7782">
          <cell r="C7782" t="str">
            <v>Omni Bridgeway</v>
          </cell>
          <cell r="D7782">
            <v>13.1</v>
          </cell>
        </row>
        <row r="7783">
          <cell r="C7783" t="str">
            <v>QANTM Intellectual Property</v>
          </cell>
          <cell r="D7783">
            <v>1.40073</v>
          </cell>
        </row>
        <row r="7784">
          <cell r="C7784" t="str">
            <v>Westwing Group</v>
          </cell>
          <cell r="D7784">
            <v>0.69</v>
          </cell>
        </row>
        <row r="7785">
          <cell r="C7785" t="str">
            <v>PlaySide Studios</v>
          </cell>
          <cell r="D7785">
            <v>0.88390000000000002</v>
          </cell>
        </row>
        <row r="7786">
          <cell r="C7786" t="str">
            <v>Renascor Resources</v>
          </cell>
          <cell r="D7786">
            <v>4915</v>
          </cell>
        </row>
        <row r="7787">
          <cell r="C7787" t="str">
            <v>UBM Development</v>
          </cell>
          <cell r="D7787">
            <v>0.30112299999999997</v>
          </cell>
        </row>
        <row r="7788">
          <cell r="C7788" t="str">
            <v>Ellomay Capital</v>
          </cell>
          <cell r="D7788">
            <v>23.75</v>
          </cell>
        </row>
        <row r="7789">
          <cell r="C7789" t="str">
            <v>Arizona Metals</v>
          </cell>
          <cell r="D7789">
            <v>7.0542699999999998</v>
          </cell>
        </row>
        <row r="7790">
          <cell r="C7790" t="str">
            <v>Tingo Group</v>
          </cell>
          <cell r="D7790">
            <v>5.74</v>
          </cell>
        </row>
        <row r="7791">
          <cell r="C7791" t="str">
            <v>Lineage Cell Therapeutics</v>
          </cell>
          <cell r="D7791">
            <v>0.98939999999999995</v>
          </cell>
        </row>
        <row r="7792">
          <cell r="C7792" t="str">
            <v>B. Riley Financial</v>
          </cell>
          <cell r="D7792">
            <v>3.78</v>
          </cell>
        </row>
        <row r="7793">
          <cell r="C7793" t="str">
            <v>MedAdvisor Limited</v>
          </cell>
          <cell r="D7793">
            <v>4.3099999999999996</v>
          </cell>
        </row>
        <row r="7794">
          <cell r="C7794" t="str">
            <v>Hawthorn Bancshares</v>
          </cell>
          <cell r="D7794">
            <v>0.11799</v>
          </cell>
        </row>
        <row r="7795">
          <cell r="C7795" t="str">
            <v>Nama Chemicals Company</v>
          </cell>
          <cell r="D7795">
            <v>5.36</v>
          </cell>
        </row>
        <row r="7796">
          <cell r="C7796" t="str">
            <v>American Vanguard</v>
          </cell>
          <cell r="D7796">
            <v>12.48</v>
          </cell>
        </row>
        <row r="7797">
          <cell r="C7797" t="str">
            <v>WM Technology</v>
          </cell>
          <cell r="D7797">
            <v>2.02</v>
          </cell>
        </row>
        <row r="7798">
          <cell r="C7798" t="str">
            <v>SCHMID Group</v>
          </cell>
          <cell r="D7798">
            <v>5.8579800000000001E-2</v>
          </cell>
        </row>
        <row r="7799">
          <cell r="C7799" t="str">
            <v>Clarus</v>
          </cell>
          <cell r="D7799">
            <v>10.988099999999999</v>
          </cell>
        </row>
        <row r="7800">
          <cell r="C7800" t="str">
            <v>Analogue Holdings (ATAL)</v>
          </cell>
          <cell r="D7800">
            <v>1.0966800000000001</v>
          </cell>
        </row>
        <row r="7801">
          <cell r="C7801" t="str">
            <v>Tillys</v>
          </cell>
          <cell r="D7801">
            <v>2.74</v>
          </cell>
        </row>
        <row r="7802">
          <cell r="C7802" t="str">
            <v>Idaho Strategic Resources</v>
          </cell>
          <cell r="D7802">
            <v>2.04</v>
          </cell>
        </row>
        <row r="7803">
          <cell r="C7803" t="str">
            <v>ProQR</v>
          </cell>
          <cell r="D7803">
            <v>0.64175800000000005</v>
          </cell>
        </row>
        <row r="7804">
          <cell r="C7804" t="str">
            <v>Nusantara Pelabuhan Handal</v>
          </cell>
          <cell r="D7804">
            <v>4.0912100000000002</v>
          </cell>
        </row>
        <row r="7805">
          <cell r="C7805" t="str">
            <v>Saudi Vitrified Clay Pipe Company</v>
          </cell>
          <cell r="D7805">
            <v>1.78</v>
          </cell>
        </row>
        <row r="7806">
          <cell r="C7806" t="str">
            <v>Lubawa</v>
          </cell>
          <cell r="D7806">
            <v>14.35</v>
          </cell>
        </row>
        <row r="7807">
          <cell r="C7807" t="str">
            <v>Acumen Pharmaceuticals</v>
          </cell>
          <cell r="D7807">
            <v>0.5</v>
          </cell>
        </row>
        <row r="7808">
          <cell r="C7808" t="str">
            <v>High Tide</v>
          </cell>
          <cell r="D7808">
            <v>0.81818199999999996</v>
          </cell>
        </row>
        <row r="7809">
          <cell r="C7809" t="str">
            <v>Al Khaleej Takaful Insurance Company</v>
          </cell>
          <cell r="D7809">
            <v>0.54</v>
          </cell>
        </row>
        <row r="7810">
          <cell r="C7810" t="str">
            <v>Tihama for Advertising, Public Relations and Marketing</v>
          </cell>
          <cell r="D7810">
            <v>44.09</v>
          </cell>
        </row>
        <row r="7811">
          <cell r="C7811" t="str">
            <v>Douglas Elliman</v>
          </cell>
          <cell r="D7811">
            <v>0.27773199999999998</v>
          </cell>
        </row>
        <row r="7812">
          <cell r="C7812" t="str">
            <v>BV Financial (BayVanguard)</v>
          </cell>
          <cell r="D7812">
            <v>10.57</v>
          </cell>
        </row>
        <row r="7813">
          <cell r="C7813" t="str">
            <v>Mengly J. Quach Education</v>
          </cell>
          <cell r="D7813">
            <v>4.47</v>
          </cell>
        </row>
        <row r="7814">
          <cell r="C7814" t="str">
            <v>SMN Power Company</v>
          </cell>
          <cell r="D7814">
            <v>2</v>
          </cell>
        </row>
        <row r="7815">
          <cell r="C7815" t="str">
            <v>Quantafuel</v>
          </cell>
          <cell r="D7815">
            <v>235</v>
          </cell>
        </row>
        <row r="7816">
          <cell r="C7816" t="str">
            <v>Acme United</v>
          </cell>
          <cell r="D7816">
            <v>11.3187</v>
          </cell>
        </row>
        <row r="7817">
          <cell r="C7817" t="str">
            <v>Leclanché</v>
          </cell>
          <cell r="D7817">
            <v>16.64</v>
          </cell>
        </row>
        <row r="7818">
          <cell r="C7818" t="str">
            <v>Townsquare Media</v>
          </cell>
          <cell r="D7818">
            <v>3.35</v>
          </cell>
        </row>
        <row r="7819">
          <cell r="C7819" t="str">
            <v>RumbleON</v>
          </cell>
          <cell r="D7819">
            <v>47.779299999999999</v>
          </cell>
        </row>
        <row r="7820">
          <cell r="C7820" t="str">
            <v>Arbe Robotics</v>
          </cell>
          <cell r="D7820">
            <v>1.3</v>
          </cell>
        </row>
        <row r="7821">
          <cell r="C7821" t="str">
            <v>MultiPlan</v>
          </cell>
          <cell r="D7821">
            <v>14.81</v>
          </cell>
        </row>
        <row r="7822">
          <cell r="C7822" t="str">
            <v>Digital Bros</v>
          </cell>
          <cell r="D7822">
            <v>5.3393800000000002</v>
          </cell>
        </row>
        <row r="7823">
          <cell r="C7823" t="str">
            <v>Modiv</v>
          </cell>
          <cell r="D7823">
            <v>2.75</v>
          </cell>
        </row>
        <row r="7824">
          <cell r="C7824" t="str">
            <v>MediaCo Holding</v>
          </cell>
          <cell r="D7824">
            <v>1.39</v>
          </cell>
        </row>
        <row r="7825">
          <cell r="C7825" t="str">
            <v>Bergbahnen Engelberg-Trübsee-Titlis</v>
          </cell>
          <cell r="D7825">
            <v>2.7596699999999998</v>
          </cell>
        </row>
        <row r="7826">
          <cell r="C7826" t="str">
            <v>CS Diagnostics</v>
          </cell>
          <cell r="D7826">
            <v>5.3340399999999999</v>
          </cell>
        </row>
        <row r="7827">
          <cell r="C7827" t="str">
            <v>Synchronoss</v>
          </cell>
          <cell r="D7827">
            <v>38652</v>
          </cell>
        </row>
        <row r="7828">
          <cell r="C7828" t="str">
            <v>Ash-Sharqiyah Development</v>
          </cell>
          <cell r="D7828">
            <v>1.76</v>
          </cell>
        </row>
        <row r="7829">
          <cell r="C7829" t="str">
            <v>Destination XL</v>
          </cell>
          <cell r="D7829">
            <v>8.24</v>
          </cell>
        </row>
        <row r="7830">
          <cell r="C7830" t="str">
            <v>Coherus BioSciences</v>
          </cell>
          <cell r="D7830">
            <v>6.2898200000000001E-2</v>
          </cell>
        </row>
        <row r="7831">
          <cell r="C7831" t="str">
            <v>Aptech</v>
          </cell>
          <cell r="D7831">
            <v>7.15</v>
          </cell>
        </row>
        <row r="7832">
          <cell r="C7832" t="str">
            <v>Al Sagr Cooperative Insurance Company</v>
          </cell>
          <cell r="D7832">
            <v>16.445900000000002</v>
          </cell>
        </row>
        <row r="7833">
          <cell r="C7833" t="str">
            <v>Bank of Innovation</v>
          </cell>
          <cell r="D7833">
            <v>0.84134299999999995</v>
          </cell>
        </row>
        <row r="7834">
          <cell r="C7834" t="str">
            <v>Rimini Street</v>
          </cell>
          <cell r="D7834">
            <v>2.88</v>
          </cell>
        </row>
        <row r="7835">
          <cell r="C7835" t="str">
            <v>Piedmont Lithium</v>
          </cell>
          <cell r="D7835">
            <v>2.3271299999999999</v>
          </cell>
        </row>
        <row r="7836">
          <cell r="C7836" t="str">
            <v>SHUAA Capital</v>
          </cell>
          <cell r="D7836">
            <v>0.31168800000000002</v>
          </cell>
        </row>
        <row r="7837">
          <cell r="C7837" t="str">
            <v>Lifetime Brands</v>
          </cell>
          <cell r="D7837">
            <v>10.37</v>
          </cell>
        </row>
        <row r="7838">
          <cell r="C7838" t="str">
            <v>AlphaPolis</v>
          </cell>
          <cell r="D7838">
            <v>0.159193</v>
          </cell>
        </row>
        <row r="7839">
          <cell r="C7839" t="str">
            <v>GoldMining Inc.</v>
          </cell>
          <cell r="D7839">
            <v>2.37</v>
          </cell>
        </row>
        <row r="7840">
          <cell r="C7840" t="str">
            <v>Citizens Inc</v>
          </cell>
          <cell r="D7840">
            <v>2.23</v>
          </cell>
        </row>
        <row r="7841">
          <cell r="C7841" t="str">
            <v>Thinkific Labs</v>
          </cell>
          <cell r="D7841">
            <v>5.24</v>
          </cell>
        </row>
        <row r="7842">
          <cell r="C7842" t="str">
            <v>The Pearl REIF</v>
          </cell>
          <cell r="D7842">
            <v>6.2493499999999997</v>
          </cell>
        </row>
        <row r="7843">
          <cell r="C7843" t="str">
            <v>Atlas Lithium</v>
          </cell>
          <cell r="D7843">
            <v>6.6983499999999996</v>
          </cell>
        </row>
        <row r="7844">
          <cell r="C7844" t="str">
            <v>Bahrain National Holding</v>
          </cell>
          <cell r="D7844">
            <v>1.49379</v>
          </cell>
        </row>
        <row r="7845">
          <cell r="C7845" t="str">
            <v>ASP Isotopes</v>
          </cell>
          <cell r="D7845">
            <v>0.31490000000000001</v>
          </cell>
        </row>
        <row r="7846">
          <cell r="C7846" t="str">
            <v>Ventyx Biosciences</v>
          </cell>
          <cell r="D7846">
            <v>1.04</v>
          </cell>
        </row>
        <row r="7847">
          <cell r="C7847" t="str">
            <v>Telomir Pharmaceuticals</v>
          </cell>
          <cell r="D7847">
            <v>0.22714100000000001</v>
          </cell>
        </row>
        <row r="7848">
          <cell r="C7848" t="str">
            <v>Ambra</v>
          </cell>
          <cell r="D7848">
            <v>14.9221</v>
          </cell>
        </row>
        <row r="7849">
          <cell r="C7849" t="str">
            <v>CR Energy</v>
          </cell>
          <cell r="D7849">
            <v>17.850000000000001</v>
          </cell>
        </row>
        <row r="7850">
          <cell r="C7850" t="str">
            <v>Bliss GVS Pharma</v>
          </cell>
          <cell r="D7850">
            <v>9.9700000000000006</v>
          </cell>
        </row>
        <row r="7851">
          <cell r="C7851" t="str">
            <v>23andMe</v>
          </cell>
          <cell r="D7851">
            <v>0.89345200000000002</v>
          </cell>
        </row>
        <row r="7852">
          <cell r="C7852" t="str">
            <v>OptiNose</v>
          </cell>
          <cell r="D7852">
            <v>0.11286</v>
          </cell>
        </row>
        <row r="7853">
          <cell r="C7853" t="str">
            <v>Aker Horizons</v>
          </cell>
          <cell r="D7853">
            <v>0.5</v>
          </cell>
        </row>
        <row r="7854">
          <cell r="C7854" t="str">
            <v>Serviceware</v>
          </cell>
          <cell r="D7854">
            <v>2.06698</v>
          </cell>
        </row>
        <row r="7855">
          <cell r="C7855" t="str">
            <v>Core Molding Technologies</v>
          </cell>
          <cell r="D7855">
            <v>1.34782</v>
          </cell>
        </row>
        <row r="7856">
          <cell r="C7856" t="str">
            <v>RADCOM</v>
          </cell>
          <cell r="D7856">
            <v>20.38</v>
          </cell>
        </row>
        <row r="7857">
          <cell r="C7857" t="str">
            <v>Sadr Logistics Company</v>
          </cell>
          <cell r="D7857">
            <v>6.1824300000000001</v>
          </cell>
        </row>
        <row r="7858">
          <cell r="C7858" t="str">
            <v>Texwinca Holdings</v>
          </cell>
          <cell r="D7858">
            <v>19.825399999999998</v>
          </cell>
        </row>
        <row r="7859">
          <cell r="C7859" t="str">
            <v>INOVEST</v>
          </cell>
          <cell r="D7859">
            <v>18.569700000000001</v>
          </cell>
        </row>
        <row r="7860">
          <cell r="C7860" t="str">
            <v>clearvise AG</v>
          </cell>
          <cell r="D7860">
            <v>151505</v>
          </cell>
        </row>
        <row r="7861">
          <cell r="C7861" t="str">
            <v>Dubai National Insurance &amp; Reinsurance Company</v>
          </cell>
          <cell r="D7861">
            <v>4.3845799999999997</v>
          </cell>
        </row>
        <row r="7862">
          <cell r="C7862" t="str">
            <v>RCM Technologies</v>
          </cell>
          <cell r="D7862">
            <v>1.2813699999999999</v>
          </cell>
        </row>
        <row r="7863">
          <cell r="C7863" t="str">
            <v>Björn Borg</v>
          </cell>
          <cell r="D7863">
            <v>0.78</v>
          </cell>
        </row>
        <row r="7864">
          <cell r="C7864" t="str">
            <v>Serverworks</v>
          </cell>
          <cell r="D7864">
            <v>4.3111499999999996</v>
          </cell>
        </row>
        <row r="7865">
          <cell r="C7865" t="str">
            <v>Pullup Entertainment</v>
          </cell>
          <cell r="D7865">
            <v>1.01451</v>
          </cell>
        </row>
        <row r="7866">
          <cell r="C7866" t="str">
            <v>Al Imtiaz Investment Group Company</v>
          </cell>
          <cell r="D7866">
            <v>16.2</v>
          </cell>
        </row>
        <row r="7867">
          <cell r="C7867" t="str">
            <v>National Metal Manufacturing and Casting</v>
          </cell>
          <cell r="D7867">
            <v>1.77</v>
          </cell>
        </row>
        <row r="7868">
          <cell r="C7868" t="str">
            <v>Bang &amp;amp; Olufsen A/S</v>
          </cell>
          <cell r="D7868">
            <v>2.2127500000000002</v>
          </cell>
        </row>
        <row r="7869">
          <cell r="C7869" t="str">
            <v>Fintech Scion (FintechCashier)</v>
          </cell>
          <cell r="D7869">
            <v>0.193657</v>
          </cell>
        </row>
        <row r="7870">
          <cell r="C7870" t="str">
            <v>People Can Fly</v>
          </cell>
          <cell r="D7870">
            <v>0.519509</v>
          </cell>
        </row>
        <row r="7871">
          <cell r="C7871" t="str">
            <v>Rottneros</v>
          </cell>
          <cell r="D7871">
            <v>29.11</v>
          </cell>
        </row>
        <row r="7872">
          <cell r="C7872" t="str">
            <v>Silvercrest Asset Management Group</v>
          </cell>
          <cell r="D7872">
            <v>1.1599999999999999</v>
          </cell>
        </row>
        <row r="7873">
          <cell r="C7873" t="str">
            <v>Kandi Technologies Group</v>
          </cell>
          <cell r="D7873">
            <v>7.6943599999999996</v>
          </cell>
        </row>
        <row r="7874">
          <cell r="C7874" t="str">
            <v>Dropsuite</v>
          </cell>
          <cell r="D7874">
            <v>5.25</v>
          </cell>
        </row>
        <row r="7875">
          <cell r="C7875" t="str">
            <v>Archosaur Games</v>
          </cell>
          <cell r="D7875">
            <v>4.3499999999999996</v>
          </cell>
        </row>
        <row r="7876">
          <cell r="C7876" t="str">
            <v>Tele Columbus</v>
          </cell>
          <cell r="D7876">
            <v>0.13734499999999999</v>
          </cell>
        </row>
        <row r="7877">
          <cell r="C7877" t="str">
            <v>Peoples Bancorp of North Carolina</v>
          </cell>
          <cell r="D7877">
            <v>18.62</v>
          </cell>
        </row>
        <row r="7878">
          <cell r="C7878" t="str">
            <v>374Water</v>
          </cell>
          <cell r="D7878">
            <v>3.2</v>
          </cell>
        </row>
        <row r="7879">
          <cell r="C7879" t="str">
            <v>Abdullah Saad Mohammed Abo Moati for Bookstores Company</v>
          </cell>
          <cell r="D7879">
            <v>53.7</v>
          </cell>
        </row>
        <row r="7880">
          <cell r="C7880" t="str">
            <v>TriSalus Life Sciences</v>
          </cell>
          <cell r="D7880">
            <v>4.57</v>
          </cell>
        </row>
        <row r="7881">
          <cell r="C7881" t="str">
            <v>Trinseo</v>
          </cell>
          <cell r="D7881">
            <v>12.1587</v>
          </cell>
        </row>
        <row r="7882">
          <cell r="C7882" t="str">
            <v>Kaldalón</v>
          </cell>
          <cell r="D7882">
            <v>8.31</v>
          </cell>
        </row>
        <row r="7883">
          <cell r="C7883" t="str">
            <v>CervoMed</v>
          </cell>
          <cell r="D7883">
            <v>17.3538</v>
          </cell>
        </row>
        <row r="7884">
          <cell r="C7884" t="str">
            <v>Rani Therapeutics</v>
          </cell>
          <cell r="D7884">
            <v>1.74115</v>
          </cell>
        </row>
        <row r="7885">
          <cell r="C7885" t="str">
            <v>Kewaunee Scientific Corporation</v>
          </cell>
          <cell r="D7885">
            <v>24.8553</v>
          </cell>
        </row>
        <row r="7886">
          <cell r="C7886" t="str">
            <v>Capricor Therapeutics</v>
          </cell>
          <cell r="D7886">
            <v>1.01</v>
          </cell>
        </row>
        <row r="7887">
          <cell r="C7887" t="str">
            <v>Roularta Media Group</v>
          </cell>
          <cell r="D7887">
            <v>4.7635500000000004</v>
          </cell>
        </row>
        <row r="7888">
          <cell r="C7888" t="str">
            <v>OptimizeRx</v>
          </cell>
          <cell r="D7888">
            <v>45.097799999999999</v>
          </cell>
        </row>
        <row r="7889">
          <cell r="C7889" t="str">
            <v>Nabaltec</v>
          </cell>
          <cell r="D7889">
            <v>1.1499999999999999</v>
          </cell>
        </row>
        <row r="7890">
          <cell r="C7890" t="str">
            <v>Kuantum Papers</v>
          </cell>
          <cell r="D7890">
            <v>0.334957</v>
          </cell>
        </row>
        <row r="7891">
          <cell r="C7891" t="str">
            <v>Totens Sparebank</v>
          </cell>
          <cell r="D7891">
            <v>2.2200000000000002</v>
          </cell>
        </row>
        <row r="7892">
          <cell r="C7892" t="str">
            <v>Energy Vault</v>
          </cell>
          <cell r="D7892">
            <v>0.67668200000000001</v>
          </cell>
        </row>
        <row r="7893">
          <cell r="C7893" t="str">
            <v>Arctic Fish Holding</v>
          </cell>
          <cell r="D7893">
            <v>7.22</v>
          </cell>
        </row>
        <row r="7894">
          <cell r="C7894" t="str">
            <v>Kulmbacher Brauerei</v>
          </cell>
          <cell r="D7894">
            <v>4.3899999999999997</v>
          </cell>
        </row>
        <row r="7895">
          <cell r="C7895" t="str">
            <v>Scilex Holding</v>
          </cell>
          <cell r="D7895">
            <v>0.5</v>
          </cell>
        </row>
        <row r="7896">
          <cell r="C7896" t="str">
            <v>Encounter Resources</v>
          </cell>
          <cell r="D7896">
            <v>1.6849400000000001</v>
          </cell>
        </row>
        <row r="7897">
          <cell r="C7897" t="str">
            <v>Amylyx Pharmaceuticals</v>
          </cell>
          <cell r="D7897">
            <v>2.0003099999999998</v>
          </cell>
        </row>
        <row r="7898">
          <cell r="C7898" t="str">
            <v>Appen</v>
          </cell>
          <cell r="D7898">
            <v>0.99480500000000005</v>
          </cell>
        </row>
        <row r="7899">
          <cell r="C7899" t="str">
            <v>ryde</v>
          </cell>
          <cell r="D7899">
            <v>3.87974</v>
          </cell>
        </row>
        <row r="7900">
          <cell r="C7900" t="str">
            <v>Achieve Life Sciences</v>
          </cell>
          <cell r="D7900">
            <v>11.87</v>
          </cell>
        </row>
        <row r="7901">
          <cell r="C7901" t="str">
            <v>Bakhu Holdings</v>
          </cell>
          <cell r="D7901">
            <v>0.56781999999999999</v>
          </cell>
        </row>
        <row r="7902">
          <cell r="C7902" t="str">
            <v>Ansarada Group</v>
          </cell>
          <cell r="D7902">
            <v>12.07</v>
          </cell>
        </row>
        <row r="7903">
          <cell r="C7903" t="str">
            <v>TOYA S.A.</v>
          </cell>
          <cell r="D7903">
            <v>4.7896999999999998</v>
          </cell>
        </row>
        <row r="7904">
          <cell r="C7904" t="str">
            <v>Sporting Clube de Portugal</v>
          </cell>
          <cell r="D7904">
            <v>0.28999999999999998</v>
          </cell>
        </row>
        <row r="7905">
          <cell r="C7905" t="str">
            <v>Maisons du Monde</v>
          </cell>
          <cell r="D7905">
            <v>7.13</v>
          </cell>
        </row>
        <row r="7906">
          <cell r="C7906" t="str">
            <v>BankFinancial</v>
          </cell>
          <cell r="D7906">
            <v>3.22</v>
          </cell>
        </row>
        <row r="7907">
          <cell r="C7907" t="str">
            <v>Indorama Synthetics</v>
          </cell>
          <cell r="D7907">
            <v>0.419543</v>
          </cell>
        </row>
        <row r="7908">
          <cell r="C7908" t="str">
            <v>Travelzoo</v>
          </cell>
          <cell r="D7908">
            <v>1.3478399999999999</v>
          </cell>
        </row>
        <row r="7909">
          <cell r="C7909" t="str">
            <v>MCH Group</v>
          </cell>
          <cell r="D7909">
            <v>2.9977</v>
          </cell>
        </row>
        <row r="7910">
          <cell r="C7910" t="str">
            <v>RAK Co. for White Cement &amp;amp; Construction Materials</v>
          </cell>
          <cell r="D7910">
            <v>0.49059399999999997</v>
          </cell>
        </row>
        <row r="7911">
          <cell r="C7911" t="str">
            <v>Baijiayun Group</v>
          </cell>
          <cell r="D7911">
            <v>4.3899999999999997</v>
          </cell>
        </row>
        <row r="7912">
          <cell r="C7912" t="str">
            <v>Great Ajax</v>
          </cell>
          <cell r="D7912">
            <v>97.269800000000004</v>
          </cell>
        </row>
        <row r="7913">
          <cell r="C7913" t="str">
            <v>Smart Parking Limited</v>
          </cell>
          <cell r="D7913">
            <v>1.3595699999999999</v>
          </cell>
        </row>
        <row r="7914">
          <cell r="C7914" t="str">
            <v>Seef Properties</v>
          </cell>
          <cell r="D7914">
            <v>1.04209</v>
          </cell>
        </row>
        <row r="7915">
          <cell r="C7915" t="str">
            <v>Findi Limited</v>
          </cell>
          <cell r="D7915">
            <v>5.8482599999999998</v>
          </cell>
        </row>
        <row r="7916">
          <cell r="C7916" t="str">
            <v>Cadence Capital Limited</v>
          </cell>
          <cell r="D7916">
            <v>39.571100000000001</v>
          </cell>
        </row>
        <row r="7917">
          <cell r="C7917" t="str">
            <v>Desktop Metal</v>
          </cell>
          <cell r="D7917">
            <v>0.170126</v>
          </cell>
        </row>
        <row r="7918">
          <cell r="C7918" t="str">
            <v>Campine</v>
          </cell>
          <cell r="D7918">
            <v>12.5883</v>
          </cell>
        </row>
        <row r="7919">
          <cell r="C7919" t="str">
            <v>Caltagirone Editore</v>
          </cell>
          <cell r="D7919">
            <v>1.44</v>
          </cell>
        </row>
        <row r="7920">
          <cell r="C7920" t="str">
            <v>XRF Scientific Limited</v>
          </cell>
          <cell r="D7920">
            <v>4.8219799999999999</v>
          </cell>
        </row>
        <row r="7921">
          <cell r="C7921" t="str">
            <v>Pekabex</v>
          </cell>
          <cell r="D7921">
            <v>6.0481999999999996</v>
          </cell>
        </row>
        <row r="7922">
          <cell r="C7922" t="str">
            <v>Texaf</v>
          </cell>
          <cell r="D7922">
            <v>3.34</v>
          </cell>
        </row>
        <row r="7923">
          <cell r="C7923" t="str">
            <v>AFC Energy</v>
          </cell>
          <cell r="D7923">
            <v>6.94</v>
          </cell>
        </row>
        <row r="7924">
          <cell r="C7924" t="str">
            <v>Filling and Packing Materials Manufacturing Company</v>
          </cell>
          <cell r="D7924">
            <v>1.88</v>
          </cell>
        </row>
        <row r="7925">
          <cell r="C7925" t="str">
            <v>Porch Group</v>
          </cell>
          <cell r="D7925">
            <v>35.47</v>
          </cell>
        </row>
        <row r="7926">
          <cell r="C7926" t="str">
            <v>Al Gassim Investment Holding</v>
          </cell>
          <cell r="D7926">
            <v>7.2009600000000002</v>
          </cell>
        </row>
        <row r="7927">
          <cell r="C7927" t="str">
            <v>Wayi International Digital Entertainment</v>
          </cell>
          <cell r="D7927">
            <v>8.3000000000000007</v>
          </cell>
        </row>
        <row r="7928">
          <cell r="C7928" t="str">
            <v>ARC Document Solutions</v>
          </cell>
          <cell r="D7928">
            <v>0.33119999999999999</v>
          </cell>
        </row>
        <row r="7929">
          <cell r="C7929" t="str">
            <v>Adverum Biotechnologies</v>
          </cell>
          <cell r="D7929">
            <v>2.8571399999999998</v>
          </cell>
        </row>
        <row r="7930">
          <cell r="C7930" t="str">
            <v>NIU</v>
          </cell>
          <cell r="D7930">
            <v>4.1100000000000003</v>
          </cell>
        </row>
        <row r="7931">
          <cell r="C7931" t="str">
            <v>Strattec Security</v>
          </cell>
          <cell r="D7931">
            <v>1.87</v>
          </cell>
        </row>
        <row r="7932">
          <cell r="C7932" t="str">
            <v>Salama Cooperative Insurance Company</v>
          </cell>
          <cell r="D7932">
            <v>4.0599999999999996</v>
          </cell>
        </row>
        <row r="7933">
          <cell r="C7933" t="str">
            <v>United Security Bancshares</v>
          </cell>
          <cell r="D7933">
            <v>1.1399999999999999</v>
          </cell>
        </row>
        <row r="7934">
          <cell r="C7934" t="str">
            <v>Sify</v>
          </cell>
          <cell r="D7934">
            <v>0.90675300000000003</v>
          </cell>
        </row>
        <row r="7935">
          <cell r="C7935" t="str">
            <v>Oman Refreshment Company (Pepsi Oman)</v>
          </cell>
          <cell r="D7935">
            <v>6.65</v>
          </cell>
        </row>
        <row r="7936">
          <cell r="C7936" t="str">
            <v>Drilling Tools International</v>
          </cell>
          <cell r="D7936">
            <v>10.7218</v>
          </cell>
        </row>
        <row r="7937">
          <cell r="C7937" t="str">
            <v>aTyr Pharma</v>
          </cell>
          <cell r="D7937">
            <v>0.78461499999999995</v>
          </cell>
        </row>
        <row r="7938">
          <cell r="C7938" t="str">
            <v>Duluth Holdings</v>
          </cell>
          <cell r="D7938">
            <v>0.197403</v>
          </cell>
        </row>
        <row r="7939">
          <cell r="C7939" t="str">
            <v>ZeroFox</v>
          </cell>
          <cell r="D7939">
            <v>60241</v>
          </cell>
        </row>
        <row r="7940">
          <cell r="C7940" t="str">
            <v>Duxton Water</v>
          </cell>
          <cell r="D7940">
            <v>3.7913100000000002</v>
          </cell>
        </row>
        <row r="7941">
          <cell r="C7941" t="str">
            <v>InfuSystem</v>
          </cell>
          <cell r="D7941">
            <v>2.02</v>
          </cell>
        </row>
        <row r="7942">
          <cell r="C7942" t="str">
            <v>Bastei Lübbe</v>
          </cell>
          <cell r="D7942">
            <v>30.507400000000001</v>
          </cell>
        </row>
        <row r="7943">
          <cell r="C7943" t="str">
            <v>Widam Food Company</v>
          </cell>
          <cell r="D7943">
            <v>2.79</v>
          </cell>
        </row>
        <row r="7944">
          <cell r="C7944" t="str">
            <v>Al Suwadi Power</v>
          </cell>
          <cell r="D7944">
            <v>4.12</v>
          </cell>
        </row>
        <row r="7945">
          <cell r="C7945" t="str">
            <v>Sino AG</v>
          </cell>
          <cell r="D7945">
            <v>4.0999999999999996</v>
          </cell>
        </row>
        <row r="7946">
          <cell r="C7946" t="str">
            <v>Unifiedpost Group</v>
          </cell>
          <cell r="D7946">
            <v>3.53</v>
          </cell>
        </row>
        <row r="7947">
          <cell r="C7947" t="str">
            <v>trivago</v>
          </cell>
          <cell r="D7947">
            <v>0.71051600000000004</v>
          </cell>
        </row>
        <row r="7948">
          <cell r="C7948" t="str">
            <v>Beta Systems Software</v>
          </cell>
          <cell r="D7948">
            <v>1.6211800000000001</v>
          </cell>
        </row>
        <row r="7949">
          <cell r="C7949" t="str">
            <v>Vox Royalty</v>
          </cell>
          <cell r="D7949">
            <v>3.12</v>
          </cell>
        </row>
        <row r="7950">
          <cell r="C7950" t="str">
            <v>SolarBank</v>
          </cell>
          <cell r="D7950">
            <v>5.4342199999999998</v>
          </cell>
        </row>
        <row r="7951">
          <cell r="C7951" t="str">
            <v>Elutia</v>
          </cell>
          <cell r="D7951">
            <v>3.5114700000000001</v>
          </cell>
        </row>
        <row r="7952">
          <cell r="C7952" t="str">
            <v>Martin Midstream Partners</v>
          </cell>
          <cell r="D7952">
            <v>2.0135199999999999E-2</v>
          </cell>
        </row>
        <row r="7953">
          <cell r="C7953" t="str">
            <v>COG Financial Services</v>
          </cell>
          <cell r="D7953">
            <v>0.94679999999999997</v>
          </cell>
        </row>
        <row r="7954">
          <cell r="C7954" t="str">
            <v>Knights Group</v>
          </cell>
          <cell r="D7954">
            <v>3.48</v>
          </cell>
        </row>
        <row r="7955">
          <cell r="C7955" t="str">
            <v>Genasys</v>
          </cell>
          <cell r="D7955">
            <v>3.3</v>
          </cell>
        </row>
        <row r="7956">
          <cell r="C7956" t="str">
            <v>Sanok Rubber Company</v>
          </cell>
          <cell r="D7956">
            <v>5.16</v>
          </cell>
        </row>
        <row r="7957">
          <cell r="C7957" t="str">
            <v>Frontier Developments</v>
          </cell>
          <cell r="D7957">
            <v>1.02</v>
          </cell>
        </row>
        <row r="7958">
          <cell r="C7958" t="str">
            <v>Emperor Watch &amp;amp; Jewellery</v>
          </cell>
          <cell r="D7958">
            <v>3.95</v>
          </cell>
        </row>
        <row r="7959">
          <cell r="C7959" t="str">
            <v>Quantum-Si</v>
          </cell>
          <cell r="D7959">
            <v>21.34</v>
          </cell>
        </row>
        <row r="7960">
          <cell r="C7960" t="str">
            <v>Vigil Neuroscience</v>
          </cell>
          <cell r="D7960">
            <v>1.0115400000000001</v>
          </cell>
        </row>
        <row r="7961">
          <cell r="C7961" t="str">
            <v>Cerence</v>
          </cell>
          <cell r="D7961">
            <v>1.3</v>
          </cell>
        </row>
        <row r="7962">
          <cell r="C7962" t="str">
            <v>Crexendo</v>
          </cell>
          <cell r="D7962">
            <v>6.62</v>
          </cell>
        </row>
        <row r="7963">
          <cell r="C7963" t="str">
            <v>Avino Silver &amp;amp; Gold Mines</v>
          </cell>
          <cell r="D7963">
            <v>0.48721100000000001</v>
          </cell>
        </row>
        <row r="7964">
          <cell r="C7964" t="str">
            <v>908 Devices</v>
          </cell>
          <cell r="D7964">
            <v>1.51</v>
          </cell>
        </row>
        <row r="7965">
          <cell r="C7965" t="str">
            <v>Affinity Bancshares</v>
          </cell>
          <cell r="D7965">
            <v>0.43116900000000002</v>
          </cell>
        </row>
        <row r="7966">
          <cell r="C7966" t="str">
            <v>Mekdam Holding Group</v>
          </cell>
          <cell r="D7966">
            <v>1.25526</v>
          </cell>
        </row>
        <row r="7967">
          <cell r="C7967" t="str">
            <v>Abu Dhabi National Takaful</v>
          </cell>
          <cell r="D7967">
            <v>1.06945</v>
          </cell>
        </row>
        <row r="7968">
          <cell r="C7968" t="str">
            <v>INmune Bio</v>
          </cell>
          <cell r="D7968">
            <v>4.4800000000000004</v>
          </cell>
        </row>
        <row r="7969">
          <cell r="C7969" t="str">
            <v>GreenX Metals</v>
          </cell>
          <cell r="D7969">
            <v>4.38</v>
          </cell>
        </row>
        <row r="7970">
          <cell r="C7970" t="str">
            <v>Immunic</v>
          </cell>
          <cell r="D7970">
            <v>3269</v>
          </cell>
        </row>
        <row r="7971">
          <cell r="C7971" t="str">
            <v>Al Omaniya Financial Services</v>
          </cell>
          <cell r="D7971">
            <v>76311</v>
          </cell>
        </row>
        <row r="7972">
          <cell r="C7972" t="str">
            <v>Jay Bharat Maruti</v>
          </cell>
          <cell r="D7972">
            <v>3.59</v>
          </cell>
        </row>
        <row r="7973">
          <cell r="C7973" t="str">
            <v>Asian Granito India</v>
          </cell>
          <cell r="D7973">
            <v>14.1</v>
          </cell>
        </row>
        <row r="7974">
          <cell r="C7974" t="str">
            <v>Myomo</v>
          </cell>
          <cell r="D7974">
            <v>6.3483499999999998E-2</v>
          </cell>
        </row>
        <row r="7975">
          <cell r="C7975" t="str">
            <v>Lifecore Biomedical</v>
          </cell>
          <cell r="D7975">
            <v>3.62</v>
          </cell>
        </row>
        <row r="7976">
          <cell r="C7976" t="str">
            <v>Massimo Motor</v>
          </cell>
          <cell r="D7976">
            <v>4.4752599999999996</v>
          </cell>
        </row>
        <row r="7977">
          <cell r="C7977" t="str">
            <v>Cimbeton</v>
          </cell>
          <cell r="D7977">
            <v>0.18980900000000001</v>
          </cell>
        </row>
        <row r="7978">
          <cell r="C7978" t="str">
            <v>Lantronix</v>
          </cell>
          <cell r="D7978">
            <v>3.1150799999999998</v>
          </cell>
        </row>
        <row r="7979">
          <cell r="C7979" t="str">
            <v>Frequency Electronics</v>
          </cell>
          <cell r="D7979">
            <v>16.9117</v>
          </cell>
        </row>
        <row r="7980">
          <cell r="C7980" t="str">
            <v>FriendTimes</v>
          </cell>
          <cell r="D7980">
            <v>1</v>
          </cell>
        </row>
        <row r="7981">
          <cell r="C7981" t="str">
            <v>EDAP TMS</v>
          </cell>
          <cell r="D7981">
            <v>55.9</v>
          </cell>
        </row>
        <row r="7982">
          <cell r="C7982" t="str">
            <v>SAICO (Saudi Arabian Cooperative Insurance Company)</v>
          </cell>
          <cell r="D7982">
            <v>2.5161799999999999</v>
          </cell>
        </row>
        <row r="7983">
          <cell r="C7983" t="str">
            <v>Boyaa Interactive</v>
          </cell>
          <cell r="D7983">
            <v>1.3933199999999999</v>
          </cell>
        </row>
        <row r="7984">
          <cell r="C7984" t="str">
            <v>Amana Cooperative Insurance Company</v>
          </cell>
          <cell r="D7984">
            <v>7.08</v>
          </cell>
        </row>
        <row r="7985">
          <cell r="C7985" t="str">
            <v>Schloss Wachenheim</v>
          </cell>
          <cell r="D7985">
            <v>1.2</v>
          </cell>
        </row>
        <row r="7986">
          <cell r="C7986" t="str">
            <v>Global Cord Blood</v>
          </cell>
          <cell r="D7986">
            <v>1779.6</v>
          </cell>
        </row>
        <row r="7987">
          <cell r="C7987" t="str">
            <v>Sound Financial Bancorp</v>
          </cell>
          <cell r="D7987">
            <v>2.8</v>
          </cell>
        </row>
        <row r="7988">
          <cell r="C7988" t="str">
            <v>Userjoy Technology</v>
          </cell>
          <cell r="D7988">
            <v>9.19</v>
          </cell>
        </row>
        <row r="7989">
          <cell r="C7989" t="str">
            <v>Alithya Group</v>
          </cell>
          <cell r="D7989">
            <v>2.63</v>
          </cell>
        </row>
        <row r="7990">
          <cell r="C7990" t="str">
            <v>FreightCar America</v>
          </cell>
          <cell r="D7990">
            <v>10.32</v>
          </cell>
        </row>
        <row r="7991">
          <cell r="C7991" t="str">
            <v>Purple Innovation</v>
          </cell>
          <cell r="D7991">
            <v>1.67</v>
          </cell>
        </row>
        <row r="7992">
          <cell r="C7992" t="str">
            <v>Brouwerij Handelsmaatschappij</v>
          </cell>
          <cell r="D7992">
            <v>1.28</v>
          </cell>
        </row>
        <row r="7993">
          <cell r="C7993" t="str">
            <v>GCT Semiconductor</v>
          </cell>
          <cell r="D7993">
            <v>9.2848500000000005</v>
          </cell>
        </row>
        <row r="7994">
          <cell r="C7994" t="str">
            <v>Computer Programs and Systems</v>
          </cell>
          <cell r="D7994">
            <v>2.78545</v>
          </cell>
        </row>
        <row r="7995">
          <cell r="C7995" t="str">
            <v>Granite Point Mortgage Trust</v>
          </cell>
          <cell r="D7995">
            <v>4.8634899999999996</v>
          </cell>
        </row>
        <row r="7996">
          <cell r="C7996" t="str">
            <v>Geospace Technologies</v>
          </cell>
          <cell r="D7996">
            <v>2.5099999999999998</v>
          </cell>
        </row>
        <row r="7997">
          <cell r="C7997" t="str">
            <v>Lucas GC</v>
          </cell>
          <cell r="D7997">
            <v>28.738800000000001</v>
          </cell>
        </row>
        <row r="7998">
          <cell r="C7998" t="str">
            <v>Platinum Group Metals</v>
          </cell>
          <cell r="D7998">
            <v>0.19480500000000001</v>
          </cell>
        </row>
        <row r="7999">
          <cell r="C7999" t="str">
            <v>Kapsch TrafficCom</v>
          </cell>
          <cell r="D7999">
            <v>0.65846099999999996</v>
          </cell>
        </row>
        <row r="8000">
          <cell r="C8000" t="str">
            <v>Mediclin</v>
          </cell>
          <cell r="D8000">
            <v>17.25</v>
          </cell>
        </row>
        <row r="8001">
          <cell r="C8001" t="str">
            <v>Enapter AG</v>
          </cell>
          <cell r="D8001">
            <v>6.63</v>
          </cell>
        </row>
        <row r="8002">
          <cell r="C8002" t="str">
            <v>Kodiak Sciences</v>
          </cell>
          <cell r="D8002">
            <v>11.72</v>
          </cell>
        </row>
        <row r="8003">
          <cell r="C8003" t="str">
            <v>Westag AG</v>
          </cell>
          <cell r="D8003">
            <v>0.63186799999999999</v>
          </cell>
        </row>
        <row r="8004">
          <cell r="C8004" t="str">
            <v>Al Batinah Power</v>
          </cell>
          <cell r="D8004">
            <v>0.72727299999999995</v>
          </cell>
        </row>
        <row r="8005">
          <cell r="C8005" t="str">
            <v>NACL Industries</v>
          </cell>
          <cell r="D8005">
            <v>28.738800000000001</v>
          </cell>
        </row>
        <row r="8006">
          <cell r="C8006" t="str">
            <v>MainStreet Bancshares</v>
          </cell>
          <cell r="D8006">
            <v>65215</v>
          </cell>
        </row>
        <row r="8007">
          <cell r="C8007" t="str">
            <v>Motorcar Parts of America</v>
          </cell>
          <cell r="D8007">
            <v>2.27</v>
          </cell>
        </row>
        <row r="8008">
          <cell r="C8008" t="str">
            <v>Sow Good</v>
          </cell>
          <cell r="D8008">
            <v>2.8348</v>
          </cell>
        </row>
        <row r="8009">
          <cell r="C8009" t="str">
            <v>Al Mahhar Holding Company</v>
          </cell>
          <cell r="D8009">
            <v>4.42</v>
          </cell>
        </row>
        <row r="8010">
          <cell r="C8010" t="str">
            <v>Salalah Port Services Company</v>
          </cell>
          <cell r="D8010">
            <v>6.96</v>
          </cell>
        </row>
        <row r="8011">
          <cell r="C8011" t="str">
            <v>HMS Bergbau</v>
          </cell>
          <cell r="D8011">
            <v>3.46</v>
          </cell>
        </row>
        <row r="8012">
          <cell r="C8012" t="str">
            <v>Sloman Neptun</v>
          </cell>
          <cell r="D8012">
            <v>1.2003999999999999</v>
          </cell>
        </row>
        <row r="8013">
          <cell r="C8013" t="str">
            <v>Marti Technologies</v>
          </cell>
          <cell r="D8013">
            <v>20.1172</v>
          </cell>
        </row>
        <row r="8014">
          <cell r="C8014" t="str">
            <v>Andrew Peller</v>
          </cell>
          <cell r="D8014">
            <v>2.7744</v>
          </cell>
        </row>
        <row r="8015">
          <cell r="C8015" t="str">
            <v>Imperial Petroleum</v>
          </cell>
          <cell r="D8015">
            <v>18.059999999999999</v>
          </cell>
        </row>
        <row r="8016">
          <cell r="C8016" t="str">
            <v>Nuvectis Pharma</v>
          </cell>
          <cell r="D8016">
            <v>10.31</v>
          </cell>
        </row>
        <row r="8017">
          <cell r="C8017" t="str">
            <v>PHX Minerals</v>
          </cell>
          <cell r="D8017">
            <v>1.1029899999999999</v>
          </cell>
        </row>
        <row r="8018">
          <cell r="C8018" t="str">
            <v>Nacon</v>
          </cell>
          <cell r="D8018">
            <v>2.29</v>
          </cell>
        </row>
        <row r="8019">
          <cell r="C8019" t="str">
            <v>R. Stahl AG</v>
          </cell>
          <cell r="D8019">
            <v>0.12889999999999999</v>
          </cell>
        </row>
        <row r="8020">
          <cell r="C8020" t="str">
            <v>Heidelberg Pharma</v>
          </cell>
          <cell r="D8020">
            <v>2.46</v>
          </cell>
        </row>
        <row r="8021">
          <cell r="C8021" t="str">
            <v>Hanover Bancorp</v>
          </cell>
          <cell r="D8021">
            <v>3345</v>
          </cell>
        </row>
        <row r="8022">
          <cell r="C8022" t="str">
            <v>First Guaranty Bancshares</v>
          </cell>
          <cell r="D8022">
            <v>12.62</v>
          </cell>
        </row>
        <row r="8023">
          <cell r="C8023" t="str">
            <v>CVC Limited</v>
          </cell>
          <cell r="D8023">
            <v>0.37217499999999998</v>
          </cell>
        </row>
        <row r="8024">
          <cell r="C8024" t="str">
            <v>Baozun</v>
          </cell>
          <cell r="D8024">
            <v>6.83</v>
          </cell>
        </row>
        <row r="8025">
          <cell r="C8025" t="str">
            <v>Zomedica Pharmaceuticals</v>
          </cell>
          <cell r="D8025">
            <v>18.569700000000001</v>
          </cell>
        </row>
        <row r="8026">
          <cell r="C8026" t="str">
            <v>Lument Finance Trust</v>
          </cell>
          <cell r="D8026">
            <v>4.91</v>
          </cell>
        </row>
        <row r="8027">
          <cell r="C8027" t="str">
            <v>Allot</v>
          </cell>
          <cell r="D8027">
            <v>13.87</v>
          </cell>
        </row>
        <row r="8028">
          <cell r="C8028" t="str">
            <v>Richmond Mutual Bancorporation</v>
          </cell>
          <cell r="D8028">
            <v>0.31838699999999998</v>
          </cell>
        </row>
        <row r="8029">
          <cell r="C8029" t="str">
            <v>Quantum Graphite</v>
          </cell>
          <cell r="D8029">
            <v>16359</v>
          </cell>
        </row>
        <row r="8030">
          <cell r="C8030" t="str">
            <v>Unifi</v>
          </cell>
          <cell r="D8030">
            <v>2.91</v>
          </cell>
        </row>
        <row r="8031">
          <cell r="C8031" t="str">
            <v>technotrans</v>
          </cell>
          <cell r="D8031">
            <v>13.14</v>
          </cell>
        </row>
        <row r="8032">
          <cell r="C8032" t="str">
            <v>Envela Corporation</v>
          </cell>
          <cell r="D8032">
            <v>1.97</v>
          </cell>
        </row>
        <row r="8033">
          <cell r="C8033" t="str">
            <v>ECB Bancorp</v>
          </cell>
          <cell r="D8033">
            <v>8.4644700000000003E-2</v>
          </cell>
        </row>
        <row r="8034">
          <cell r="C8034" t="str">
            <v>Bahrain Kuwait Insurance Company (GIG Bahrain)</v>
          </cell>
          <cell r="D8034">
            <v>2.63906E-2</v>
          </cell>
        </row>
        <row r="8035">
          <cell r="C8035" t="str">
            <v>Merkur PrivatBank</v>
          </cell>
          <cell r="D8035">
            <v>4.24</v>
          </cell>
        </row>
        <row r="8036">
          <cell r="C8036" t="str">
            <v>Repare Therapeutics</v>
          </cell>
          <cell r="D8036">
            <v>5.0599999999999996</v>
          </cell>
        </row>
        <row r="8037">
          <cell r="C8037" t="str">
            <v>Northern Technologies International</v>
          </cell>
          <cell r="D8037">
            <v>2.5499999999999998</v>
          </cell>
        </row>
        <row r="8038">
          <cell r="C8038" t="str">
            <v>Largo</v>
          </cell>
          <cell r="D8038">
            <v>0.29435600000000001</v>
          </cell>
        </row>
        <row r="8039">
          <cell r="C8039" t="str">
            <v>Lai Sun Development Company</v>
          </cell>
          <cell r="D8039">
            <v>1.3417399999999999</v>
          </cell>
        </row>
        <row r="8040">
          <cell r="C8040" t="str">
            <v>FBR Limited</v>
          </cell>
          <cell r="D8040">
            <v>5.13</v>
          </cell>
        </row>
        <row r="8041">
          <cell r="C8041" t="str">
            <v>Flotek Industries</v>
          </cell>
          <cell r="D8041">
            <v>2.88</v>
          </cell>
        </row>
        <row r="8042">
          <cell r="C8042" t="str">
            <v>Bragg Gaming Group</v>
          </cell>
          <cell r="D8042">
            <v>1.09429</v>
          </cell>
        </row>
        <row r="8043">
          <cell r="C8043" t="str">
            <v>Akoya Biosciences</v>
          </cell>
          <cell r="D8043">
            <v>3.63</v>
          </cell>
        </row>
        <row r="8044">
          <cell r="C8044" t="str">
            <v>Talga Group</v>
          </cell>
          <cell r="D8044">
            <v>10.428100000000001</v>
          </cell>
        </row>
        <row r="8045">
          <cell r="C8045" t="str">
            <v>Allied Tecnologia</v>
          </cell>
          <cell r="D8045">
            <v>0.230072</v>
          </cell>
        </row>
        <row r="8046">
          <cell r="C8046" t="str">
            <v>ContextLogic (wish.com)</v>
          </cell>
          <cell r="D8046">
            <v>7.36</v>
          </cell>
        </row>
        <row r="8047">
          <cell r="C8047" t="str">
            <v>Harvard Bioscience</v>
          </cell>
          <cell r="D8047">
            <v>2.0389599999999999</v>
          </cell>
        </row>
        <row r="8048">
          <cell r="C8048" t="str">
            <v>SRP Groupe (Showroomprive.com)</v>
          </cell>
          <cell r="D8048">
            <v>1.43313</v>
          </cell>
        </row>
        <row r="8049">
          <cell r="C8049" t="str">
            <v>Commercial Vehicle Group (CVG)</v>
          </cell>
          <cell r="D8049">
            <v>1.0401400000000001</v>
          </cell>
        </row>
        <row r="8050">
          <cell r="C8050" t="str">
            <v>Al-Omran Industrial Trading Company</v>
          </cell>
          <cell r="D8050">
            <v>14.16</v>
          </cell>
        </row>
        <row r="8051">
          <cell r="C8051" t="str">
            <v>Amaero International Ltd</v>
          </cell>
          <cell r="D8051">
            <v>12.600899999999999</v>
          </cell>
        </row>
        <row r="8052">
          <cell r="C8052" t="str">
            <v>KLX Energy Services</v>
          </cell>
          <cell r="D8052">
            <v>8.3000000000000007</v>
          </cell>
        </row>
        <row r="8053">
          <cell r="C8053" t="str">
            <v>Oman Oil Marketing Company (oomco)</v>
          </cell>
          <cell r="D8053">
            <v>4.27257</v>
          </cell>
        </row>
        <row r="8054">
          <cell r="C8054" t="str">
            <v>Chinese Gamer International</v>
          </cell>
          <cell r="D8054">
            <v>4.7640099999999999</v>
          </cell>
        </row>
        <row r="8055">
          <cell r="C8055" t="str">
            <v>Mayar Holding Company</v>
          </cell>
          <cell r="D8055">
            <v>2.8</v>
          </cell>
        </row>
        <row r="8056">
          <cell r="C8056" t="str">
            <v>Bassett Furniture</v>
          </cell>
          <cell r="D8056">
            <v>13.34</v>
          </cell>
        </row>
        <row r="8057">
          <cell r="C8057" t="str">
            <v>SHW Group</v>
          </cell>
          <cell r="D8057">
            <v>8.3536000000000001</v>
          </cell>
        </row>
        <row r="8058">
          <cell r="C8058" t="str">
            <v>American Well</v>
          </cell>
          <cell r="D8058">
            <v>0.84903200000000001</v>
          </cell>
        </row>
        <row r="8059">
          <cell r="C8059" t="str">
            <v>Allied Cooperative Insurance Group</v>
          </cell>
          <cell r="D8059">
            <v>15.1</v>
          </cell>
        </row>
        <row r="8060">
          <cell r="C8060" t="str">
            <v>BAUER Group</v>
          </cell>
          <cell r="D8060">
            <v>5.49</v>
          </cell>
        </row>
        <row r="8061">
          <cell r="C8061" t="str">
            <v>Adagene</v>
          </cell>
          <cell r="D8061">
            <v>2.86</v>
          </cell>
        </row>
        <row r="8062">
          <cell r="C8062" t="str">
            <v>Westwood Holdings Group</v>
          </cell>
          <cell r="D8062">
            <v>7.02</v>
          </cell>
        </row>
        <row r="8063">
          <cell r="C8063" t="str">
            <v>Scully Royalty</v>
          </cell>
          <cell r="D8063">
            <v>2.5</v>
          </cell>
        </row>
        <row r="8064">
          <cell r="C8064" t="str">
            <v>Solidarity Bahrain</v>
          </cell>
          <cell r="D8064">
            <v>0.971889</v>
          </cell>
        </row>
        <row r="8065">
          <cell r="C8065" t="str">
            <v>Skillsoft</v>
          </cell>
          <cell r="D8065">
            <v>2.3199999999999998</v>
          </cell>
        </row>
        <row r="8066">
          <cell r="C8066" t="str">
            <v>Voxx International</v>
          </cell>
          <cell r="D8066">
            <v>0.80059999999999998</v>
          </cell>
        </row>
        <row r="8067">
          <cell r="C8067" t="str">
            <v>Quipt Home Medical</v>
          </cell>
          <cell r="D8067">
            <v>1.46</v>
          </cell>
        </row>
        <row r="8068">
          <cell r="C8068" t="str">
            <v>Innovative Solutions and Support</v>
          </cell>
          <cell r="D8068">
            <v>5.43</v>
          </cell>
        </row>
        <row r="8069">
          <cell r="C8069" t="str">
            <v>Puma Biotechnology</v>
          </cell>
          <cell r="D8069">
            <v>3.85</v>
          </cell>
        </row>
        <row r="8070">
          <cell r="C8070" t="str">
            <v>Bodal Chemicals</v>
          </cell>
          <cell r="D8070">
            <v>0.57378300000000004</v>
          </cell>
        </row>
        <row r="8071">
          <cell r="C8071" t="str">
            <v>ALX Oncology</v>
          </cell>
          <cell r="D8071">
            <v>15.45</v>
          </cell>
        </row>
        <row r="8072">
          <cell r="C8072" t="str">
            <v>Seres Therapeutics</v>
          </cell>
          <cell r="D8072">
            <v>8.4</v>
          </cell>
        </row>
        <row r="8073">
          <cell r="C8073" t="str">
            <v>Adicet Bio</v>
          </cell>
          <cell r="D8073">
            <v>7.6676900000000003</v>
          </cell>
        </row>
        <row r="8074">
          <cell r="C8074" t="str">
            <v>Epsilon Energy</v>
          </cell>
          <cell r="D8074">
            <v>2265</v>
          </cell>
        </row>
        <row r="8075">
          <cell r="C8075" t="str">
            <v>The ONE Group Hospitality</v>
          </cell>
          <cell r="D8075">
            <v>5.57</v>
          </cell>
        </row>
        <row r="8076">
          <cell r="C8076" t="str">
            <v>Orient Paper Mills</v>
          </cell>
          <cell r="D8076">
            <v>9.32</v>
          </cell>
        </row>
        <row r="8077">
          <cell r="C8077" t="str">
            <v>ACRES Commercial Realty</v>
          </cell>
          <cell r="D8077">
            <v>16.303699999999999</v>
          </cell>
        </row>
        <row r="8078">
          <cell r="C8078" t="str">
            <v>Quicklogic</v>
          </cell>
          <cell r="D8078">
            <v>5.6040700000000001</v>
          </cell>
        </row>
        <row r="8079">
          <cell r="C8079" t="str">
            <v>Raydan Food</v>
          </cell>
          <cell r="D8079">
            <v>0.15367400000000001</v>
          </cell>
        </row>
        <row r="8080">
          <cell r="C8080" t="str">
            <v>Inventiva</v>
          </cell>
          <cell r="D8080">
            <v>18.002400000000002</v>
          </cell>
        </row>
        <row r="8081">
          <cell r="C8081" t="str">
            <v>Everspin Technologies</v>
          </cell>
          <cell r="D8081">
            <v>0.92596199999999995</v>
          </cell>
        </row>
        <row r="8082">
          <cell r="C8082" t="str">
            <v>Universal Electronics</v>
          </cell>
          <cell r="D8082">
            <v>10.5915</v>
          </cell>
        </row>
        <row r="8083">
          <cell r="C8083" t="str">
            <v>Inclusio</v>
          </cell>
          <cell r="D8083">
            <v>1.35277</v>
          </cell>
        </row>
        <row r="8084">
          <cell r="C8084" t="str">
            <v>Bloober Team</v>
          </cell>
          <cell r="D8084">
            <v>0.81840000000000002</v>
          </cell>
        </row>
        <row r="8085">
          <cell r="C8085" t="str">
            <v>Transaction Capital</v>
          </cell>
          <cell r="D8085">
            <v>2.2200000000000002</v>
          </cell>
        </row>
        <row r="8086">
          <cell r="C8086" t="str">
            <v>Saudi Cable Company</v>
          </cell>
          <cell r="D8086">
            <v>4.05</v>
          </cell>
        </row>
        <row r="8087">
          <cell r="C8087" t="str">
            <v>Fairwood Holdings</v>
          </cell>
          <cell r="D8087">
            <v>1.07</v>
          </cell>
        </row>
        <row r="8088">
          <cell r="C8088" t="str">
            <v>Santhera Pharmaceuticals</v>
          </cell>
          <cell r="D8088">
            <v>3.09</v>
          </cell>
        </row>
        <row r="8089">
          <cell r="C8089" t="str">
            <v>Enad Global 7</v>
          </cell>
          <cell r="D8089">
            <v>0.33</v>
          </cell>
        </row>
        <row r="8090">
          <cell r="C8090" t="str">
            <v>Veru</v>
          </cell>
          <cell r="D8090">
            <v>1.52</v>
          </cell>
        </row>
        <row r="8091">
          <cell r="C8091" t="str">
            <v>FingerMotion</v>
          </cell>
          <cell r="D8091">
            <v>0.98701300000000003</v>
          </cell>
        </row>
        <row r="8092">
          <cell r="C8092" t="str">
            <v>eHealth</v>
          </cell>
          <cell r="D8092">
            <v>7.9</v>
          </cell>
        </row>
        <row r="8093">
          <cell r="C8093" t="str">
            <v>Amprius Technologies</v>
          </cell>
          <cell r="D8093">
            <v>0.67927700000000002</v>
          </cell>
        </row>
        <row r="8094">
          <cell r="C8094" t="str">
            <v>Athira Pharma</v>
          </cell>
          <cell r="D8094">
            <v>3.1</v>
          </cell>
        </row>
        <row r="8095">
          <cell r="C8095" t="str">
            <v>Umm Al Qaiwain General Investment</v>
          </cell>
          <cell r="D8095">
            <v>0.7</v>
          </cell>
        </row>
        <row r="8096">
          <cell r="C8096" t="str">
            <v>Canoo</v>
          </cell>
          <cell r="D8096">
            <v>2.65</v>
          </cell>
        </row>
        <row r="8097">
          <cell r="C8097" t="str">
            <v>A'Saffa Foods</v>
          </cell>
          <cell r="D8097">
            <v>0.12180299999999999</v>
          </cell>
        </row>
        <row r="8098">
          <cell r="C8098" t="str">
            <v>Al Ain Alahlia Insurance</v>
          </cell>
          <cell r="D8098">
            <v>5.2271999999999998</v>
          </cell>
        </row>
        <row r="8099">
          <cell r="C8099" t="str">
            <v>PCC Exol</v>
          </cell>
          <cell r="D8099">
            <v>3.2</v>
          </cell>
        </row>
        <row r="8100">
          <cell r="C8100" t="str">
            <v>Veritone</v>
          </cell>
          <cell r="D8100">
            <v>7.9031700000000003</v>
          </cell>
        </row>
        <row r="8101">
          <cell r="C8101" t="str">
            <v>X4 Pharmaceuticals</v>
          </cell>
          <cell r="D8101">
            <v>1075</v>
          </cell>
        </row>
        <row r="8102">
          <cell r="C8102" t="str">
            <v>AXT Inc</v>
          </cell>
          <cell r="D8102">
            <v>0.96719999999999995</v>
          </cell>
        </row>
        <row r="8103">
          <cell r="C8103" t="str">
            <v>Aeris Resources</v>
          </cell>
          <cell r="D8103">
            <v>26</v>
          </cell>
        </row>
        <row r="8104">
          <cell r="C8104" t="str">
            <v>BEST S.A.</v>
          </cell>
          <cell r="D8104">
            <v>0.375558</v>
          </cell>
        </row>
        <row r="8105">
          <cell r="C8105" t="str">
            <v>PDS Biotechnology</v>
          </cell>
          <cell r="D8105">
            <v>134044</v>
          </cell>
        </row>
        <row r="8106">
          <cell r="C8106" t="str">
            <v>Grammer AG</v>
          </cell>
          <cell r="D8106">
            <v>1.84</v>
          </cell>
        </row>
        <row r="8107">
          <cell r="C8107" t="str">
            <v>Brooge Energy</v>
          </cell>
          <cell r="D8107">
            <v>6.0101899999999997</v>
          </cell>
        </row>
        <row r="8108">
          <cell r="C8108" t="str">
            <v>Kopin Corporation</v>
          </cell>
          <cell r="D8108">
            <v>24.5</v>
          </cell>
        </row>
        <row r="8109">
          <cell r="C8109" t="str">
            <v>Union Bankshares</v>
          </cell>
          <cell r="D8109">
            <v>3.1434299999999999</v>
          </cell>
        </row>
        <row r="8110">
          <cell r="C8110" t="str">
            <v>ARN Media</v>
          </cell>
          <cell r="D8110">
            <v>14.54</v>
          </cell>
        </row>
        <row r="8111">
          <cell r="C8111" t="str">
            <v>VIGO Photonics</v>
          </cell>
          <cell r="D8111">
            <v>1.85</v>
          </cell>
        </row>
        <row r="8112">
          <cell r="C8112" t="str">
            <v>Complete Solaria</v>
          </cell>
          <cell r="D8112">
            <v>0.20300399999999999</v>
          </cell>
        </row>
        <row r="8113">
          <cell r="C8113" t="str">
            <v>SIEC (Saudi Industrial Export Company)</v>
          </cell>
          <cell r="D8113">
            <v>2.46</v>
          </cell>
        </row>
        <row r="8114">
          <cell r="C8114" t="str">
            <v>Ohio Valley Banc Corp</v>
          </cell>
          <cell r="D8114">
            <v>2.4500000000000002</v>
          </cell>
        </row>
        <row r="8115">
          <cell r="C8115" t="str">
            <v>İşbir Holding</v>
          </cell>
          <cell r="D8115">
            <v>1.25</v>
          </cell>
        </row>
        <row r="8116">
          <cell r="C8116" t="str">
            <v>CoreCard</v>
          </cell>
          <cell r="D8116">
            <v>2.52</v>
          </cell>
        </row>
        <row r="8117">
          <cell r="C8117" t="str">
            <v>Signature Bank</v>
          </cell>
          <cell r="D8117">
            <v>3.14211E-2</v>
          </cell>
        </row>
        <row r="8118">
          <cell r="C8118" t="str">
            <v>AIC Mines Limited</v>
          </cell>
          <cell r="D8118">
            <v>1.95</v>
          </cell>
        </row>
        <row r="8119">
          <cell r="C8119" t="str">
            <v>Aemetis</v>
          </cell>
          <cell r="D8119">
            <v>1.24</v>
          </cell>
        </row>
        <row r="8120">
          <cell r="C8120" t="str">
            <v>Sachem Capital</v>
          </cell>
          <cell r="D8120">
            <v>1.03</v>
          </cell>
        </row>
        <row r="8121">
          <cell r="C8121" t="str">
            <v>Richtech Robotics</v>
          </cell>
          <cell r="D8121">
            <v>2.8750499999999999</v>
          </cell>
        </row>
        <row r="8122">
          <cell r="C8122" t="str">
            <v>KORU Medical Systems</v>
          </cell>
          <cell r="D8122">
            <v>9.6263299999999994</v>
          </cell>
        </row>
        <row r="8123">
          <cell r="C8123" t="str">
            <v>Emperor International</v>
          </cell>
          <cell r="D8123">
            <v>11.9377</v>
          </cell>
        </row>
        <row r="8124">
          <cell r="C8124" t="str">
            <v>GrowGeneration</v>
          </cell>
          <cell r="D8124">
            <v>2.3199999999999998</v>
          </cell>
        </row>
        <row r="8125">
          <cell r="C8125" t="str">
            <v>System1</v>
          </cell>
          <cell r="D8125">
            <v>0.5615</v>
          </cell>
        </row>
        <row r="8126">
          <cell r="C8126" t="str">
            <v>Village Farms International</v>
          </cell>
          <cell r="D8126">
            <v>12.8772</v>
          </cell>
        </row>
        <row r="8127">
          <cell r="C8127" t="str">
            <v>United Cooperative Assurance Company</v>
          </cell>
          <cell r="D8127">
            <v>6.8531000000000004</v>
          </cell>
        </row>
        <row r="8128">
          <cell r="C8128" t="str">
            <v>Erbud</v>
          </cell>
          <cell r="D8128">
            <v>2.97</v>
          </cell>
        </row>
        <row r="8129">
          <cell r="C8129" t="str">
            <v>Masterflex</v>
          </cell>
          <cell r="D8129">
            <v>14.612299999999999</v>
          </cell>
        </row>
        <row r="8130">
          <cell r="C8130" t="str">
            <v>Augmedix</v>
          </cell>
          <cell r="D8130">
            <v>2.81</v>
          </cell>
        </row>
        <row r="8131">
          <cell r="C8131" t="str">
            <v>bluebird bio</v>
          </cell>
          <cell r="D8131">
            <v>0.63608100000000001</v>
          </cell>
        </row>
        <row r="8132">
          <cell r="C8132" t="str">
            <v>Vectron Systems</v>
          </cell>
          <cell r="D8132">
            <v>71847</v>
          </cell>
        </row>
        <row r="8133">
          <cell r="C8133" t="str">
            <v>NFON AG</v>
          </cell>
          <cell r="D8133">
            <v>0.90416700000000005</v>
          </cell>
        </row>
        <row r="8134">
          <cell r="C8134" t="str">
            <v>Metagenomi</v>
          </cell>
          <cell r="D8134">
            <v>1.18</v>
          </cell>
        </row>
        <row r="8135">
          <cell r="C8135" t="str">
            <v>Rane Brake Lining</v>
          </cell>
          <cell r="D8135">
            <v>1.18</v>
          </cell>
        </row>
        <row r="8136">
          <cell r="C8136" t="str">
            <v>Eledon Pharmaceuticals</v>
          </cell>
          <cell r="D8136">
            <v>1.0672200000000001</v>
          </cell>
        </row>
        <row r="8137">
          <cell r="C8137" t="str">
            <v>COSOL Limited</v>
          </cell>
          <cell r="D8137">
            <v>17.39</v>
          </cell>
        </row>
        <row r="8138">
          <cell r="C8138" t="str">
            <v>Caisse Régionale de Crédit Agricole du Morbihan</v>
          </cell>
          <cell r="D8138">
            <v>17.2</v>
          </cell>
        </row>
        <row r="8139">
          <cell r="C8139" t="str">
            <v>q.beyond</v>
          </cell>
          <cell r="D8139">
            <v>7.25</v>
          </cell>
        </row>
        <row r="8140">
          <cell r="C8140" t="str">
            <v>Assertio Therapeutics</v>
          </cell>
          <cell r="D8140">
            <v>12</v>
          </cell>
        </row>
        <row r="8141">
          <cell r="C8141" t="str">
            <v>Babcock &amp;amp; Wilcox</v>
          </cell>
          <cell r="D8141">
            <v>1.2440500000000001</v>
          </cell>
        </row>
        <row r="8142">
          <cell r="C8142" t="str">
            <v>Postmedia Network Canada</v>
          </cell>
          <cell r="D8142">
            <v>4.76</v>
          </cell>
        </row>
        <row r="8143">
          <cell r="C8143" t="str">
            <v>Fonar Corporation</v>
          </cell>
          <cell r="D8143">
            <v>0.70640000000000003</v>
          </cell>
        </row>
        <row r="8144">
          <cell r="C8144" t="str">
            <v>Hurco Companies</v>
          </cell>
          <cell r="D8144">
            <v>20.25</v>
          </cell>
        </row>
        <row r="8145">
          <cell r="C8145" t="str">
            <v>Neonode</v>
          </cell>
          <cell r="D8145">
            <v>3.32</v>
          </cell>
        </row>
        <row r="8146">
          <cell r="C8146" t="str">
            <v>William Penn Bancorp</v>
          </cell>
          <cell r="D8146">
            <v>5.15</v>
          </cell>
        </row>
        <row r="8147">
          <cell r="C8147" t="str">
            <v>Spencer's Retail</v>
          </cell>
          <cell r="D8147">
            <v>0.82</v>
          </cell>
        </row>
        <row r="8148">
          <cell r="C8148" t="str">
            <v>Gaia</v>
          </cell>
          <cell r="D8148">
            <v>2.9</v>
          </cell>
        </row>
        <row r="8149">
          <cell r="C8149" t="str">
            <v>Allbirds</v>
          </cell>
          <cell r="D8149">
            <v>8.08</v>
          </cell>
        </row>
        <row r="8150">
          <cell r="C8150" t="str">
            <v>Landmark Bancorp</v>
          </cell>
          <cell r="D8150">
            <v>0.60772300000000001</v>
          </cell>
        </row>
        <row r="8151">
          <cell r="C8151" t="str">
            <v>Haoxi Health Technology</v>
          </cell>
          <cell r="D8151">
            <v>10.586499999999999</v>
          </cell>
        </row>
        <row r="8152">
          <cell r="C8152" t="str">
            <v>Agenus</v>
          </cell>
          <cell r="D8152">
            <v>21.39</v>
          </cell>
        </row>
        <row r="8153">
          <cell r="C8153" t="str">
            <v>Fujairah Building Industries</v>
          </cell>
          <cell r="D8153">
            <v>1.25</v>
          </cell>
        </row>
        <row r="8154">
          <cell r="C8154" t="str">
            <v>Leap Therapeutics</v>
          </cell>
          <cell r="D8154">
            <v>2.2000000000000002</v>
          </cell>
        </row>
        <row r="8155">
          <cell r="C8155" t="str">
            <v>BBX Capital Corporation</v>
          </cell>
          <cell r="D8155">
            <v>3.65</v>
          </cell>
        </row>
        <row r="8156">
          <cell r="C8156" t="str">
            <v>PyroGenesis Canada</v>
          </cell>
          <cell r="D8156">
            <v>3.6043899999999997E-2</v>
          </cell>
        </row>
        <row r="8157">
          <cell r="C8157" t="str">
            <v>Great Elm Capital</v>
          </cell>
          <cell r="D8157">
            <v>8.4600000000000009</v>
          </cell>
        </row>
        <row r="8158">
          <cell r="C8158" t="str">
            <v>Nutex Health</v>
          </cell>
          <cell r="D8158">
            <v>14.148300000000001</v>
          </cell>
        </row>
        <row r="8159">
          <cell r="C8159" t="str">
            <v>Rekor Systems</v>
          </cell>
          <cell r="D8159">
            <v>1.68</v>
          </cell>
        </row>
        <row r="8160">
          <cell r="C8160" t="str">
            <v>Office Properties Income Trust</v>
          </cell>
          <cell r="D8160">
            <v>659</v>
          </cell>
        </row>
        <row r="8161">
          <cell r="C8161" t="str">
            <v>China Automotive Systems</v>
          </cell>
          <cell r="D8161">
            <v>6.10703</v>
          </cell>
        </row>
        <row r="8162">
          <cell r="C8162" t="str">
            <v>Iceland Seafood International</v>
          </cell>
          <cell r="D8162">
            <v>5.7835599999999996</v>
          </cell>
        </row>
        <row r="8163">
          <cell r="C8163" t="str">
            <v>Annovis Bio</v>
          </cell>
          <cell r="D8163">
            <v>8.7200000000000006</v>
          </cell>
        </row>
        <row r="8164">
          <cell r="C8164" t="str">
            <v>Clere AG</v>
          </cell>
          <cell r="D8164">
            <v>0.3901</v>
          </cell>
        </row>
        <row r="8165">
          <cell r="C8165" t="str">
            <v>Regulus Therapeutics</v>
          </cell>
          <cell r="D8165">
            <v>1.23</v>
          </cell>
        </row>
        <row r="8166">
          <cell r="C8166" t="str">
            <v>Innoviz</v>
          </cell>
          <cell r="D8166">
            <v>2842</v>
          </cell>
        </row>
        <row r="8167">
          <cell r="C8167" t="str">
            <v>Lokum Deweloper</v>
          </cell>
          <cell r="D8167">
            <v>0.92862800000000001</v>
          </cell>
        </row>
        <row r="8168">
          <cell r="C8168" t="str">
            <v>Answear.com</v>
          </cell>
          <cell r="D8168">
            <v>16.25</v>
          </cell>
        </row>
        <row r="8169">
          <cell r="C8169" t="str">
            <v>Prairie Operating</v>
          </cell>
          <cell r="D8169">
            <v>3106</v>
          </cell>
        </row>
        <row r="8170">
          <cell r="C8170" t="str">
            <v>Tanzanian Gold Corporation</v>
          </cell>
          <cell r="D8170">
            <v>2.20282</v>
          </cell>
        </row>
        <row r="8171">
          <cell r="C8171" t="str">
            <v>LivePerson</v>
          </cell>
          <cell r="D8171">
            <v>3.05</v>
          </cell>
        </row>
        <row r="8172">
          <cell r="C8172" t="str">
            <v>Planet Image International</v>
          </cell>
          <cell r="D8172">
            <v>3.89</v>
          </cell>
        </row>
        <row r="8173">
          <cell r="C8173" t="str">
            <v>Zain Bahrain</v>
          </cell>
          <cell r="D8173">
            <v>2.97</v>
          </cell>
        </row>
        <row r="8174">
          <cell r="C8174" t="str">
            <v>SB Financial Group</v>
          </cell>
          <cell r="D8174">
            <v>3.22</v>
          </cell>
        </row>
        <row r="8175">
          <cell r="C8175" t="str">
            <v>Deutsche Konsum REIT-AG</v>
          </cell>
          <cell r="D8175">
            <v>3.53</v>
          </cell>
        </row>
        <row r="8176">
          <cell r="C8176" t="str">
            <v>gumi</v>
          </cell>
          <cell r="D8176">
            <v>220877</v>
          </cell>
        </row>
        <row r="8177">
          <cell r="C8177" t="str">
            <v>Kolibri Global Energy</v>
          </cell>
          <cell r="D8177">
            <v>3.6</v>
          </cell>
        </row>
        <row r="8178">
          <cell r="C8178" t="str">
            <v>Offerpad</v>
          </cell>
          <cell r="D8178">
            <v>1.22949</v>
          </cell>
        </row>
        <row r="8179">
          <cell r="C8179" t="str">
            <v>Oportun Financial</v>
          </cell>
          <cell r="D8179">
            <v>3.34</v>
          </cell>
        </row>
        <row r="8180">
          <cell r="C8180" t="str">
            <v>Shimmick</v>
          </cell>
          <cell r="D8180">
            <v>6.52</v>
          </cell>
        </row>
        <row r="8181">
          <cell r="C8181" t="str">
            <v>Cherry Hill Mortgage Investment</v>
          </cell>
          <cell r="D8181">
            <v>15.05</v>
          </cell>
        </row>
        <row r="8182">
          <cell r="C8182" t="str">
            <v>Al-Mazaya Holding Company</v>
          </cell>
          <cell r="D8182">
            <v>34.044400000000003</v>
          </cell>
        </row>
        <row r="8183">
          <cell r="C8183" t="str">
            <v>Cheetah Mobile</v>
          </cell>
          <cell r="D8183">
            <v>3.2</v>
          </cell>
        </row>
        <row r="8184">
          <cell r="C8184" t="str">
            <v>Méliuz</v>
          </cell>
          <cell r="D8184">
            <v>0.503965</v>
          </cell>
        </row>
        <row r="8185">
          <cell r="C8185" t="str">
            <v>Anixa Biosciences</v>
          </cell>
          <cell r="D8185">
            <v>6.7425699999999997</v>
          </cell>
        </row>
        <row r="8186">
          <cell r="C8186" t="str">
            <v>Sensus Healthcare</v>
          </cell>
          <cell r="D8186">
            <v>1.38</v>
          </cell>
        </row>
        <row r="8187">
          <cell r="C8187" t="str">
            <v>Friedman Industries</v>
          </cell>
          <cell r="D8187">
            <v>17.409099999999999</v>
          </cell>
        </row>
        <row r="8188">
          <cell r="C8188" t="str">
            <v>PWO AG</v>
          </cell>
          <cell r="D8188">
            <v>16359</v>
          </cell>
        </row>
        <row r="8189">
          <cell r="C8189" t="str">
            <v>NeoVolta</v>
          </cell>
          <cell r="D8189">
            <v>37.51</v>
          </cell>
        </row>
        <row r="8190">
          <cell r="C8190" t="str">
            <v>Sierra Metals</v>
          </cell>
          <cell r="D8190">
            <v>0.47792200000000001</v>
          </cell>
        </row>
        <row r="8191">
          <cell r="C8191" t="str">
            <v>Smartbroker Holding</v>
          </cell>
          <cell r="D8191">
            <v>1.68</v>
          </cell>
        </row>
        <row r="8192">
          <cell r="C8192" t="str">
            <v>Alto Ingredients</v>
          </cell>
          <cell r="D8192">
            <v>2.0132500000000002</v>
          </cell>
        </row>
        <row r="8193">
          <cell r="C8193" t="str">
            <v>Dr. Hönle AG</v>
          </cell>
          <cell r="D8193">
            <v>1.29</v>
          </cell>
        </row>
        <row r="8194">
          <cell r="C8194" t="str">
            <v>Easy Software</v>
          </cell>
          <cell r="D8194">
            <v>43.991300000000003</v>
          </cell>
        </row>
        <row r="8195">
          <cell r="C8195" t="str">
            <v>M-tron Industries</v>
          </cell>
          <cell r="D8195">
            <v>0.46632600000000002</v>
          </cell>
        </row>
        <row r="8196">
          <cell r="C8196" t="str">
            <v>Al Anwar Ceramic Tiles</v>
          </cell>
          <cell r="D8196">
            <v>2.8334000000000001</v>
          </cell>
        </row>
        <row r="8197">
          <cell r="C8197" t="str">
            <v>Seer</v>
          </cell>
          <cell r="D8197">
            <v>0.29716100000000001</v>
          </cell>
        </row>
        <row r="8198">
          <cell r="C8198" t="str">
            <v>Quercus TFI</v>
          </cell>
          <cell r="D8198">
            <v>1625</v>
          </cell>
        </row>
        <row r="8199">
          <cell r="C8199" t="str">
            <v>Shengfeng Development</v>
          </cell>
          <cell r="D8199">
            <v>2.19922</v>
          </cell>
        </row>
        <row r="8200">
          <cell r="C8200" t="str">
            <v>Creotech Instruments</v>
          </cell>
          <cell r="D8200">
            <v>0.85019999999999996</v>
          </cell>
        </row>
        <row r="8201">
          <cell r="C8201" t="str">
            <v>Nectar Lifesciences</v>
          </cell>
          <cell r="D8201">
            <v>2.73236E-2</v>
          </cell>
        </row>
        <row r="8202">
          <cell r="C8202" t="str">
            <v>Adlai Nortye</v>
          </cell>
          <cell r="D8202">
            <v>4.2002899999999999</v>
          </cell>
        </row>
        <row r="8203">
          <cell r="C8203" t="str">
            <v>Esterad Investment Company</v>
          </cell>
          <cell r="D8203">
            <v>2.35</v>
          </cell>
        </row>
        <row r="8204">
          <cell r="C8204" t="str">
            <v>Xunlei</v>
          </cell>
          <cell r="D8204">
            <v>7.1294399999999998</v>
          </cell>
        </row>
        <row r="8205">
          <cell r="C8205" t="str">
            <v>Bisalloy Steel Group</v>
          </cell>
          <cell r="D8205">
            <v>2.27</v>
          </cell>
        </row>
        <row r="8206">
          <cell r="C8206" t="str">
            <v>Invivyd</v>
          </cell>
          <cell r="D8206">
            <v>4.9800000000000004</v>
          </cell>
        </row>
        <row r="8207">
          <cell r="C8207" t="str">
            <v>Nova Klúbburinn</v>
          </cell>
          <cell r="D8207">
            <v>5.9</v>
          </cell>
        </row>
        <row r="8208">
          <cell r="C8208" t="str">
            <v>Kostad AG</v>
          </cell>
          <cell r="D8208">
            <v>0.56999999999999995</v>
          </cell>
        </row>
        <row r="8209">
          <cell r="C8209" t="str">
            <v>Verrica Pharmaceuticals</v>
          </cell>
          <cell r="D8209">
            <v>4.8634899999999996</v>
          </cell>
        </row>
        <row r="8210">
          <cell r="C8210" t="str">
            <v>DFV Deutsche Familienversicherung</v>
          </cell>
          <cell r="D8210">
            <v>914</v>
          </cell>
        </row>
        <row r="8211">
          <cell r="C8211" t="str">
            <v>InterCure</v>
          </cell>
          <cell r="D8211">
            <v>11.56</v>
          </cell>
        </row>
        <row r="8212">
          <cell r="C8212" t="str">
            <v>Journey Medical</v>
          </cell>
          <cell r="D8212">
            <v>0.17</v>
          </cell>
        </row>
        <row r="8213">
          <cell r="C8213" t="str">
            <v>Skillz</v>
          </cell>
          <cell r="D8213">
            <v>5383</v>
          </cell>
        </row>
        <row r="8214">
          <cell r="C8214" t="str">
            <v>Citius Pharmaceuticals</v>
          </cell>
          <cell r="D8214">
            <v>1.6975499999999999</v>
          </cell>
        </row>
        <row r="8215">
          <cell r="C8215" t="str">
            <v>centrotherm international</v>
          </cell>
          <cell r="D8215">
            <v>0.51290000000000002</v>
          </cell>
        </row>
        <row r="8216">
          <cell r="C8216" t="str">
            <v>ThredUp</v>
          </cell>
          <cell r="D8216">
            <v>30833</v>
          </cell>
        </row>
        <row r="8217">
          <cell r="C8217" t="str">
            <v>First Northwest Bancorp</v>
          </cell>
          <cell r="D8217">
            <v>0.74</v>
          </cell>
        </row>
        <row r="8218">
          <cell r="C8218" t="str">
            <v>Sharjah Cement and Industrial Development</v>
          </cell>
          <cell r="D8218">
            <v>2.63906E-2</v>
          </cell>
        </row>
        <row r="8219">
          <cell r="C8219" t="str">
            <v>Laiqon AG</v>
          </cell>
          <cell r="D8219">
            <v>3.17232</v>
          </cell>
        </row>
        <row r="8220">
          <cell r="C8220" t="str">
            <v>Wielton</v>
          </cell>
          <cell r="D8220">
            <v>43.7714</v>
          </cell>
        </row>
        <row r="8221">
          <cell r="C8221" t="str">
            <v>International Tower Hill Mines</v>
          </cell>
          <cell r="D8221">
            <v>6.59</v>
          </cell>
        </row>
        <row r="8222">
          <cell r="C8222" t="str">
            <v>Züblin Immobilien</v>
          </cell>
          <cell r="D8222">
            <v>3.3871199999999999</v>
          </cell>
        </row>
        <row r="8223">
          <cell r="C8223" t="str">
            <v>Xtant Medical</v>
          </cell>
          <cell r="D8223">
            <v>3.4928699999999999</v>
          </cell>
        </row>
        <row r="8224">
          <cell r="C8224" t="str">
            <v>Alligator Energy</v>
          </cell>
          <cell r="D8224">
            <v>1</v>
          </cell>
        </row>
        <row r="8225">
          <cell r="C8225" t="str">
            <v>Biotalys</v>
          </cell>
          <cell r="D8225">
            <v>28.738800000000001</v>
          </cell>
        </row>
        <row r="8226">
          <cell r="C8226" t="str">
            <v>Netfonds AG</v>
          </cell>
          <cell r="D8226">
            <v>0.90593599999999996</v>
          </cell>
        </row>
        <row r="8227">
          <cell r="C8227" t="str">
            <v>CASI Pharmaceuticals</v>
          </cell>
          <cell r="D8227">
            <v>2.23</v>
          </cell>
        </row>
        <row r="8228">
          <cell r="C8228" t="str">
            <v>Gulf General Cooperative Insurance Company</v>
          </cell>
          <cell r="D8228">
            <v>0.21110000000000001</v>
          </cell>
        </row>
        <row r="8229">
          <cell r="C8229" t="str">
            <v>Ringmetall</v>
          </cell>
          <cell r="D8229">
            <v>0.96779999999999999</v>
          </cell>
        </row>
        <row r="8230">
          <cell r="C8230" t="str">
            <v>Tiziana Life Sciences</v>
          </cell>
          <cell r="D8230">
            <v>2.5</v>
          </cell>
        </row>
        <row r="8231">
          <cell r="C8231" t="str">
            <v>DATA MODUL</v>
          </cell>
          <cell r="D8231">
            <v>10.1691</v>
          </cell>
        </row>
        <row r="8232">
          <cell r="C8232" t="str">
            <v>Atos</v>
          </cell>
          <cell r="D8232">
            <v>1.5</v>
          </cell>
        </row>
        <row r="8233">
          <cell r="C8233" t="str">
            <v>Brightcove</v>
          </cell>
          <cell r="D8233">
            <v>0.80830000000000002</v>
          </cell>
        </row>
        <row r="8234">
          <cell r="C8234" t="str">
            <v>The Cannabist Company</v>
          </cell>
          <cell r="D8234">
            <v>4.87</v>
          </cell>
        </row>
        <row r="8235">
          <cell r="C8235" t="str">
            <v>Zentek</v>
          </cell>
          <cell r="D8235">
            <v>7.96</v>
          </cell>
        </row>
        <row r="8236">
          <cell r="C8236" t="str">
            <v>Verastem Oncology</v>
          </cell>
          <cell r="D8236">
            <v>0.59860000000000002</v>
          </cell>
        </row>
        <row r="8237">
          <cell r="C8237" t="str">
            <v>FCR Immobilien</v>
          </cell>
          <cell r="D8237">
            <v>3.08</v>
          </cell>
        </row>
        <row r="8238">
          <cell r="C8238" t="str">
            <v>IO Biotech</v>
          </cell>
          <cell r="D8238">
            <v>0.82</v>
          </cell>
        </row>
        <row r="8239">
          <cell r="C8239" t="str">
            <v>Tuniu Corporation</v>
          </cell>
          <cell r="D8239">
            <v>1.41299</v>
          </cell>
        </row>
        <row r="8240">
          <cell r="C8240" t="str">
            <v>Cato Fashion</v>
          </cell>
          <cell r="D8240">
            <v>3.2674400000000001</v>
          </cell>
        </row>
        <row r="8241">
          <cell r="C8241" t="str">
            <v>Lifevantage</v>
          </cell>
          <cell r="D8241">
            <v>5.71</v>
          </cell>
        </row>
        <row r="8242">
          <cell r="C8242" t="str">
            <v>Renovaro Biosciences</v>
          </cell>
          <cell r="D8242">
            <v>7.2704399999999998</v>
          </cell>
        </row>
        <row r="8243">
          <cell r="C8243" t="str">
            <v>Sagimet Biosciences</v>
          </cell>
          <cell r="D8243">
            <v>0.19890099999999999</v>
          </cell>
        </row>
        <row r="8244">
          <cell r="C8244" t="str">
            <v>Ras Alkhaima National Insurance</v>
          </cell>
          <cell r="D8244">
            <v>4.5579200000000002</v>
          </cell>
        </row>
        <row r="8245">
          <cell r="C8245" t="str">
            <v>Oman Education and Training Investments (OETI)</v>
          </cell>
          <cell r="D8245">
            <v>3.0474299999999999</v>
          </cell>
        </row>
        <row r="8246">
          <cell r="C8246" t="str">
            <v>United Foods Company</v>
          </cell>
          <cell r="D8246">
            <v>14.36</v>
          </cell>
        </row>
        <row r="8247">
          <cell r="C8247" t="str">
            <v>Westport Fuel Systems</v>
          </cell>
          <cell r="D8247">
            <v>0.5</v>
          </cell>
        </row>
        <row r="8248">
          <cell r="C8248" t="str">
            <v>Yellow Pages (Canada)</v>
          </cell>
          <cell r="D8248">
            <v>4.62</v>
          </cell>
        </row>
        <row r="8249">
          <cell r="C8249" t="str">
            <v>Alijarah Holding</v>
          </cell>
          <cell r="D8249">
            <v>3.2153</v>
          </cell>
        </row>
        <row r="8250">
          <cell r="C8250" t="str">
            <v>Velan</v>
          </cell>
          <cell r="D8250">
            <v>2.59</v>
          </cell>
        </row>
        <row r="8251">
          <cell r="C8251" t="str">
            <v>Tethys Oil</v>
          </cell>
          <cell r="D8251">
            <v>19.25</v>
          </cell>
        </row>
        <row r="8252">
          <cell r="C8252" t="str">
            <v>Provident Financial Holdings</v>
          </cell>
          <cell r="D8252">
            <v>3.38</v>
          </cell>
        </row>
        <row r="8253">
          <cell r="C8253" t="str">
            <v>Jushi Holdings</v>
          </cell>
          <cell r="D8253">
            <v>69433</v>
          </cell>
        </row>
        <row r="8254">
          <cell r="C8254" t="str">
            <v>Riverview Bancorp</v>
          </cell>
          <cell r="D8254">
            <v>5.9</v>
          </cell>
        </row>
        <row r="8255">
          <cell r="C8255" t="str">
            <v>Akatsuki Corp.</v>
          </cell>
          <cell r="D8255">
            <v>2.39</v>
          </cell>
        </row>
        <row r="8256">
          <cell r="C8256" t="str">
            <v>Buzzfeed</v>
          </cell>
          <cell r="D8256">
            <v>2.16</v>
          </cell>
        </row>
        <row r="8257">
          <cell r="C8257" t="str">
            <v>Old Point Financial</v>
          </cell>
          <cell r="D8257">
            <v>1.52</v>
          </cell>
        </row>
        <row r="8258">
          <cell r="C8258" t="str">
            <v>Superior Industries International</v>
          </cell>
          <cell r="D8258">
            <v>6.3658000000000001</v>
          </cell>
        </row>
        <row r="8259">
          <cell r="C8259" t="str">
            <v>Crealogix Holding</v>
          </cell>
          <cell r="D8259">
            <v>3.0949200000000001</v>
          </cell>
        </row>
        <row r="8260">
          <cell r="C8260" t="str">
            <v>Gulf Island Fabrication</v>
          </cell>
          <cell r="D8260">
            <v>8.7200000000000006</v>
          </cell>
        </row>
        <row r="8261">
          <cell r="C8261" t="str">
            <v>Oramed Pharmaceuticals</v>
          </cell>
          <cell r="D8261">
            <v>4.5318899999999998</v>
          </cell>
        </row>
        <row r="8262">
          <cell r="C8262" t="str">
            <v>Werewolf Therapeutics</v>
          </cell>
          <cell r="D8262">
            <v>1.81</v>
          </cell>
        </row>
        <row r="8263">
          <cell r="C8263" t="str">
            <v>Viomi Technology</v>
          </cell>
          <cell r="D8263">
            <v>4.1872299999999996</v>
          </cell>
        </row>
        <row r="8264">
          <cell r="C8264" t="str">
            <v>Mercor</v>
          </cell>
          <cell r="D8264">
            <v>0.76019999999999999</v>
          </cell>
        </row>
        <row r="8265">
          <cell r="C8265" t="str">
            <v>Apex Frozen Foods</v>
          </cell>
          <cell r="D8265">
            <v>0.38538499999999998</v>
          </cell>
        </row>
        <row r="8266">
          <cell r="C8266" t="str">
            <v>Kingstone Companies</v>
          </cell>
          <cell r="D8266">
            <v>3.49</v>
          </cell>
        </row>
        <row r="8267">
          <cell r="C8267" t="str">
            <v>Edel SE &amp;amp; Co. KGaA</v>
          </cell>
          <cell r="D8267">
            <v>3.55</v>
          </cell>
        </row>
        <row r="8268">
          <cell r="C8268" t="str">
            <v>ReneSola</v>
          </cell>
          <cell r="D8268">
            <v>15.88</v>
          </cell>
        </row>
        <row r="8269">
          <cell r="C8269" t="str">
            <v>Saudi Enaya Cooperative Insurance Company</v>
          </cell>
          <cell r="D8269">
            <v>3.2004299999999999E-2</v>
          </cell>
        </row>
        <row r="8270">
          <cell r="C8270" t="str">
            <v>Karyopharm Therapeutics</v>
          </cell>
          <cell r="D8270">
            <v>0.34789999999999999</v>
          </cell>
        </row>
        <row r="8271">
          <cell r="C8271" t="str">
            <v>Laramide Resources</v>
          </cell>
          <cell r="D8271">
            <v>0.44903199999999999</v>
          </cell>
        </row>
        <row r="8272">
          <cell r="C8272" t="str">
            <v>VistaGen Therapeutics</v>
          </cell>
          <cell r="D8272">
            <v>0.58309999999999995</v>
          </cell>
        </row>
        <row r="8273">
          <cell r="C8273" t="str">
            <v>Intevac</v>
          </cell>
          <cell r="D8273">
            <v>0.60009999999999997</v>
          </cell>
        </row>
        <row r="8274">
          <cell r="C8274" t="str">
            <v>Pathfinder Bancorp</v>
          </cell>
          <cell r="D8274">
            <v>0.10238</v>
          </cell>
        </row>
        <row r="8275">
          <cell r="C8275" t="str">
            <v>Al-Baha Investment And Development Company</v>
          </cell>
          <cell r="D8275">
            <v>46.74</v>
          </cell>
        </row>
        <row r="8276">
          <cell r="C8276" t="str">
            <v>Asensus Surgical</v>
          </cell>
          <cell r="D8276">
            <v>1.58</v>
          </cell>
        </row>
        <row r="8277">
          <cell r="C8277" t="str">
            <v>Coffee Day Enterprises</v>
          </cell>
          <cell r="D8277">
            <v>1.85</v>
          </cell>
        </row>
        <row r="8278">
          <cell r="C8278" t="str">
            <v>stem</v>
          </cell>
          <cell r="D8278">
            <v>2.7421600000000002</v>
          </cell>
        </row>
        <row r="8279">
          <cell r="C8279" t="str">
            <v>TH International (Tims China)</v>
          </cell>
          <cell r="D8279">
            <v>1.87</v>
          </cell>
        </row>
        <row r="8280">
          <cell r="C8280" t="str">
            <v>Islamic Arab Insurance</v>
          </cell>
          <cell r="D8280">
            <v>7.23</v>
          </cell>
        </row>
        <row r="8281">
          <cell r="C8281" t="str">
            <v>PhenixFIN</v>
          </cell>
          <cell r="D8281">
            <v>14.72</v>
          </cell>
        </row>
        <row r="8282">
          <cell r="C8282" t="str">
            <v>Yatra</v>
          </cell>
          <cell r="D8282">
            <v>2.19</v>
          </cell>
        </row>
        <row r="8283">
          <cell r="C8283" t="str">
            <v>Sawaeed Holding</v>
          </cell>
          <cell r="D8283">
            <v>31.3108</v>
          </cell>
        </row>
        <row r="8284">
          <cell r="C8284" t="str">
            <v>Canacol Energy</v>
          </cell>
          <cell r="D8284">
            <v>1.94</v>
          </cell>
        </row>
        <row r="8285">
          <cell r="C8285" t="str">
            <v>HilleVax</v>
          </cell>
          <cell r="D8285">
            <v>3.6875100000000001</v>
          </cell>
        </row>
        <row r="8286">
          <cell r="C8286" t="str">
            <v>Regencell Bioscience</v>
          </cell>
          <cell r="D8286">
            <v>1.59</v>
          </cell>
        </row>
        <row r="8287">
          <cell r="C8287" t="str">
            <v>Saga Communications</v>
          </cell>
          <cell r="D8287">
            <v>288</v>
          </cell>
        </row>
        <row r="8288">
          <cell r="C8288" t="str">
            <v>Smart Sand</v>
          </cell>
          <cell r="D8288">
            <v>9245</v>
          </cell>
        </row>
        <row r="8289">
          <cell r="C8289" t="str">
            <v>Development Works Food Company</v>
          </cell>
          <cell r="D8289">
            <v>3.6918299999999999</v>
          </cell>
        </row>
        <row r="8290">
          <cell r="C8290" t="str">
            <v>DHI Group</v>
          </cell>
          <cell r="D8290">
            <v>13.870200000000001</v>
          </cell>
        </row>
        <row r="8291">
          <cell r="C8291" t="str">
            <v>Cavatina Holding Spólka Akcyjna</v>
          </cell>
          <cell r="D8291">
            <v>2.3203100000000001</v>
          </cell>
        </row>
        <row r="8292">
          <cell r="C8292" t="str">
            <v>InflaRx</v>
          </cell>
          <cell r="D8292">
            <v>8.48</v>
          </cell>
        </row>
        <row r="8293">
          <cell r="C8293" t="str">
            <v>Microvast</v>
          </cell>
          <cell r="D8293">
            <v>0.48</v>
          </cell>
        </row>
        <row r="8294">
          <cell r="C8294" t="str">
            <v>Benitec Biopharma</v>
          </cell>
          <cell r="D8294">
            <v>12.89</v>
          </cell>
        </row>
        <row r="8295">
          <cell r="C8295" t="str">
            <v>Cabka</v>
          </cell>
          <cell r="D8295">
            <v>3.95</v>
          </cell>
        </row>
        <row r="8296">
          <cell r="C8296" t="str">
            <v>OEX S.A.</v>
          </cell>
          <cell r="D8296">
            <v>1.18</v>
          </cell>
        </row>
        <row r="8297">
          <cell r="C8297" t="str">
            <v>Saudi Industrial Development Company</v>
          </cell>
          <cell r="D8297">
            <v>8.31</v>
          </cell>
        </row>
        <row r="8298">
          <cell r="C8298" t="str">
            <v>authID</v>
          </cell>
          <cell r="D8298">
            <v>10.9429</v>
          </cell>
        </row>
        <row r="8299">
          <cell r="C8299" t="str">
            <v>Latch</v>
          </cell>
          <cell r="D8299">
            <v>19.770199999999999</v>
          </cell>
        </row>
        <row r="8300">
          <cell r="C8300" t="str">
            <v>Alarum Technologies</v>
          </cell>
          <cell r="D8300">
            <v>6.03</v>
          </cell>
        </row>
        <row r="8301">
          <cell r="C8301" t="str">
            <v>SuRo Capital</v>
          </cell>
          <cell r="D8301">
            <v>1.01</v>
          </cell>
        </row>
        <row r="8302">
          <cell r="C8302" t="str">
            <v>CytomX Therapeutics</v>
          </cell>
          <cell r="D8302">
            <v>0.86769099999999999</v>
          </cell>
        </row>
        <row r="8303">
          <cell r="C8303" t="str">
            <v>Rhinebeck Bancorp</v>
          </cell>
          <cell r="D8303">
            <v>11.7166</v>
          </cell>
        </row>
        <row r="8304">
          <cell r="C8304" t="str">
            <v>Heliad AG</v>
          </cell>
          <cell r="D8304">
            <v>7.0000000000000007E-2</v>
          </cell>
        </row>
        <row r="8305">
          <cell r="C8305" t="str">
            <v>Captor Therapeutics</v>
          </cell>
          <cell r="D8305">
            <v>2.86</v>
          </cell>
        </row>
        <row r="8306">
          <cell r="C8306" t="str">
            <v>Coya Therapeutics</v>
          </cell>
          <cell r="D8306">
            <v>3.7692100000000002</v>
          </cell>
        </row>
        <row r="8307">
          <cell r="C8307" t="str">
            <v>CBAK Energy</v>
          </cell>
          <cell r="D8307">
            <v>13.95</v>
          </cell>
        </row>
        <row r="8308">
          <cell r="C8308" t="str">
            <v>DEMIRE Deutsche Mittelstand Real Estate</v>
          </cell>
          <cell r="D8308">
            <v>0.9</v>
          </cell>
        </row>
        <row r="8309">
          <cell r="C8309" t="str">
            <v>Qrf</v>
          </cell>
          <cell r="D8309">
            <v>6.36</v>
          </cell>
        </row>
        <row r="8310">
          <cell r="C8310" t="str">
            <v>Sudatel Telecommunications Group</v>
          </cell>
          <cell r="D8310">
            <v>143.43</v>
          </cell>
        </row>
        <row r="8311">
          <cell r="C8311" t="str">
            <v>Rockwell Medical</v>
          </cell>
          <cell r="D8311">
            <v>7.7926399999999996</v>
          </cell>
        </row>
        <row r="8312">
          <cell r="C8312" t="str">
            <v>Sport Lisboa e Benfica</v>
          </cell>
          <cell r="D8312">
            <v>0.722078</v>
          </cell>
        </row>
        <row r="8313">
          <cell r="C8313" t="str">
            <v>Instil Bio</v>
          </cell>
          <cell r="D8313">
            <v>5.1729900000000004</v>
          </cell>
        </row>
        <row r="8314">
          <cell r="C8314" t="str">
            <v>DBV Technologies</v>
          </cell>
          <cell r="D8314">
            <v>14.745200000000001</v>
          </cell>
        </row>
        <row r="8315">
          <cell r="C8315" t="str">
            <v>Amtech Systems</v>
          </cell>
          <cell r="D8315">
            <v>3.16</v>
          </cell>
        </row>
        <row r="8316">
          <cell r="C8316" t="str">
            <v>AMCON Distributing Company</v>
          </cell>
          <cell r="D8316">
            <v>0.77929999999999999</v>
          </cell>
        </row>
        <row r="8317">
          <cell r="C8317" t="str">
            <v>Gigas Hosting</v>
          </cell>
          <cell r="D8317">
            <v>8.7321799999999996</v>
          </cell>
        </row>
        <row r="8318">
          <cell r="C8318" t="str">
            <v>Al Jazeera Steel Products</v>
          </cell>
          <cell r="D8318">
            <v>2.78</v>
          </cell>
        </row>
        <row r="8319">
          <cell r="C8319" t="str">
            <v>VITA 34</v>
          </cell>
          <cell r="D8319">
            <v>975</v>
          </cell>
        </row>
        <row r="8320">
          <cell r="C8320" t="str">
            <v>Groupe LDLC</v>
          </cell>
          <cell r="D8320">
            <v>4.82979</v>
          </cell>
        </row>
        <row r="8321">
          <cell r="C8321" t="str">
            <v>Comtech Telecommunications</v>
          </cell>
          <cell r="D8321">
            <v>7.16</v>
          </cell>
        </row>
        <row r="8322">
          <cell r="C8322" t="str">
            <v>AlloVir</v>
          </cell>
          <cell r="D8322">
            <v>14.16</v>
          </cell>
        </row>
        <row r="8323">
          <cell r="C8323" t="str">
            <v>Mr.Bricolage</v>
          </cell>
          <cell r="D8323">
            <v>0.52190000000000003</v>
          </cell>
        </row>
        <row r="8324">
          <cell r="C8324" t="str">
            <v>Research Solutions</v>
          </cell>
          <cell r="D8324">
            <v>0.85780000000000001</v>
          </cell>
        </row>
        <row r="8325">
          <cell r="C8325" t="str">
            <v>Satellogic</v>
          </cell>
          <cell r="D8325">
            <v>1.74</v>
          </cell>
        </row>
        <row r="8326">
          <cell r="C8326" t="str">
            <v>Ateam</v>
          </cell>
          <cell r="D8326">
            <v>7.49</v>
          </cell>
        </row>
        <row r="8327">
          <cell r="C8327" t="str">
            <v>inTEST Corporation</v>
          </cell>
          <cell r="D8327">
            <v>2.9475199999999999</v>
          </cell>
        </row>
        <row r="8328">
          <cell r="C8328" t="str">
            <v>Bakkt Holdings</v>
          </cell>
          <cell r="D8328">
            <v>0.8528</v>
          </cell>
        </row>
        <row r="8329">
          <cell r="C8329" t="str">
            <v>Tevogen Bio</v>
          </cell>
          <cell r="D8329">
            <v>2.4500000000000002</v>
          </cell>
        </row>
        <row r="8330">
          <cell r="C8330" t="str">
            <v>SKYX Platforms</v>
          </cell>
          <cell r="D8330">
            <v>5.05</v>
          </cell>
        </row>
        <row r="8331">
          <cell r="C8331" t="str">
            <v>QuantaSing Group</v>
          </cell>
          <cell r="D8331">
            <v>8.08</v>
          </cell>
        </row>
        <row r="8332">
          <cell r="C8332" t="str">
            <v>ESS Tech</v>
          </cell>
          <cell r="D8332">
            <v>1.77</v>
          </cell>
        </row>
        <row r="8333">
          <cell r="C8333" t="str">
            <v>MacroWell OMG Digital Entertainment</v>
          </cell>
          <cell r="D8333">
            <v>2.58649</v>
          </cell>
        </row>
        <row r="8334">
          <cell r="C8334" t="str">
            <v>So-Young International</v>
          </cell>
          <cell r="D8334">
            <v>1.2472799999999999</v>
          </cell>
        </row>
        <row r="8335">
          <cell r="C8335" t="str">
            <v>Armata Pharmaceuticals</v>
          </cell>
          <cell r="D8335">
            <v>1.1299999999999999</v>
          </cell>
        </row>
        <row r="8336">
          <cell r="C8336" t="str">
            <v>FAT Brands</v>
          </cell>
          <cell r="D8336">
            <v>4.4400000000000004</v>
          </cell>
        </row>
        <row r="8337">
          <cell r="C8337" t="str">
            <v>BG Staffing</v>
          </cell>
          <cell r="D8337">
            <v>16.801100000000002</v>
          </cell>
        </row>
        <row r="8338">
          <cell r="C8338" t="str">
            <v>BioAtla</v>
          </cell>
          <cell r="D8338">
            <v>2.75</v>
          </cell>
        </row>
        <row r="8339">
          <cell r="C8339" t="str">
            <v>Mister Spex</v>
          </cell>
          <cell r="D8339">
            <v>1.86</v>
          </cell>
        </row>
        <row r="8340">
          <cell r="C8340" t="str">
            <v>Synthaverse</v>
          </cell>
          <cell r="D8340">
            <v>0.31</v>
          </cell>
        </row>
        <row r="8341">
          <cell r="C8341" t="str">
            <v>I-Mab Biopharma</v>
          </cell>
          <cell r="D8341">
            <v>1.97</v>
          </cell>
        </row>
        <row r="8342">
          <cell r="C8342" t="str">
            <v>KVH Industries</v>
          </cell>
          <cell r="D8342">
            <v>7.68</v>
          </cell>
        </row>
        <row r="8343">
          <cell r="C8343" t="str">
            <v>BBI Bürgerliches Brauhaus Immobilien</v>
          </cell>
          <cell r="D8343">
            <v>0.54</v>
          </cell>
        </row>
        <row r="8344">
          <cell r="C8344" t="str">
            <v>Monogram Orthopaedics</v>
          </cell>
          <cell r="D8344">
            <v>4.1399999999999997</v>
          </cell>
        </row>
        <row r="8345">
          <cell r="C8345" t="str">
            <v>Profire Energy</v>
          </cell>
          <cell r="D8345">
            <v>6.09</v>
          </cell>
        </row>
        <row r="8346">
          <cell r="C8346" t="str">
            <v>Foodco National Foodstuff</v>
          </cell>
          <cell r="D8346">
            <v>1.64</v>
          </cell>
        </row>
        <row r="8347">
          <cell r="C8347" t="str">
            <v>Marchex</v>
          </cell>
          <cell r="D8347">
            <v>4.18</v>
          </cell>
        </row>
        <row r="8348">
          <cell r="C8348" t="str">
            <v>Airgain</v>
          </cell>
          <cell r="D8348">
            <v>11.0534</v>
          </cell>
        </row>
        <row r="8349">
          <cell r="C8349" t="str">
            <v>Trilogy Metals</v>
          </cell>
          <cell r="D8349">
            <v>1.73</v>
          </cell>
        </row>
        <row r="8350">
          <cell r="C8350" t="str">
            <v>OS Therapies</v>
          </cell>
          <cell r="D8350">
            <v>1.1299999999999999</v>
          </cell>
        </row>
        <row r="8351">
          <cell r="C8351" t="str">
            <v>Doma</v>
          </cell>
          <cell r="D8351">
            <v>1.1000000000000001</v>
          </cell>
        </row>
        <row r="8352">
          <cell r="C8352" t="str">
            <v>iHuman</v>
          </cell>
          <cell r="D8352">
            <v>0.83557000000000003</v>
          </cell>
        </row>
        <row r="8353">
          <cell r="C8353" t="str">
            <v>Manitex International</v>
          </cell>
          <cell r="D8353">
            <v>0.95740000000000003</v>
          </cell>
        </row>
        <row r="8354">
          <cell r="C8354" t="str">
            <v>KAP AG</v>
          </cell>
          <cell r="D8354">
            <v>2.8</v>
          </cell>
        </row>
        <row r="8355">
          <cell r="C8355" t="str">
            <v>Zenvia</v>
          </cell>
          <cell r="D8355">
            <v>442</v>
          </cell>
        </row>
        <row r="8356">
          <cell r="C8356" t="str">
            <v>Ovid Therapeutics</v>
          </cell>
          <cell r="D8356">
            <v>1.18</v>
          </cell>
        </row>
        <row r="8357">
          <cell r="C8357" t="str">
            <v>Milestone Scientific</v>
          </cell>
          <cell r="D8357">
            <v>1.9454</v>
          </cell>
        </row>
        <row r="8358">
          <cell r="C8358" t="str">
            <v>Balaji Telefilms</v>
          </cell>
          <cell r="D8358">
            <v>120329</v>
          </cell>
        </row>
        <row r="8359">
          <cell r="C8359" t="str">
            <v>Integra Resources</v>
          </cell>
          <cell r="D8359">
            <v>1.54</v>
          </cell>
        </row>
        <row r="8360">
          <cell r="C8360" t="str">
            <v>Relmada Therapeutics</v>
          </cell>
          <cell r="D8360">
            <v>1.29</v>
          </cell>
        </row>
        <row r="8361">
          <cell r="C8361" t="str">
            <v>LakeShore Biopharma</v>
          </cell>
          <cell r="D8361">
            <v>0.93210000000000004</v>
          </cell>
        </row>
        <row r="8362">
          <cell r="C8362" t="str">
            <v>Aclaris Therapeutics</v>
          </cell>
          <cell r="D8362">
            <v>0.22236800000000001</v>
          </cell>
        </row>
        <row r="8363">
          <cell r="C8363" t="str">
            <v>Varta</v>
          </cell>
          <cell r="D8363">
            <v>1.1281300000000001</v>
          </cell>
        </row>
        <row r="8364">
          <cell r="C8364" t="str">
            <v>Creepy Jar</v>
          </cell>
          <cell r="D8364">
            <v>2.78301E-2</v>
          </cell>
        </row>
        <row r="8365">
          <cell r="C8365" t="str">
            <v>CuriosityStream</v>
          </cell>
          <cell r="D8365">
            <v>6.8</v>
          </cell>
        </row>
        <row r="8366">
          <cell r="C8366" t="str">
            <v>Sellas Life Sciences</v>
          </cell>
          <cell r="D8366">
            <v>2.38</v>
          </cell>
        </row>
        <row r="8367">
          <cell r="C8367" t="str">
            <v>Chimerix</v>
          </cell>
          <cell r="D8367">
            <v>1.71</v>
          </cell>
        </row>
        <row r="8368">
          <cell r="C8368" t="str">
            <v>Sýn hf.</v>
          </cell>
          <cell r="D8368">
            <v>1.57</v>
          </cell>
        </row>
        <row r="8369">
          <cell r="C8369" t="str">
            <v>Hindustan Media Ventures</v>
          </cell>
          <cell r="D8369">
            <v>1.25</v>
          </cell>
        </row>
        <row r="8370">
          <cell r="C8370" t="str">
            <v>BAIOO Family Interactive</v>
          </cell>
          <cell r="D8370">
            <v>16.4695</v>
          </cell>
        </row>
        <row r="8371">
          <cell r="C8371" t="str">
            <v>Sonder Holdings</v>
          </cell>
          <cell r="D8371">
            <v>2.04</v>
          </cell>
        </row>
        <row r="8372">
          <cell r="C8372" t="str">
            <v>Luna Innovations</v>
          </cell>
          <cell r="D8372">
            <v>1.95668</v>
          </cell>
        </row>
        <row r="8373">
          <cell r="C8373" t="str">
            <v>Ikena Oncology</v>
          </cell>
          <cell r="D8373">
            <v>3.97</v>
          </cell>
        </row>
        <row r="8374">
          <cell r="C8374" t="str">
            <v>PMV Pharmaceuticals</v>
          </cell>
          <cell r="D8374">
            <v>10.220000000000001</v>
          </cell>
        </row>
        <row r="8375">
          <cell r="C8375" t="str">
            <v>Argo Blockchain</v>
          </cell>
          <cell r="D8375">
            <v>1.14286</v>
          </cell>
        </row>
        <row r="8376">
          <cell r="C8376" t="str">
            <v>029 Group</v>
          </cell>
          <cell r="D8376">
            <v>7.31</v>
          </cell>
        </row>
        <row r="8377">
          <cell r="C8377" t="str">
            <v>BeyondSpring</v>
          </cell>
          <cell r="D8377">
            <v>1.7307900000000001</v>
          </cell>
        </row>
        <row r="8378">
          <cell r="C8378" t="str">
            <v>Gamesparcs</v>
          </cell>
          <cell r="D8378">
            <v>0.17932100000000001</v>
          </cell>
        </row>
        <row r="8379">
          <cell r="C8379" t="str">
            <v>Odyssey Marine Exploration</v>
          </cell>
          <cell r="D8379">
            <v>6.1976000000000004</v>
          </cell>
        </row>
        <row r="8380">
          <cell r="C8380" t="str">
            <v>Perma-Pipe International</v>
          </cell>
          <cell r="D8380">
            <v>0.67657199999999995</v>
          </cell>
        </row>
        <row r="8381">
          <cell r="C8381" t="str">
            <v>Oman Chlorine</v>
          </cell>
          <cell r="D8381">
            <v>1.47</v>
          </cell>
        </row>
        <row r="8382">
          <cell r="C8382" t="str">
            <v>Ebixcash India</v>
          </cell>
          <cell r="D8382">
            <v>3.62</v>
          </cell>
        </row>
        <row r="8383">
          <cell r="C8383" t="str">
            <v>Aiming Inc</v>
          </cell>
          <cell r="D8383">
            <v>12.4</v>
          </cell>
        </row>
        <row r="8384">
          <cell r="C8384" t="str">
            <v>Airtasker</v>
          </cell>
          <cell r="D8384">
            <v>12.1587</v>
          </cell>
        </row>
        <row r="8385">
          <cell r="C8385" t="str">
            <v>OT Logistics</v>
          </cell>
          <cell r="D8385">
            <v>1.37</v>
          </cell>
        </row>
        <row r="8386">
          <cell r="C8386" t="str">
            <v>Banader Hotels Company</v>
          </cell>
          <cell r="D8386">
            <v>7.7714499999999997</v>
          </cell>
        </row>
        <row r="8387">
          <cell r="C8387" t="str">
            <v>Omega Therapeutics</v>
          </cell>
          <cell r="D8387">
            <v>45761</v>
          </cell>
        </row>
        <row r="8388">
          <cell r="C8388" t="str">
            <v>Boundless Bio</v>
          </cell>
          <cell r="D8388">
            <v>8.11</v>
          </cell>
        </row>
        <row r="8389">
          <cell r="C8389" t="str">
            <v>Magyar Bancorp</v>
          </cell>
          <cell r="D8389">
            <v>23.33</v>
          </cell>
        </row>
        <row r="8390">
          <cell r="C8390" t="str">
            <v>WASGAU Produktions &amp;amp; Handels AG</v>
          </cell>
          <cell r="D8390">
            <v>2.1</v>
          </cell>
        </row>
        <row r="8391">
          <cell r="C8391" t="str">
            <v>Solo Brands</v>
          </cell>
          <cell r="D8391">
            <v>2915</v>
          </cell>
        </row>
        <row r="8392">
          <cell r="C8392" t="str">
            <v>Nihon Falcom</v>
          </cell>
          <cell r="D8392">
            <v>10995</v>
          </cell>
        </row>
        <row r="8393">
          <cell r="C8393" t="str">
            <v>Athos Immobilien</v>
          </cell>
          <cell r="D8393">
            <v>3.35</v>
          </cell>
        </row>
        <row r="8394">
          <cell r="C8394" t="str">
            <v>Koss</v>
          </cell>
          <cell r="D8394">
            <v>13</v>
          </cell>
        </row>
        <row r="8395">
          <cell r="C8395" t="str">
            <v>Pro-Dex</v>
          </cell>
          <cell r="D8395">
            <v>2.1</v>
          </cell>
        </row>
        <row r="8396">
          <cell r="C8396" t="str">
            <v>TOP Financial Group Limited</v>
          </cell>
          <cell r="D8396">
            <v>2.0339800000000001</v>
          </cell>
        </row>
        <row r="8397">
          <cell r="C8397" t="str">
            <v>MDxHealth</v>
          </cell>
          <cell r="D8397">
            <v>1.3</v>
          </cell>
        </row>
        <row r="8398">
          <cell r="C8398" t="str">
            <v>Via Renewables</v>
          </cell>
          <cell r="D8398">
            <v>123</v>
          </cell>
        </row>
        <row r="8399">
          <cell r="C8399" t="str">
            <v>Identiv</v>
          </cell>
          <cell r="D8399">
            <v>10.88</v>
          </cell>
        </row>
        <row r="8400">
          <cell r="C8400" t="str">
            <v>Silicom</v>
          </cell>
          <cell r="D8400">
            <v>1.73</v>
          </cell>
        </row>
        <row r="8401">
          <cell r="C8401" t="str">
            <v>Sportsman's Warehouse</v>
          </cell>
          <cell r="D8401">
            <v>3.35</v>
          </cell>
        </row>
        <row r="8402">
          <cell r="C8402" t="str">
            <v>Unikai Foods</v>
          </cell>
          <cell r="D8402">
            <v>0.85519999999999996</v>
          </cell>
        </row>
        <row r="8403">
          <cell r="C8403" t="str">
            <v>DigiAsia Corp</v>
          </cell>
          <cell r="D8403">
            <v>0.40020800000000001</v>
          </cell>
        </row>
        <row r="8404">
          <cell r="C8404" t="str">
            <v>Ithmaar Holding</v>
          </cell>
          <cell r="D8404">
            <v>1.7</v>
          </cell>
        </row>
        <row r="8405">
          <cell r="C8405" t="str">
            <v>Precision BioSciences</v>
          </cell>
          <cell r="D8405">
            <v>6735</v>
          </cell>
        </row>
        <row r="8406">
          <cell r="C8406" t="str">
            <v>GAN</v>
          </cell>
          <cell r="D8406">
            <v>9.73</v>
          </cell>
        </row>
        <row r="8407">
          <cell r="C8407" t="str">
            <v>Vacasa</v>
          </cell>
          <cell r="D8407">
            <v>1627</v>
          </cell>
        </row>
        <row r="8408">
          <cell r="C8408" t="str">
            <v>PEDEVCO</v>
          </cell>
          <cell r="D8408">
            <v>3.86</v>
          </cell>
        </row>
        <row r="8409">
          <cell r="C8409" t="str">
            <v>Forsys Metals</v>
          </cell>
          <cell r="D8409">
            <v>2.3548300000000002</v>
          </cell>
        </row>
        <row r="8410">
          <cell r="C8410" t="str">
            <v>Wrap Technologies</v>
          </cell>
          <cell r="D8410">
            <v>0.78669999999999995</v>
          </cell>
        </row>
        <row r="8411">
          <cell r="C8411" t="str">
            <v>Natural Health Trends</v>
          </cell>
          <cell r="D8411">
            <v>24.096399999999999</v>
          </cell>
        </row>
        <row r="8412">
          <cell r="C8412" t="str">
            <v>Territorial Bancorp</v>
          </cell>
          <cell r="D8412">
            <v>0.94805200000000001</v>
          </cell>
        </row>
        <row r="8413">
          <cell r="C8413" t="str">
            <v>Loop Industries</v>
          </cell>
          <cell r="D8413">
            <v>1.6</v>
          </cell>
        </row>
        <row r="8414">
          <cell r="C8414" t="str">
            <v>Stabilis Solutions</v>
          </cell>
          <cell r="D8414">
            <v>1.4</v>
          </cell>
        </row>
        <row r="8415">
          <cell r="C8415" t="str">
            <v>Unibep</v>
          </cell>
          <cell r="D8415">
            <v>6.4693100000000001</v>
          </cell>
        </row>
        <row r="8416">
          <cell r="C8416" t="str">
            <v>WiMi Hologram Cloud</v>
          </cell>
          <cell r="D8416">
            <v>0.64</v>
          </cell>
        </row>
        <row r="8417">
          <cell r="C8417" t="str">
            <v>Nordwest Handel</v>
          </cell>
          <cell r="D8417">
            <v>0.40234300000000001</v>
          </cell>
        </row>
        <row r="8418">
          <cell r="C8418" t="str">
            <v>Voltamp Energy</v>
          </cell>
          <cell r="D8418">
            <v>3.4818199999999999</v>
          </cell>
        </row>
        <row r="8419">
          <cell r="C8419" t="str">
            <v>Freightos</v>
          </cell>
          <cell r="D8419">
            <v>2.4500000000000002</v>
          </cell>
        </row>
        <row r="8420">
          <cell r="C8420" t="str">
            <v>Marinus Pharmaceuticals</v>
          </cell>
          <cell r="D8420">
            <v>2.13</v>
          </cell>
        </row>
        <row r="8421">
          <cell r="C8421" t="str">
            <v>Artifex Mundi</v>
          </cell>
          <cell r="D8421">
            <v>57.18</v>
          </cell>
        </row>
        <row r="8422">
          <cell r="C8422" t="str">
            <v>Hily Holding</v>
          </cell>
          <cell r="D8422">
            <v>0.61605100000000002</v>
          </cell>
        </row>
        <row r="8423">
          <cell r="C8423" t="str">
            <v>CI Games</v>
          </cell>
          <cell r="D8423">
            <v>2.76694E-2</v>
          </cell>
        </row>
        <row r="8424">
          <cell r="C8424" t="str">
            <v>Polytec Holding</v>
          </cell>
          <cell r="D8424">
            <v>1.42</v>
          </cell>
        </row>
        <row r="8425">
          <cell r="C8425" t="str">
            <v>Forian</v>
          </cell>
          <cell r="D8425">
            <v>0.20380899999999999</v>
          </cell>
        </row>
        <row r="8426">
          <cell r="C8426" t="str">
            <v>Urban One</v>
          </cell>
          <cell r="D8426">
            <v>20.448799999999999</v>
          </cell>
        </row>
        <row r="8427">
          <cell r="C8427" t="str">
            <v>Al Fujairah National Insurance Company</v>
          </cell>
          <cell r="D8427">
            <v>1.01</v>
          </cell>
        </row>
        <row r="8428">
          <cell r="C8428" t="str">
            <v>Vista Gold</v>
          </cell>
          <cell r="D8428">
            <v>2.46</v>
          </cell>
        </row>
        <row r="8429">
          <cell r="C8429" t="str">
            <v>Reliance Communications</v>
          </cell>
          <cell r="D8429">
            <v>11.93</v>
          </cell>
        </row>
        <row r="8430">
          <cell r="C8430" t="str">
            <v>Milestone Pharmaceuticals</v>
          </cell>
          <cell r="D8430">
            <v>5.34</v>
          </cell>
        </row>
        <row r="8431">
          <cell r="C8431" t="str">
            <v>Mega Uranium</v>
          </cell>
          <cell r="D8431">
            <v>9.1352000000000003E-2</v>
          </cell>
        </row>
        <row r="8432">
          <cell r="C8432" t="str">
            <v>LUDWIG BECK am Rathauseck - Textilhaus Feldmeier</v>
          </cell>
          <cell r="D8432">
            <v>6.72</v>
          </cell>
        </row>
        <row r="8433">
          <cell r="C8433" t="str">
            <v>Clearside Biomedical</v>
          </cell>
          <cell r="D8433">
            <v>2.17</v>
          </cell>
        </row>
        <row r="8434">
          <cell r="C8434" t="str">
            <v>Century Casinos</v>
          </cell>
          <cell r="D8434">
            <v>3.3834099999999999E-3</v>
          </cell>
        </row>
        <row r="8435">
          <cell r="C8435" t="str">
            <v>Steel Connect</v>
          </cell>
          <cell r="D8435">
            <v>2.69</v>
          </cell>
        </row>
        <row r="8436">
          <cell r="C8436" t="str">
            <v>Lazydays Holdings</v>
          </cell>
          <cell r="D8436">
            <v>1.68564</v>
          </cell>
        </row>
        <row r="8437">
          <cell r="C8437" t="str">
            <v>Bigtincan</v>
          </cell>
          <cell r="D8437">
            <v>1.23</v>
          </cell>
        </row>
        <row r="8438">
          <cell r="C8438" t="str">
            <v>VirTra</v>
          </cell>
          <cell r="D8438">
            <v>1.37</v>
          </cell>
        </row>
        <row r="8439">
          <cell r="C8439" t="str">
            <v>Genelux</v>
          </cell>
          <cell r="D8439">
            <v>12.7</v>
          </cell>
        </row>
        <row r="8440">
          <cell r="C8440" t="str">
            <v>Energy Resources of Australia</v>
          </cell>
          <cell r="D8440">
            <v>9625</v>
          </cell>
        </row>
        <row r="8441">
          <cell r="C8441" t="str">
            <v>Atomera</v>
          </cell>
          <cell r="D8441">
            <v>3.11</v>
          </cell>
        </row>
        <row r="8442">
          <cell r="C8442" t="str">
            <v>Bike24 Holding</v>
          </cell>
          <cell r="D8442">
            <v>12.73</v>
          </cell>
        </row>
        <row r="8443">
          <cell r="C8443" t="str">
            <v>Tigo Energy</v>
          </cell>
          <cell r="D8443">
            <v>959</v>
          </cell>
        </row>
        <row r="8444">
          <cell r="C8444" t="str">
            <v>Spero Therapeutics</v>
          </cell>
          <cell r="D8444">
            <v>245</v>
          </cell>
        </row>
        <row r="8445">
          <cell r="C8445" t="str">
            <v>Oconee Federal Financial</v>
          </cell>
          <cell r="D8445">
            <v>3.87</v>
          </cell>
        </row>
        <row r="8446">
          <cell r="C8446" t="str">
            <v>Hennessy Advisors</v>
          </cell>
          <cell r="D8446">
            <v>1.5</v>
          </cell>
        </row>
        <row r="8447">
          <cell r="C8447" t="str">
            <v>Airship AI</v>
          </cell>
          <cell r="D8447">
            <v>9.3856900000000003</v>
          </cell>
        </row>
        <row r="8448">
          <cell r="C8448" t="str">
            <v>Lake Shore Bancorp</v>
          </cell>
          <cell r="D8448">
            <v>0.6</v>
          </cell>
        </row>
        <row r="8449">
          <cell r="C8449" t="str">
            <v>Oncolytics Biotech</v>
          </cell>
          <cell r="D8449">
            <v>1.61</v>
          </cell>
        </row>
        <row r="8450">
          <cell r="C8450" t="str">
            <v>BioLargo</v>
          </cell>
          <cell r="D8450">
            <v>1.4701</v>
          </cell>
        </row>
        <row r="8451">
          <cell r="C8451" t="str">
            <v>Genenta Science</v>
          </cell>
          <cell r="D8451">
            <v>0.220779</v>
          </cell>
        </row>
        <row r="8452">
          <cell r="C8452" t="str">
            <v>MediciNova</v>
          </cell>
          <cell r="D8452">
            <v>0.67279999999999995</v>
          </cell>
        </row>
        <row r="8453">
          <cell r="C8453" t="str">
            <v>G5 Entertainment</v>
          </cell>
          <cell r="D8453">
            <v>2.4317500000000001</v>
          </cell>
        </row>
        <row r="8454">
          <cell r="C8454" t="str">
            <v>Avant Technologies Inc.</v>
          </cell>
          <cell r="D8454">
            <v>2.3764799999999999</v>
          </cell>
        </row>
        <row r="8455">
          <cell r="C8455" t="str">
            <v>Glatfelter</v>
          </cell>
          <cell r="D8455">
            <v>3.04</v>
          </cell>
        </row>
        <row r="8456">
          <cell r="C8456" t="str">
            <v>KHD Humboldt Wedag International</v>
          </cell>
          <cell r="D8456">
            <v>0.26753199999999999</v>
          </cell>
        </row>
        <row r="8457">
          <cell r="C8457" t="str">
            <v>Oman Reinsurance</v>
          </cell>
          <cell r="D8457">
            <v>48.5</v>
          </cell>
        </row>
        <row r="8458">
          <cell r="C8458" t="str">
            <v>United States Antimony Corporation</v>
          </cell>
          <cell r="D8458">
            <v>5.7</v>
          </cell>
        </row>
        <row r="8459">
          <cell r="C8459" t="str">
            <v>Scherzer &amp;amp; Co. AG</v>
          </cell>
          <cell r="D8459">
            <v>2.9</v>
          </cell>
        </row>
        <row r="8460">
          <cell r="C8460" t="str">
            <v>Parrot S.A.</v>
          </cell>
          <cell r="D8460">
            <v>1.31</v>
          </cell>
        </row>
        <row r="8461">
          <cell r="C8461" t="str">
            <v>MAIA Biotechnology</v>
          </cell>
          <cell r="D8461">
            <v>0.52285700000000002</v>
          </cell>
        </row>
        <row r="8462">
          <cell r="C8462" t="str">
            <v>Taageer Finance</v>
          </cell>
          <cell r="D8462">
            <v>20.7804</v>
          </cell>
        </row>
        <row r="8463">
          <cell r="C8463" t="str">
            <v>Village Bank and Trust Financial</v>
          </cell>
          <cell r="D8463">
            <v>1.58</v>
          </cell>
        </row>
        <row r="8464">
          <cell r="C8464" t="str">
            <v>The Children's Place</v>
          </cell>
          <cell r="D8464">
            <v>2.5643899999999999</v>
          </cell>
        </row>
        <row r="8465">
          <cell r="C8465" t="str">
            <v>TELA Bio</v>
          </cell>
          <cell r="D8465">
            <v>1.6027400000000001</v>
          </cell>
        </row>
        <row r="8466">
          <cell r="C8466" t="str">
            <v>Vivani Medical</v>
          </cell>
          <cell r="D8466">
            <v>2055</v>
          </cell>
        </row>
        <row r="8467">
          <cell r="C8467" t="str">
            <v>Mirza International</v>
          </cell>
          <cell r="D8467">
            <v>1.9476100000000001</v>
          </cell>
        </row>
        <row r="8468">
          <cell r="C8468" t="str">
            <v>YOC AG</v>
          </cell>
          <cell r="D8468">
            <v>11.46</v>
          </cell>
        </row>
        <row r="8469">
          <cell r="C8469" t="str">
            <v>Noodles &amp;amp; Company</v>
          </cell>
          <cell r="D8469">
            <v>3.31602</v>
          </cell>
        </row>
        <row r="8470">
          <cell r="C8470" t="str">
            <v>McPhy Energy</v>
          </cell>
          <cell r="D8470">
            <v>7.98</v>
          </cell>
        </row>
        <row r="8471">
          <cell r="C8471" t="str">
            <v>Neon Equity AG</v>
          </cell>
          <cell r="D8471">
            <v>28.894300000000001</v>
          </cell>
        </row>
        <row r="8472">
          <cell r="C8472" t="str">
            <v>RAPT Therapeutics</v>
          </cell>
          <cell r="D8472">
            <v>310209</v>
          </cell>
        </row>
        <row r="8473">
          <cell r="C8473" t="str">
            <v>3U Holding</v>
          </cell>
          <cell r="D8473">
            <v>0.41861999999999999</v>
          </cell>
        </row>
        <row r="8474">
          <cell r="C8474" t="str">
            <v>Silver Spike Investment</v>
          </cell>
          <cell r="D8474">
            <v>1.77</v>
          </cell>
        </row>
        <row r="8475">
          <cell r="C8475" t="str">
            <v>Smart Good Things Holding</v>
          </cell>
          <cell r="D8475">
            <v>2.75</v>
          </cell>
        </row>
        <row r="8476">
          <cell r="C8476" t="str">
            <v>Serina Therapeutics</v>
          </cell>
          <cell r="D8476">
            <v>1.86</v>
          </cell>
        </row>
        <row r="8477">
          <cell r="C8477" t="str">
            <v>N.B.I. Industrial Finance</v>
          </cell>
          <cell r="D8477">
            <v>185</v>
          </cell>
        </row>
        <row r="8478">
          <cell r="C8478" t="str">
            <v>National International Holding Company (Kuwait)</v>
          </cell>
          <cell r="D8478">
            <v>4.82</v>
          </cell>
        </row>
        <row r="8479">
          <cell r="C8479" t="str">
            <v>3i Infotech</v>
          </cell>
          <cell r="D8479">
            <v>6.8983799999999998E-2</v>
          </cell>
        </row>
        <row r="8480">
          <cell r="C8480" t="str">
            <v>Siebert Financial</v>
          </cell>
          <cell r="D8480">
            <v>5.26</v>
          </cell>
        </row>
        <row r="8481">
          <cell r="C8481" t="str">
            <v>InspireMD</v>
          </cell>
          <cell r="D8481">
            <v>8.8607099999999994E-2</v>
          </cell>
        </row>
        <row r="8482">
          <cell r="C8482" t="str">
            <v>NioCorp Developments</v>
          </cell>
          <cell r="D8482">
            <v>1.01</v>
          </cell>
        </row>
        <row r="8483">
          <cell r="C8483" t="str">
            <v>MariMed</v>
          </cell>
          <cell r="D8483">
            <v>56.151200000000003</v>
          </cell>
        </row>
        <row r="8484">
          <cell r="C8484" t="str">
            <v>Stronghold Digital Mining</v>
          </cell>
          <cell r="D8484">
            <v>0.44</v>
          </cell>
        </row>
        <row r="8485">
          <cell r="C8485" t="str">
            <v>National Hotels Company (Bahrain)</v>
          </cell>
          <cell r="D8485">
            <v>0.34285700000000002</v>
          </cell>
        </row>
        <row r="8486">
          <cell r="C8486" t="str">
            <v>enVVeno Medical Corporation</v>
          </cell>
          <cell r="D8486">
            <v>0.43116900000000002</v>
          </cell>
        </row>
        <row r="8487">
          <cell r="C8487" t="str">
            <v>Aura Energy</v>
          </cell>
          <cell r="D8487">
            <v>0.94420000000000004</v>
          </cell>
        </row>
        <row r="8488">
          <cell r="C8488" t="str">
            <v>Hyperfine</v>
          </cell>
          <cell r="D8488">
            <v>7.2036499999999997</v>
          </cell>
        </row>
        <row r="8489">
          <cell r="C8489" t="str">
            <v>Miko Group</v>
          </cell>
          <cell r="D8489">
            <v>1.75</v>
          </cell>
        </row>
        <row r="8490">
          <cell r="C8490" t="str">
            <v>United Fidelity Insurance Company</v>
          </cell>
          <cell r="D8490">
            <v>2.1771400000000001</v>
          </cell>
        </row>
        <row r="8491">
          <cell r="C8491" t="str">
            <v>Galfar Engineering and Contracting</v>
          </cell>
          <cell r="D8491">
            <v>29.844100000000001</v>
          </cell>
        </row>
        <row r="8492">
          <cell r="C8492" t="str">
            <v>OQIC Oman Qatar Insurance Company</v>
          </cell>
          <cell r="D8492">
            <v>0.42969299999999999</v>
          </cell>
        </row>
        <row r="8493">
          <cell r="C8493" t="str">
            <v>Protalix BioTherapeutics</v>
          </cell>
          <cell r="D8493">
            <v>21112</v>
          </cell>
        </row>
        <row r="8494">
          <cell r="C8494" t="str">
            <v>Imagineer</v>
          </cell>
          <cell r="D8494">
            <v>2.0099999999999998</v>
          </cell>
        </row>
        <row r="8495">
          <cell r="C8495" t="str">
            <v>the Marygold Companies</v>
          </cell>
          <cell r="D8495">
            <v>4.6900000000000004</v>
          </cell>
        </row>
        <row r="8496">
          <cell r="C8496" t="str">
            <v>Meyer Burger Technology</v>
          </cell>
          <cell r="D8496">
            <v>1.00793</v>
          </cell>
        </row>
        <row r="8497">
          <cell r="C8497" t="str">
            <v>Fernheizwerk Neukölln</v>
          </cell>
          <cell r="D8497">
            <v>1.34</v>
          </cell>
        </row>
        <row r="8498">
          <cell r="C8498" t="str">
            <v>Gold Hydrogen Limited</v>
          </cell>
          <cell r="D8498">
            <v>5.14</v>
          </cell>
        </row>
        <row r="8499">
          <cell r="C8499" t="str">
            <v>FORTEC Elektronik AG</v>
          </cell>
          <cell r="D8499">
            <v>22.92</v>
          </cell>
        </row>
        <row r="8500">
          <cell r="C8500" t="str">
            <v>Electrovaya</v>
          </cell>
          <cell r="D8500">
            <v>6.9083699999999997</v>
          </cell>
        </row>
        <row r="8501">
          <cell r="C8501" t="str">
            <v>Beam Global</v>
          </cell>
          <cell r="D8501">
            <v>3.08</v>
          </cell>
        </row>
        <row r="8502">
          <cell r="C8502" t="str">
            <v>GRIID Infrastructure</v>
          </cell>
          <cell r="D8502">
            <v>7.5163000000000002</v>
          </cell>
        </row>
        <row r="8503">
          <cell r="C8503" t="str">
            <v>Alliance Entertainment</v>
          </cell>
          <cell r="D8503">
            <v>0.45</v>
          </cell>
        </row>
        <row r="8504">
          <cell r="C8504" t="str">
            <v>Eagle Pharmaceuticals</v>
          </cell>
          <cell r="D8504">
            <v>4.2300000000000004</v>
          </cell>
        </row>
        <row r="8505">
          <cell r="C8505" t="str">
            <v>ICC Holdings</v>
          </cell>
          <cell r="D8505">
            <v>825</v>
          </cell>
        </row>
        <row r="8506">
          <cell r="C8506" t="str">
            <v>ALBA SE</v>
          </cell>
          <cell r="D8506">
            <v>0.64</v>
          </cell>
        </row>
        <row r="8507">
          <cell r="C8507" t="str">
            <v>Celularity</v>
          </cell>
          <cell r="D8507">
            <v>0.76849999999999996</v>
          </cell>
        </row>
        <row r="8508">
          <cell r="C8508" t="str">
            <v>Infas Holding AG</v>
          </cell>
          <cell r="D8508">
            <v>0.21653800000000001</v>
          </cell>
        </row>
        <row r="8509">
          <cell r="C8509" t="str">
            <v>Sharjah Insurance</v>
          </cell>
          <cell r="D8509">
            <v>1.08</v>
          </cell>
        </row>
        <row r="8510">
          <cell r="C8510" t="str">
            <v>Affimed</v>
          </cell>
          <cell r="D8510">
            <v>0.72</v>
          </cell>
        </row>
        <row r="8511">
          <cell r="C8511" t="str">
            <v>Solitario Zinc</v>
          </cell>
          <cell r="D8511">
            <v>1.0346</v>
          </cell>
        </row>
        <row r="8512">
          <cell r="C8512" t="str">
            <v>AL KHALEEJ Investment</v>
          </cell>
          <cell r="D8512">
            <v>0.19153899999999999</v>
          </cell>
        </row>
        <row r="8513">
          <cell r="C8513" t="str">
            <v>111, Inc.</v>
          </cell>
          <cell r="D8513">
            <v>9.41</v>
          </cell>
        </row>
        <row r="8514">
          <cell r="C8514" t="str">
            <v>Elevate Uranium</v>
          </cell>
          <cell r="D8514">
            <v>5.6671199999999997</v>
          </cell>
        </row>
        <row r="8515">
          <cell r="C8515" t="str">
            <v>Cel-Sci</v>
          </cell>
          <cell r="D8515">
            <v>3.19</v>
          </cell>
        </row>
        <row r="8516">
          <cell r="C8516" t="str">
            <v>VolitionRx</v>
          </cell>
          <cell r="D8516">
            <v>1.4297800000000001</v>
          </cell>
        </row>
        <row r="8517">
          <cell r="C8517" t="str">
            <v>Ebusco Holding</v>
          </cell>
          <cell r="D8517">
            <v>5.29</v>
          </cell>
        </row>
        <row r="8518">
          <cell r="C8518" t="str">
            <v>Radio City</v>
          </cell>
          <cell r="D8518">
            <v>4.1500000000000004</v>
          </cell>
        </row>
        <row r="8519">
          <cell r="C8519" t="str">
            <v>Cullman Bancorp</v>
          </cell>
          <cell r="D8519">
            <v>1.15357</v>
          </cell>
        </row>
        <row r="8520">
          <cell r="C8520" t="str">
            <v>Dadelo</v>
          </cell>
          <cell r="D8520">
            <v>0.2477</v>
          </cell>
        </row>
        <row r="8521">
          <cell r="C8521" t="str">
            <v>1-800-PetMeds</v>
          </cell>
          <cell r="D8521">
            <v>1.01</v>
          </cell>
        </row>
        <row r="8522">
          <cell r="C8522" t="str">
            <v>KLab</v>
          </cell>
          <cell r="D8522">
            <v>13.706200000000001</v>
          </cell>
        </row>
        <row r="8523">
          <cell r="C8523" t="str">
            <v>U.S. GoldMining</v>
          </cell>
          <cell r="D8523">
            <v>3.41</v>
          </cell>
        </row>
        <row r="8524">
          <cell r="C8524" t="str">
            <v>Sono-Tek Corporation</v>
          </cell>
          <cell r="D8524">
            <v>15.52</v>
          </cell>
        </row>
        <row r="8525">
          <cell r="C8525" t="str">
            <v>INMA Holding Company</v>
          </cell>
          <cell r="D8525">
            <v>0.32467499999999999</v>
          </cell>
        </row>
        <row r="8526">
          <cell r="C8526" t="str">
            <v>Americas Gold and Silver Corp</v>
          </cell>
          <cell r="D8526">
            <v>0.64935100000000001</v>
          </cell>
        </row>
        <row r="8527">
          <cell r="C8527" t="str">
            <v>Zevia</v>
          </cell>
          <cell r="D8527">
            <v>1105</v>
          </cell>
        </row>
        <row r="8528">
          <cell r="C8528" t="str">
            <v>LEWAG Holding</v>
          </cell>
          <cell r="D8528">
            <v>0.20329700000000001</v>
          </cell>
        </row>
        <row r="8529">
          <cell r="C8529" t="str">
            <v>Toro Corp.</v>
          </cell>
          <cell r="D8529">
            <v>1.8305800000000001</v>
          </cell>
        </row>
        <row r="8530">
          <cell r="C8530" t="str">
            <v>TC Bancshares</v>
          </cell>
          <cell r="D8530">
            <v>7.1</v>
          </cell>
        </row>
        <row r="8531">
          <cell r="C8531" t="str">
            <v>Raysut Cement</v>
          </cell>
          <cell r="D8531">
            <v>1.72</v>
          </cell>
        </row>
        <row r="8532">
          <cell r="C8532" t="str">
            <v>Oman United Insurance</v>
          </cell>
          <cell r="D8532">
            <v>6.6872999999999996</v>
          </cell>
        </row>
        <row r="8533">
          <cell r="C8533" t="str">
            <v>American Battery Technology Company</v>
          </cell>
          <cell r="D8533">
            <v>1.05</v>
          </cell>
        </row>
        <row r="8534">
          <cell r="C8534" t="str">
            <v>Qatar Oman Investment Company</v>
          </cell>
          <cell r="D8534">
            <v>0.70889999999999997</v>
          </cell>
        </row>
        <row r="8535">
          <cell r="C8535" t="str">
            <v>Tidewater Renewables</v>
          </cell>
          <cell r="D8535">
            <v>3.84</v>
          </cell>
        </row>
        <row r="8536">
          <cell r="C8536" t="str">
            <v>The9</v>
          </cell>
          <cell r="D8536">
            <v>22.73</v>
          </cell>
        </row>
        <row r="8537">
          <cell r="C8537" t="str">
            <v>Heritage Global</v>
          </cell>
          <cell r="D8537">
            <v>5.0199999999999996</v>
          </cell>
        </row>
        <row r="8538">
          <cell r="C8538" t="str">
            <v>ORBIS AG</v>
          </cell>
          <cell r="D8538">
            <v>1.6159400000000001E-2</v>
          </cell>
        </row>
        <row r="8539">
          <cell r="C8539" t="str">
            <v>Kronos Bio</v>
          </cell>
          <cell r="D8539">
            <v>0.1081</v>
          </cell>
        </row>
        <row r="8540">
          <cell r="C8540" t="str">
            <v>Allakos</v>
          </cell>
          <cell r="D8540">
            <v>2.35</v>
          </cell>
        </row>
        <row r="8541">
          <cell r="C8541" t="str">
            <v>SHL Telemedicine</v>
          </cell>
          <cell r="D8541">
            <v>782</v>
          </cell>
        </row>
        <row r="8542">
          <cell r="C8542" t="str">
            <v>Air T</v>
          </cell>
          <cell r="D8542">
            <v>0.31170599999999998</v>
          </cell>
        </row>
        <row r="8543">
          <cell r="C8543" t="str">
            <v>Culp</v>
          </cell>
          <cell r="D8543">
            <v>0.32719799999999999</v>
          </cell>
        </row>
        <row r="8544">
          <cell r="C8544" t="str">
            <v>Fire Rock</v>
          </cell>
          <cell r="D8544">
            <v>3.31602</v>
          </cell>
        </row>
        <row r="8545">
          <cell r="C8545" t="str">
            <v>Maxeon Solar Technologies</v>
          </cell>
          <cell r="D8545">
            <v>1</v>
          </cell>
        </row>
        <row r="8546">
          <cell r="C8546" t="str">
            <v>HeartBeam</v>
          </cell>
          <cell r="D8546">
            <v>1.99</v>
          </cell>
        </row>
        <row r="8547">
          <cell r="C8547" t="str">
            <v>Weight Watchers</v>
          </cell>
          <cell r="D8547">
            <v>872</v>
          </cell>
        </row>
        <row r="8548">
          <cell r="C8548" t="str">
            <v>Gateway Real Estate</v>
          </cell>
          <cell r="D8548">
            <v>1.67</v>
          </cell>
        </row>
        <row r="8549">
          <cell r="C8549" t="str">
            <v>Dlala Brokerage and Investment Holding Company</v>
          </cell>
          <cell r="D8549">
            <v>7.88</v>
          </cell>
        </row>
        <row r="8550">
          <cell r="C8550" t="str">
            <v>Bever Holding</v>
          </cell>
          <cell r="D8550">
            <v>13.67</v>
          </cell>
        </row>
        <row r="8551">
          <cell r="C8551" t="str">
            <v>Sequans Communications</v>
          </cell>
          <cell r="D8551">
            <v>2.82</v>
          </cell>
        </row>
        <row r="8552">
          <cell r="C8552" t="str">
            <v>Actinium Pharmaceuticals</v>
          </cell>
          <cell r="D8552">
            <v>0.64670000000000005</v>
          </cell>
        </row>
        <row r="8553">
          <cell r="C8553" t="str">
            <v>Ondas Holdings</v>
          </cell>
          <cell r="D8553">
            <v>2.21</v>
          </cell>
        </row>
        <row r="8554">
          <cell r="C8554" t="str">
            <v>Entera Bio</v>
          </cell>
          <cell r="D8554">
            <v>1.1299999999999999</v>
          </cell>
        </row>
        <row r="8555">
          <cell r="C8555" t="str">
            <v>Ideal Power</v>
          </cell>
          <cell r="D8555">
            <v>4.3499999999999996</v>
          </cell>
        </row>
        <row r="8556">
          <cell r="C8556" t="str">
            <v>Team Inc</v>
          </cell>
          <cell r="D8556">
            <v>0.39499699999999999</v>
          </cell>
        </row>
        <row r="8557">
          <cell r="C8557" t="str">
            <v>Farmer Brothers</v>
          </cell>
          <cell r="D8557">
            <v>1.27</v>
          </cell>
        </row>
        <row r="8558">
          <cell r="C8558" t="str">
            <v>Quantum Computing</v>
          </cell>
          <cell r="D8558">
            <v>0.87419999999999998</v>
          </cell>
        </row>
        <row r="8559">
          <cell r="C8559" t="str">
            <v>Upland Software</v>
          </cell>
          <cell r="D8559">
            <v>2.4759600000000002</v>
          </cell>
        </row>
        <row r="8560">
          <cell r="C8560" t="str">
            <v>Fossil Group</v>
          </cell>
          <cell r="D8560">
            <v>5.16</v>
          </cell>
        </row>
        <row r="8561">
          <cell r="C8561" t="str">
            <v>Intensity Therapeutics</v>
          </cell>
          <cell r="D8561">
            <v>9.6717099999999991</v>
          </cell>
        </row>
        <row r="8562">
          <cell r="C8562" t="str">
            <v>Fury Gold Mines</v>
          </cell>
          <cell r="D8562">
            <v>3.19</v>
          </cell>
        </row>
        <row r="8563">
          <cell r="C8563" t="str">
            <v>OneConnect</v>
          </cell>
          <cell r="D8563">
            <v>4.4000000000000004</v>
          </cell>
        </row>
        <row r="8564">
          <cell r="C8564" t="str">
            <v>Vor Biopharma</v>
          </cell>
          <cell r="D8564">
            <v>0.14000000000000001</v>
          </cell>
        </row>
        <row r="8565">
          <cell r="C8565" t="str">
            <v>Exasol AG</v>
          </cell>
          <cell r="D8565">
            <v>5.54</v>
          </cell>
        </row>
        <row r="8566">
          <cell r="C8566" t="str">
            <v>Manhattan Bridge Capital</v>
          </cell>
          <cell r="D8566">
            <v>0.70009999999999994</v>
          </cell>
        </row>
        <row r="8567">
          <cell r="C8567" t="str">
            <v>CGRE AG</v>
          </cell>
          <cell r="D8567">
            <v>2.0591599999999999</v>
          </cell>
        </row>
        <row r="8568">
          <cell r="C8568" t="str">
            <v>T2 Biosystems</v>
          </cell>
          <cell r="D8568">
            <v>1.42</v>
          </cell>
        </row>
        <row r="8569">
          <cell r="C8569" t="str">
            <v>Prenetics</v>
          </cell>
          <cell r="D8569">
            <v>1.1399999999999999</v>
          </cell>
        </row>
        <row r="8570">
          <cell r="C8570" t="str">
            <v>Gulf Cement</v>
          </cell>
          <cell r="D8570">
            <v>8.7100000000000009</v>
          </cell>
        </row>
        <row r="8571">
          <cell r="C8571" t="str">
            <v>U.S. Gold Corp</v>
          </cell>
          <cell r="D8571">
            <v>5181</v>
          </cell>
        </row>
        <row r="8572">
          <cell r="C8572" t="str">
            <v>Satixfy Communications</v>
          </cell>
          <cell r="D8572">
            <v>1.28</v>
          </cell>
        </row>
        <row r="8573">
          <cell r="C8573" t="str">
            <v>Nankai Tatsumura Construction</v>
          </cell>
          <cell r="D8573">
            <v>1.39</v>
          </cell>
        </row>
        <row r="8574">
          <cell r="C8574" t="str">
            <v>Lulu's Fashion Lounge</v>
          </cell>
          <cell r="D8574">
            <v>2.14</v>
          </cell>
        </row>
        <row r="8575">
          <cell r="C8575" t="str">
            <v>Enzo Biochem</v>
          </cell>
          <cell r="D8575">
            <v>2</v>
          </cell>
        </row>
        <row r="8576">
          <cell r="C8576" t="str">
            <v>Summit State Bank</v>
          </cell>
          <cell r="D8576">
            <v>18695</v>
          </cell>
        </row>
        <row r="8577">
          <cell r="C8577" t="str">
            <v>Global Self Storage</v>
          </cell>
          <cell r="D8577">
            <v>9.7712000000000003</v>
          </cell>
        </row>
        <row r="8578">
          <cell r="C8578" t="str">
            <v>Theratechnologies</v>
          </cell>
          <cell r="D8578">
            <v>1.1487400000000001</v>
          </cell>
        </row>
        <row r="8579">
          <cell r="C8579" t="str">
            <v>Semilux International</v>
          </cell>
          <cell r="D8579">
            <v>1.62</v>
          </cell>
        </row>
        <row r="8580">
          <cell r="C8580" t="str">
            <v>Immix Biopharma</v>
          </cell>
          <cell r="D8580">
            <v>10855</v>
          </cell>
        </row>
        <row r="8581">
          <cell r="C8581" t="str">
            <v>Vivakor</v>
          </cell>
          <cell r="D8581">
            <v>21605</v>
          </cell>
        </row>
        <row r="8582">
          <cell r="C8582" t="str">
            <v>Live Ventures</v>
          </cell>
          <cell r="D8582">
            <v>0.52</v>
          </cell>
        </row>
        <row r="8583">
          <cell r="C8583" t="str">
            <v>Daldrup &amp;amp; Söhne</v>
          </cell>
          <cell r="D8583">
            <v>3.5</v>
          </cell>
        </row>
        <row r="8584">
          <cell r="C8584" t="str">
            <v>illumin</v>
          </cell>
          <cell r="D8584">
            <v>863</v>
          </cell>
        </row>
        <row r="8585">
          <cell r="C8585" t="str">
            <v>FibroBiologics</v>
          </cell>
          <cell r="D8585">
            <v>1.05</v>
          </cell>
        </row>
        <row r="8586">
          <cell r="C8586" t="str">
            <v>Where Food Comes From</v>
          </cell>
          <cell r="D8586">
            <v>0.1651</v>
          </cell>
        </row>
        <row r="8587">
          <cell r="C8587" t="str">
            <v>Logan Ridge Finance</v>
          </cell>
          <cell r="D8587">
            <v>1.79</v>
          </cell>
        </row>
        <row r="8588">
          <cell r="C8588" t="str">
            <v>LightInTheBox Holding</v>
          </cell>
          <cell r="D8588">
            <v>3.27</v>
          </cell>
        </row>
        <row r="8589">
          <cell r="C8589" t="str">
            <v>Battalion Oil</v>
          </cell>
          <cell r="D8589">
            <v>4.3</v>
          </cell>
        </row>
        <row r="8590">
          <cell r="C8590" t="str">
            <v>Vuzix</v>
          </cell>
          <cell r="D8590">
            <v>0.49175799999999997</v>
          </cell>
        </row>
        <row r="8591">
          <cell r="C8591" t="str">
            <v>Cytosorbents</v>
          </cell>
          <cell r="D8591">
            <v>1.28</v>
          </cell>
        </row>
        <row r="8592">
          <cell r="C8592" t="str">
            <v>Starbox Group</v>
          </cell>
          <cell r="D8592">
            <v>3.5</v>
          </cell>
        </row>
        <row r="8593">
          <cell r="C8593" t="str">
            <v>Great Elm Group</v>
          </cell>
          <cell r="D8593">
            <v>3.32</v>
          </cell>
        </row>
        <row r="8594">
          <cell r="C8594" t="str">
            <v>Flux Power</v>
          </cell>
          <cell r="D8594">
            <v>3.49579</v>
          </cell>
        </row>
        <row r="8595">
          <cell r="C8595" t="str">
            <v>NaaS Technology</v>
          </cell>
          <cell r="D8595">
            <v>187908</v>
          </cell>
        </row>
        <row r="8596">
          <cell r="C8596" t="str">
            <v>Qatari German Company for Medical Devices</v>
          </cell>
          <cell r="D8596">
            <v>0.4768</v>
          </cell>
        </row>
        <row r="8597">
          <cell r="C8597" t="str">
            <v>reAlpha Tech</v>
          </cell>
          <cell r="D8597">
            <v>7.0741699999999996</v>
          </cell>
        </row>
        <row r="8598">
          <cell r="C8598" t="str">
            <v>Red Robin</v>
          </cell>
          <cell r="D8598">
            <v>9.0500000000000007</v>
          </cell>
        </row>
        <row r="8599">
          <cell r="C8599" t="str">
            <v>Mural Oncology</v>
          </cell>
          <cell r="D8599">
            <v>0.81795099999999998</v>
          </cell>
        </row>
        <row r="8600">
          <cell r="C8600" t="str">
            <v>Kayak Inc</v>
          </cell>
          <cell r="D8600">
            <v>1.2</v>
          </cell>
        </row>
        <row r="8601">
          <cell r="C8601" t="str">
            <v>Linz Textil</v>
          </cell>
          <cell r="D8601">
            <v>1.93</v>
          </cell>
        </row>
        <row r="8602">
          <cell r="C8602" t="str">
            <v>Gritstone bio</v>
          </cell>
          <cell r="D8602">
            <v>2.97</v>
          </cell>
        </row>
        <row r="8603">
          <cell r="C8603" t="str">
            <v>Müller - Die lila Logistik</v>
          </cell>
          <cell r="D8603">
            <v>2.9291499999999999</v>
          </cell>
        </row>
        <row r="8604">
          <cell r="C8604" t="str">
            <v>Lee Enterprises</v>
          </cell>
          <cell r="D8604">
            <v>1.4</v>
          </cell>
        </row>
        <row r="8605">
          <cell r="C8605" t="str">
            <v>S.S. Lazio</v>
          </cell>
          <cell r="D8605">
            <v>0.24814900000000001</v>
          </cell>
        </row>
        <row r="8606">
          <cell r="C8606" t="str">
            <v>Tupperware Brands</v>
          </cell>
          <cell r="D8606">
            <v>0.64690000000000003</v>
          </cell>
        </row>
        <row r="8607">
          <cell r="C8607" t="str">
            <v>Aerovate Therapeutics</v>
          </cell>
          <cell r="D8607">
            <v>0.230769</v>
          </cell>
        </row>
        <row r="8608">
          <cell r="C8608" t="str">
            <v>Spruce Power</v>
          </cell>
          <cell r="D8608">
            <v>1.46</v>
          </cell>
        </row>
        <row r="8609">
          <cell r="C8609" t="str">
            <v>Gentili Mosconi</v>
          </cell>
          <cell r="D8609">
            <v>7.69</v>
          </cell>
        </row>
        <row r="8610">
          <cell r="C8610" t="str">
            <v>Petropavlovsk</v>
          </cell>
          <cell r="D8610">
            <v>0.12180299999999999</v>
          </cell>
        </row>
        <row r="8611">
          <cell r="C8611" t="str">
            <v>Global Fashion Group</v>
          </cell>
          <cell r="D8611">
            <v>7.53</v>
          </cell>
        </row>
        <row r="8612">
          <cell r="C8612" t="str">
            <v>BioLineRx</v>
          </cell>
          <cell r="D8612">
            <v>0.240866</v>
          </cell>
        </row>
        <row r="8613">
          <cell r="C8613" t="str">
            <v>Al Faleh Educational Holding</v>
          </cell>
          <cell r="D8613">
            <v>0.20380899999999999</v>
          </cell>
        </row>
        <row r="8614">
          <cell r="C8614" t="str">
            <v>SCYNEXIS</v>
          </cell>
          <cell r="D8614">
            <v>0.43</v>
          </cell>
        </row>
        <row r="8615">
          <cell r="C8615" t="str">
            <v>Edgio</v>
          </cell>
          <cell r="D8615">
            <v>5.1100000000000003</v>
          </cell>
        </row>
        <row r="8616">
          <cell r="C8616" t="str">
            <v>freelancer.com</v>
          </cell>
          <cell r="D8616">
            <v>0.25006299999999998</v>
          </cell>
        </row>
        <row r="8617">
          <cell r="C8617" t="str">
            <v>Harte Hanks</v>
          </cell>
          <cell r="D8617">
            <v>2.52</v>
          </cell>
        </row>
        <row r="8618">
          <cell r="C8618" t="str">
            <v>Bear Creek Mining</v>
          </cell>
          <cell r="D8618">
            <v>2.34884</v>
          </cell>
        </row>
        <row r="8619">
          <cell r="C8619" t="str">
            <v>Silver One Resources</v>
          </cell>
          <cell r="D8619">
            <v>0.27</v>
          </cell>
        </row>
        <row r="8620">
          <cell r="C8620" t="str">
            <v>Liberty TripAdvisor Holdings</v>
          </cell>
          <cell r="D8620">
            <v>13.05</v>
          </cell>
        </row>
        <row r="8621">
          <cell r="C8621" t="str">
            <v>Pyxis Tankers</v>
          </cell>
          <cell r="D8621">
            <v>1.3898999999999999</v>
          </cell>
        </row>
        <row r="8622">
          <cell r="C8622" t="str">
            <v>Synlait Milk</v>
          </cell>
          <cell r="D8622">
            <v>5295</v>
          </cell>
        </row>
        <row r="8623">
          <cell r="C8623" t="str">
            <v>Aileron Therapeutics</v>
          </cell>
          <cell r="D8623">
            <v>4.67</v>
          </cell>
        </row>
        <row r="8624">
          <cell r="C8624" t="str">
            <v>Cherry SE</v>
          </cell>
          <cell r="D8624">
            <v>4.1399999999999997</v>
          </cell>
        </row>
        <row r="8625">
          <cell r="C8625" t="str">
            <v>Hayah Insurance Company</v>
          </cell>
          <cell r="D8625">
            <v>3.48</v>
          </cell>
        </row>
        <row r="8626">
          <cell r="C8626" t="str">
            <v>Katapult Holdings</v>
          </cell>
          <cell r="D8626">
            <v>0.16</v>
          </cell>
        </row>
        <row r="8627">
          <cell r="C8627" t="str">
            <v>Allied Esports</v>
          </cell>
          <cell r="D8627">
            <v>10.7218</v>
          </cell>
        </row>
        <row r="8628">
          <cell r="C8628" t="str">
            <v>Burning Rock Biotech</v>
          </cell>
          <cell r="D8628">
            <v>0.32</v>
          </cell>
        </row>
        <row r="8629">
          <cell r="C8629" t="str">
            <v>LENSAR</v>
          </cell>
          <cell r="D8629">
            <v>4.49</v>
          </cell>
        </row>
        <row r="8630">
          <cell r="C8630" t="str">
            <v>INNOVATE Corp.</v>
          </cell>
          <cell r="D8630">
            <v>0.107235</v>
          </cell>
        </row>
        <row r="8631">
          <cell r="C8631" t="str">
            <v>Beamr Imaging</v>
          </cell>
          <cell r="D8631">
            <v>3.42</v>
          </cell>
        </row>
        <row r="8632">
          <cell r="C8632" t="str">
            <v>Union Insurance Company</v>
          </cell>
          <cell r="D8632">
            <v>1.8</v>
          </cell>
        </row>
        <row r="8633">
          <cell r="C8633" t="str">
            <v>Wolftank-Adisa Holding</v>
          </cell>
          <cell r="D8633">
            <v>2.7868499999999998</v>
          </cell>
        </row>
        <row r="8634">
          <cell r="C8634" t="str">
            <v>Arqit Quantum</v>
          </cell>
          <cell r="D8634">
            <v>3.6</v>
          </cell>
        </row>
        <row r="8635">
          <cell r="C8635" t="str">
            <v>Owlet</v>
          </cell>
          <cell r="D8635">
            <v>21.2</v>
          </cell>
        </row>
        <row r="8636">
          <cell r="C8636" t="str">
            <v>Asiasoft</v>
          </cell>
          <cell r="D8636">
            <v>2.5</v>
          </cell>
        </row>
        <row r="8637">
          <cell r="C8637" t="str">
            <v>Laser Photonics</v>
          </cell>
          <cell r="D8637">
            <v>1.43</v>
          </cell>
        </row>
        <row r="8638">
          <cell r="C8638" t="str">
            <v>Reading International</v>
          </cell>
          <cell r="D8638">
            <v>4.1500000000000004</v>
          </cell>
        </row>
        <row r="8639">
          <cell r="C8639" t="str">
            <v>HanseYachts AG</v>
          </cell>
          <cell r="D8639">
            <v>11.0313</v>
          </cell>
        </row>
        <row r="8640">
          <cell r="C8640" t="str">
            <v>Barfresh Food Group</v>
          </cell>
          <cell r="D8640">
            <v>2.1</v>
          </cell>
        </row>
        <row r="8641">
          <cell r="C8641" t="str">
            <v>NCS Multistage</v>
          </cell>
          <cell r="D8641">
            <v>6.2</v>
          </cell>
        </row>
        <row r="8642">
          <cell r="C8642" t="str">
            <v>One Stop Systems</v>
          </cell>
          <cell r="D8642">
            <v>9.85</v>
          </cell>
        </row>
        <row r="8643">
          <cell r="C8643" t="str">
            <v>Syntec Optics</v>
          </cell>
          <cell r="D8643">
            <v>21</v>
          </cell>
        </row>
        <row r="8644">
          <cell r="C8644" t="str">
            <v>PermRock Royalty Trust</v>
          </cell>
          <cell r="D8644">
            <v>6.0793600000000003</v>
          </cell>
        </row>
        <row r="8645">
          <cell r="C8645" t="str">
            <v>IBU-tec advanced materials AG</v>
          </cell>
          <cell r="D8645">
            <v>1315</v>
          </cell>
        </row>
        <row r="8646">
          <cell r="C8646" t="str">
            <v>Hycroft Mining</v>
          </cell>
          <cell r="D8646">
            <v>2.5643899999999999</v>
          </cell>
        </row>
        <row r="8647">
          <cell r="C8647" t="str">
            <v>Cryo-Cell</v>
          </cell>
          <cell r="D8647">
            <v>5.5045900000000003</v>
          </cell>
        </row>
        <row r="8648">
          <cell r="C8648" t="str">
            <v>NSTS Bancorp</v>
          </cell>
          <cell r="D8648">
            <v>5.23</v>
          </cell>
        </row>
        <row r="8649">
          <cell r="C8649" t="str">
            <v>Regis Corporation</v>
          </cell>
          <cell r="D8649">
            <v>251</v>
          </cell>
        </row>
        <row r="8650">
          <cell r="C8650" t="str">
            <v>Manz AG</v>
          </cell>
          <cell r="D8650">
            <v>2.69</v>
          </cell>
        </row>
        <row r="8651">
          <cell r="C8651" t="str">
            <v>Barinthus Biotherapeutics</v>
          </cell>
          <cell r="D8651">
            <v>0.9425</v>
          </cell>
        </row>
        <row r="8652">
          <cell r="C8652" t="str">
            <v>cyan AG</v>
          </cell>
          <cell r="D8652">
            <v>1.35</v>
          </cell>
        </row>
        <row r="8653">
          <cell r="C8653" t="str">
            <v>Berentzen-Gruppe</v>
          </cell>
          <cell r="D8653">
            <v>14.479900000000001</v>
          </cell>
        </row>
        <row r="8654">
          <cell r="C8654" t="str">
            <v>HOOKIPA Pharma</v>
          </cell>
          <cell r="D8654">
            <v>1.23</v>
          </cell>
        </row>
        <row r="8655">
          <cell r="C8655" t="str">
            <v>Markforged</v>
          </cell>
          <cell r="D8655">
            <v>0.68260299999999996</v>
          </cell>
        </row>
        <row r="8656">
          <cell r="C8656" t="str">
            <v>ProPhase Labs</v>
          </cell>
          <cell r="D8656">
            <v>245</v>
          </cell>
        </row>
        <row r="8657">
          <cell r="C8657" t="str">
            <v>Ashford Hospitality Trust</v>
          </cell>
          <cell r="D8657">
            <v>1.29</v>
          </cell>
        </row>
        <row r="8658">
          <cell r="C8658" t="str">
            <v>uCloudlink Group</v>
          </cell>
          <cell r="D8658">
            <v>1.1100000000000001</v>
          </cell>
        </row>
        <row r="8659">
          <cell r="C8659" t="str">
            <v>ecotel communication</v>
          </cell>
          <cell r="D8659">
            <v>1.29</v>
          </cell>
        </row>
        <row r="8660">
          <cell r="C8660" t="str">
            <v>Mesa Air</v>
          </cell>
          <cell r="D8660">
            <v>1.27</v>
          </cell>
        </row>
        <row r="8661">
          <cell r="C8661" t="str">
            <v>Naked Wines</v>
          </cell>
          <cell r="D8661">
            <v>9.0986200000000004</v>
          </cell>
        </row>
        <row r="8662">
          <cell r="C8662" t="str">
            <v>Terran Orbital</v>
          </cell>
          <cell r="D8662">
            <v>1.66906</v>
          </cell>
        </row>
        <row r="8663">
          <cell r="C8663" t="str">
            <v>LightPath Technologies</v>
          </cell>
          <cell r="D8663">
            <v>6.7972199999999997E-2</v>
          </cell>
        </row>
        <row r="8664">
          <cell r="C8664" t="str">
            <v>Clean Energy Technologies</v>
          </cell>
          <cell r="D8664">
            <v>1.21</v>
          </cell>
        </row>
        <row r="8665">
          <cell r="C8665" t="str">
            <v>Grove Collaborative</v>
          </cell>
          <cell r="D8665">
            <v>1.48</v>
          </cell>
        </row>
        <row r="8666">
          <cell r="C8666" t="str">
            <v>Kuke Music Holding</v>
          </cell>
          <cell r="D8666">
            <v>1245</v>
          </cell>
        </row>
        <row r="8667">
          <cell r="C8667" t="str">
            <v>coly</v>
          </cell>
          <cell r="D8667">
            <v>8.2434899999999995</v>
          </cell>
        </row>
        <row r="8668">
          <cell r="C8668" t="str">
            <v>MS Industrie</v>
          </cell>
          <cell r="D8668">
            <v>1.1000000000000001</v>
          </cell>
        </row>
        <row r="8669">
          <cell r="C8669" t="str">
            <v>Infinities Tech (Jiu Zun Digital)</v>
          </cell>
          <cell r="D8669">
            <v>0.25659999999999999</v>
          </cell>
        </row>
        <row r="8670">
          <cell r="C8670" t="str">
            <v>Nine Energy Service</v>
          </cell>
          <cell r="D8670">
            <v>1.1499999999999999</v>
          </cell>
        </row>
        <row r="8671">
          <cell r="C8671" t="str">
            <v>Reneo Pharmaceuticals</v>
          </cell>
          <cell r="D8671">
            <v>0.71889999999999998</v>
          </cell>
        </row>
        <row r="8672">
          <cell r="C8672" t="str">
            <v>Sotherly Hotels</v>
          </cell>
          <cell r="D8672">
            <v>2.19</v>
          </cell>
        </row>
        <row r="8673">
          <cell r="C8673" t="str">
            <v>CAVE Interactive</v>
          </cell>
          <cell r="D8673">
            <v>4.7699999999999996</v>
          </cell>
        </row>
        <row r="8674">
          <cell r="C8674" t="str">
            <v>SolarMax Technology</v>
          </cell>
          <cell r="D8674">
            <v>3052</v>
          </cell>
        </row>
        <row r="8675">
          <cell r="C8675" t="str">
            <v>KULR Technology</v>
          </cell>
          <cell r="D8675">
            <v>1.73</v>
          </cell>
        </row>
        <row r="8676">
          <cell r="C8676" t="str">
            <v>Rallybio</v>
          </cell>
          <cell r="D8676">
            <v>0.11053399999999999</v>
          </cell>
        </row>
        <row r="8677">
          <cell r="C8677" t="str">
            <v>5E Advanced Materials</v>
          </cell>
          <cell r="D8677">
            <v>0.89532400000000001</v>
          </cell>
        </row>
        <row r="8678">
          <cell r="C8678" t="str">
            <v>Broadwind</v>
          </cell>
          <cell r="D8678">
            <v>0.61</v>
          </cell>
        </row>
        <row r="8679">
          <cell r="C8679" t="str">
            <v>Crown Crafts</v>
          </cell>
          <cell r="D8679">
            <v>1.43</v>
          </cell>
        </row>
        <row r="8680">
          <cell r="C8680" t="str">
            <v>Cepton</v>
          </cell>
          <cell r="D8680">
            <v>1.75</v>
          </cell>
        </row>
        <row r="8681">
          <cell r="C8681" t="str">
            <v>Cambium Networks</v>
          </cell>
          <cell r="D8681">
            <v>0.92359999999999998</v>
          </cell>
        </row>
        <row r="8682">
          <cell r="C8682" t="str">
            <v>ATARI</v>
          </cell>
          <cell r="D8682">
            <v>4.7819099999999999</v>
          </cell>
        </row>
        <row r="8683">
          <cell r="C8683" t="str">
            <v>The NAGA Group</v>
          </cell>
          <cell r="D8683">
            <v>2.84</v>
          </cell>
        </row>
        <row r="8684">
          <cell r="C8684" t="str">
            <v>Aram Group</v>
          </cell>
          <cell r="D8684">
            <v>5.04E-2</v>
          </cell>
        </row>
        <row r="8685">
          <cell r="C8685" t="str">
            <v>Hinduja Ventures</v>
          </cell>
          <cell r="D8685">
            <v>1.26</v>
          </cell>
        </row>
        <row r="8686">
          <cell r="C8686" t="str">
            <v>Lava Therapeutics</v>
          </cell>
          <cell r="D8686">
            <v>13.32</v>
          </cell>
        </row>
        <row r="8687">
          <cell r="C8687" t="str">
            <v>Safety Shot</v>
          </cell>
          <cell r="D8687">
            <v>44.213500000000003</v>
          </cell>
        </row>
        <row r="8688">
          <cell r="C8688" t="str">
            <v>CROOZ</v>
          </cell>
          <cell r="D8688">
            <v>0.80369999999999997</v>
          </cell>
        </row>
        <row r="8689">
          <cell r="C8689" t="str">
            <v>Fluent</v>
          </cell>
          <cell r="D8689">
            <v>1.9986999999999999</v>
          </cell>
        </row>
        <row r="8690">
          <cell r="C8690" t="str">
            <v>4Front Ventures</v>
          </cell>
          <cell r="D8690">
            <v>5.46</v>
          </cell>
        </row>
        <row r="8691">
          <cell r="C8691" t="str">
            <v>MoneyHero</v>
          </cell>
          <cell r="D8691">
            <v>2.31</v>
          </cell>
        </row>
        <row r="8692">
          <cell r="C8692" t="str">
            <v>Rent the Runway</v>
          </cell>
          <cell r="D8692">
            <v>4.29</v>
          </cell>
        </row>
        <row r="8693">
          <cell r="C8693" t="str">
            <v>edding AG</v>
          </cell>
          <cell r="D8693">
            <v>0.7006</v>
          </cell>
        </row>
        <row r="8694">
          <cell r="C8694" t="str">
            <v>CarParts.com</v>
          </cell>
          <cell r="D8694">
            <v>4.2300000000000004</v>
          </cell>
        </row>
        <row r="8695">
          <cell r="C8695" t="str">
            <v>Accelerate Diagnostics</v>
          </cell>
          <cell r="D8695">
            <v>19.896100000000001</v>
          </cell>
        </row>
        <row r="8696">
          <cell r="C8696" t="str">
            <v>Swvl Holdings</v>
          </cell>
          <cell r="D8696">
            <v>2.0299999999999998</v>
          </cell>
        </row>
        <row r="8697">
          <cell r="C8697" t="str">
            <v>Intellicheck</v>
          </cell>
          <cell r="D8697">
            <v>6.68</v>
          </cell>
        </row>
        <row r="8698">
          <cell r="C8698" t="str">
            <v>Pioneer Power Solutions</v>
          </cell>
          <cell r="D8698">
            <v>1.33</v>
          </cell>
        </row>
        <row r="8699">
          <cell r="C8699" t="str">
            <v>Passage Bio</v>
          </cell>
          <cell r="D8699">
            <v>778</v>
          </cell>
        </row>
        <row r="8700">
          <cell r="C8700" t="str">
            <v>Natuzzi</v>
          </cell>
          <cell r="D8700">
            <v>0.73159300000000005</v>
          </cell>
        </row>
        <row r="8701">
          <cell r="C8701" t="str">
            <v>AHT Syngas Technology</v>
          </cell>
          <cell r="D8701">
            <v>8.3453099999999996</v>
          </cell>
        </row>
        <row r="8702">
          <cell r="C8702" t="str">
            <v>Fortress Biotech</v>
          </cell>
          <cell r="D8702">
            <v>1.39</v>
          </cell>
        </row>
        <row r="8703">
          <cell r="C8703" t="str">
            <v>The Beachbody Company</v>
          </cell>
          <cell r="D8703">
            <v>2.0780400000000001</v>
          </cell>
        </row>
        <row r="8704">
          <cell r="C8704" t="str">
            <v>Apyx Medical</v>
          </cell>
          <cell r="D8704">
            <v>2.6034700000000001E-2</v>
          </cell>
        </row>
        <row r="8705">
          <cell r="C8705" t="str">
            <v>Elevation Oncology</v>
          </cell>
          <cell r="D8705">
            <v>1.07</v>
          </cell>
        </row>
        <row r="8706">
          <cell r="C8706" t="str">
            <v>Qatar Cinema and Film Distribution Company</v>
          </cell>
          <cell r="D8706">
            <v>0.61</v>
          </cell>
        </row>
        <row r="8707">
          <cell r="C8707" t="str">
            <v>SMT Scharf AG</v>
          </cell>
          <cell r="D8707">
            <v>1.07931</v>
          </cell>
        </row>
        <row r="8708">
          <cell r="C8708" t="str">
            <v>Co-Diagnostics</v>
          </cell>
          <cell r="D8708">
            <v>0.25879999999999997</v>
          </cell>
        </row>
        <row r="8709">
          <cell r="C8709" t="str">
            <v>ad pepper media International</v>
          </cell>
          <cell r="D8709">
            <v>1.69</v>
          </cell>
        </row>
        <row r="8710">
          <cell r="C8710" t="str">
            <v>Feiyu Technology International Company</v>
          </cell>
          <cell r="D8710">
            <v>2.4700000000000002</v>
          </cell>
        </row>
        <row r="8711">
          <cell r="C8711" t="str">
            <v>Carisma Therapeutics</v>
          </cell>
          <cell r="D8711">
            <v>0.37540000000000001</v>
          </cell>
        </row>
        <row r="8712">
          <cell r="C8712" t="str">
            <v>Pestech Cambodia</v>
          </cell>
          <cell r="D8712">
            <v>1.28</v>
          </cell>
        </row>
        <row r="8713">
          <cell r="C8713" t="str">
            <v>Duxton Farms</v>
          </cell>
          <cell r="D8713">
            <v>1.64</v>
          </cell>
        </row>
        <row r="8714">
          <cell r="C8714" t="str">
            <v>Comstock Mining</v>
          </cell>
          <cell r="D8714">
            <v>0.54843299999999995</v>
          </cell>
        </row>
        <row r="8715">
          <cell r="C8715" t="str">
            <v>Palladyne AI</v>
          </cell>
          <cell r="D8715">
            <v>1.66</v>
          </cell>
        </row>
        <row r="8716">
          <cell r="C8716" t="str">
            <v>KORE</v>
          </cell>
          <cell r="D8716">
            <v>1.81</v>
          </cell>
        </row>
        <row r="8717">
          <cell r="C8717" t="str">
            <v>Danimer Scientific</v>
          </cell>
          <cell r="D8717">
            <v>7.1957599999999999</v>
          </cell>
        </row>
        <row r="8718">
          <cell r="C8718" t="str">
            <v>Hour Loop</v>
          </cell>
          <cell r="D8718">
            <v>2.5099999999999998</v>
          </cell>
        </row>
        <row r="8719">
          <cell r="C8719" t="str">
            <v>Syros Pharmaceuticals</v>
          </cell>
          <cell r="D8719">
            <v>4.09</v>
          </cell>
        </row>
        <row r="8720">
          <cell r="C8720" t="str">
            <v>East Side Games</v>
          </cell>
          <cell r="D8720">
            <v>0.60060000000000002</v>
          </cell>
        </row>
        <row r="8721">
          <cell r="C8721" t="str">
            <v>SYLA Technologies</v>
          </cell>
          <cell r="D8721">
            <v>0.75</v>
          </cell>
        </row>
        <row r="8722">
          <cell r="C8722" t="str">
            <v>Aadi Bioscience</v>
          </cell>
          <cell r="D8722">
            <v>10.6113</v>
          </cell>
        </row>
        <row r="8723">
          <cell r="C8723" t="str">
            <v>Cliq Digital AG</v>
          </cell>
          <cell r="D8723">
            <v>28.959900000000001</v>
          </cell>
        </row>
        <row r="8724">
          <cell r="C8724" t="str">
            <v>Solowin Holdings</v>
          </cell>
          <cell r="D8724">
            <v>0.93401100000000004</v>
          </cell>
        </row>
        <row r="8725">
          <cell r="C8725" t="str">
            <v>Lantern Pharma</v>
          </cell>
          <cell r="D8725">
            <v>0.84005700000000005</v>
          </cell>
        </row>
        <row r="8726">
          <cell r="C8726" t="str">
            <v>Kezar Life Sciences</v>
          </cell>
          <cell r="D8726">
            <v>3005</v>
          </cell>
        </row>
        <row r="8727">
          <cell r="C8727" t="str">
            <v>Zepp Health</v>
          </cell>
          <cell r="D8727">
            <v>8.4558400000000002</v>
          </cell>
        </row>
        <row r="8728">
          <cell r="C8728" t="str">
            <v>Dierig Holding AG</v>
          </cell>
          <cell r="D8728">
            <v>1.88</v>
          </cell>
        </row>
        <row r="8729">
          <cell r="C8729" t="str">
            <v>RATH Aktiengesellschaft</v>
          </cell>
          <cell r="D8729">
            <v>1.0346</v>
          </cell>
        </row>
        <row r="8730">
          <cell r="C8730" t="str">
            <v>SGT German Private Equity</v>
          </cell>
          <cell r="D8730">
            <v>4.7087399999999997</v>
          </cell>
        </row>
        <row r="8731">
          <cell r="C8731" t="str">
            <v>GORE German Office Real Estate</v>
          </cell>
          <cell r="D8731">
            <v>1.61</v>
          </cell>
        </row>
        <row r="8732">
          <cell r="C8732" t="str">
            <v>Direct Digital Holdings</v>
          </cell>
          <cell r="D8732">
            <v>0.65920000000000001</v>
          </cell>
        </row>
        <row r="8733">
          <cell r="C8733" t="str">
            <v>DocCheck</v>
          </cell>
          <cell r="D8733">
            <v>4.24</v>
          </cell>
        </row>
        <row r="8734">
          <cell r="C8734" t="str">
            <v>Big 5 Sporting Goods</v>
          </cell>
          <cell r="D8734">
            <v>1.0522800000000001</v>
          </cell>
        </row>
        <row r="8735">
          <cell r="C8735" t="str">
            <v>KPS AG</v>
          </cell>
          <cell r="D8735">
            <v>5.76</v>
          </cell>
        </row>
        <row r="8736">
          <cell r="C8736" t="str">
            <v>Softing AG</v>
          </cell>
          <cell r="D8736">
            <v>0.55010000000000003</v>
          </cell>
        </row>
        <row r="8737">
          <cell r="C8737" t="str">
            <v>iCAD</v>
          </cell>
          <cell r="D8737">
            <v>0.49</v>
          </cell>
        </row>
        <row r="8738">
          <cell r="C8738" t="str">
            <v>Allurion Technologies</v>
          </cell>
          <cell r="D8738">
            <v>4.01</v>
          </cell>
        </row>
        <row r="8739">
          <cell r="C8739" t="str">
            <v>TransAct Technologies</v>
          </cell>
          <cell r="D8739">
            <v>0.14000000000000001</v>
          </cell>
        </row>
        <row r="8740">
          <cell r="C8740" t="str">
            <v>Sequana Medical</v>
          </cell>
          <cell r="D8740">
            <v>3.14</v>
          </cell>
        </row>
        <row r="8741">
          <cell r="C8741" t="str">
            <v>Nicholas Financial</v>
          </cell>
          <cell r="D8741">
            <v>0.81359999999999999</v>
          </cell>
        </row>
        <row r="8742">
          <cell r="C8742" t="str">
            <v>Eyenovia</v>
          </cell>
          <cell r="D8742">
            <v>1.5</v>
          </cell>
        </row>
        <row r="8743">
          <cell r="C8743" t="str">
            <v>Bionano Genomics</v>
          </cell>
          <cell r="D8743">
            <v>2</v>
          </cell>
        </row>
        <row r="8744">
          <cell r="C8744" t="str">
            <v>Verde Clean Fuels</v>
          </cell>
          <cell r="D8744">
            <v>2.8075600000000001</v>
          </cell>
        </row>
        <row r="8745">
          <cell r="C8745" t="str">
            <v>BILDCO (Abu Dhabi National Building Materials Co.)</v>
          </cell>
          <cell r="D8745">
            <v>1.74726</v>
          </cell>
        </row>
        <row r="8746">
          <cell r="C8746" t="str">
            <v>OncoCyte</v>
          </cell>
          <cell r="D8746">
            <v>1.6248499999999999</v>
          </cell>
        </row>
        <row r="8747">
          <cell r="C8747" t="str">
            <v>The Container Store</v>
          </cell>
          <cell r="D8747">
            <v>0.82750000000000001</v>
          </cell>
        </row>
        <row r="8748">
          <cell r="C8748" t="str">
            <v>Usio</v>
          </cell>
          <cell r="D8748">
            <v>12.63</v>
          </cell>
        </row>
        <row r="8749">
          <cell r="C8749" t="str">
            <v>Protara Therapeutics</v>
          </cell>
          <cell r="D8749">
            <v>3.85</v>
          </cell>
        </row>
        <row r="8750">
          <cell r="C8750" t="str">
            <v>Delticom AG</v>
          </cell>
          <cell r="D8750">
            <v>4.9200000000000001E-2</v>
          </cell>
        </row>
        <row r="8751">
          <cell r="C8751" t="str">
            <v>Fun Yours Technology</v>
          </cell>
          <cell r="D8751">
            <v>6.0793600000000003</v>
          </cell>
        </row>
        <row r="8752">
          <cell r="C8752" t="str">
            <v>Pantaflix AG</v>
          </cell>
          <cell r="D8752">
            <v>5.0199999999999996</v>
          </cell>
        </row>
        <row r="8753">
          <cell r="C8753" t="str">
            <v>Wag! Group</v>
          </cell>
          <cell r="D8753">
            <v>1.87355</v>
          </cell>
        </row>
        <row r="8754">
          <cell r="C8754" t="str">
            <v>Home Federal Bancorp (HFB Bank)</v>
          </cell>
          <cell r="D8754">
            <v>1.8402499999999999</v>
          </cell>
        </row>
        <row r="8755">
          <cell r="C8755" t="str">
            <v>Laird Superfood</v>
          </cell>
          <cell r="D8755">
            <v>1.32</v>
          </cell>
        </row>
        <row r="8756">
          <cell r="C8756" t="str">
            <v>Zion Oil &amp;amp; Gas</v>
          </cell>
          <cell r="D8756">
            <v>8.6999999999999993</v>
          </cell>
        </row>
        <row r="8757">
          <cell r="C8757" t="str">
            <v>GBK Beteiligungen AG</v>
          </cell>
          <cell r="D8757">
            <v>1.2</v>
          </cell>
        </row>
        <row r="8758">
          <cell r="C8758" t="str">
            <v>XOS</v>
          </cell>
          <cell r="D8758">
            <v>5.3770800000000003</v>
          </cell>
        </row>
        <row r="8759">
          <cell r="C8759" t="str">
            <v>BRAIN Biotech</v>
          </cell>
          <cell r="D8759">
            <v>5.5819599999999996</v>
          </cell>
        </row>
        <row r="8760">
          <cell r="C8760" t="str">
            <v>Aeria</v>
          </cell>
          <cell r="D8760">
            <v>0.69159999999999999</v>
          </cell>
        </row>
        <row r="8761">
          <cell r="C8761" t="str">
            <v>Cenntro Electric Group</v>
          </cell>
          <cell r="D8761">
            <v>1.29</v>
          </cell>
        </row>
        <row r="8762">
          <cell r="C8762" t="str">
            <v>Top Ships</v>
          </cell>
          <cell r="D8762">
            <v>979</v>
          </cell>
        </row>
        <row r="8763">
          <cell r="C8763" t="str">
            <v>Okyo Pharma</v>
          </cell>
          <cell r="D8763">
            <v>0.28749999999999998</v>
          </cell>
        </row>
        <row r="8764">
          <cell r="C8764" t="str">
            <v>Mobile Factory</v>
          </cell>
          <cell r="D8764">
            <v>3.68</v>
          </cell>
        </row>
        <row r="8765">
          <cell r="C8765" t="str">
            <v>CeoTronics</v>
          </cell>
          <cell r="D8765">
            <v>7.3505000000000003</v>
          </cell>
        </row>
        <row r="8766">
          <cell r="C8766" t="str">
            <v>Pixelworks</v>
          </cell>
          <cell r="D8766">
            <v>3.7896999999999998</v>
          </cell>
        </row>
        <row r="8767">
          <cell r="C8767" t="str">
            <v>iPower</v>
          </cell>
          <cell r="D8767">
            <v>0.51390000000000002</v>
          </cell>
        </row>
        <row r="8768">
          <cell r="C8768" t="str">
            <v>Scienjoy</v>
          </cell>
          <cell r="D8768">
            <v>2.5037199999999999E-2</v>
          </cell>
        </row>
        <row r="8769">
          <cell r="C8769" t="str">
            <v>Inuvo</v>
          </cell>
          <cell r="D8769">
            <v>4.9000000000000004</v>
          </cell>
        </row>
        <row r="8770">
          <cell r="C8770" t="str">
            <v>REE Automotive</v>
          </cell>
          <cell r="D8770">
            <v>0.76268400000000003</v>
          </cell>
        </row>
        <row r="8771">
          <cell r="C8771" t="str">
            <v>Hoftex Group AG</v>
          </cell>
          <cell r="D8771">
            <v>0.55000000000000004</v>
          </cell>
        </row>
        <row r="8772">
          <cell r="C8772" t="str">
            <v>Interlink Electronics</v>
          </cell>
          <cell r="D8772">
            <v>7.9031700000000003</v>
          </cell>
        </row>
        <row r="8773">
          <cell r="C8773" t="str">
            <v>American Resources Corp</v>
          </cell>
          <cell r="D8773">
            <v>535</v>
          </cell>
        </row>
        <row r="8774">
          <cell r="C8774" t="str">
            <v>Investigator Resources</v>
          </cell>
          <cell r="D8774">
            <v>0.8004</v>
          </cell>
        </row>
        <row r="8775">
          <cell r="C8775" t="str">
            <v>Xiao-I</v>
          </cell>
          <cell r="D8775">
            <v>2.5201699999999998</v>
          </cell>
        </row>
        <row r="8776">
          <cell r="C8776" t="str">
            <v>Warimpex Finanz- und Beteiligungs AG</v>
          </cell>
          <cell r="D8776">
            <v>527</v>
          </cell>
        </row>
        <row r="8777">
          <cell r="C8777" t="str">
            <v>Phnom Penh SEZ</v>
          </cell>
          <cell r="D8777">
            <v>1.1299999999999999</v>
          </cell>
        </row>
        <row r="8778">
          <cell r="C8778" t="str">
            <v>Wiener Privatbank</v>
          </cell>
          <cell r="D8778">
            <v>3.89079</v>
          </cell>
        </row>
        <row r="8779">
          <cell r="C8779" t="str">
            <v>PLBY Group (Playboy)</v>
          </cell>
          <cell r="D8779">
            <v>0.41</v>
          </cell>
        </row>
        <row r="8780">
          <cell r="C8780" t="str">
            <v>Lucid Diagnostics</v>
          </cell>
          <cell r="D8780">
            <v>1.5</v>
          </cell>
        </row>
        <row r="8781">
          <cell r="C8781" t="str">
            <v>Francotyp-Postalia Holding AG</v>
          </cell>
          <cell r="D8781">
            <v>6.05</v>
          </cell>
        </row>
        <row r="8782">
          <cell r="C8782" t="str">
            <v>Enviva</v>
          </cell>
          <cell r="D8782">
            <v>1.4160999999999999</v>
          </cell>
        </row>
        <row r="8783">
          <cell r="C8783" t="str">
            <v>Ocean Biomedical</v>
          </cell>
          <cell r="D8783">
            <v>17.7</v>
          </cell>
        </row>
        <row r="8784">
          <cell r="C8784" t="str">
            <v>Varengold Bank AG</v>
          </cell>
          <cell r="D8784">
            <v>0.4138</v>
          </cell>
        </row>
        <row r="8785">
          <cell r="C8785" t="str">
            <v>RAPCO Investment</v>
          </cell>
          <cell r="D8785">
            <v>3.41</v>
          </cell>
        </row>
        <row r="8786">
          <cell r="C8786" t="str">
            <v>Inotiv</v>
          </cell>
          <cell r="D8786">
            <v>6.31</v>
          </cell>
        </row>
        <row r="8787">
          <cell r="C8787" t="str">
            <v>electroCore</v>
          </cell>
          <cell r="D8787">
            <v>2.5742500000000001E-2</v>
          </cell>
        </row>
        <row r="8788">
          <cell r="C8788" t="str">
            <v>enish</v>
          </cell>
          <cell r="D8788">
            <v>0.6</v>
          </cell>
        </row>
        <row r="8789">
          <cell r="C8789" t="str">
            <v>The InterGroup Corporation</v>
          </cell>
          <cell r="D8789">
            <v>1.07</v>
          </cell>
        </row>
        <row r="8790">
          <cell r="C8790" t="str">
            <v>Vertex Energy</v>
          </cell>
          <cell r="D8790">
            <v>0.51236899999999996</v>
          </cell>
        </row>
        <row r="8791">
          <cell r="C8791" t="str">
            <v>Phunware</v>
          </cell>
          <cell r="D8791">
            <v>15.71</v>
          </cell>
        </row>
        <row r="8792">
          <cell r="C8792" t="str">
            <v>Vicarious Surgical</v>
          </cell>
          <cell r="D8792">
            <v>1.59</v>
          </cell>
        </row>
        <row r="8793">
          <cell r="C8793" t="str">
            <v>Starbreeze</v>
          </cell>
          <cell r="D8793">
            <v>0.8579</v>
          </cell>
        </row>
        <row r="8794">
          <cell r="C8794" t="str">
            <v>Azure Power</v>
          </cell>
          <cell r="D8794">
            <v>7.6</v>
          </cell>
        </row>
        <row r="8795">
          <cell r="C8795" t="str">
            <v>Equillium</v>
          </cell>
          <cell r="D8795">
            <v>6.04</v>
          </cell>
        </row>
        <row r="8796">
          <cell r="C8796" t="str">
            <v>Grupa Kapitałowa Immobile</v>
          </cell>
          <cell r="D8796">
            <v>1.45031</v>
          </cell>
        </row>
        <row r="8797">
          <cell r="C8797" t="str">
            <v>vTv Therapeutics</v>
          </cell>
          <cell r="D8797">
            <v>0.36559999999999998</v>
          </cell>
        </row>
        <row r="8798">
          <cell r="C8798" t="str">
            <v>Courtside Group (PodcastOne)</v>
          </cell>
          <cell r="D8798">
            <v>2.4900000000000002</v>
          </cell>
        </row>
        <row r="8799">
          <cell r="C8799" t="str">
            <v>Xilio Therapeutics</v>
          </cell>
          <cell r="D8799">
            <v>256</v>
          </cell>
        </row>
        <row r="8800">
          <cell r="C8800" t="str">
            <v>Atara Biotherapeutics</v>
          </cell>
          <cell r="D8800">
            <v>1.45</v>
          </cell>
        </row>
        <row r="8801">
          <cell r="C8801" t="str">
            <v>Benson Hill</v>
          </cell>
          <cell r="D8801">
            <v>0.93</v>
          </cell>
        </row>
        <row r="8802">
          <cell r="C8802" t="str">
            <v>Gala Incorporated</v>
          </cell>
          <cell r="D8802">
            <v>2.21</v>
          </cell>
        </row>
        <row r="8803">
          <cell r="C8803" t="str">
            <v>FibroGen</v>
          </cell>
          <cell r="D8803">
            <v>0.84989999999999999</v>
          </cell>
        </row>
        <row r="8804">
          <cell r="C8804" t="str">
            <v>Lightbridge Corporation</v>
          </cell>
          <cell r="D8804">
            <v>5.5754700000000001</v>
          </cell>
        </row>
        <row r="8805">
          <cell r="C8805" t="str">
            <v>Knightscope</v>
          </cell>
          <cell r="D8805">
            <v>1.18</v>
          </cell>
        </row>
        <row r="8806">
          <cell r="C8806" t="str">
            <v>Rafael Holdings</v>
          </cell>
          <cell r="D8806">
            <v>2.56</v>
          </cell>
        </row>
        <row r="8807">
          <cell r="C8807" t="str">
            <v>Kartoon Studios</v>
          </cell>
          <cell r="D8807">
            <v>2.6653600000000002</v>
          </cell>
        </row>
        <row r="8808">
          <cell r="C8808" t="str">
            <v>IZEA Worldwide</v>
          </cell>
          <cell r="D8808">
            <v>9.0085099999999994</v>
          </cell>
        </row>
        <row r="8809">
          <cell r="C8809" t="str">
            <v>Rapid Micro Biosystems</v>
          </cell>
          <cell r="D8809">
            <v>3.1</v>
          </cell>
        </row>
        <row r="8810">
          <cell r="C8810" t="str">
            <v>TENDA</v>
          </cell>
          <cell r="D8810">
            <v>0.89</v>
          </cell>
        </row>
        <row r="8811">
          <cell r="C8811" t="str">
            <v>Mobix Labs</v>
          </cell>
          <cell r="D8811">
            <v>48.634900000000002</v>
          </cell>
        </row>
        <row r="8812">
          <cell r="C8812" t="str">
            <v>U.S. Global Investors</v>
          </cell>
          <cell r="D8812">
            <v>1.45</v>
          </cell>
        </row>
        <row r="8813">
          <cell r="C8813" t="str">
            <v>BoomBit</v>
          </cell>
          <cell r="D8813">
            <v>0.72250000000000003</v>
          </cell>
        </row>
        <row r="8814">
          <cell r="C8814" t="str">
            <v>DATRON AG</v>
          </cell>
          <cell r="D8814">
            <v>0.10638400000000001</v>
          </cell>
        </row>
        <row r="8815">
          <cell r="C8815" t="str">
            <v>Gorilla Technology</v>
          </cell>
          <cell r="D8815">
            <v>7.17</v>
          </cell>
        </row>
        <row r="8816">
          <cell r="C8816" t="str">
            <v>Grand Twins International Cambodia</v>
          </cell>
          <cell r="D8816">
            <v>0.33429999999999999</v>
          </cell>
        </row>
        <row r="8817">
          <cell r="C8817" t="str">
            <v>SW Umwelttechnik Stoiser &amp;amp; Wolschner AG</v>
          </cell>
          <cell r="D8817">
            <v>3585</v>
          </cell>
        </row>
        <row r="8818">
          <cell r="C8818" t="str">
            <v>SPAR Group</v>
          </cell>
          <cell r="D8818">
            <v>5.05</v>
          </cell>
        </row>
        <row r="8819">
          <cell r="C8819" t="str">
            <v>Cue Biopharma</v>
          </cell>
          <cell r="D8819">
            <v>319</v>
          </cell>
        </row>
        <row r="8820">
          <cell r="C8820" t="str">
            <v>Zee Learn</v>
          </cell>
          <cell r="D8820">
            <v>1.1100000000000001</v>
          </cell>
        </row>
        <row r="8821">
          <cell r="C8821" t="str">
            <v>Comscore</v>
          </cell>
          <cell r="D8821">
            <v>22991</v>
          </cell>
        </row>
        <row r="8822">
          <cell r="C8822" t="str">
            <v>DIRTT Environmental Solutions</v>
          </cell>
          <cell r="D8822">
            <v>6.0240999999999998</v>
          </cell>
        </row>
        <row r="8823">
          <cell r="C8823" t="str">
            <v>TechPrecision</v>
          </cell>
          <cell r="D8823">
            <v>1.29</v>
          </cell>
        </row>
        <row r="8824">
          <cell r="C8824" t="str">
            <v>Fathom Digital Manufacturing</v>
          </cell>
          <cell r="D8824">
            <v>0.54</v>
          </cell>
        </row>
        <row r="8825">
          <cell r="C8825" t="str">
            <v>LianBio</v>
          </cell>
          <cell r="D8825">
            <v>0.43309999999999998</v>
          </cell>
        </row>
        <row r="8826">
          <cell r="C8826" t="str">
            <v>Immuneering</v>
          </cell>
          <cell r="D8826">
            <v>5.0182399999999996</v>
          </cell>
        </row>
        <row r="8827">
          <cell r="C8827" t="str">
            <v>Hutter &amp;amp; Schrantz Stahlbau AG</v>
          </cell>
          <cell r="D8827">
            <v>3.27</v>
          </cell>
        </row>
        <row r="8828">
          <cell r="C8828" t="str">
            <v>Artnet AG</v>
          </cell>
          <cell r="D8828">
            <v>4.4466900000000003</v>
          </cell>
        </row>
        <row r="8829">
          <cell r="C8829" t="str">
            <v>Tempest Therapeutics</v>
          </cell>
          <cell r="D8829">
            <v>5.31</v>
          </cell>
        </row>
        <row r="8830">
          <cell r="C8830" t="str">
            <v>Streamline Health Solutions</v>
          </cell>
          <cell r="D8830">
            <v>0.5413</v>
          </cell>
        </row>
        <row r="8831">
          <cell r="C8831" t="str">
            <v>Akili</v>
          </cell>
          <cell r="D8831">
            <v>1.1299999999999999</v>
          </cell>
        </row>
        <row r="8832">
          <cell r="C8832" t="str">
            <v>Artmarket.com</v>
          </cell>
          <cell r="D8832">
            <v>0.64</v>
          </cell>
        </row>
        <row r="8833">
          <cell r="C8833" t="str">
            <v>Indonesia Energy</v>
          </cell>
          <cell r="D8833">
            <v>1.38</v>
          </cell>
        </row>
        <row r="8834">
          <cell r="C8834" t="str">
            <v>Tose Software</v>
          </cell>
          <cell r="D8834">
            <v>5.1287700000000003</v>
          </cell>
        </row>
        <row r="8835">
          <cell r="C8835" t="str">
            <v>AXIL Brands</v>
          </cell>
          <cell r="D8835">
            <v>0.14000000000000001</v>
          </cell>
        </row>
        <row r="8836">
          <cell r="C8836" t="str">
            <v>Dragonfly Energy</v>
          </cell>
          <cell r="D8836">
            <v>2.2421799999999998</v>
          </cell>
        </row>
        <row r="8837">
          <cell r="C8837" t="str">
            <v>AN2 Therapeutics</v>
          </cell>
          <cell r="D8837">
            <v>5525</v>
          </cell>
        </row>
        <row r="8838">
          <cell r="C8838" t="str">
            <v>A2Z Smart Technologies</v>
          </cell>
          <cell r="D8838">
            <v>1.24</v>
          </cell>
        </row>
        <row r="8839">
          <cell r="C8839" t="str">
            <v>Li-Cycle</v>
          </cell>
          <cell r="D8839">
            <v>0.83350000000000002</v>
          </cell>
        </row>
        <row r="8840">
          <cell r="C8840" t="str">
            <v>STS Group</v>
          </cell>
          <cell r="D8840">
            <v>3.9</v>
          </cell>
        </row>
        <row r="8841">
          <cell r="C8841" t="str">
            <v>The National Investor PRJSC</v>
          </cell>
          <cell r="D8841">
            <v>3.0623</v>
          </cell>
        </row>
        <row r="8842">
          <cell r="C8842" t="str">
            <v>Medigene AG</v>
          </cell>
          <cell r="D8842">
            <v>2.5068000000000001</v>
          </cell>
        </row>
        <row r="8843">
          <cell r="C8843" t="str">
            <v>Curis</v>
          </cell>
          <cell r="D8843">
            <v>6.3827199999999999</v>
          </cell>
        </row>
        <row r="8844">
          <cell r="C8844" t="str">
            <v>Ocuphire Pharma</v>
          </cell>
          <cell r="D8844">
            <v>0.87009999999999998</v>
          </cell>
        </row>
        <row r="8845">
          <cell r="C8845" t="str">
            <v>AEON Biopharma</v>
          </cell>
          <cell r="D8845">
            <v>3.4044400000000001</v>
          </cell>
        </row>
        <row r="8846">
          <cell r="C8846" t="str">
            <v>Lumos Pharma</v>
          </cell>
          <cell r="D8846">
            <v>1.76</v>
          </cell>
        </row>
        <row r="8847">
          <cell r="C8847" t="str">
            <v>Alta Global Group</v>
          </cell>
          <cell r="D8847">
            <v>1.64</v>
          </cell>
        </row>
        <row r="8848">
          <cell r="C8848" t="str">
            <v>Astro Corporation</v>
          </cell>
          <cell r="D8848">
            <v>0.81</v>
          </cell>
        </row>
        <row r="8849">
          <cell r="C8849" t="str">
            <v>Nippon Ichi Software</v>
          </cell>
          <cell r="D8849">
            <v>5.8223799999999999</v>
          </cell>
        </row>
        <row r="8850">
          <cell r="C8850" t="str">
            <v>Moolec Science</v>
          </cell>
          <cell r="D8850">
            <v>3.1170599999999999</v>
          </cell>
        </row>
        <row r="8851">
          <cell r="C8851" t="str">
            <v>Wolford</v>
          </cell>
          <cell r="D8851">
            <v>2.09</v>
          </cell>
        </row>
        <row r="8852">
          <cell r="C8852" t="str">
            <v>Incannex Healthcare</v>
          </cell>
          <cell r="D8852">
            <v>3.05796</v>
          </cell>
        </row>
        <row r="8853">
          <cell r="C8853" t="str">
            <v>SurgePays</v>
          </cell>
          <cell r="D8853">
            <v>1.63</v>
          </cell>
        </row>
        <row r="8854">
          <cell r="C8854" t="str">
            <v>MiNK Therapeutics</v>
          </cell>
          <cell r="D8854">
            <v>0.29070000000000001</v>
          </cell>
        </row>
        <row r="8855">
          <cell r="C8855" t="str">
            <v>Games Operators</v>
          </cell>
          <cell r="D8855">
            <v>1.1599999999999999</v>
          </cell>
        </row>
        <row r="8856">
          <cell r="C8856" t="str">
            <v>Delignit AG</v>
          </cell>
          <cell r="D8856">
            <v>535</v>
          </cell>
        </row>
        <row r="8857">
          <cell r="C8857" t="str">
            <v>CXApp</v>
          </cell>
          <cell r="D8857">
            <v>0.81010000000000004</v>
          </cell>
        </row>
        <row r="8858">
          <cell r="C8858" t="str">
            <v>geechs</v>
          </cell>
          <cell r="D8858">
            <v>312</v>
          </cell>
        </row>
        <row r="8859">
          <cell r="C8859" t="str">
            <v>Palatin Technologies</v>
          </cell>
          <cell r="D8859">
            <v>0.26</v>
          </cell>
        </row>
        <row r="8860">
          <cell r="C8860" t="str">
            <v>Know Labs</v>
          </cell>
          <cell r="D8860">
            <v>791</v>
          </cell>
        </row>
        <row r="8861">
          <cell r="C8861" t="str">
            <v>Altisource Portfolio</v>
          </cell>
          <cell r="D8861">
            <v>0.13794699999999999</v>
          </cell>
        </row>
        <row r="8862">
          <cell r="C8862" t="str">
            <v>Westwater Resources</v>
          </cell>
          <cell r="D8862">
            <v>3.58</v>
          </cell>
        </row>
        <row r="8863">
          <cell r="C8863" t="str">
            <v>Snail Inc</v>
          </cell>
          <cell r="D8863">
            <v>5.6372299999999997</v>
          </cell>
        </row>
        <row r="8864">
          <cell r="C8864" t="str">
            <v>Movano</v>
          </cell>
          <cell r="D8864">
            <v>1.3264100000000001</v>
          </cell>
        </row>
        <row r="8865">
          <cell r="C8865" t="str">
            <v>Insurance House</v>
          </cell>
          <cell r="D8865">
            <v>0.32429999999999998</v>
          </cell>
        </row>
        <row r="8866">
          <cell r="C8866" t="str">
            <v>MarketWise</v>
          </cell>
          <cell r="D8866">
            <v>0.97933000000000003</v>
          </cell>
        </row>
        <row r="8867">
          <cell r="C8867" t="str">
            <v>Söktas Tekstil</v>
          </cell>
          <cell r="D8867">
            <v>5.1066700000000003</v>
          </cell>
        </row>
        <row r="8868">
          <cell r="C8868" t="str">
            <v>Dare Bioscience</v>
          </cell>
          <cell r="D8868">
            <v>0.19874</v>
          </cell>
        </row>
        <row r="8869">
          <cell r="C8869" t="str">
            <v>Geratherm Medical</v>
          </cell>
          <cell r="D8869">
            <v>0.11225</v>
          </cell>
        </row>
        <row r="8870">
          <cell r="C8870" t="str">
            <v>FC Porto</v>
          </cell>
          <cell r="D8870">
            <v>1235</v>
          </cell>
        </row>
        <row r="8871">
          <cell r="C8871" t="str">
            <v>Solidion Technology</v>
          </cell>
          <cell r="D8871">
            <v>3.42</v>
          </cell>
        </row>
        <row r="8872">
          <cell r="C8872" t="str">
            <v>Forever Entertainment</v>
          </cell>
          <cell r="D8872">
            <v>691</v>
          </cell>
        </row>
        <row r="8873">
          <cell r="C8873" t="str">
            <v>Halloren Schokoladenfabrik</v>
          </cell>
          <cell r="D8873">
            <v>2.04</v>
          </cell>
        </row>
        <row r="8874">
          <cell r="C8874" t="str">
            <v>Adler Group</v>
          </cell>
          <cell r="D8874">
            <v>6.04</v>
          </cell>
        </row>
        <row r="8875">
          <cell r="C8875" t="str">
            <v>5th Planet Games</v>
          </cell>
          <cell r="D8875">
            <v>1.2</v>
          </cell>
        </row>
        <row r="8876">
          <cell r="C8876" t="str">
            <v>Mogo</v>
          </cell>
          <cell r="D8876">
            <v>1.0888</v>
          </cell>
        </row>
        <row r="8877">
          <cell r="C8877" t="str">
            <v>Lifeward</v>
          </cell>
          <cell r="D8877">
            <v>0.47149999999999997</v>
          </cell>
        </row>
        <row r="8878">
          <cell r="C8878" t="str">
            <v>Quince Therapeutics</v>
          </cell>
          <cell r="D8878">
            <v>3.9129</v>
          </cell>
        </row>
        <row r="8879">
          <cell r="C8879" t="str">
            <v>Longeveron</v>
          </cell>
          <cell r="D8879">
            <v>0.53</v>
          </cell>
        </row>
        <row r="8880">
          <cell r="C8880" t="str">
            <v>Cazoo</v>
          </cell>
          <cell r="D8880">
            <v>0.36080000000000001</v>
          </cell>
        </row>
        <row r="8881">
          <cell r="C8881" t="str">
            <v>Davis Commodities</v>
          </cell>
          <cell r="D8881">
            <v>1.9675</v>
          </cell>
        </row>
        <row r="8882">
          <cell r="C8882" t="str">
            <v>Trophy Games</v>
          </cell>
          <cell r="D8882">
            <v>0.67110000000000003</v>
          </cell>
        </row>
        <row r="8883">
          <cell r="C8883" t="str">
            <v>Blue Hat</v>
          </cell>
          <cell r="D8883">
            <v>262</v>
          </cell>
        </row>
        <row r="8884">
          <cell r="C8884" t="str">
            <v>mwb fairtrade AG</v>
          </cell>
          <cell r="D8884">
            <v>0.87</v>
          </cell>
        </row>
        <row r="8885">
          <cell r="C8885" t="str">
            <v>Outset Medical</v>
          </cell>
          <cell r="D8885">
            <v>2.1664599999999998</v>
          </cell>
        </row>
        <row r="8886">
          <cell r="C8886" t="str">
            <v>The Oncology Institute</v>
          </cell>
          <cell r="D8886">
            <v>0.93530000000000002</v>
          </cell>
        </row>
        <row r="8887">
          <cell r="C8887" t="str">
            <v>INTERSHOP Communications</v>
          </cell>
          <cell r="D8887">
            <v>1.63</v>
          </cell>
        </row>
        <row r="8888">
          <cell r="C8888" t="str">
            <v>Gryphon Digital Mining</v>
          </cell>
          <cell r="D8888">
            <v>0.285333</v>
          </cell>
        </row>
        <row r="8889">
          <cell r="C8889" t="str">
            <v>GEE Group</v>
          </cell>
          <cell r="D8889">
            <v>0.95</v>
          </cell>
        </row>
        <row r="8890">
          <cell r="C8890" t="str">
            <v>Orion Energy Systems</v>
          </cell>
          <cell r="D8890">
            <v>2.8959899999999998</v>
          </cell>
        </row>
        <row r="8891">
          <cell r="C8891" t="str">
            <v>Don't Nod Entertainment</v>
          </cell>
          <cell r="D8891">
            <v>0.08</v>
          </cell>
        </row>
        <row r="8892">
          <cell r="C8892" t="str">
            <v>Retractable Technologies</v>
          </cell>
          <cell r="D8892">
            <v>2.03004E-2</v>
          </cell>
        </row>
        <row r="8893">
          <cell r="C8893" t="str">
            <v>Unity Biotechnology</v>
          </cell>
          <cell r="D8893">
            <v>0.35959999999999998</v>
          </cell>
        </row>
        <row r="8894">
          <cell r="C8894" t="str">
            <v>Zoomd Technologies</v>
          </cell>
          <cell r="D8894">
            <v>1.0288999999999999</v>
          </cell>
        </row>
        <row r="8895">
          <cell r="C8895" t="str">
            <v>The Arena Group</v>
          </cell>
          <cell r="D8895">
            <v>2.23</v>
          </cell>
        </row>
        <row r="8896">
          <cell r="C8896" t="str">
            <v>SBF AG</v>
          </cell>
          <cell r="D8896">
            <v>5.8501000000000003</v>
          </cell>
        </row>
        <row r="8897">
          <cell r="C8897" t="str">
            <v>Fujairah Cement Industries</v>
          </cell>
          <cell r="D8897">
            <v>19.896100000000001</v>
          </cell>
        </row>
        <row r="8898">
          <cell r="C8898" t="str">
            <v>iCandy Interactive</v>
          </cell>
          <cell r="D8898">
            <v>1.82</v>
          </cell>
        </row>
        <row r="8899">
          <cell r="C8899" t="str">
            <v>India Globalization Capital</v>
          </cell>
          <cell r="D8899">
            <v>1.18</v>
          </cell>
        </row>
        <row r="8900">
          <cell r="C8900" t="str">
            <v>Sunrise New Energy</v>
          </cell>
          <cell r="D8900">
            <v>0.8831</v>
          </cell>
        </row>
        <row r="8901">
          <cell r="C8901" t="str">
            <v>JanOne</v>
          </cell>
          <cell r="D8901">
            <v>1.83</v>
          </cell>
        </row>
        <row r="8902">
          <cell r="C8902" t="str">
            <v>Kala Pharmaceuticals</v>
          </cell>
          <cell r="D8902">
            <v>6.06</v>
          </cell>
        </row>
        <row r="8903">
          <cell r="C8903" t="str">
            <v>Nebelhornbahn-Aktiengesellschaft</v>
          </cell>
          <cell r="D8903">
            <v>2.62</v>
          </cell>
        </row>
        <row r="8904">
          <cell r="C8904" t="str">
            <v>VYNE Therapeutics</v>
          </cell>
          <cell r="D8904">
            <v>0.88427100000000003</v>
          </cell>
        </row>
        <row r="8905">
          <cell r="C8905" t="str">
            <v>Iterum Therapeutics</v>
          </cell>
          <cell r="D8905">
            <v>2.5422799999999999</v>
          </cell>
        </row>
        <row r="8906">
          <cell r="C8906" t="str">
            <v>Neuronetics</v>
          </cell>
          <cell r="D8906">
            <v>0.18</v>
          </cell>
        </row>
        <row r="8907">
          <cell r="C8907" t="str">
            <v>Rave Restaurant Group</v>
          </cell>
          <cell r="D8907">
            <v>2.4367400000000001E-2</v>
          </cell>
        </row>
        <row r="8908">
          <cell r="C8908" t="str">
            <v>ATI Physical Therapy</v>
          </cell>
          <cell r="D8908">
            <v>6.5767699999999998</v>
          </cell>
        </row>
        <row r="8909">
          <cell r="C8909" t="str">
            <v>Acasti Pharma</v>
          </cell>
          <cell r="D8909">
            <v>8.8935E-2</v>
          </cell>
        </row>
        <row r="8910">
          <cell r="C8910" t="str">
            <v>Elbstein AG</v>
          </cell>
          <cell r="D8910">
            <v>314</v>
          </cell>
        </row>
        <row r="8911">
          <cell r="C8911" t="str">
            <v>hGears AG</v>
          </cell>
          <cell r="D8911">
            <v>1.17</v>
          </cell>
        </row>
        <row r="8912">
          <cell r="C8912" t="str">
            <v>Methaq Takaful Insurance Compnay</v>
          </cell>
          <cell r="D8912">
            <v>0.82</v>
          </cell>
        </row>
        <row r="8913">
          <cell r="C8913" t="str">
            <v>Ourgame International</v>
          </cell>
          <cell r="D8913">
            <v>615</v>
          </cell>
        </row>
        <row r="8914">
          <cell r="C8914" t="str">
            <v>SM Wirtschaftsberatungs AG</v>
          </cell>
          <cell r="D8914">
            <v>0.84379999999999999</v>
          </cell>
        </row>
        <row r="8915">
          <cell r="C8915" t="str">
            <v>PopReach</v>
          </cell>
          <cell r="D8915">
            <v>3.6807799999999999</v>
          </cell>
        </row>
        <row r="8916">
          <cell r="C8916" t="str">
            <v>Renalytix</v>
          </cell>
          <cell r="D8916">
            <v>0.9</v>
          </cell>
        </row>
        <row r="8917">
          <cell r="C8917" t="str">
            <v>Femasys</v>
          </cell>
          <cell r="D8917">
            <v>2.99</v>
          </cell>
        </row>
        <row r="8918">
          <cell r="C8918" t="str">
            <v>Vincerx Pharma</v>
          </cell>
          <cell r="D8918">
            <v>2.2999999999999998</v>
          </cell>
        </row>
        <row r="8919">
          <cell r="C8919" t="str">
            <v>BioXcel Therapeutics</v>
          </cell>
          <cell r="D8919">
            <v>0.69689999999999996</v>
          </cell>
        </row>
        <row r="8920">
          <cell r="C8920" t="str">
            <v>LL Flooring</v>
          </cell>
          <cell r="D8920">
            <v>926</v>
          </cell>
        </row>
        <row r="8921">
          <cell r="C8921" t="str">
            <v>bet-at-home.com</v>
          </cell>
          <cell r="D8921">
            <v>309</v>
          </cell>
        </row>
        <row r="8922">
          <cell r="C8922" t="str">
            <v>Global Mofy Metaverse</v>
          </cell>
          <cell r="D8922">
            <v>125</v>
          </cell>
        </row>
        <row r="8923">
          <cell r="C8923" t="str">
            <v>Aterian</v>
          </cell>
          <cell r="D8923">
            <v>0.98</v>
          </cell>
        </row>
        <row r="8924">
          <cell r="C8924" t="str">
            <v>BIT Mining (500.com)</v>
          </cell>
          <cell r="D8924">
            <v>1.98</v>
          </cell>
        </row>
        <row r="8925">
          <cell r="C8925" t="str">
            <v>Biora Therapeutics</v>
          </cell>
          <cell r="D8925">
            <v>18.399999999999999</v>
          </cell>
        </row>
        <row r="8926">
          <cell r="C8926" t="str">
            <v>Erayak Power Solution</v>
          </cell>
          <cell r="D8926">
            <v>0.25</v>
          </cell>
        </row>
        <row r="8927">
          <cell r="C8927" t="str">
            <v>BrainStorm Cell Therapeutics</v>
          </cell>
          <cell r="D8927">
            <v>5.77386</v>
          </cell>
        </row>
        <row r="8928">
          <cell r="C8928" t="str">
            <v>Drive Shack</v>
          </cell>
          <cell r="D8928">
            <v>0.9</v>
          </cell>
        </row>
        <row r="8929">
          <cell r="C8929" t="str">
            <v>Mynaric</v>
          </cell>
          <cell r="D8929">
            <v>2.81168</v>
          </cell>
        </row>
        <row r="8930">
          <cell r="C8930" t="str">
            <v>Performance Shipping</v>
          </cell>
          <cell r="D8930">
            <v>0.63139999999999996</v>
          </cell>
        </row>
        <row r="8931">
          <cell r="C8931" t="str">
            <v>Pieris Pharmaceuticals</v>
          </cell>
          <cell r="D8931">
            <v>6.0793600000000003E-2</v>
          </cell>
        </row>
        <row r="8932">
          <cell r="C8932" t="str">
            <v>F45 Training</v>
          </cell>
          <cell r="D8932">
            <v>2.63</v>
          </cell>
        </row>
        <row r="8933">
          <cell r="C8933" t="str">
            <v>Appirits</v>
          </cell>
          <cell r="D8933">
            <v>0.73319999999999996</v>
          </cell>
        </row>
        <row r="8934">
          <cell r="C8934" t="str">
            <v>GreenPower Motor Company</v>
          </cell>
          <cell r="D8934">
            <v>9.3299999999999994E-2</v>
          </cell>
        </row>
        <row r="8935">
          <cell r="C8935" t="str">
            <v>Yuke's</v>
          </cell>
          <cell r="D8935">
            <v>0.148225</v>
          </cell>
        </row>
        <row r="8936">
          <cell r="C8936" t="str">
            <v>Primech Holdings</v>
          </cell>
          <cell r="D8936">
            <v>3.96</v>
          </cell>
        </row>
        <row r="8937">
          <cell r="C8937" t="str">
            <v>tinyBuild</v>
          </cell>
          <cell r="D8937">
            <v>0.81</v>
          </cell>
        </row>
        <row r="8938">
          <cell r="C8938" t="str">
            <v>Local Bounti</v>
          </cell>
          <cell r="D8938">
            <v>1.85</v>
          </cell>
        </row>
        <row r="8939">
          <cell r="C8939" t="str">
            <v>YanGuFang International Group</v>
          </cell>
          <cell r="D8939">
            <v>3.9859</v>
          </cell>
        </row>
        <row r="8940">
          <cell r="C8940" t="str">
            <v>Matinas BioPharma</v>
          </cell>
          <cell r="D8940">
            <v>1.95</v>
          </cell>
        </row>
        <row r="8941">
          <cell r="C8941" t="str">
            <v>Charlotte's Web</v>
          </cell>
          <cell r="D8941">
            <v>3.3823400000000001</v>
          </cell>
        </row>
        <row r="8942">
          <cell r="C8942" t="str">
            <v>Soluna Holdings</v>
          </cell>
          <cell r="D8942">
            <v>8.1795100000000005</v>
          </cell>
        </row>
        <row r="8943">
          <cell r="C8943" t="str">
            <v>CBL International</v>
          </cell>
          <cell r="D8943">
            <v>0.63004300000000002</v>
          </cell>
        </row>
        <row r="8944">
          <cell r="C8944" t="str">
            <v>Vince Holding</v>
          </cell>
          <cell r="D8944">
            <v>1.2</v>
          </cell>
        </row>
        <row r="8945">
          <cell r="C8945" t="str">
            <v>Eco Wave Power Global</v>
          </cell>
          <cell r="D8945">
            <v>4.93</v>
          </cell>
        </row>
        <row r="8946">
          <cell r="C8946" t="str">
            <v>NanoViricides</v>
          </cell>
          <cell r="D8946">
            <v>0.82952300000000001</v>
          </cell>
        </row>
        <row r="8947">
          <cell r="C8947" t="str">
            <v>Nexstim</v>
          </cell>
          <cell r="D8947">
            <v>0.14621799999999999</v>
          </cell>
        </row>
        <row r="8948">
          <cell r="C8948" t="str">
            <v>A.S. Création Tapeten</v>
          </cell>
          <cell r="D8948">
            <v>6.48</v>
          </cell>
        </row>
        <row r="8949">
          <cell r="C8949" t="str">
            <v>Sporttotal AG</v>
          </cell>
          <cell r="D8949">
            <v>1885</v>
          </cell>
        </row>
        <row r="8950">
          <cell r="C8950" t="str">
            <v>Ekso Bionics</v>
          </cell>
          <cell r="D8950">
            <v>1585</v>
          </cell>
        </row>
        <row r="8951">
          <cell r="C8951" t="str">
            <v>SeaStar Medical</v>
          </cell>
          <cell r="D8951">
            <v>1.41</v>
          </cell>
        </row>
        <row r="8952">
          <cell r="C8952" t="str">
            <v>MAG Interactive</v>
          </cell>
          <cell r="D8952">
            <v>0.12280000000000001</v>
          </cell>
        </row>
        <row r="8953">
          <cell r="C8953" t="str">
            <v>Takaful Emarat - Insurance</v>
          </cell>
          <cell r="D8953">
            <v>0.28465000000000001</v>
          </cell>
        </row>
        <row r="8954">
          <cell r="C8954" t="str">
            <v>U Power</v>
          </cell>
          <cell r="D8954">
            <v>1.5474699999999999</v>
          </cell>
        </row>
        <row r="8955">
          <cell r="C8955" t="str">
            <v>TherapeuticsMD</v>
          </cell>
          <cell r="D8955">
            <v>4.66</v>
          </cell>
        </row>
        <row r="8956">
          <cell r="C8956" t="str">
            <v>Lead Real Estate</v>
          </cell>
          <cell r="D8956">
            <v>0.96519999999999995</v>
          </cell>
        </row>
        <row r="8957">
          <cell r="C8957" t="str">
            <v>Pixie Dust Technologies</v>
          </cell>
          <cell r="D8957">
            <v>0.32169999999999999</v>
          </cell>
        </row>
        <row r="8958">
          <cell r="C8958" t="str">
            <v>SunPower</v>
          </cell>
          <cell r="D8958">
            <v>1.76854</v>
          </cell>
        </row>
        <row r="8959">
          <cell r="C8959" t="str">
            <v>All in! Games</v>
          </cell>
          <cell r="D8959">
            <v>1.9</v>
          </cell>
        </row>
        <row r="8960">
          <cell r="C8960" t="str">
            <v>Muehlhan AG</v>
          </cell>
          <cell r="D8960">
            <v>755</v>
          </cell>
        </row>
        <row r="8961">
          <cell r="C8961" t="str">
            <v>Virax Biolabs</v>
          </cell>
          <cell r="D8961">
            <v>1.5</v>
          </cell>
        </row>
        <row r="8962">
          <cell r="C8962" t="str">
            <v>Genius Group</v>
          </cell>
          <cell r="D8962">
            <v>2.06</v>
          </cell>
        </row>
        <row r="8963">
          <cell r="C8963" t="str">
            <v>Lyra Therapeutics</v>
          </cell>
          <cell r="D8963">
            <v>0.34329999999999999</v>
          </cell>
        </row>
        <row r="8964">
          <cell r="C8964" t="str">
            <v>DF Deutsche Forfait AG</v>
          </cell>
          <cell r="D8964">
            <v>442</v>
          </cell>
        </row>
        <row r="8965">
          <cell r="C8965" t="str">
            <v>Greenidge Generation Holdings</v>
          </cell>
          <cell r="D8965">
            <v>0.30859999999999999</v>
          </cell>
        </row>
        <row r="8966">
          <cell r="C8966" t="str">
            <v>ImmunoPrecise Antibodies</v>
          </cell>
          <cell r="D8966">
            <v>1.87</v>
          </cell>
        </row>
        <row r="8967">
          <cell r="C8967" t="str">
            <v>bioAffinity Technologies</v>
          </cell>
          <cell r="D8967">
            <v>1.08</v>
          </cell>
        </row>
        <row r="8968">
          <cell r="C8968" t="str">
            <v>WISeKey International</v>
          </cell>
          <cell r="D8968">
            <v>2.58</v>
          </cell>
        </row>
        <row r="8969">
          <cell r="C8969" t="str">
            <v>AIM ImmunoTech</v>
          </cell>
          <cell r="D8969">
            <v>2.3875299999999999</v>
          </cell>
        </row>
        <row r="8970">
          <cell r="C8970" t="str">
            <v>Beyond Air</v>
          </cell>
          <cell r="D8970">
            <v>16.801100000000002</v>
          </cell>
        </row>
        <row r="8971">
          <cell r="C8971" t="str">
            <v>Nano Labs</v>
          </cell>
          <cell r="D8971">
            <v>0.14649999999999999</v>
          </cell>
        </row>
        <row r="8972">
          <cell r="C8972" t="str">
            <v>NRx Pharmaceuticals</v>
          </cell>
          <cell r="D8972">
            <v>2.76335</v>
          </cell>
        </row>
        <row r="8973">
          <cell r="C8973" t="str">
            <v>Inspira Technologies</v>
          </cell>
          <cell r="D8973">
            <v>0.4355</v>
          </cell>
        </row>
        <row r="8974">
          <cell r="C8974" t="str">
            <v>Bullfrog AI</v>
          </cell>
          <cell r="D8974">
            <v>0.36</v>
          </cell>
        </row>
        <row r="8975">
          <cell r="C8975" t="str">
            <v>Mynet</v>
          </cell>
          <cell r="D8975">
            <v>1.91</v>
          </cell>
        </row>
        <row r="8976">
          <cell r="C8976" t="str">
            <v>Sporting Clube de Braga</v>
          </cell>
          <cell r="D8976">
            <v>3.67</v>
          </cell>
        </row>
        <row r="8977">
          <cell r="C8977" t="str">
            <v>Almaden Minerals</v>
          </cell>
          <cell r="D8977">
            <v>2.74</v>
          </cell>
        </row>
        <row r="8978">
          <cell r="C8978" t="str">
            <v>HWA AG</v>
          </cell>
          <cell r="D8978">
            <v>3.6873399999999998</v>
          </cell>
        </row>
        <row r="8979">
          <cell r="C8979" t="str">
            <v>Hydrofarm</v>
          </cell>
          <cell r="D8979">
            <v>0.61309999999999998</v>
          </cell>
        </row>
        <row r="8980">
          <cell r="C8980" t="str">
            <v>Cara Therapeutics</v>
          </cell>
          <cell r="D8980">
            <v>0.69889999999999997</v>
          </cell>
        </row>
        <row r="8981">
          <cell r="C8981" t="str">
            <v>Applied DNA Sciences</v>
          </cell>
          <cell r="D8981">
            <v>0.77990000000000004</v>
          </cell>
        </row>
        <row r="8982">
          <cell r="C8982" t="str">
            <v>Lipocine</v>
          </cell>
          <cell r="D8982">
            <v>0.54</v>
          </cell>
        </row>
        <row r="8983">
          <cell r="C8983" t="str">
            <v>Minerva Neurosciences</v>
          </cell>
          <cell r="D8983">
            <v>0.4647</v>
          </cell>
        </row>
        <row r="8984">
          <cell r="C8984" t="str">
            <v>NJ Holdings</v>
          </cell>
          <cell r="D8984">
            <v>11.2356</v>
          </cell>
        </row>
        <row r="8985">
          <cell r="C8985" t="str">
            <v>Beasley Broadcast Group</v>
          </cell>
          <cell r="D8985">
            <v>0.59219999999999995</v>
          </cell>
        </row>
        <row r="8986">
          <cell r="C8986" t="str">
            <v>Sol-Gel Technologies</v>
          </cell>
          <cell r="D8986">
            <v>0.94</v>
          </cell>
        </row>
        <row r="8987">
          <cell r="C8987" t="str">
            <v>AppTech Payments</v>
          </cell>
          <cell r="D8987">
            <v>1455</v>
          </cell>
        </row>
        <row r="8988">
          <cell r="C8988" t="str">
            <v>Phoenix Motor</v>
          </cell>
          <cell r="D8988">
            <v>0.90869999999999995</v>
          </cell>
        </row>
        <row r="8989">
          <cell r="C8989" t="str">
            <v>Spruce Biosciences</v>
          </cell>
          <cell r="D8989">
            <v>1.99</v>
          </cell>
        </row>
        <row r="8990">
          <cell r="C8990" t="str">
            <v>Astrotech</v>
          </cell>
          <cell r="D8990">
            <v>2.89</v>
          </cell>
        </row>
        <row r="8991">
          <cell r="C8991" t="str">
            <v>ATA Creativity Global</v>
          </cell>
          <cell r="D8991">
            <v>12.9877</v>
          </cell>
        </row>
        <row r="8992">
          <cell r="C8992" t="str">
            <v>Jianzhi Education Technology Group</v>
          </cell>
          <cell r="D8992">
            <v>3.4287999999999998</v>
          </cell>
        </row>
        <row r="8993">
          <cell r="C8993" t="str">
            <v>Kirkland's</v>
          </cell>
          <cell r="D8993">
            <v>1.8</v>
          </cell>
        </row>
        <row r="8994">
          <cell r="C8994" t="str">
            <v>Sphere 3D</v>
          </cell>
          <cell r="D8994">
            <v>0.2</v>
          </cell>
        </row>
        <row r="8995">
          <cell r="C8995" t="str">
            <v>Trinity Biotech</v>
          </cell>
          <cell r="D8995">
            <v>5.46</v>
          </cell>
        </row>
        <row r="8996">
          <cell r="C8996" t="str">
            <v>SigmaTron International</v>
          </cell>
          <cell r="D8996">
            <v>2.33</v>
          </cell>
        </row>
        <row r="8997">
          <cell r="C8997" t="str">
            <v>Veganz Group</v>
          </cell>
          <cell r="D8997">
            <v>7.1077000000000004</v>
          </cell>
        </row>
        <row r="8998">
          <cell r="C8998" t="str">
            <v>Aprea Therapeutics</v>
          </cell>
          <cell r="D8998">
            <v>8.8492199999999997E-3</v>
          </cell>
        </row>
        <row r="8999">
          <cell r="C8999" t="str">
            <v>Cocrystal Pharma</v>
          </cell>
          <cell r="D8999">
            <v>1.04</v>
          </cell>
        </row>
        <row r="9000">
          <cell r="C9000" t="str">
            <v>Nymox Pharmaceutical</v>
          </cell>
          <cell r="D9000">
            <v>703</v>
          </cell>
        </row>
        <row r="9001">
          <cell r="C9001" t="str">
            <v>Air Industries Group</v>
          </cell>
          <cell r="D9001">
            <v>5.72</v>
          </cell>
        </row>
        <row r="9002">
          <cell r="C9002" t="str">
            <v>Duos Technologies Group</v>
          </cell>
          <cell r="D9002">
            <v>0.14548700000000001</v>
          </cell>
        </row>
        <row r="9003">
          <cell r="C9003" t="str">
            <v>Singular Genomics Systems</v>
          </cell>
          <cell r="D9003">
            <v>6.76</v>
          </cell>
        </row>
        <row r="9004">
          <cell r="C9004" t="str">
            <v>FingerTango</v>
          </cell>
          <cell r="D9004">
            <v>0.22309999999999999</v>
          </cell>
        </row>
        <row r="9005">
          <cell r="C9005" t="str">
            <v>Talphera</v>
          </cell>
          <cell r="D9005">
            <v>0.26889999999999997</v>
          </cell>
        </row>
        <row r="9006">
          <cell r="C9006" t="str">
            <v>Fly-E Group</v>
          </cell>
          <cell r="D9006">
            <v>0.1812</v>
          </cell>
        </row>
        <row r="9007">
          <cell r="C9007" t="str">
            <v>Aeterna Zentaris</v>
          </cell>
          <cell r="D9007">
            <v>1.48</v>
          </cell>
        </row>
        <row r="9008">
          <cell r="C9008" t="str">
            <v>Toro Energy</v>
          </cell>
          <cell r="D9008">
            <v>0.79356400000000005</v>
          </cell>
        </row>
        <row r="9009">
          <cell r="C9009" t="str">
            <v>SeaChange</v>
          </cell>
          <cell r="D9009">
            <v>1.24</v>
          </cell>
        </row>
        <row r="9010">
          <cell r="C9010" t="str">
            <v>VIA optronics AG</v>
          </cell>
          <cell r="D9010">
            <v>63</v>
          </cell>
        </row>
        <row r="9011">
          <cell r="C9011" t="str">
            <v>Focus Universal</v>
          </cell>
          <cell r="D9011">
            <v>4.97</v>
          </cell>
        </row>
        <row r="9012">
          <cell r="C9012" t="str">
            <v>Ocean Power Technologies</v>
          </cell>
          <cell r="D9012">
            <v>6.43</v>
          </cell>
        </row>
        <row r="9013">
          <cell r="C9013" t="str">
            <v>Synlogic</v>
          </cell>
          <cell r="D9013">
            <v>0.46710000000000002</v>
          </cell>
        </row>
        <row r="9014">
          <cell r="C9014" t="str">
            <v>AltPlus</v>
          </cell>
          <cell r="D9014">
            <v>1.4813000000000001</v>
          </cell>
        </row>
        <row r="9015">
          <cell r="C9015" t="str">
            <v>Surf Air Mobility</v>
          </cell>
          <cell r="D9015">
            <v>1385</v>
          </cell>
        </row>
        <row r="9016">
          <cell r="C9016" t="str">
            <v>Hyzon Motors</v>
          </cell>
          <cell r="D9016">
            <v>0.40279999999999999</v>
          </cell>
        </row>
        <row r="9017">
          <cell r="C9017" t="str">
            <v>Ashford Inc</v>
          </cell>
          <cell r="D9017">
            <v>0.54610000000000003</v>
          </cell>
        </row>
        <row r="9018">
          <cell r="C9018" t="str">
            <v>Connexa Sports Technologies</v>
          </cell>
          <cell r="D9018">
            <v>1.97</v>
          </cell>
        </row>
        <row r="9019">
          <cell r="C9019" t="str">
            <v>ZK International Group</v>
          </cell>
          <cell r="D9019">
            <v>1.3682099999999999</v>
          </cell>
        </row>
        <row r="9020">
          <cell r="C9020" t="str">
            <v>CytoMed Therapeutics</v>
          </cell>
          <cell r="D9020">
            <v>0.68</v>
          </cell>
        </row>
        <row r="9021">
          <cell r="C9021" t="str">
            <v>Urban-gro</v>
          </cell>
          <cell r="D9021">
            <v>6.72</v>
          </cell>
        </row>
        <row r="9022">
          <cell r="C9022" t="str">
            <v>Adamas One</v>
          </cell>
          <cell r="D9022">
            <v>0.93010000000000004</v>
          </cell>
        </row>
        <row r="9023">
          <cell r="C9023" t="str">
            <v>Big Lots</v>
          </cell>
          <cell r="D9023">
            <v>0.98</v>
          </cell>
        </row>
        <row r="9024">
          <cell r="C9024" t="str">
            <v>iBio</v>
          </cell>
          <cell r="D9024">
            <v>9.5399999999999999E-2</v>
          </cell>
        </row>
        <row r="9025">
          <cell r="C9025" t="str">
            <v>CyberStep</v>
          </cell>
          <cell r="D9025">
            <v>9.0641299999999994E-2</v>
          </cell>
        </row>
        <row r="9026">
          <cell r="C9026" t="str">
            <v>Workhorse Group</v>
          </cell>
          <cell r="D9026">
            <v>5.9859400000000003</v>
          </cell>
        </row>
        <row r="9027">
          <cell r="C9027" t="str">
            <v>Vislink Technologies</v>
          </cell>
          <cell r="D9027">
            <v>1.43</v>
          </cell>
        </row>
        <row r="9028">
          <cell r="C9028" t="str">
            <v>The Glimpse Group</v>
          </cell>
          <cell r="D9028">
            <v>1.1499999999999999</v>
          </cell>
        </row>
        <row r="9029">
          <cell r="C9029" t="str">
            <v>La Rosa Holdings</v>
          </cell>
          <cell r="D9029">
            <v>2.99</v>
          </cell>
        </row>
        <row r="9030">
          <cell r="C9030" t="str">
            <v>Camber Energy</v>
          </cell>
          <cell r="D9030">
            <v>215</v>
          </cell>
        </row>
        <row r="9031">
          <cell r="C9031" t="str">
            <v>MEP Infrastructure</v>
          </cell>
          <cell r="D9031">
            <v>0.03</v>
          </cell>
        </row>
        <row r="9032">
          <cell r="C9032" t="str">
            <v>Silicon Studio</v>
          </cell>
          <cell r="D9032">
            <v>1.02</v>
          </cell>
        </row>
        <row r="9033">
          <cell r="C9033" t="str">
            <v>CCSC Technology International Holdings</v>
          </cell>
          <cell r="D9033">
            <v>702</v>
          </cell>
        </row>
        <row r="9034">
          <cell r="C9034" t="str">
            <v>Imunon</v>
          </cell>
          <cell r="D9034">
            <v>1.03</v>
          </cell>
        </row>
        <row r="9035">
          <cell r="C9035" t="str">
            <v>Aptorum Group</v>
          </cell>
          <cell r="D9035">
            <v>6.3485100000000001</v>
          </cell>
        </row>
        <row r="9036">
          <cell r="C9036" t="str">
            <v>Mullen Automotive</v>
          </cell>
          <cell r="D9036">
            <v>0.68764999999999998</v>
          </cell>
        </row>
        <row r="9037">
          <cell r="C9037" t="str">
            <v>Selina Hospitality</v>
          </cell>
          <cell r="D9037">
            <v>0.91969999999999996</v>
          </cell>
        </row>
        <row r="9038">
          <cell r="C9038" t="str">
            <v>Pintec Technology</v>
          </cell>
          <cell r="D9038">
            <v>2.5927600000000002</v>
          </cell>
        </row>
        <row r="9039">
          <cell r="C9039" t="str">
            <v>Turnstone Biologics</v>
          </cell>
          <cell r="D9039">
            <v>1.33</v>
          </cell>
        </row>
        <row r="9040">
          <cell r="C9040" t="str">
            <v>Perfect Moment</v>
          </cell>
          <cell r="D9040">
            <v>0.34130100000000002</v>
          </cell>
        </row>
        <row r="9041">
          <cell r="C9041" t="str">
            <v>WonderPlanet</v>
          </cell>
          <cell r="D9041">
            <v>469</v>
          </cell>
        </row>
        <row r="9042">
          <cell r="C9042" t="str">
            <v>InterServ International</v>
          </cell>
          <cell r="D9042">
            <v>0.49940000000000001</v>
          </cell>
        </row>
        <row r="9043">
          <cell r="C9043" t="str">
            <v>Maison Solutions</v>
          </cell>
          <cell r="D9043">
            <v>0.342053</v>
          </cell>
        </row>
        <row r="9044">
          <cell r="C9044" t="str">
            <v>Edia</v>
          </cell>
          <cell r="D9044">
            <v>0.7</v>
          </cell>
        </row>
        <row r="9045">
          <cell r="C9045" t="str">
            <v>Turbo Energy</v>
          </cell>
          <cell r="D9045">
            <v>0.51</v>
          </cell>
        </row>
        <row r="9046">
          <cell r="C9046" t="str">
            <v>ADVFN</v>
          </cell>
          <cell r="D9046">
            <v>1.84</v>
          </cell>
        </row>
        <row r="9047">
          <cell r="C9047" t="str">
            <v>Real Good Food plc</v>
          </cell>
          <cell r="D9047">
            <v>0.75990000000000002</v>
          </cell>
        </row>
        <row r="9048">
          <cell r="C9048" t="str">
            <v>J-Long Group</v>
          </cell>
          <cell r="D9048">
            <v>7.5667199999999999E-3</v>
          </cell>
        </row>
        <row r="9049">
          <cell r="C9049" t="str">
            <v>Mobcast</v>
          </cell>
          <cell r="D9049">
            <v>2.8723700000000001</v>
          </cell>
        </row>
        <row r="9050">
          <cell r="C9050" t="str">
            <v>Dolphin Entertainment</v>
          </cell>
          <cell r="D9050">
            <v>0.64259900000000003</v>
          </cell>
        </row>
        <row r="9051">
          <cell r="C9051" t="str">
            <v>HUB Cyber Security</v>
          </cell>
          <cell r="D9051">
            <v>2.5</v>
          </cell>
        </row>
        <row r="9052">
          <cell r="C9052" t="str">
            <v>OpGen</v>
          </cell>
          <cell r="D9052">
            <v>595</v>
          </cell>
        </row>
        <row r="9053">
          <cell r="C9053" t="str">
            <v>Cutera</v>
          </cell>
          <cell r="D9053">
            <v>2.7192399999999999E-2</v>
          </cell>
        </row>
        <row r="9054">
          <cell r="C9054" t="str">
            <v>Digital Hollywood Interactive</v>
          </cell>
          <cell r="D9054">
            <v>1.65</v>
          </cell>
        </row>
        <row r="9055">
          <cell r="C9055" t="str">
            <v>Ultimate Games</v>
          </cell>
          <cell r="D9055">
            <v>667</v>
          </cell>
        </row>
        <row r="9056">
          <cell r="C9056" t="str">
            <v>Modern Dairies Limited</v>
          </cell>
          <cell r="D9056">
            <v>0.88</v>
          </cell>
        </row>
        <row r="9057">
          <cell r="C9057" t="str">
            <v>Aytu BioScience</v>
          </cell>
          <cell r="D9057">
            <v>1.31</v>
          </cell>
        </row>
        <row r="9058">
          <cell r="C9058" t="str">
            <v>SEALSQ</v>
          </cell>
          <cell r="D9058">
            <v>3.4882499999999999</v>
          </cell>
        </row>
        <row r="9059">
          <cell r="C9059" t="str">
            <v>Future Retail</v>
          </cell>
          <cell r="D9059">
            <v>0.70840000000000003</v>
          </cell>
        </row>
        <row r="9060">
          <cell r="C9060" t="str">
            <v>CleanCore Solutions</v>
          </cell>
          <cell r="D9060">
            <v>3.33</v>
          </cell>
        </row>
        <row r="9061">
          <cell r="C9061" t="str">
            <v>CaliberCos</v>
          </cell>
          <cell r="D9061">
            <v>1.06</v>
          </cell>
        </row>
        <row r="9062">
          <cell r="C9062" t="str">
            <v>Microbot Medical</v>
          </cell>
          <cell r="D9062">
            <v>7.65</v>
          </cell>
        </row>
        <row r="9063">
          <cell r="C9063" t="str">
            <v>GigaMedia</v>
          </cell>
          <cell r="D9063">
            <v>4.84862E-2</v>
          </cell>
        </row>
        <row r="9064">
          <cell r="C9064" t="str">
            <v>Big Cheese Studio</v>
          </cell>
          <cell r="D9064">
            <v>1.24</v>
          </cell>
        </row>
        <row r="9065">
          <cell r="C9065" t="str">
            <v>SOS Limited</v>
          </cell>
          <cell r="D9065">
            <v>7.9</v>
          </cell>
        </row>
        <row r="9066">
          <cell r="C9066" t="str">
            <v>Sidus Space</v>
          </cell>
          <cell r="D9066">
            <v>9.6187099999999998E-2</v>
          </cell>
        </row>
        <row r="9067">
          <cell r="C9067" t="str">
            <v>Prestige Wealth</v>
          </cell>
          <cell r="D9067">
            <v>0.16470000000000001</v>
          </cell>
        </row>
        <row r="9068">
          <cell r="C9068" t="str">
            <v>Vroom</v>
          </cell>
          <cell r="D9068">
            <v>743</v>
          </cell>
        </row>
        <row r="9069">
          <cell r="C9069" t="str">
            <v>LL Lucky Games</v>
          </cell>
          <cell r="D9069">
            <v>7.89</v>
          </cell>
        </row>
        <row r="9070">
          <cell r="C9070" t="str">
            <v>Guardforce AI</v>
          </cell>
          <cell r="D9070">
            <v>2</v>
          </cell>
        </row>
        <row r="9071">
          <cell r="C9071" t="str">
            <v>TRxADE HEALTH</v>
          </cell>
          <cell r="D9071">
            <v>2.16</v>
          </cell>
        </row>
        <row r="9072">
          <cell r="C9072" t="str">
            <v>Forgame</v>
          </cell>
          <cell r="D9072">
            <v>2.3001</v>
          </cell>
        </row>
        <row r="9073">
          <cell r="C9073" t="str">
            <v>VCI Global</v>
          </cell>
          <cell r="D9073">
            <v>0.93959999999999999</v>
          </cell>
        </row>
        <row r="9074">
          <cell r="C9074" t="str">
            <v>Momentus</v>
          </cell>
          <cell r="D9074">
            <v>5.05</v>
          </cell>
        </row>
        <row r="9075">
          <cell r="C9075" t="str">
            <v>Cingulate</v>
          </cell>
          <cell r="D9075">
            <v>2.0699999999999998</v>
          </cell>
        </row>
        <row r="9076">
          <cell r="C9076" t="str">
            <v>BranchOut Food</v>
          </cell>
          <cell r="D9076">
            <v>0.98950000000000005</v>
          </cell>
        </row>
        <row r="9077">
          <cell r="C9077" t="str">
            <v>Vapotherm</v>
          </cell>
          <cell r="D9077">
            <v>1.5</v>
          </cell>
        </row>
        <row r="9078">
          <cell r="C9078" t="str">
            <v>Psychemedics</v>
          </cell>
          <cell r="D9078">
            <v>1.0101</v>
          </cell>
        </row>
        <row r="9079">
          <cell r="C9079" t="str">
            <v>Urgent.ly Inc.</v>
          </cell>
          <cell r="D9079">
            <v>2.17</v>
          </cell>
        </row>
        <row r="9080">
          <cell r="C9080" t="str">
            <v>WeTrade Group</v>
          </cell>
          <cell r="D9080">
            <v>3.41</v>
          </cell>
        </row>
        <row r="9081">
          <cell r="C9081" t="str">
            <v>Exela Technologies</v>
          </cell>
          <cell r="D9081">
            <v>0.78249999999999997</v>
          </cell>
        </row>
        <row r="9082">
          <cell r="C9082" t="str">
            <v>Austin Gold</v>
          </cell>
          <cell r="D9082">
            <v>0.107463</v>
          </cell>
        </row>
        <row r="9083">
          <cell r="C9083" t="str">
            <v>Advanced Health Intelligence</v>
          </cell>
          <cell r="D9083">
            <v>6.24</v>
          </cell>
        </row>
        <row r="9084">
          <cell r="C9084" t="str">
            <v>BloomZ</v>
          </cell>
          <cell r="D9084">
            <v>3.4627400000000003E-2</v>
          </cell>
        </row>
        <row r="9085">
          <cell r="C9085" t="str">
            <v>Heliogen</v>
          </cell>
          <cell r="D9085">
            <v>0.03</v>
          </cell>
        </row>
        <row r="9086">
          <cell r="C9086" t="str">
            <v>Reborn Coffee</v>
          </cell>
          <cell r="D9086">
            <v>0.1</v>
          </cell>
        </row>
        <row r="9087">
          <cell r="C9087" t="str">
            <v>Foresight Autonomous Holdings</v>
          </cell>
          <cell r="D9087">
            <v>1.57</v>
          </cell>
        </row>
        <row r="9088">
          <cell r="C9088" t="str">
            <v>Cielo Waste Solutions</v>
          </cell>
          <cell r="D9088">
            <v>2.2357900000000002</v>
          </cell>
        </row>
        <row r="9089">
          <cell r="C9089" t="str">
            <v>Golden Sun Education Group</v>
          </cell>
          <cell r="D9089">
            <v>2.58</v>
          </cell>
        </row>
        <row r="9090">
          <cell r="C9090" t="str">
            <v>Linekong Interactive</v>
          </cell>
          <cell r="D9090">
            <v>2.2999999999999998</v>
          </cell>
        </row>
        <row r="9091">
          <cell r="C9091" t="str">
            <v>Srei Infrastructure Finance</v>
          </cell>
          <cell r="D9091">
            <v>2.65</v>
          </cell>
        </row>
        <row r="9092">
          <cell r="C9092" t="str">
            <v>Oman &amp;amp; Emirates Investment Holding Co.</v>
          </cell>
          <cell r="D9092">
            <v>6.09013E-3</v>
          </cell>
        </row>
        <row r="9093">
          <cell r="C9093" t="str">
            <v>Strong Global Entertainment</v>
          </cell>
          <cell r="D9093">
            <v>2.2200000000000002</v>
          </cell>
        </row>
        <row r="9094">
          <cell r="C9094" t="str">
            <v>Gaming Factory</v>
          </cell>
          <cell r="D9094">
            <v>0.23219999999999999</v>
          </cell>
        </row>
        <row r="9095">
          <cell r="C9095" t="str">
            <v>Sonim Technologies</v>
          </cell>
          <cell r="D9095">
            <v>539</v>
          </cell>
        </row>
        <row r="9096">
          <cell r="C9096" t="str">
            <v>Cano Health</v>
          </cell>
          <cell r="D9096">
            <v>1.1200000000000001</v>
          </cell>
        </row>
        <row r="9097">
          <cell r="C9097" t="str">
            <v>Senti Biosciences</v>
          </cell>
          <cell r="D9097">
            <v>143694</v>
          </cell>
        </row>
        <row r="9098">
          <cell r="C9098" t="str">
            <v>Superior Resources</v>
          </cell>
          <cell r="D9098">
            <v>0.17116200000000001</v>
          </cell>
        </row>
        <row r="9099">
          <cell r="C9099" t="str">
            <v>Can Fite Biopharma</v>
          </cell>
          <cell r="D9099">
            <v>1.6099000000000001</v>
          </cell>
        </row>
        <row r="9100">
          <cell r="C9100" t="str">
            <v>Hanryu Holdings</v>
          </cell>
          <cell r="D9100">
            <v>2.8738800000000002</v>
          </cell>
        </row>
        <row r="9101">
          <cell r="C9101" t="str">
            <v>Astra Space</v>
          </cell>
          <cell r="D9101">
            <v>0.23849999999999999</v>
          </cell>
        </row>
        <row r="9102">
          <cell r="C9102" t="str">
            <v>Houston American Energy</v>
          </cell>
          <cell r="D9102">
            <v>0.12</v>
          </cell>
        </row>
        <row r="9103">
          <cell r="C9103" t="str">
            <v>Bertelsmann SE &amp; Co. KGaA</v>
          </cell>
          <cell r="D9103">
            <v>2.1800699999999999E-2</v>
          </cell>
        </row>
        <row r="9104">
          <cell r="C9104" t="str">
            <v>Thunderful Group</v>
          </cell>
          <cell r="D9104">
            <v>10.86</v>
          </cell>
        </row>
        <row r="9105">
          <cell r="C9105" t="str">
            <v>OceanPal</v>
          </cell>
          <cell r="D9105">
            <v>1.3153099999999999E-2</v>
          </cell>
        </row>
        <row r="9106">
          <cell r="C9106" t="str">
            <v>Witbe S.A.</v>
          </cell>
          <cell r="D9106">
            <v>0.17630000000000001</v>
          </cell>
        </row>
        <row r="9107">
          <cell r="C9107" t="str">
            <v>Graphex Group</v>
          </cell>
          <cell r="D9107">
            <v>0.1</v>
          </cell>
        </row>
        <row r="9108">
          <cell r="C9108" t="str">
            <v>Jump Networks</v>
          </cell>
          <cell r="D9108">
            <v>8.5</v>
          </cell>
        </row>
        <row r="9109">
          <cell r="C9109" t="str">
            <v>Sláturfélags Suðurlands</v>
          </cell>
          <cell r="D9109">
            <v>1.63</v>
          </cell>
        </row>
        <row r="9110">
          <cell r="C9110" t="str">
            <v>Addex Therapeutics</v>
          </cell>
          <cell r="D9110">
            <v>0.68</v>
          </cell>
        </row>
        <row r="9111">
          <cell r="C9111" t="str">
            <v>Fly Play</v>
          </cell>
          <cell r="D9111">
            <v>0.19789999999999999</v>
          </cell>
        </row>
        <row r="9112">
          <cell r="C9112" t="str">
            <v>GlycoMimetics</v>
          </cell>
          <cell r="D9112">
            <v>1.66238</v>
          </cell>
        </row>
        <row r="9113">
          <cell r="C9113" t="str">
            <v>Vaxxinity</v>
          </cell>
          <cell r="D9113">
            <v>0.94</v>
          </cell>
        </row>
        <row r="9114">
          <cell r="C9114" t="str">
            <v>Redhill Biopharma</v>
          </cell>
          <cell r="D9114">
            <v>1.25</v>
          </cell>
        </row>
        <row r="9115">
          <cell r="C9115" t="str">
            <v>Unusual Machines</v>
          </cell>
          <cell r="D9115">
            <v>1.24</v>
          </cell>
        </row>
        <row r="9116">
          <cell r="C9116" t="str">
            <v>Globavend</v>
          </cell>
          <cell r="D9116">
            <v>2.27</v>
          </cell>
        </row>
        <row r="9117">
          <cell r="C9117" t="str">
            <v>Trio Petroleum</v>
          </cell>
          <cell r="D9117">
            <v>1.1399999999999999</v>
          </cell>
        </row>
        <row r="9118">
          <cell r="C9118" t="str">
            <v>Voltage</v>
          </cell>
          <cell r="D9118">
            <v>7.2300000000000003E-2</v>
          </cell>
        </row>
        <row r="9119">
          <cell r="C9119" t="str">
            <v>Netmarble Joybomb</v>
          </cell>
          <cell r="D9119">
            <v>0.33250000000000002</v>
          </cell>
        </row>
        <row r="9120">
          <cell r="C9120" t="str">
            <v>AEye</v>
          </cell>
          <cell r="D9120">
            <v>1.51</v>
          </cell>
        </row>
        <row r="9121">
          <cell r="C9121" t="str">
            <v>Velo3D</v>
          </cell>
          <cell r="D9121">
            <v>0.97827299999999995</v>
          </cell>
        </row>
        <row r="9122">
          <cell r="C9122" t="str">
            <v>CareMax</v>
          </cell>
          <cell r="D9122">
            <v>1.72</v>
          </cell>
        </row>
        <row r="9123">
          <cell r="C9123" t="str">
            <v>Jaguar Health</v>
          </cell>
          <cell r="D9123">
            <v>0.51139999999999997</v>
          </cell>
        </row>
        <row r="9124">
          <cell r="C9124" t="str">
            <v>Verb Technology</v>
          </cell>
          <cell r="D9124">
            <v>126</v>
          </cell>
        </row>
        <row r="9125">
          <cell r="C9125" t="str">
            <v>SPI Energy</v>
          </cell>
          <cell r="D9125">
            <v>0.20960000000000001</v>
          </cell>
        </row>
        <row r="9126">
          <cell r="C9126" t="str">
            <v>Agile Therapeutics</v>
          </cell>
          <cell r="D9126">
            <v>2.7067300000000001E-3</v>
          </cell>
        </row>
        <row r="9127">
          <cell r="C9127" t="str">
            <v>Axel Mark</v>
          </cell>
          <cell r="D9127">
            <v>1.95</v>
          </cell>
        </row>
        <row r="9128">
          <cell r="C9128" t="str">
            <v>Actelis Networks</v>
          </cell>
          <cell r="D9128">
            <v>1.8522000000000001</v>
          </cell>
        </row>
        <row r="9129">
          <cell r="C9129" t="str">
            <v>Rail Vision</v>
          </cell>
          <cell r="D9129">
            <v>0.75</v>
          </cell>
        </row>
        <row r="9130">
          <cell r="C9130" t="str">
            <v>Webuy Global</v>
          </cell>
          <cell r="D9130">
            <v>5.73</v>
          </cell>
        </row>
        <row r="9131">
          <cell r="C9131" t="str">
            <v>Ontrak</v>
          </cell>
          <cell r="D9131">
            <v>0.43</v>
          </cell>
        </row>
        <row r="9132">
          <cell r="C9132" t="str">
            <v>Poseidon Nickel</v>
          </cell>
          <cell r="D9132">
            <v>6.56</v>
          </cell>
        </row>
        <row r="9133">
          <cell r="C9133" t="str">
            <v>Carver Bancorp</v>
          </cell>
          <cell r="D9133">
            <v>0.44</v>
          </cell>
        </row>
        <row r="9134">
          <cell r="C9134" t="str">
            <v>Eterna Therapeutics</v>
          </cell>
          <cell r="D9134">
            <v>1.05</v>
          </cell>
        </row>
        <row r="9135">
          <cell r="C9135" t="str">
            <v>Brera Holdings</v>
          </cell>
          <cell r="D9135">
            <v>0.17150000000000001</v>
          </cell>
        </row>
        <row r="9136">
          <cell r="C9136" t="str">
            <v>Vaccinex</v>
          </cell>
          <cell r="D9136">
            <v>0.1079</v>
          </cell>
        </row>
        <row r="9137">
          <cell r="C9137" t="str">
            <v>Ohmyhome</v>
          </cell>
          <cell r="D9137">
            <v>0.1658</v>
          </cell>
        </row>
        <row r="9138">
          <cell r="C9138" t="str">
            <v>Precipio</v>
          </cell>
          <cell r="D9138">
            <v>7.5300000000000006E-2</v>
          </cell>
        </row>
        <row r="9139">
          <cell r="C9139" t="str">
            <v>Yunji</v>
          </cell>
          <cell r="D9139">
            <v>458</v>
          </cell>
        </row>
        <row r="9140">
          <cell r="C9140" t="str">
            <v>EMCORE Corporation</v>
          </cell>
          <cell r="D9140">
            <v>0.57999999999999996</v>
          </cell>
        </row>
        <row r="9141">
          <cell r="C9141" t="str">
            <v>Rubicon Technologies</v>
          </cell>
          <cell r="D9141">
            <v>0.43</v>
          </cell>
        </row>
        <row r="9142">
          <cell r="C9142" t="str">
            <v>Draganfly</v>
          </cell>
          <cell r="D9142">
            <v>3.2</v>
          </cell>
        </row>
        <row r="9143">
          <cell r="C9143" t="str">
            <v>Castellum</v>
          </cell>
          <cell r="D9143">
            <v>0.23580000000000001</v>
          </cell>
        </row>
        <row r="9144">
          <cell r="C9144" t="str">
            <v>LuxUrban Hotels</v>
          </cell>
          <cell r="D9144">
            <v>1.2</v>
          </cell>
        </row>
        <row r="9145">
          <cell r="C9145" t="str">
            <v>Magic Empire Global (Giraffe Capital)</v>
          </cell>
          <cell r="D9145">
            <v>1.2818000000000001</v>
          </cell>
        </row>
        <row r="9146">
          <cell r="C9146" t="str">
            <v>Organovo</v>
          </cell>
          <cell r="D9146">
            <v>0.91</v>
          </cell>
        </row>
        <row r="9147">
          <cell r="C9147" t="str">
            <v>Liquid Media Group</v>
          </cell>
          <cell r="D9147">
            <v>2.73</v>
          </cell>
        </row>
        <row r="9148">
          <cell r="C9148" t="str">
            <v>Zoom Telephonics</v>
          </cell>
          <cell r="D9148">
            <v>1.18</v>
          </cell>
        </row>
        <row r="9149">
          <cell r="C9149" t="str">
            <v>Cheetah Net Supply Chain Service</v>
          </cell>
          <cell r="D9149">
            <v>1.8074600000000001</v>
          </cell>
        </row>
        <row r="9150">
          <cell r="C9150" t="str">
            <v>Socket Mobile</v>
          </cell>
          <cell r="D9150">
            <v>0.39319999999999999</v>
          </cell>
        </row>
        <row r="9151">
          <cell r="C9151" t="str">
            <v>Document Security Systems</v>
          </cell>
          <cell r="D9151">
            <v>8.0799999999999997E-2</v>
          </cell>
        </row>
        <row r="9152">
          <cell r="C9152" t="str">
            <v>PAVmed</v>
          </cell>
          <cell r="D9152">
            <v>0.21360000000000001</v>
          </cell>
        </row>
        <row r="9153">
          <cell r="C9153" t="str">
            <v>Earlyworks</v>
          </cell>
          <cell r="D9153">
            <v>7.7660000000000007E-2</v>
          </cell>
        </row>
        <row r="9154">
          <cell r="C9154" t="str">
            <v>ShiftPixy</v>
          </cell>
          <cell r="D9154">
            <v>1.96</v>
          </cell>
        </row>
        <row r="9155">
          <cell r="C9155" t="str">
            <v>Milkfood Limited</v>
          </cell>
          <cell r="D9155">
            <v>2.7008399999999999E-3</v>
          </cell>
        </row>
        <row r="9156">
          <cell r="C9156" t="str">
            <v>DDC Enterprise</v>
          </cell>
          <cell r="D9156">
            <v>86</v>
          </cell>
        </row>
        <row r="9157">
          <cell r="C9157" t="str">
            <v>Akoustis Technologies</v>
          </cell>
          <cell r="D9157">
            <v>2.0904699999999998E-2</v>
          </cell>
        </row>
        <row r="9158">
          <cell r="C9158" t="str">
            <v>Viracta Therapeutics</v>
          </cell>
          <cell r="D9158">
            <v>0.42409999999999998</v>
          </cell>
        </row>
        <row r="9159">
          <cell r="C9159" t="str">
            <v>Atlantic Sapphire</v>
          </cell>
          <cell r="D9159">
            <v>3.01</v>
          </cell>
        </row>
        <row r="9160">
          <cell r="C9160" t="str">
            <v>VivoPower</v>
          </cell>
          <cell r="D9160">
            <v>0.64249999999999996</v>
          </cell>
        </row>
        <row r="9161">
          <cell r="C9161" t="str">
            <v>Mighty Kingdom</v>
          </cell>
          <cell r="D9161">
            <v>2.39</v>
          </cell>
        </row>
        <row r="9162">
          <cell r="C9162" t="str">
            <v>Bruush Oral Care (Brüush)</v>
          </cell>
          <cell r="D9162">
            <v>1.77</v>
          </cell>
        </row>
        <row r="9163">
          <cell r="C9163" t="str">
            <v>Sino-Entertainment Technology</v>
          </cell>
          <cell r="D9163">
            <v>3.66</v>
          </cell>
        </row>
        <row r="9164">
          <cell r="C9164" t="str">
            <v>Neo-Concept International Group</v>
          </cell>
          <cell r="D9164">
            <v>0.47</v>
          </cell>
        </row>
        <row r="9165">
          <cell r="C9165" t="str">
            <v>MGO Global</v>
          </cell>
          <cell r="D9165">
            <v>1</v>
          </cell>
        </row>
        <row r="9166">
          <cell r="C9166" t="str">
            <v>Bionomics</v>
          </cell>
          <cell r="D9166">
            <v>3.71924E-3</v>
          </cell>
        </row>
        <row r="9167">
          <cell r="C9167" t="str">
            <v>Monopar Therapeutics</v>
          </cell>
          <cell r="D9167">
            <v>2285</v>
          </cell>
        </row>
        <row r="9168">
          <cell r="C9168" t="str">
            <v>Nauticus Robotics</v>
          </cell>
          <cell r="D9168">
            <v>5.03</v>
          </cell>
        </row>
        <row r="9169">
          <cell r="C9169" t="str">
            <v>NuCana</v>
          </cell>
          <cell r="D9169">
            <v>4.38</v>
          </cell>
        </row>
        <row r="9170">
          <cell r="C9170" t="str">
            <v>ProSomnus</v>
          </cell>
          <cell r="D9170">
            <v>3.5</v>
          </cell>
        </row>
        <row r="9171">
          <cell r="C9171" t="str">
            <v>Missfresh</v>
          </cell>
          <cell r="D9171">
            <v>0.35370000000000001</v>
          </cell>
        </row>
        <row r="9172">
          <cell r="C9172" t="str">
            <v>CMON</v>
          </cell>
          <cell r="D9172">
            <v>0.44080000000000003</v>
          </cell>
        </row>
        <row r="9173">
          <cell r="C9173" t="str">
            <v>Blackboxstocks</v>
          </cell>
          <cell r="D9173">
            <v>3</v>
          </cell>
        </row>
        <row r="9174">
          <cell r="C9174" t="str">
            <v>Innovative Eyewear</v>
          </cell>
          <cell r="D9174">
            <v>1.4809000000000001</v>
          </cell>
        </row>
        <row r="9175">
          <cell r="C9175" t="str">
            <v>Talis Biomedical</v>
          </cell>
          <cell r="D9175">
            <v>2.8</v>
          </cell>
        </row>
        <row r="9176">
          <cell r="C9176" t="str">
            <v>Soligenix</v>
          </cell>
          <cell r="D9176">
            <v>0.28850100000000001</v>
          </cell>
        </row>
        <row r="9177">
          <cell r="C9177" t="str">
            <v>Mainz Biomed</v>
          </cell>
          <cell r="D9177">
            <v>2.4900000000000002</v>
          </cell>
        </row>
        <row r="9178">
          <cell r="C9178" t="str">
            <v>BioNexus Gene Lab</v>
          </cell>
          <cell r="D9178">
            <v>0.44</v>
          </cell>
        </row>
        <row r="9179">
          <cell r="C9179" t="str">
            <v>Advent Technologies</v>
          </cell>
          <cell r="D9179">
            <v>2.0699999999999998</v>
          </cell>
        </row>
        <row r="9180">
          <cell r="C9180" t="str">
            <v>Energy Focus</v>
          </cell>
          <cell r="D9180">
            <v>0.76259999999999994</v>
          </cell>
        </row>
        <row r="9181">
          <cell r="C9181" t="str">
            <v>LM Funding America</v>
          </cell>
          <cell r="D9181">
            <v>0.2</v>
          </cell>
        </row>
        <row r="9182">
          <cell r="C9182" t="str">
            <v>GAME HOURS</v>
          </cell>
          <cell r="D9182">
            <v>3.7</v>
          </cell>
        </row>
        <row r="9183">
          <cell r="C9183" t="str">
            <v>Marin Software</v>
          </cell>
          <cell r="D9183">
            <v>0.39539999999999997</v>
          </cell>
        </row>
        <row r="9184">
          <cell r="C9184" t="str">
            <v>Biomerica</v>
          </cell>
          <cell r="D9184">
            <v>2.93</v>
          </cell>
        </row>
        <row r="9185">
          <cell r="C9185" t="str">
            <v>Pulmatrix</v>
          </cell>
          <cell r="D9185">
            <v>406</v>
          </cell>
        </row>
        <row r="9186">
          <cell r="C9186" t="str">
            <v>FGI Industries</v>
          </cell>
          <cell r="D9186">
            <v>0.30347400000000002</v>
          </cell>
        </row>
        <row r="9187">
          <cell r="C9187" t="str">
            <v>DZS Inc</v>
          </cell>
          <cell r="D9187">
            <v>0.22604299999999999</v>
          </cell>
        </row>
        <row r="9188">
          <cell r="C9188" t="str">
            <v>Cyngn</v>
          </cell>
          <cell r="D9188">
            <v>1.27</v>
          </cell>
        </row>
        <row r="9189">
          <cell r="C9189" t="str">
            <v>Polar Power</v>
          </cell>
          <cell r="D9189">
            <v>5.46</v>
          </cell>
        </row>
        <row r="9190">
          <cell r="C9190" t="str">
            <v>Cyclerion Therapeutics</v>
          </cell>
          <cell r="D9190">
            <v>1.38</v>
          </cell>
        </row>
        <row r="9191">
          <cell r="C9191" t="str">
            <v>Aptose Biosciences</v>
          </cell>
          <cell r="D9191">
            <v>4.3400000000000001E-2</v>
          </cell>
        </row>
        <row r="9192">
          <cell r="C9192" t="str">
            <v>HomeBiogas</v>
          </cell>
          <cell r="D9192">
            <v>0.27650799999999998</v>
          </cell>
        </row>
        <row r="9193">
          <cell r="C9193" t="str">
            <v>Taiga Motors</v>
          </cell>
          <cell r="D9193">
            <v>0.61809999999999998</v>
          </cell>
        </row>
        <row r="9194">
          <cell r="C9194" t="str">
            <v>Oragenics</v>
          </cell>
          <cell r="D9194">
            <v>0.37</v>
          </cell>
        </row>
        <row r="9195">
          <cell r="C9195" t="str">
            <v>Locafy</v>
          </cell>
          <cell r="D9195">
            <v>2.2233800000000001E-2</v>
          </cell>
        </row>
        <row r="9196">
          <cell r="C9196" t="str">
            <v>NuZee</v>
          </cell>
          <cell r="D9196">
            <v>2.5314100000000002E-4</v>
          </cell>
        </row>
        <row r="9197">
          <cell r="C9197" t="str">
            <v>Cue Health</v>
          </cell>
          <cell r="D9197">
            <v>0.4</v>
          </cell>
        </row>
        <row r="9198">
          <cell r="C9198" t="str">
            <v>Nitro Games</v>
          </cell>
          <cell r="D9198">
            <v>0.06</v>
          </cell>
        </row>
        <row r="9199">
          <cell r="C9199" t="str">
            <v>Smith Micro Software</v>
          </cell>
          <cell r="D9199">
            <v>0.52310000000000001</v>
          </cell>
        </row>
        <row r="9200">
          <cell r="C9200" t="str">
            <v>Capstone Green Energy</v>
          </cell>
          <cell r="D9200">
            <v>0.28000000000000003</v>
          </cell>
        </row>
        <row r="9201">
          <cell r="C9201" t="str">
            <v>Playgon Games</v>
          </cell>
          <cell r="D9201">
            <v>878</v>
          </cell>
        </row>
        <row r="9202">
          <cell r="C9202" t="str">
            <v>Scandinavian Airlines System (SAS)</v>
          </cell>
          <cell r="D9202">
            <v>387</v>
          </cell>
        </row>
        <row r="9203">
          <cell r="C9203" t="str">
            <v>BioSig Technologies</v>
          </cell>
          <cell r="D9203">
            <v>9.1325400000000001E-2</v>
          </cell>
        </row>
        <row r="9204">
          <cell r="C9204" t="str">
            <v>Al Khazna Insurance</v>
          </cell>
          <cell r="D9204">
            <v>4.09</v>
          </cell>
        </row>
        <row r="9205">
          <cell r="C9205" t="str">
            <v>CISO Global (Cerberus Cyber Sentinel)</v>
          </cell>
          <cell r="D9205">
            <v>981</v>
          </cell>
        </row>
        <row r="9206">
          <cell r="C9206" t="str">
            <v>Salem Media Group</v>
          </cell>
          <cell r="D9206">
            <v>3.4510800000000001E-2</v>
          </cell>
        </row>
        <row r="9207">
          <cell r="C9207" t="str">
            <v>Pineapple Financial</v>
          </cell>
          <cell r="D9207">
            <v>553</v>
          </cell>
        </row>
        <row r="9208">
          <cell r="C9208" t="str">
            <v>SIMPPLE</v>
          </cell>
          <cell r="D9208">
            <v>2.9645000000000001E-2</v>
          </cell>
        </row>
        <row r="9209">
          <cell r="C9209" t="str">
            <v>Gaming Corps</v>
          </cell>
          <cell r="D9209">
            <v>0.31469999999999998</v>
          </cell>
        </row>
        <row r="9210">
          <cell r="C9210" t="str">
            <v>Xenetic Biosciences</v>
          </cell>
          <cell r="D9210">
            <v>0.27160000000000001</v>
          </cell>
        </row>
        <row r="9211">
          <cell r="C9211" t="str">
            <v>Adial Pharmaceuticals</v>
          </cell>
          <cell r="D9211">
            <v>0.55000000000000004</v>
          </cell>
        </row>
        <row r="9212">
          <cell r="C9212" t="str">
            <v>Aurora Energy Metals</v>
          </cell>
          <cell r="D9212">
            <v>3.42</v>
          </cell>
        </row>
        <row r="9213">
          <cell r="C9213" t="str">
            <v>ParaZero Technologies</v>
          </cell>
          <cell r="D9213">
            <v>1.0900000000000001</v>
          </cell>
        </row>
        <row r="9214">
          <cell r="C9214" t="str">
            <v>Orosur Mining</v>
          </cell>
          <cell r="D9214">
            <v>885</v>
          </cell>
        </row>
        <row r="9215">
          <cell r="C9215" t="str">
            <v>Novo Integrated Sciences</v>
          </cell>
          <cell r="D9215">
            <v>1.52</v>
          </cell>
        </row>
        <row r="9216">
          <cell r="C9216" t="str">
            <v>Warrantee Inc.</v>
          </cell>
          <cell r="D9216">
            <v>0.3947</v>
          </cell>
        </row>
        <row r="9217">
          <cell r="C9217" t="str">
            <v>Marpai</v>
          </cell>
          <cell r="D9217">
            <v>2.44</v>
          </cell>
        </row>
        <row r="9218">
          <cell r="C9218" t="str">
            <v>Telesis Bio</v>
          </cell>
          <cell r="D9218">
            <v>0.34570000000000001</v>
          </cell>
        </row>
        <row r="9219">
          <cell r="C9219" t="str">
            <v>Biofrontera</v>
          </cell>
          <cell r="D9219">
            <v>6.13</v>
          </cell>
        </row>
        <row r="9220">
          <cell r="C9220" t="str">
            <v>Energous</v>
          </cell>
          <cell r="D9220">
            <v>229</v>
          </cell>
        </row>
        <row r="9221">
          <cell r="C9221" t="str">
            <v>Stryve Foods</v>
          </cell>
          <cell r="D9221">
            <v>121</v>
          </cell>
        </row>
        <row r="9222">
          <cell r="C9222" t="str">
            <v>AgEagle Aerial Systems</v>
          </cell>
          <cell r="D9222">
            <v>0.24065800000000001</v>
          </cell>
        </row>
        <row r="9223">
          <cell r="C9223" t="str">
            <v>IM Cannabis</v>
          </cell>
          <cell r="D9223">
            <v>0.26640000000000003</v>
          </cell>
        </row>
        <row r="9224">
          <cell r="C9224" t="str">
            <v>Fresh Vine Wine</v>
          </cell>
          <cell r="D9224">
            <v>0.32229999999999998</v>
          </cell>
        </row>
        <row r="9225">
          <cell r="C9225" t="str">
            <v>Titan Pharmaceuticals</v>
          </cell>
          <cell r="D9225">
            <v>0.48249999999999998</v>
          </cell>
        </row>
        <row r="9226">
          <cell r="C9226" t="str">
            <v>Tonix Pharmaceuticals</v>
          </cell>
          <cell r="D9226">
            <v>0.38</v>
          </cell>
        </row>
        <row r="9227">
          <cell r="C9227" t="str">
            <v>Greenbrook TMS</v>
          </cell>
          <cell r="D9227">
            <v>5.4161599999999997E-2</v>
          </cell>
        </row>
        <row r="9228">
          <cell r="C9228" t="str">
            <v>ManyDev Studio</v>
          </cell>
          <cell r="D9228">
            <v>0.19550000000000001</v>
          </cell>
        </row>
        <row r="9229">
          <cell r="C9229" t="str">
            <v>Elevai Labs</v>
          </cell>
          <cell r="D9229">
            <v>1.4</v>
          </cell>
        </row>
        <row r="9230">
          <cell r="C9230" t="str">
            <v>Trust Stamp</v>
          </cell>
          <cell r="D9230">
            <v>1.02</v>
          </cell>
        </row>
        <row r="9231">
          <cell r="C9231" t="str">
            <v>Janover</v>
          </cell>
          <cell r="D9231">
            <v>2.0300399999999999E-3</v>
          </cell>
        </row>
        <row r="9232">
          <cell r="C9232" t="str">
            <v>Aethlon Medical</v>
          </cell>
          <cell r="D9232">
            <v>4.44675E-2</v>
          </cell>
        </row>
        <row r="9233">
          <cell r="C9233" t="str">
            <v>Maximum Entertainment</v>
          </cell>
          <cell r="D9233">
            <v>0.1053</v>
          </cell>
        </row>
        <row r="9234">
          <cell r="C9234" t="str">
            <v>SaverOne 2014</v>
          </cell>
          <cell r="D9234">
            <v>0.93489999999999995</v>
          </cell>
        </row>
        <row r="9235">
          <cell r="C9235" t="str">
            <v>AVROBIO</v>
          </cell>
          <cell r="D9235">
            <v>645</v>
          </cell>
        </row>
        <row r="9236">
          <cell r="C9236" t="str">
            <v>Onfolio Holdings</v>
          </cell>
          <cell r="D9236">
            <v>93</v>
          </cell>
        </row>
        <row r="9237">
          <cell r="C9237" t="str">
            <v>GTI Energy</v>
          </cell>
          <cell r="D9237">
            <v>838</v>
          </cell>
        </row>
        <row r="9238">
          <cell r="C9238" t="str">
            <v>Titan Medical</v>
          </cell>
          <cell r="D9238">
            <v>0.06</v>
          </cell>
        </row>
        <row r="9239">
          <cell r="C9239" t="str">
            <v>NanoString Technologies</v>
          </cell>
          <cell r="D9239">
            <v>0.69389999999999996</v>
          </cell>
        </row>
        <row r="9240">
          <cell r="C9240" t="str">
            <v>Mobilicom</v>
          </cell>
          <cell r="D9240">
            <v>319</v>
          </cell>
        </row>
        <row r="9241">
          <cell r="C9241" t="str">
            <v>Azitra</v>
          </cell>
          <cell r="D9241">
            <v>1.85</v>
          </cell>
        </row>
        <row r="9242">
          <cell r="C9242" t="str">
            <v>Remark Holdings</v>
          </cell>
          <cell r="D9242">
            <v>3.45</v>
          </cell>
        </row>
        <row r="9243">
          <cell r="C9243" t="str">
            <v>Hepion Pharmaceuticals</v>
          </cell>
          <cell r="D9243">
            <v>6.4899999999999999E-2</v>
          </cell>
        </row>
        <row r="9244">
          <cell r="C9244" t="str">
            <v>Loop Media</v>
          </cell>
          <cell r="D9244">
            <v>1.71</v>
          </cell>
        </row>
        <row r="9245">
          <cell r="C9245" t="str">
            <v>Hoth Therapeutics</v>
          </cell>
          <cell r="D9245">
            <v>2.3246000000000002</v>
          </cell>
        </row>
        <row r="9246">
          <cell r="C9246" t="str">
            <v>Golden Minerals</v>
          </cell>
          <cell r="D9246">
            <v>1.42</v>
          </cell>
        </row>
        <row r="9247">
          <cell r="C9247" t="str">
            <v>Leafly Holdings</v>
          </cell>
          <cell r="D9247">
            <v>0.3402</v>
          </cell>
        </row>
        <row r="9248">
          <cell r="C9248" t="str">
            <v>Portage Biotech</v>
          </cell>
          <cell r="D9248">
            <v>1.8E-3</v>
          </cell>
        </row>
        <row r="9249">
          <cell r="C9249" t="str">
            <v>Sonendo</v>
          </cell>
          <cell r="D9249">
            <v>1.17</v>
          </cell>
        </row>
        <row r="9250">
          <cell r="C9250" t="str">
            <v>Versus Systems</v>
          </cell>
          <cell r="D9250">
            <v>1.58</v>
          </cell>
        </row>
        <row r="9251">
          <cell r="C9251" t="str">
            <v>Kidpik</v>
          </cell>
          <cell r="D9251">
            <v>3.27E-2</v>
          </cell>
        </row>
        <row r="9252">
          <cell r="C9252" t="str">
            <v>Asset Entities</v>
          </cell>
          <cell r="D9252">
            <v>1.82</v>
          </cell>
        </row>
        <row r="9253">
          <cell r="C9253" t="str">
            <v>Mallinckrodt Pharmaceuticals</v>
          </cell>
          <cell r="D9253">
            <v>0.20680000000000001</v>
          </cell>
        </row>
        <row r="9254">
          <cell r="C9254" t="str">
            <v>Greene Concepts</v>
          </cell>
          <cell r="D9254">
            <v>2.59</v>
          </cell>
        </row>
        <row r="9255">
          <cell r="C9255" t="str">
            <v>Motorsport Gaming</v>
          </cell>
          <cell r="D9255">
            <v>2.3736000000000002</v>
          </cell>
        </row>
        <row r="9256">
          <cell r="C9256" t="str">
            <v>2U</v>
          </cell>
          <cell r="D9256">
            <v>0.43509999999999999</v>
          </cell>
        </row>
        <row r="9257">
          <cell r="C9257" t="str">
            <v>Gamida Cell</v>
          </cell>
          <cell r="D9257">
            <v>0.38</v>
          </cell>
        </row>
        <row r="9258">
          <cell r="C9258" t="str">
            <v>MyMD Pharmaceuticals</v>
          </cell>
          <cell r="D9258">
            <v>1.1000000000000001</v>
          </cell>
        </row>
        <row r="9259">
          <cell r="C9259" t="str">
            <v>Upexi</v>
          </cell>
          <cell r="D9259">
            <v>0.70320000000000005</v>
          </cell>
        </row>
        <row r="9260">
          <cell r="C9260" t="str">
            <v>Alaunos Therapeutics</v>
          </cell>
          <cell r="D9260">
            <v>3.1074000000000002</v>
          </cell>
        </row>
        <row r="9261">
          <cell r="C9261" t="str">
            <v>OLB Group</v>
          </cell>
          <cell r="D9261">
            <v>205</v>
          </cell>
        </row>
        <row r="9262">
          <cell r="C9262" t="str">
            <v>Boxlight</v>
          </cell>
          <cell r="D9262">
            <v>0.17305000000000001</v>
          </cell>
        </row>
        <row r="9263">
          <cell r="C9263" t="str">
            <v>Arcimoto</v>
          </cell>
          <cell r="D9263">
            <v>6.8599999999999994E-2</v>
          </cell>
        </row>
        <row r="9264">
          <cell r="C9264" t="str">
            <v>Digital Ally</v>
          </cell>
          <cell r="D9264">
            <v>0.57999999999999996</v>
          </cell>
        </row>
        <row r="9265">
          <cell r="C9265" t="str">
            <v>Hempacco</v>
          </cell>
          <cell r="D9265">
            <v>1.2657E-3</v>
          </cell>
        </row>
        <row r="9266">
          <cell r="C9266" t="str">
            <v>Arcadia Biosciences</v>
          </cell>
          <cell r="D9266">
            <v>9.69E-2</v>
          </cell>
        </row>
        <row r="9267">
          <cell r="C9267" t="str">
            <v>Ideanomics</v>
          </cell>
          <cell r="D9267">
            <v>1.01502E-2</v>
          </cell>
        </row>
        <row r="9268">
          <cell r="C9268" t="str">
            <v>Northann Corp</v>
          </cell>
          <cell r="D9268">
            <v>1025</v>
          </cell>
        </row>
        <row r="9269">
          <cell r="C9269" t="str">
            <v>Kaixin Auto</v>
          </cell>
          <cell r="D9269">
            <v>0.13</v>
          </cell>
        </row>
        <row r="9270">
          <cell r="C9270" t="str">
            <v>Delta Apparel</v>
          </cell>
          <cell r="D9270">
            <v>0.2495</v>
          </cell>
        </row>
        <row r="9271">
          <cell r="C9271" t="str">
            <v>Fragbite Group</v>
          </cell>
          <cell r="D9271">
            <v>0.24579999999999999</v>
          </cell>
        </row>
        <row r="9272">
          <cell r="C9272" t="str">
            <v>JOANN</v>
          </cell>
          <cell r="D9272">
            <v>0.1067</v>
          </cell>
        </row>
        <row r="9273">
          <cell r="C9273" t="str">
            <v>Sabre Resources</v>
          </cell>
          <cell r="D9273">
            <v>7.7000000000000002E-3</v>
          </cell>
        </row>
        <row r="9274">
          <cell r="C9274" t="str">
            <v>AquaBounty</v>
          </cell>
          <cell r="D9274">
            <v>2.29</v>
          </cell>
        </row>
        <row r="9275">
          <cell r="C9275" t="str">
            <v>PunkPirates</v>
          </cell>
          <cell r="D9275">
            <v>1.45</v>
          </cell>
        </row>
        <row r="9276">
          <cell r="C9276" t="str">
            <v>Forza X1</v>
          </cell>
          <cell r="D9276">
            <v>0.04</v>
          </cell>
        </row>
        <row r="9277">
          <cell r="C9277" t="str">
            <v>Avalon GloboCare</v>
          </cell>
          <cell r="D9277">
            <v>0.14940000000000001</v>
          </cell>
        </row>
        <row r="9278">
          <cell r="C9278" t="str">
            <v>SOBR Safe</v>
          </cell>
          <cell r="D9278">
            <v>0.2399</v>
          </cell>
        </row>
        <row r="9279">
          <cell r="C9279" t="str">
            <v>Presto Automation</v>
          </cell>
          <cell r="D9279">
            <v>0.3024</v>
          </cell>
        </row>
        <row r="9280">
          <cell r="C9280" t="str">
            <v>Baosheng Media Group</v>
          </cell>
          <cell r="D9280">
            <v>1.1399999999999999</v>
          </cell>
        </row>
        <row r="9281">
          <cell r="C9281" t="str">
            <v>EZGO Technologies</v>
          </cell>
          <cell r="D9281">
            <v>0.27</v>
          </cell>
        </row>
        <row r="9282">
          <cell r="C9282" t="str">
            <v>Field Trip Health</v>
          </cell>
          <cell r="D9282">
            <v>0.52580000000000005</v>
          </cell>
        </row>
        <row r="9283">
          <cell r="C9283" t="str">
            <v>Jet.AI</v>
          </cell>
          <cell r="D9283">
            <v>6.2600000000000003E-2</v>
          </cell>
        </row>
        <row r="9284">
          <cell r="C9284" t="str">
            <v>Mangoceuticals</v>
          </cell>
          <cell r="D9284">
            <v>395</v>
          </cell>
        </row>
        <row r="9285">
          <cell r="C9285" t="str">
            <v>Nxu</v>
          </cell>
          <cell r="D9285">
            <v>2.9999999999999997E-4</v>
          </cell>
        </row>
        <row r="9286">
          <cell r="C9286" t="str">
            <v>Edible Garden</v>
          </cell>
          <cell r="D9286">
            <v>0.42</v>
          </cell>
        </row>
        <row r="9287">
          <cell r="C9287" t="str">
            <v>iSpecimen</v>
          </cell>
          <cell r="D9287">
            <v>3.3</v>
          </cell>
        </row>
        <row r="9288">
          <cell r="C9288" t="str">
            <v>Meta Materials</v>
          </cell>
          <cell r="D9288">
            <v>3.94</v>
          </cell>
        </row>
        <row r="9289">
          <cell r="C9289" t="str">
            <v>Expion360</v>
          </cell>
          <cell r="D9289">
            <v>0.103509</v>
          </cell>
        </row>
        <row r="9290">
          <cell r="C9290" t="str">
            <v>Ensysce Biosciences</v>
          </cell>
          <cell r="D9290">
            <v>0.23480000000000001</v>
          </cell>
        </row>
        <row r="9291">
          <cell r="C9291" t="str">
            <v>Nok Air</v>
          </cell>
          <cell r="D9291">
            <v>0.54949999999999999</v>
          </cell>
        </row>
        <row r="9292">
          <cell r="C9292" t="str">
            <v>Lipella Pharmaceuticals</v>
          </cell>
          <cell r="D9292">
            <v>665</v>
          </cell>
        </row>
        <row r="9293">
          <cell r="C9293" t="str">
            <v>Sonoma Pharmaceuticals</v>
          </cell>
          <cell r="D9293">
            <v>5.46</v>
          </cell>
        </row>
        <row r="9294">
          <cell r="C9294" t="str">
            <v>Trevena</v>
          </cell>
          <cell r="D9294">
            <v>6.6696300000000002E-3</v>
          </cell>
        </row>
        <row r="9295">
          <cell r="C9295" t="str">
            <v>Vivid Games</v>
          </cell>
          <cell r="D9295">
            <v>94</v>
          </cell>
        </row>
        <row r="9296">
          <cell r="C9296" t="str">
            <v>Agrify</v>
          </cell>
          <cell r="D9296">
            <v>0.03</v>
          </cell>
        </row>
        <row r="9297">
          <cell r="C9297" t="str">
            <v>Addentax Group</v>
          </cell>
          <cell r="D9297">
            <v>0.3327</v>
          </cell>
        </row>
        <row r="9298">
          <cell r="C9298" t="str">
            <v>Kaival Brands Innovations</v>
          </cell>
          <cell r="D9298">
            <v>1.01</v>
          </cell>
        </row>
        <row r="9299">
          <cell r="C9299" t="str">
            <v>Greenlane</v>
          </cell>
          <cell r="D9299">
            <v>2.72</v>
          </cell>
        </row>
        <row r="9300">
          <cell r="C9300" t="str">
            <v>Afristrat Investment</v>
          </cell>
          <cell r="D9300">
            <v>3.13</v>
          </cell>
        </row>
        <row r="9301">
          <cell r="C9301" t="str">
            <v>DermTech</v>
          </cell>
          <cell r="D9301">
            <v>0.31909999999999999</v>
          </cell>
        </row>
        <row r="9302">
          <cell r="C9302" t="str">
            <v>Wolverine Energy and Infrastructure</v>
          </cell>
          <cell r="D9302">
            <v>4.29</v>
          </cell>
        </row>
        <row r="9303">
          <cell r="C9303" t="str">
            <v>Petros Pharmaceuticals</v>
          </cell>
          <cell r="D9303">
            <v>2.8199999999999999E-2</v>
          </cell>
        </row>
        <row r="9304">
          <cell r="C9304" t="str">
            <v>Society Pass</v>
          </cell>
          <cell r="D9304">
            <v>1.45</v>
          </cell>
        </row>
        <row r="9305">
          <cell r="C9305" t="str">
            <v>Tharimmune</v>
          </cell>
          <cell r="D9305">
            <v>0.83</v>
          </cell>
        </row>
        <row r="9306">
          <cell r="C9306" t="str">
            <v>Ascent Solar Technologies</v>
          </cell>
          <cell r="D9306">
            <v>0.95</v>
          </cell>
        </row>
        <row r="9307">
          <cell r="C9307" t="str">
            <v>22nd Century Group</v>
          </cell>
          <cell r="D9307">
            <v>114</v>
          </cell>
        </row>
        <row r="9308">
          <cell r="C9308" t="str">
            <v>Evoke Pharma</v>
          </cell>
          <cell r="D9308">
            <v>0.8901</v>
          </cell>
        </row>
        <row r="9309">
          <cell r="C9309" t="str">
            <v>RVL Pharmaceuticals</v>
          </cell>
          <cell r="D9309">
            <v>41</v>
          </cell>
        </row>
        <row r="9310">
          <cell r="C9310" t="str">
            <v>IMTE</v>
          </cell>
          <cell r="D9310">
            <v>3.4</v>
          </cell>
        </row>
        <row r="9311">
          <cell r="C9311" t="str">
            <v>Express</v>
          </cell>
          <cell r="D9311">
            <v>7.0000000000000007E-2</v>
          </cell>
        </row>
        <row r="9312">
          <cell r="C9312" t="str">
            <v>VS Media</v>
          </cell>
          <cell r="D9312">
            <v>0.8921</v>
          </cell>
        </row>
        <row r="9313">
          <cell r="C9313" t="str">
            <v>DAVIDsTEA</v>
          </cell>
          <cell r="D9313">
            <v>0.14949999999999999</v>
          </cell>
        </row>
        <row r="9314">
          <cell r="C9314" t="str">
            <v>Genetic Technologies</v>
          </cell>
          <cell r="D9314">
            <v>764</v>
          </cell>
        </row>
        <row r="9315">
          <cell r="C9315" t="str">
            <v>Trinity Place Holdings</v>
          </cell>
          <cell r="D9315">
            <v>1.52605E-2</v>
          </cell>
        </row>
        <row r="9316">
          <cell r="C9316" t="str">
            <v>Heart Test Laboratories</v>
          </cell>
          <cell r="D9316">
            <v>0.19089999999999999</v>
          </cell>
        </row>
        <row r="9317">
          <cell r="C9317" t="str">
            <v>CURO Group</v>
          </cell>
          <cell r="D9317">
            <v>0.49740000000000001</v>
          </cell>
        </row>
        <row r="9318">
          <cell r="C9318" t="str">
            <v>Altamira Therapeutics</v>
          </cell>
          <cell r="D9318">
            <v>1.42</v>
          </cell>
        </row>
        <row r="9319">
          <cell r="C9319" t="str">
            <v>Signing Day Sports</v>
          </cell>
          <cell r="D9319">
            <v>1.33</v>
          </cell>
        </row>
        <row r="9320">
          <cell r="C9320" t="str">
            <v>Helius Medical Technologies</v>
          </cell>
          <cell r="D9320">
            <v>3.55</v>
          </cell>
        </row>
        <row r="9321">
          <cell r="C9321" t="str">
            <v>Solid Clouds</v>
          </cell>
          <cell r="D9321">
            <v>3.49</v>
          </cell>
        </row>
        <row r="9322">
          <cell r="C9322" t="str">
            <v>Fr8Tech </v>
          </cell>
          <cell r="D9322">
            <v>7.18197E-2</v>
          </cell>
        </row>
        <row r="9323">
          <cell r="C9323" t="str">
            <v> (Freight Technologies)</v>
          </cell>
          <cell r="D9323">
            <v>0.1479</v>
          </cell>
        </row>
        <row r="9324">
          <cell r="C9324" t="str">
            <v>PREIT (Pennsylvania Real Estate Investment Trust)</v>
          </cell>
          <cell r="D9324">
            <v>1.27</v>
          </cell>
        </row>
        <row r="9325">
          <cell r="C9325" t="str">
            <v>Nuwellis</v>
          </cell>
          <cell r="D9325">
            <v>0.62609999999999999</v>
          </cell>
        </row>
        <row r="9326">
          <cell r="C9326" t="str">
            <v>BIO-key International</v>
          </cell>
          <cell r="D9326">
            <v>299</v>
          </cell>
        </row>
        <row r="9327">
          <cell r="C9327" t="str">
            <v>Oblong</v>
          </cell>
          <cell r="D9327">
            <v>9.7500000000000003E-2</v>
          </cell>
        </row>
        <row r="9328">
          <cell r="C9328" t="str">
            <v>SINTX Technologies</v>
          </cell>
          <cell r="D9328">
            <v>1.1100000000000001</v>
          </cell>
        </row>
        <row r="9329">
          <cell r="C9329" t="str">
            <v>Gameone</v>
          </cell>
          <cell r="D9329">
            <v>2.72</v>
          </cell>
        </row>
        <row r="9330">
          <cell r="C9330" t="str">
            <v>Cemtrex</v>
          </cell>
          <cell r="D9330">
            <v>1.22</v>
          </cell>
        </row>
        <row r="9331">
          <cell r="C9331" t="str">
            <v>SG Blocks</v>
          </cell>
          <cell r="D9331">
            <v>3.17</v>
          </cell>
        </row>
        <row r="9332">
          <cell r="C9332" t="str">
            <v>Quoin Pharmaceuticals</v>
          </cell>
          <cell r="D9332">
            <v>0.12839999999999999</v>
          </cell>
        </row>
        <row r="9333">
          <cell r="C9333" t="str">
            <v>Virtual Interactive Technologies</v>
          </cell>
          <cell r="D9333">
            <v>0.21149999999999999</v>
          </cell>
        </row>
        <row r="9334">
          <cell r="C9334" t="str">
            <v>Conn's</v>
          </cell>
          <cell r="D9334">
            <v>0.24340500000000001</v>
          </cell>
        </row>
        <row r="9335">
          <cell r="C9335" t="str">
            <v>Avinger</v>
          </cell>
          <cell r="D9335">
            <v>0.06</v>
          </cell>
        </row>
        <row r="9336">
          <cell r="C9336" t="str">
            <v>Phio Pharmaceuticals</v>
          </cell>
          <cell r="D9336">
            <v>2.33</v>
          </cell>
        </row>
        <row r="9337">
          <cell r="C9337" t="str">
            <v>Akanda</v>
          </cell>
          <cell r="D9337">
            <v>0.33239999999999997</v>
          </cell>
        </row>
        <row r="9338">
          <cell r="C9338" t="str">
            <v>Netcapital</v>
          </cell>
          <cell r="D9338">
            <v>544</v>
          </cell>
        </row>
        <row r="9339">
          <cell r="C9339" t="str">
            <v>Faraday Future</v>
          </cell>
          <cell r="D9339">
            <v>0.2918</v>
          </cell>
        </row>
        <row r="9340">
          <cell r="C9340" t="str">
            <v>Farmmi</v>
          </cell>
          <cell r="D9340">
            <v>0.3</v>
          </cell>
        </row>
        <row r="9341">
          <cell r="C9341" t="str">
            <v>Qiiwi Games</v>
          </cell>
          <cell r="D9341">
            <v>0.16</v>
          </cell>
        </row>
        <row r="9342">
          <cell r="C9342" t="str">
            <v>Biolase</v>
          </cell>
          <cell r="D9342">
            <v>0.2069</v>
          </cell>
        </row>
        <row r="9343">
          <cell r="C9343" t="str">
            <v>Staffing 360 Solutions</v>
          </cell>
          <cell r="D9343">
            <v>6.5299999999999997E-2</v>
          </cell>
        </row>
        <row r="9344">
          <cell r="C9344" t="str">
            <v>Tivic Health Systems</v>
          </cell>
          <cell r="D9344">
            <v>2355</v>
          </cell>
        </row>
        <row r="9345">
          <cell r="C9345" t="str">
            <v>cbdMD</v>
          </cell>
          <cell r="D9345">
            <v>9.1011700000000004E-3</v>
          </cell>
        </row>
        <row r="9346">
          <cell r="C9346" t="str">
            <v>Seelos Therapeutics</v>
          </cell>
          <cell r="D9346">
            <v>3.38</v>
          </cell>
        </row>
        <row r="9347">
          <cell r="C9347" t="str">
            <v>Shapeways</v>
          </cell>
          <cell r="D9347">
            <v>181</v>
          </cell>
        </row>
        <row r="9348">
          <cell r="C9348" t="str">
            <v>LMP Automotive Holdings</v>
          </cell>
          <cell r="D9348">
            <v>0.68479999999999996</v>
          </cell>
        </row>
        <row r="9349">
          <cell r="C9349" t="str">
            <v>Jeffs' Brands</v>
          </cell>
          <cell r="D9349">
            <v>1.81</v>
          </cell>
        </row>
        <row r="9350">
          <cell r="C9350" t="str">
            <v>VBI Vaccines</v>
          </cell>
          <cell r="D9350">
            <v>0.13</v>
          </cell>
        </row>
        <row r="9351">
          <cell r="C9351" t="str">
            <v>ToughBuilt Industries</v>
          </cell>
          <cell r="D9351">
            <v>0.6</v>
          </cell>
        </row>
        <row r="9352">
          <cell r="C9352" t="str">
            <v>Americanas</v>
          </cell>
          <cell r="D9352">
            <v>0.21</v>
          </cell>
        </row>
        <row r="9353">
          <cell r="C9353" t="str">
            <v>Galmed Pharmaceuticals</v>
          </cell>
          <cell r="D9353">
            <v>1.9800000000000002E-2</v>
          </cell>
        </row>
        <row r="9354">
          <cell r="C9354" t="str">
            <v>G Medical Innovations</v>
          </cell>
          <cell r="D9354">
            <v>2.0300399999999999E-3</v>
          </cell>
        </row>
        <row r="9355">
          <cell r="C9355" t="str">
            <v>Genprex</v>
          </cell>
          <cell r="D9355">
            <v>223</v>
          </cell>
        </row>
        <row r="9356">
          <cell r="C9356" t="str">
            <v>180 Life Sciences</v>
          </cell>
          <cell r="D9356">
            <v>7.1074200000000004E-2</v>
          </cell>
        </row>
        <row r="9357">
          <cell r="C9357" t="str">
            <v>Alkaline Water Company</v>
          </cell>
          <cell r="D9357">
            <v>2.6200000000000001E-2</v>
          </cell>
        </row>
        <row r="9358">
          <cell r="C9358" t="str">
            <v>ASLAN Pharmaceuticals</v>
          </cell>
          <cell r="D9358">
            <v>3.41097E-2</v>
          </cell>
        </row>
        <row r="9359">
          <cell r="C9359" t="str">
            <v>PaxMedica</v>
          </cell>
          <cell r="D9359">
            <v>0.85419999999999996</v>
          </cell>
        </row>
        <row r="9360">
          <cell r="C9360" t="str">
            <v>CorEnergy Infrastructure Trust</v>
          </cell>
          <cell r="D9360">
            <v>1.05</v>
          </cell>
        </row>
        <row r="9361">
          <cell r="C9361" t="str">
            <v>VIP Gloves</v>
          </cell>
          <cell r="D9361">
            <v>0.33</v>
          </cell>
        </row>
        <row r="9362">
          <cell r="C9362" t="str">
            <v>PainReform</v>
          </cell>
          <cell r="D9362">
            <v>0.71</v>
          </cell>
        </row>
        <row r="9363">
          <cell r="C9363" t="str">
            <v>Sozap</v>
          </cell>
          <cell r="D9363">
            <v>34</v>
          </cell>
        </row>
        <row r="9364">
          <cell r="C9364" t="str">
            <v>Vintage Wine Estates</v>
          </cell>
          <cell r="D9364">
            <v>1.4822500000000001E-2</v>
          </cell>
        </row>
        <row r="9365">
          <cell r="C9365" t="str">
            <v>Future Supply Chain Solutions</v>
          </cell>
          <cell r="D9365">
            <v>1.0350900000000001</v>
          </cell>
        </row>
        <row r="9366">
          <cell r="C9366" t="str">
            <v>Eastside Distilling</v>
          </cell>
          <cell r="D9366">
            <v>0.28738799999999998</v>
          </cell>
        </row>
        <row r="9367">
          <cell r="C9367" t="str">
            <v>Wheeler Real Estate Investment Trust</v>
          </cell>
          <cell r="D9367">
            <v>0.4</v>
          </cell>
        </row>
        <row r="9368">
          <cell r="C9368" t="str">
            <v>View, Inc.</v>
          </cell>
          <cell r="D9368">
            <v>0.21179999999999999</v>
          </cell>
        </row>
        <row r="9369">
          <cell r="C9369" t="str">
            <v>Treasure Global</v>
          </cell>
          <cell r="D9369">
            <v>9.7999999999999997E-3</v>
          </cell>
        </row>
        <row r="9370">
          <cell r="C9370" t="str">
            <v>Impac Mortgage Holdings</v>
          </cell>
          <cell r="D9370">
            <v>0.51390000000000002</v>
          </cell>
        </row>
        <row r="9371">
          <cell r="C9371" t="str">
            <v>Playground Ventures</v>
          </cell>
          <cell r="D9371">
            <v>0.2</v>
          </cell>
        </row>
        <row r="9372">
          <cell r="C9372" t="str">
            <v>T-Bull</v>
          </cell>
          <cell r="D9372">
            <v>0.165801</v>
          </cell>
        </row>
        <row r="9373">
          <cell r="C9373" t="str">
            <v>HELMA Eigenheimbau</v>
          </cell>
          <cell r="D9373">
            <v>1E-4</v>
          </cell>
        </row>
        <row r="9374">
          <cell r="C9374" t="str">
            <v>Tapinator</v>
          </cell>
          <cell r="D9374">
            <v>0.02</v>
          </cell>
        </row>
        <row r="9375">
          <cell r="C9375" t="str">
            <v>Quantum</v>
          </cell>
          <cell r="D9375">
            <v>1.28</v>
          </cell>
        </row>
        <row r="9376">
          <cell r="C9376" t="str">
            <v>Evofem Biosciences</v>
          </cell>
          <cell r="D9376">
            <v>0.05</v>
          </cell>
        </row>
        <row r="9377">
          <cell r="C9377" t="str">
            <v>Lucy Scientific Discovery</v>
          </cell>
          <cell r="D9377">
            <v>0.01</v>
          </cell>
        </row>
        <row r="9378">
          <cell r="C9378" t="str">
            <v>Neptune Wellness Solutions</v>
          </cell>
          <cell r="D9378">
            <v>0.02</v>
          </cell>
        </row>
        <row r="9379">
          <cell r="C9379" t="str">
            <v>Compleo Charging Solutions</v>
          </cell>
          <cell r="D9379">
            <v>0.01</v>
          </cell>
        </row>
        <row r="9380">
          <cell r="C9380" t="str">
            <v>Solar Integrated Roofing</v>
          </cell>
          <cell r="D9380">
            <v>9</v>
          </cell>
        </row>
        <row r="9381">
          <cell r="C9381" t="str">
            <v>Advaxis</v>
          </cell>
          <cell r="D9381">
            <v>0.4</v>
          </cell>
        </row>
        <row r="9382">
          <cell r="C9382" t="str">
            <v>Yield10 Bioscience</v>
          </cell>
          <cell r="D9382">
            <v>1.2214100000000001</v>
          </cell>
        </row>
        <row r="9383">
          <cell r="C9383" t="str">
            <v>Trillium Gold Mines</v>
          </cell>
          <cell r="D9383">
            <v>0.01</v>
          </cell>
        </row>
        <row r="9384">
          <cell r="C9384" t="str">
            <v>Movella</v>
          </cell>
          <cell r="D9384">
            <v>4.97402E-3</v>
          </cell>
        </row>
        <row r="9385">
          <cell r="C9385" t="str">
            <v>USD Partners</v>
          </cell>
          <cell r="D9385">
            <v>1.72E-2</v>
          </cell>
        </row>
        <row r="9386">
          <cell r="C9386" t="str">
            <v>Kuuhubb</v>
          </cell>
          <cell r="D9386">
            <v>0.40210000000000001</v>
          </cell>
        </row>
        <row r="9387">
          <cell r="C9387" t="str">
            <v>Freeze Tag</v>
          </cell>
          <cell r="D9387">
            <v>35</v>
          </cell>
        </row>
        <row r="9388">
          <cell r="C9388" t="str">
            <v>CalAmp</v>
          </cell>
          <cell r="D9388">
            <v>343</v>
          </cell>
        </row>
        <row r="9389">
          <cell r="C9389" t="str">
            <v>Navigator Global Investments</v>
          </cell>
          <cell r="D9389">
            <v>0.03</v>
          </cell>
        </row>
        <row r="9390">
          <cell r="C9390" t="str">
            <v>Skylight Health Group</v>
          </cell>
          <cell r="D9390">
            <v>1.11E-2</v>
          </cell>
        </row>
        <row r="9391">
          <cell r="C9391" t="str">
            <v>PREOS Real Estate</v>
          </cell>
          <cell r="D9391">
            <v>16</v>
          </cell>
        </row>
        <row r="9392">
          <cell r="C9392" t="str">
            <v>Gamer Pakistan</v>
          </cell>
          <cell r="D9392">
            <v>7.9600000000000004E-2</v>
          </cell>
        </row>
        <row r="9393">
          <cell r="C9393" t="str">
            <v>Cadrenal Therapeutics</v>
          </cell>
          <cell r="D9393">
            <v>8.5599999999999996E-2</v>
          </cell>
        </row>
        <row r="9394">
          <cell r="C9394" t="str">
            <v>Bellerophon Therapeutics</v>
          </cell>
          <cell r="D9394">
            <v>0.25009999999999999</v>
          </cell>
        </row>
        <row r="9395">
          <cell r="C9395" t="str">
            <v>Esports Entertainment</v>
          </cell>
          <cell r="D9395">
            <v>3.2000000000000002E-3</v>
          </cell>
        </row>
        <row r="9396">
          <cell r="C9396" t="str">
            <v>Grom Social Enterprises</v>
          </cell>
          <cell r="D9396">
            <v>1</v>
          </cell>
        </row>
        <row r="9397">
          <cell r="C9397" t="str">
            <v>Youngevity International</v>
          </cell>
          <cell r="D9397">
            <v>0.04</v>
          </cell>
        </row>
        <row r="9398">
          <cell r="C9398" t="str">
            <v>Mobile Global Esports (Mogo)</v>
          </cell>
          <cell r="D9398">
            <v>1.4E-3</v>
          </cell>
        </row>
        <row r="9399">
          <cell r="C9399" t="str">
            <v>Agape ATP</v>
          </cell>
          <cell r="D9399">
            <v>1E-4</v>
          </cell>
        </row>
        <row r="9400">
          <cell r="C9400" t="str">
            <v>Super League Gaming</v>
          </cell>
          <cell r="D9400">
            <v>12</v>
          </cell>
        </row>
        <row r="9401">
          <cell r="C9401" t="str">
            <v>The NFT Gaming Company</v>
          </cell>
          <cell r="D9401">
            <v>0.02</v>
          </cell>
        </row>
        <row r="9402">
          <cell r="C9402" t="str">
            <v>Republic First Bancorp</v>
          </cell>
          <cell r="D9402">
            <v>8.0000000000000004E-4</v>
          </cell>
        </row>
        <row r="9403">
          <cell r="C9403" t="str">
            <v>Trulite</v>
          </cell>
          <cell r="D9403">
            <v>1</v>
          </cell>
        </row>
        <row r="9404">
          <cell r="C9404" t="str">
            <v>eFFECTOR Therapeutics</v>
          </cell>
          <cell r="D9404">
            <v>1</v>
          </cell>
        </row>
        <row r="9405">
          <cell r="C9405" t="str">
            <v>iEntertainment Network</v>
          </cell>
          <cell r="D9405">
            <v>1E-4</v>
          </cell>
        </row>
        <row r="9406">
          <cell r="C9406" t="str">
            <v>Wearable Health Solutions</v>
          </cell>
          <cell r="D9406">
            <v>1.2999999999999999E-3</v>
          </cell>
        </row>
        <row r="9407">
          <cell r="C9407" t="str">
            <v>Minerva Surgical</v>
          </cell>
          <cell r="D9407">
            <v>1E-4</v>
          </cell>
        </row>
        <row r="9408">
          <cell r="C9408" t="str">
            <v>Calithera Biosciences</v>
          </cell>
          <cell r="D9408">
            <v>4.0000000000000002E-4</v>
          </cell>
        </row>
        <row r="9409">
          <cell r="C9409" t="str">
            <v>Triterras</v>
          </cell>
          <cell r="D9409">
            <v>2.2000000000000001E-3</v>
          </cell>
        </row>
        <row r="9410">
          <cell r="C9410" t="str">
            <v>NantHealth</v>
          </cell>
          <cell r="D9410">
            <v>2.0000000000000001E-4</v>
          </cell>
        </row>
        <row r="9411">
          <cell r="C9411" t="str">
            <v>Vinco Ventures</v>
          </cell>
          <cell r="D9411" t="str">
            <v>1.0E-5</v>
          </cell>
        </row>
        <row r="9412">
          <cell r="C9412" t="str">
            <v>Onion Global</v>
          </cell>
          <cell r="D9412">
            <v>1E-4</v>
          </cell>
        </row>
        <row r="9413">
          <cell r="C9413" t="str">
            <v>Lightning eMotors</v>
          </cell>
          <cell r="D9413">
            <v>0</v>
          </cell>
        </row>
        <row r="9414">
          <cell r="C9414" t="str">
            <v>Gaming Technologies (Gametech)</v>
          </cell>
          <cell r="D9414">
            <v>2.56</v>
          </cell>
        </row>
        <row r="9415">
          <cell r="C9415" t="str">
            <v>Viveve Medical</v>
          </cell>
          <cell r="D9415">
            <v>0</v>
          </cell>
        </row>
        <row r="9416">
          <cell r="C9416" t="str">
            <v>Ampio Pharmaceuticals</v>
          </cell>
          <cell r="D9416">
            <v>32.42</v>
          </cell>
        </row>
        <row r="9417">
          <cell r="C9417" t="str">
            <v>Kaspien</v>
          </cell>
          <cell r="D9417">
            <v>6.9097400000000002E-3</v>
          </cell>
        </row>
        <row r="9418">
          <cell r="C9418" t="str">
            <v>Great Panther Mining</v>
          </cell>
          <cell r="D9418">
            <v>4.97</v>
          </cell>
        </row>
        <row r="9419">
          <cell r="C9419" t="str">
            <v>Hallmark Financial Services</v>
          </cell>
          <cell r="D9419">
            <v>0.1</v>
          </cell>
        </row>
        <row r="9420">
          <cell r="C9420" t="str">
            <v>Yandex</v>
          </cell>
          <cell r="D9420">
            <v>45.47</v>
          </cell>
        </row>
        <row r="9421">
          <cell r="C9421" t="str">
            <v>Qiwi</v>
          </cell>
          <cell r="D9421">
            <v>0</v>
          </cell>
        </row>
        <row r="9422">
          <cell r="C9422" t="str">
            <v>Rosseti</v>
          </cell>
          <cell r="D9422">
            <v>0</v>
          </cell>
        </row>
        <row r="9423">
          <cell r="C9423" t="str">
            <v>X5 Retail Group</v>
          </cell>
          <cell r="D9423">
            <v>0</v>
          </cell>
        </row>
        <row r="9424">
          <cell r="C9424" t="str">
            <v>Pollux Properti Indonesia</v>
          </cell>
          <cell r="D9424">
            <v>0</v>
          </cell>
        </row>
        <row r="9425">
          <cell r="C9425" t="str">
            <v>Samsung Heavy Industries</v>
          </cell>
          <cell r="D9425">
            <v>0</v>
          </cell>
        </row>
        <row r="9426">
          <cell r="C9426" t="str">
            <v>Tunas Ridean</v>
          </cell>
          <cell r="D9426">
            <v>0</v>
          </cell>
        </row>
        <row r="9427">
          <cell r="C9427" t="str">
            <v>Ozon</v>
          </cell>
          <cell r="D9427">
            <v>0</v>
          </cell>
        </row>
        <row r="9428">
          <cell r="C9428" t="str">
            <v>Al Dhafra Insurance</v>
          </cell>
          <cell r="D9428">
            <v>0</v>
          </cell>
        </row>
        <row r="9429">
          <cell r="C9429" t="str">
            <v>Abu Dhabi Aviation</v>
          </cell>
          <cell r="D9429">
            <v>0</v>
          </cell>
        </row>
        <row r="9430">
          <cell r="C9430" t="str">
            <v>Agility Global</v>
          </cell>
          <cell r="D9430">
            <v>0</v>
          </cell>
        </row>
        <row r="9431">
          <cell r="C9431" t="str">
            <v>Amlak Finance</v>
          </cell>
          <cell r="D9431">
            <v>0</v>
          </cell>
        </row>
        <row r="9432">
          <cell r="C9432" t="str">
            <v>Drake and Scull International</v>
          </cell>
          <cell r="D9432">
            <v>0</v>
          </cell>
        </row>
        <row r="9433">
          <cell r="C9433" t="str">
            <v>Dubai Islamic Insurance &amp;amp; Reinsurance</v>
          </cell>
          <cell r="D9433">
            <v>0</v>
          </cell>
        </row>
        <row r="9434">
          <cell r="C9434" t="str">
            <v>Air Arabia</v>
          </cell>
          <cell r="D9434">
            <v>0</v>
          </cell>
        </row>
        <row r="9435">
          <cell r="C9435" t="str">
            <v>Aramex</v>
          </cell>
          <cell r="D9435">
            <v>0</v>
          </cell>
        </row>
        <row r="9436">
          <cell r="C9436" t="str">
            <v>Dubai Taxi Company</v>
          </cell>
          <cell r="D9436">
            <v>0</v>
          </cell>
        </row>
        <row r="9437">
          <cell r="C9437" t="str">
            <v>Emirates Central Cooling Systems</v>
          </cell>
          <cell r="D9437">
            <v>0</v>
          </cell>
        </row>
        <row r="9438">
          <cell r="C9438" t="str">
            <v>Ajman Bank</v>
          </cell>
          <cell r="D9438">
            <v>0</v>
          </cell>
        </row>
        <row r="9439">
          <cell r="C9439" t="str">
            <v>Al Ansari Financial Services</v>
          </cell>
          <cell r="D9439">
            <v>0</v>
          </cell>
        </row>
        <row r="9440">
          <cell r="C9440" t="str">
            <v>Watania International</v>
          </cell>
          <cell r="D944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CCE1BC-1A45-CC45-9D5E-D4820695CBC7}" name="Table13" displayName="Table13" ref="A1:R2413" totalsRowShown="0" headerRowDxfId="18" dataDxfId="17">
  <autoFilter ref="A1:R2413" xr:uid="{9BCCE1BC-1A45-CC45-9D5E-D4820695CBC7}"/>
  <sortState xmlns:xlrd2="http://schemas.microsoft.com/office/spreadsheetml/2017/richdata2" ref="A2:R2413">
    <sortCondition ref="I1:I2413"/>
  </sortState>
  <tableColumns count="18">
    <tableColumn id="1" xr3:uid="{07B72E49-E48B-7740-BAD0-203FE312E827}" name="Nr" dataDxfId="16"/>
    <tableColumn id="2" xr3:uid="{8B0F3933-130D-0447-8D1A-942D6383A584}" name="Company" dataDxfId="15"/>
    <tableColumn id="3" xr3:uid="{80B2BDC7-D3EC-8F41-8A97-9F934B76E54A}" name="Location_HQ" dataDxfId="14"/>
    <tableColumn id="17" xr3:uid="{F8FB89FE-633E-0B4E-B7B2-D52B073726C0}" name="Region" dataDxfId="13">
      <calculatedColumnFormula>VLOOKUP(C2,layoffs_location!A:B,2,FALSE)</calculatedColumnFormula>
    </tableColumn>
    <tableColumn id="18" xr3:uid="{A656558C-F010-2548-8CAE-619693D72619}" name="USState">
      <calculatedColumnFormula>VLOOKUP(Table13[[#This Row],[Location_HQ]],layoffs_location!A:C,3,FALSE)</calculatedColumnFormula>
    </tableColumn>
    <tableColumn id="4" xr3:uid="{E514BB72-3200-C84C-9272-72E10B18BE99}" name="Country" dataDxfId="12">
      <calculatedColumnFormula>VLOOKUP(C2,layoffs_location!A:D,4,FALSE)</calculatedColumnFormula>
    </tableColumn>
    <tableColumn id="5" xr3:uid="{7EEB81F0-41D6-BA48-BC0D-1651B5039855}" name="Continent" dataDxfId="0">
      <calculatedColumnFormula>VLOOKUP(C2,layoffs_location!A:E,5,FALSE)</calculatedColumnFormula>
    </tableColumn>
    <tableColumn id="6" xr3:uid="{C2DCE592-78E5-5D4C-B3F6-E6F5A4DE242D}" name="Laid_Off" dataDxfId="11"/>
    <tableColumn id="7" xr3:uid="{7958003D-B026-9948-9AD8-EE050191915C}" name="Date_layoffs" dataDxfId="10"/>
    <tableColumn id="8" xr3:uid="{B7772A7C-E9F5-154E-B524-5BF840FDD07A}" name="Percentage" dataDxfId="9"/>
    <tableColumn id="9" xr3:uid="{07734AD6-170C-2A48-8086-2E0EBBBAB85C}" name="Company_Size_before_Layoffs" dataDxfId="8"/>
    <tableColumn id="10" xr3:uid="{BB07E471-13FA-1F45-A65D-9ACBE5ED21CD}" name="Company_Size_after_layoffs" dataDxfId="7"/>
    <tableColumn id="11" xr3:uid="{D68948BE-0BF8-7142-BD28-2E9963E77BB3}" name="Industry" dataDxfId="6"/>
    <tableColumn id="12" xr3:uid="{EE26E661-BFAA-DA4B-ACEC-F6A1836C1366}" name="Stage" dataDxfId="5"/>
    <tableColumn id="13" xr3:uid="{7118E8EB-F7AD-5D45-8CE3-82B03C294659}" name="Money_Raised_in__mil" dataDxfId="4"/>
    <tableColumn id="14" xr3:uid="{B87C06DD-AE7F-2943-95AF-E1F560596A3D}" name="Year" dataDxfId="3"/>
    <tableColumn id="15" xr3:uid="{4B3911F8-80D2-D543-BC29-C7D885B0623B}" name="latitude" dataDxfId="1">
      <calculatedColumnFormula>VLOOKUP(C2,layoffs_location!A:F,6,FALSE)</calculatedColumnFormula>
    </tableColumn>
    <tableColumn id="16" xr3:uid="{09F04526-C3C4-D641-B63B-9ACC130C59B6}" name="longitude" dataDxfId="2">
      <calculatedColumnFormula>VLOOKUP(C2,layoffs_location!A:G,7,FALSE)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echcrunch.com/2024/05/22/food-supply-chain-software-maker-silo-lays-off-30-of-staff-amid-ma-discussions/" TargetMode="External"/><Relationship Id="rId18" Type="http://schemas.openxmlformats.org/officeDocument/2006/relationships/hyperlink" Target="https://www.cnbc.com/2024/05/01/google-cuts-hundreds-of-core-workers-moves-jobs-to-india-mexico.html" TargetMode="External"/><Relationship Id="rId26" Type="http://schemas.openxmlformats.org/officeDocument/2006/relationships/hyperlink" Target="https://www.semafor.com/article/04/16/2024/ai-startup-tome-lays-off-staff-to-focus-on-revenue" TargetMode="External"/><Relationship Id="rId39" Type="http://schemas.openxmlformats.org/officeDocument/2006/relationships/hyperlink" Target="https://therealdeal.com/national/2024/04/01/rental-platform-rezi-runs-out-of-money-shuts-down/" TargetMode="External"/><Relationship Id="rId21" Type="http://schemas.openxmlformats.org/officeDocument/2006/relationships/hyperlink" Target="https://www.businessinsider.com/tax-compliance-startup-raised-millions-then-it-abruptly-shut-down-2024-4" TargetMode="External"/><Relationship Id="rId34" Type="http://schemas.openxmlformats.org/officeDocument/2006/relationships/hyperlink" Target="https://www.bizjournals.com/portland/news/2024/04/03/layoffs-reported-at-new-relic.html" TargetMode="External"/><Relationship Id="rId42" Type="http://schemas.openxmlformats.org/officeDocument/2006/relationships/hyperlink" Target="http://c3.ai/" TargetMode="External"/><Relationship Id="rId7" Type="http://schemas.openxmlformats.org/officeDocument/2006/relationships/hyperlink" Target="https://www.calcalistech.com/ctechnews/article/hkdwxv0na" TargetMode="External"/><Relationship Id="rId2" Type="http://schemas.openxmlformats.org/officeDocument/2006/relationships/hyperlink" Target="https://www.bisnow.com/national/news/multifamily/realpage-to-lay-off-4-of-its-workforce-price-fixing-allegations-124885" TargetMode="External"/><Relationship Id="rId16" Type="http://schemas.openxmlformats.org/officeDocument/2006/relationships/hyperlink" Target="https://seekingalpha.com/news/4099966-crypto-platform-bakkt-to-lay-off-28-employees" TargetMode="External"/><Relationship Id="rId29" Type="http://schemas.openxmlformats.org/officeDocument/2006/relationships/hyperlink" Target="https://www.calcalistech.com/ctechnews/article/hyfcqfhlr" TargetMode="External"/><Relationship Id="rId1" Type="http://schemas.openxmlformats.org/officeDocument/2006/relationships/hyperlink" Target="https://www.travelweekly.com/Travel-News/Travel-Agent-Issues/Priceline-chops-more-than-100-jobs" TargetMode="External"/><Relationship Id="rId6" Type="http://schemas.openxmlformats.org/officeDocument/2006/relationships/hyperlink" Target="https://techcrunch.com/2024/06/06/revels-latest-pivot-ditching-all-employee-ride-hail-in-favor-of-gig-worker-model/" TargetMode="External"/><Relationship Id="rId11" Type="http://schemas.openxmlformats.org/officeDocument/2006/relationships/hyperlink" Target="https://markets.ft.com/data/announce/detail?dockey=600-202405290435DGAP____UKPR_____UK_Regulatory_1913105-1" TargetMode="External"/><Relationship Id="rId24" Type="http://schemas.openxmlformats.org/officeDocument/2006/relationships/hyperlink" Target="https://economictimes.indiatimes.com/tech/technology/content-to-commerce-platform-the-good-glamm-group-lays-off-150-employees/articleshow/109401639.cms" TargetMode="External"/><Relationship Id="rId32" Type="http://schemas.openxmlformats.org/officeDocument/2006/relationships/hyperlink" Target="https://www.gamesindustry.biz/singularity-6-reduces-workforce-by-35" TargetMode="External"/><Relationship Id="rId37" Type="http://schemas.openxmlformats.org/officeDocument/2006/relationships/hyperlink" Target="https://www.medtechdive.com/news/osso-vr-lay-off-67-people-san-francisco/711814/" TargetMode="External"/><Relationship Id="rId40" Type="http://schemas.openxmlformats.org/officeDocument/2006/relationships/hyperlink" Target="https://www.semafor.com/article/04/16/2024/ai-startup-tome-lays-off-staff-to-focus-on-revenue" TargetMode="External"/><Relationship Id="rId45" Type="http://schemas.openxmlformats.org/officeDocument/2006/relationships/hyperlink" Target="http://gambling.com/" TargetMode="External"/><Relationship Id="rId5" Type="http://schemas.openxmlformats.org/officeDocument/2006/relationships/hyperlink" Target="https://www.sfgate.com/tech/article/bay-area-lab-meat-company-shuts-down-19511362.php" TargetMode="External"/><Relationship Id="rId15" Type="http://schemas.openxmlformats.org/officeDocument/2006/relationships/hyperlink" Target="https://investors.kinaxis.com/news-releases/news-release-details/2024/Kinaxis-Inc.-Reports-First-Quarter-2024-Results/default.aspx" TargetMode="External"/><Relationship Id="rId23" Type="http://schemas.openxmlformats.org/officeDocument/2006/relationships/hyperlink" Target="https://www.sltrib.com/news/business/2024/04/19/homie-utah-company-meant-disrupt/" TargetMode="External"/><Relationship Id="rId28" Type="http://schemas.openxmlformats.org/officeDocument/2006/relationships/hyperlink" Target="https://beteve.cat/economia/glovo-acomiada-25-treballadors-oficines-barcelona/" TargetMode="External"/><Relationship Id="rId36" Type="http://schemas.openxmlformats.org/officeDocument/2006/relationships/hyperlink" Target="https://techpoint.africa/2024/04/01/nigerian-startup-thepeer-to-shut-down/" TargetMode="External"/><Relationship Id="rId10" Type="http://schemas.openxmlformats.org/officeDocument/2006/relationships/hyperlink" Target="https://techcrunch.com/2024/05/31/general-catalyst-backed-jasper-health-lays-off-staff/" TargetMode="External"/><Relationship Id="rId19" Type="http://schemas.openxmlformats.org/officeDocument/2006/relationships/hyperlink" Target="https://investors.akiliinteractive.com/news/news-details/2024/Akili-Announces-Amended-Agreement-with-Shionogi-Shift-in-Corporate-Strategy-and-Release-Date-for-First-Quarter-2024-Financial-Results/default.aspx" TargetMode="External"/><Relationship Id="rId31" Type="http://schemas.openxmlformats.org/officeDocument/2006/relationships/hyperlink" Target="https://aimgroup.com/2024/04/08/vinted-reportedly-lays-off-all-trendsales-employees-after-takeover/" TargetMode="External"/><Relationship Id="rId44" Type="http://schemas.openxmlformats.org/officeDocument/2006/relationships/hyperlink" Target="http://neuropixel.ai/" TargetMode="External"/><Relationship Id="rId4" Type="http://schemas.openxmlformats.org/officeDocument/2006/relationships/hyperlink" Target="https://www.massdevice.com/medtronic-layoffs-global-confirmed/" TargetMode="External"/><Relationship Id="rId9" Type="http://schemas.openxmlformats.org/officeDocument/2006/relationships/hyperlink" Target="https://agfundernews.com/breaking-ag-insights-platform-gro-intelligence-is-closing-down" TargetMode="External"/><Relationship Id="rId14" Type="http://schemas.openxmlformats.org/officeDocument/2006/relationships/hyperlink" Target="https://www.calcalistech.com/ctechnews/article/rkhuj119gc" TargetMode="External"/><Relationship Id="rId22" Type="http://schemas.openxmlformats.org/officeDocument/2006/relationships/hyperlink" Target="https://observador.pt/2024/04/19/unicornio-outsystems-faz-reducao-de-8-no-total-de-trabalhadores/" TargetMode="External"/><Relationship Id="rId27" Type="http://schemas.openxmlformats.org/officeDocument/2006/relationships/hyperlink" Target="https://www.businessinsider.com/criteo-layoffs-global-staff-job-reductions-2024-4" TargetMode="External"/><Relationship Id="rId30" Type="http://schemas.openxmlformats.org/officeDocument/2006/relationships/hyperlink" Target="https://dfmas.df.cl/df-mas/coffee-break/uber-chile-despide-a-200-personas" TargetMode="External"/><Relationship Id="rId35" Type="http://schemas.openxmlformats.org/officeDocument/2006/relationships/hyperlink" Target="https://thespoon.tech/whirlpool-lays-off-entire-team-for-cooking-and-recipe-app-yummly/" TargetMode="External"/><Relationship Id="rId43" Type="http://schemas.openxmlformats.org/officeDocument/2006/relationships/hyperlink" Target="http://crypto.com/" TargetMode="External"/><Relationship Id="rId8" Type="http://schemas.openxmlformats.org/officeDocument/2006/relationships/hyperlink" Target="https://www.theverge.com/2024/6/3/24170902/microsoft-hololens-2-mixed-reality-azure-layoffs" TargetMode="External"/><Relationship Id="rId3" Type="http://schemas.openxmlformats.org/officeDocument/2006/relationships/hyperlink" Target="https://www.businesswire.com/news/home/20240617323391/en/Chegg-Announces-Restructuring-Plan-and-New-Vision-for-Growth" TargetMode="External"/><Relationship Id="rId12" Type="http://schemas.openxmlformats.org/officeDocument/2006/relationships/hyperlink" Target="https://spacenews.com/satellogic-lays-off-13-of-workforce/" TargetMode="External"/><Relationship Id="rId17" Type="http://schemas.openxmlformats.org/officeDocument/2006/relationships/hyperlink" Target="https://www.epe.es/es/activos/20240502/cabify-ejecuta-veintena-despidos-staff-101773083" TargetMode="External"/><Relationship Id="rId25" Type="http://schemas.openxmlformats.org/officeDocument/2006/relationships/hyperlink" Target="https://www.tijd.be/ondernemen/technologie/techbedrijf-showpad-slaat-met-nieuwe-ontslagronde-pad-naar-winst-in-we-willen-overnames-doen/10540237.html" TargetMode="External"/><Relationship Id="rId33" Type="http://schemas.openxmlformats.org/officeDocument/2006/relationships/hyperlink" Target="https://fission.codes/blog/farewell-from-fission/" TargetMode="External"/><Relationship Id="rId38" Type="http://schemas.openxmlformats.org/officeDocument/2006/relationships/hyperlink" Target="http://www.linkedin.c/" TargetMode="External"/><Relationship Id="rId46" Type="http://schemas.openxmlformats.org/officeDocument/2006/relationships/table" Target="../tables/table1.xml"/><Relationship Id="rId20" Type="http://schemas.openxmlformats.org/officeDocument/2006/relationships/hyperlink" Target="https://www.theedgesingapore.com/news/company-news/second-round-layoffs-ninja-van-less-three-months-5-singapore-staff-affected" TargetMode="External"/><Relationship Id="rId41" Type="http://schemas.openxmlformats.org/officeDocument/2006/relationships/hyperlink" Target="http://cod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BB48-6F54-B94B-891B-D75A15C122C2}">
  <sheetPr codeName="Sheet1"/>
  <dimension ref="A1:T2624"/>
  <sheetViews>
    <sheetView tabSelected="1" zoomScale="80" zoomScaleNormal="80" workbookViewId="0">
      <pane ySplit="1" topLeftCell="A2133" activePane="bottomLeft" state="frozen"/>
      <selection pane="bottomLeft" activeCell="Q2420" sqref="Q2420"/>
    </sheetView>
  </sheetViews>
  <sheetFormatPr baseColWidth="10" defaultColWidth="8.83203125" defaultRowHeight="15" x14ac:dyDescent="0.2"/>
  <cols>
    <col min="1" max="1" width="9" style="3" bestFit="1" customWidth="1"/>
    <col min="2" max="2" width="25.33203125" style="3" bestFit="1" customWidth="1"/>
    <col min="3" max="5" width="24.6640625" style="3" customWidth="1"/>
    <col min="6" max="6" width="24.33203125" style="3" customWidth="1"/>
    <col min="7" max="7" width="12.1640625" style="3" customWidth="1"/>
    <col min="8" max="8" width="9.33203125" style="3" customWidth="1"/>
    <col min="9" max="9" width="20.6640625" style="8" customWidth="1"/>
    <col min="10" max="10" width="12" style="3" customWidth="1"/>
    <col min="11" max="11" width="12.33203125" style="3" customWidth="1"/>
    <col min="12" max="12" width="11.1640625" style="3" customWidth="1"/>
    <col min="13" max="13" width="26.1640625" style="3" customWidth="1"/>
    <col min="14" max="14" width="13.1640625" style="3" customWidth="1"/>
    <col min="15" max="15" width="11" style="34" customWidth="1"/>
    <col min="16" max="16" width="9" style="3" bestFit="1" customWidth="1"/>
    <col min="17" max="17" width="13.5" style="3" customWidth="1"/>
    <col min="18" max="18" width="13.1640625" style="3" customWidth="1"/>
    <col min="19" max="16384" width="8.83203125" style="3"/>
  </cols>
  <sheetData>
    <row r="1" spans="1:18" s="1" customFormat="1" x14ac:dyDescent="0.2">
      <c r="A1" s="1" t="s">
        <v>2028</v>
      </c>
      <c r="B1" s="1" t="s">
        <v>0</v>
      </c>
      <c r="C1" s="1" t="s">
        <v>1</v>
      </c>
      <c r="D1" s="1" t="s">
        <v>1707</v>
      </c>
      <c r="E1" s="1" t="s">
        <v>2027</v>
      </c>
      <c r="F1" s="1" t="s">
        <v>2</v>
      </c>
      <c r="G1" s="1" t="s">
        <v>3</v>
      </c>
      <c r="H1" s="1" t="s">
        <v>4</v>
      </c>
      <c r="I1" s="2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33" t="s">
        <v>1695</v>
      </c>
      <c r="P1" s="1" t="s">
        <v>11</v>
      </c>
      <c r="Q1" s="46" t="s">
        <v>1733</v>
      </c>
      <c r="R1" s="46" t="s">
        <v>1734</v>
      </c>
    </row>
    <row r="2" spans="1:18" s="1" customFormat="1" x14ac:dyDescent="0.2">
      <c r="A2" s="3">
        <v>1</v>
      </c>
      <c r="B2" s="3" t="s">
        <v>1325</v>
      </c>
      <c r="C2" s="3" t="s">
        <v>76</v>
      </c>
      <c r="D2" s="3" t="str">
        <f>VLOOKUP(C2,layoffs_location!A:B,2,FALSE)</f>
        <v>other</v>
      </c>
      <c r="E2" s="3" t="str">
        <f>VLOOKUP(C2,layoffs_location!A:C,3,FALSE)</f>
        <v>California</v>
      </c>
      <c r="F2" s="3" t="str">
        <f>VLOOKUP(C2,layoffs_location!A:D,4,FALSE)</f>
        <v>USA</v>
      </c>
      <c r="G2" s="3" t="str">
        <f>VLOOKUP(C2,layoffs_location!A:E,5,FALSE)</f>
        <v>North America</v>
      </c>
      <c r="H2" s="3">
        <v>20</v>
      </c>
      <c r="I2" s="8">
        <v>43902</v>
      </c>
      <c r="J2" s="9">
        <v>40</v>
      </c>
      <c r="K2" s="10">
        <v>50</v>
      </c>
      <c r="L2" s="10">
        <v>30</v>
      </c>
      <c r="M2" s="3" t="s">
        <v>30</v>
      </c>
      <c r="N2" s="3" t="s">
        <v>41</v>
      </c>
      <c r="O2" s="34">
        <v>90</v>
      </c>
      <c r="P2" s="3">
        <v>2020</v>
      </c>
      <c r="Q2" s="3">
        <f>VLOOKUP(C2,layoffs_location!A:F,6,FALSE)</f>
        <v>34.053690899999999</v>
      </c>
      <c r="R2" s="3">
        <f>VLOOKUP(C2,layoffs_location!A:G,7,FALSE)</f>
        <v>-118.242766</v>
      </c>
    </row>
    <row r="3" spans="1:18" s="1" customFormat="1" x14ac:dyDescent="0.2">
      <c r="A3" s="3">
        <v>2</v>
      </c>
      <c r="B3" s="3" t="s">
        <v>1323</v>
      </c>
      <c r="C3" s="3" t="s">
        <v>76</v>
      </c>
      <c r="D3" s="3" t="str">
        <f>VLOOKUP(C3,layoffs_location!A:B,2,FALSE)</f>
        <v>other</v>
      </c>
      <c r="E3" s="3" t="str">
        <f>VLOOKUP(C3,layoffs_location!A:C,3,FALSE)</f>
        <v>California</v>
      </c>
      <c r="F3" s="3" t="str">
        <f>VLOOKUP(C3,layoffs_location!A:D,4,FALSE)</f>
        <v>USA</v>
      </c>
      <c r="G3" s="3" t="str">
        <f>VLOOKUP(C3,layoffs_location!A:E,5,FALSE)</f>
        <v>North America</v>
      </c>
      <c r="H3" s="3">
        <v>8</v>
      </c>
      <c r="I3" s="8">
        <v>43903</v>
      </c>
      <c r="J3" s="9">
        <v>10</v>
      </c>
      <c r="K3" s="10">
        <v>80</v>
      </c>
      <c r="L3" s="10">
        <v>72</v>
      </c>
      <c r="M3" s="3" t="s">
        <v>32</v>
      </c>
      <c r="N3" s="3" t="s">
        <v>22</v>
      </c>
      <c r="O3" s="34">
        <v>45</v>
      </c>
      <c r="P3" s="3">
        <v>2020</v>
      </c>
      <c r="Q3" s="3">
        <f>VLOOKUP(C3,layoffs_location!A:F,6,FALSE)</f>
        <v>34.053690899999999</v>
      </c>
      <c r="R3" s="3">
        <f>VLOOKUP(C3,layoffs_location!A:G,7,FALSE)</f>
        <v>-118.242766</v>
      </c>
    </row>
    <row r="4" spans="1:18" s="1" customFormat="1" ht="16" x14ac:dyDescent="0.2">
      <c r="A4" s="3">
        <v>3</v>
      </c>
      <c r="B4" s="3" t="s">
        <v>1324</v>
      </c>
      <c r="C4" s="11" t="s">
        <v>1370</v>
      </c>
      <c r="D4" s="3" t="str">
        <f>VLOOKUP(C4,layoffs_location!A:B,2,FALSE)</f>
        <v>San Francisco Bay Area</v>
      </c>
      <c r="E4" s="3" t="str">
        <f>VLOOKUP(C4,layoffs_location!A:C,3,FALSE)</f>
        <v>California</v>
      </c>
      <c r="F4" s="3" t="str">
        <f>VLOOKUP(C4,layoffs_location!A:D,4,FALSE)</f>
        <v>USA</v>
      </c>
      <c r="G4" s="3" t="str">
        <f>VLOOKUP(C4,layoffs_location!A:E,5,FALSE)</f>
        <v>North America</v>
      </c>
      <c r="H4" s="3">
        <v>6</v>
      </c>
      <c r="I4" s="8">
        <v>43903</v>
      </c>
      <c r="J4" s="9">
        <v>75</v>
      </c>
      <c r="K4" s="10">
        <v>8</v>
      </c>
      <c r="L4" s="10">
        <v>2</v>
      </c>
      <c r="M4" s="3" t="s">
        <v>16</v>
      </c>
      <c r="N4" s="3" t="s">
        <v>147</v>
      </c>
      <c r="O4" s="34">
        <v>1</v>
      </c>
      <c r="P4" s="3">
        <v>2020</v>
      </c>
      <c r="Q4" s="3">
        <f>VLOOKUP(C4,layoffs_location!A:F,6,FALSE)</f>
        <v>37.779258800000001</v>
      </c>
      <c r="R4" s="3">
        <f>VLOOKUP(C4,layoffs_location!A:G,7,FALSE)</f>
        <v>-122.4193286</v>
      </c>
    </row>
    <row r="5" spans="1:18" x14ac:dyDescent="0.2">
      <c r="A5" s="3">
        <v>4</v>
      </c>
      <c r="B5" s="3" t="s">
        <v>1322</v>
      </c>
      <c r="C5" s="3" t="s">
        <v>83</v>
      </c>
      <c r="D5" s="3" t="str">
        <f>VLOOKUP(C5,layoffs_location!A:B,2,FALSE)</f>
        <v>other</v>
      </c>
      <c r="E5" s="3" t="str">
        <f>VLOOKUP(C5,layoffs_location!A:C,3,FALSE)</f>
        <v>Texas</v>
      </c>
      <c r="F5" s="3" t="str">
        <f>VLOOKUP(C5,layoffs_location!A:D,4,FALSE)</f>
        <v>USA</v>
      </c>
      <c r="G5" s="3" t="str">
        <f>VLOOKUP(C5,layoffs_location!A:E,5,FALSE)</f>
        <v>North America</v>
      </c>
      <c r="H5" s="3">
        <v>16</v>
      </c>
      <c r="I5" s="8">
        <v>43906</v>
      </c>
      <c r="J5" s="9">
        <v>100</v>
      </c>
      <c r="K5" s="10">
        <v>16</v>
      </c>
      <c r="L5" s="10">
        <v>0</v>
      </c>
      <c r="M5" s="3" t="s">
        <v>274</v>
      </c>
      <c r="N5" s="3" t="s">
        <v>147</v>
      </c>
      <c r="O5" s="34">
        <v>6</v>
      </c>
      <c r="P5" s="3">
        <v>2020</v>
      </c>
      <c r="Q5" s="3">
        <f>VLOOKUP(C5,layoffs_location!A:F,6,FALSE)</f>
        <v>30.271128600000001</v>
      </c>
      <c r="R5" s="3">
        <f>VLOOKUP(C5,layoffs_location!A:G,7,FALSE)</f>
        <v>-97.743699500000005</v>
      </c>
    </row>
    <row r="6" spans="1:18" x14ac:dyDescent="0.2">
      <c r="A6" s="3">
        <v>5</v>
      </c>
      <c r="B6" s="3" t="s">
        <v>209</v>
      </c>
      <c r="C6" s="3" t="s">
        <v>132</v>
      </c>
      <c r="D6" s="3" t="str">
        <f>VLOOKUP(C6,layoffs_location!A:B,2,FALSE)</f>
        <v>other</v>
      </c>
      <c r="E6" s="3" t="str">
        <f>VLOOKUP(C6,layoffs_location!A:C,3,FALSE)</f>
        <v>Colorado</v>
      </c>
      <c r="F6" s="3" t="str">
        <f>VLOOKUP(C6,layoffs_location!A:D,4,FALSE)</f>
        <v>USA</v>
      </c>
      <c r="G6" s="3" t="str">
        <f>VLOOKUP(C6,layoffs_location!A:E,5,FALSE)</f>
        <v>North America</v>
      </c>
      <c r="H6" s="3">
        <v>130</v>
      </c>
      <c r="I6" s="8">
        <v>43906</v>
      </c>
      <c r="J6" s="9">
        <v>22</v>
      </c>
      <c r="K6" s="10">
        <v>591</v>
      </c>
      <c r="L6" s="10">
        <v>461</v>
      </c>
      <c r="M6" s="3" t="s">
        <v>72</v>
      </c>
      <c r="N6" s="3" t="s">
        <v>41</v>
      </c>
      <c r="O6" s="34">
        <v>79</v>
      </c>
      <c r="P6" s="3">
        <v>2020</v>
      </c>
      <c r="Q6" s="3">
        <f>VLOOKUP(C6,layoffs_location!A:F,6,FALSE)</f>
        <v>39.739236400000003</v>
      </c>
      <c r="R6" s="3">
        <f>VLOOKUP(C6,layoffs_location!A:G,7,FALSE)</f>
        <v>-104.98486200000001</v>
      </c>
    </row>
    <row r="7" spans="1:18" x14ac:dyDescent="0.2">
      <c r="A7" s="3">
        <v>6</v>
      </c>
      <c r="B7" s="3" t="s">
        <v>1321</v>
      </c>
      <c r="C7" s="3" t="s">
        <v>531</v>
      </c>
      <c r="D7" s="3" t="str">
        <f>VLOOKUP(C7,layoffs_location!A:B,2,FALSE)</f>
        <v>other</v>
      </c>
      <c r="E7" s="3" t="str">
        <f>VLOOKUP(C7,layoffs_location!A:C,3,FALSE)</f>
        <v>Colorado</v>
      </c>
      <c r="F7" s="3" t="str">
        <f>VLOOKUP(C7,layoffs_location!A:D,4,FALSE)</f>
        <v>USA</v>
      </c>
      <c r="G7" s="3" t="str">
        <f>VLOOKUP(C7,layoffs_location!A:E,5,FALSE)</f>
        <v>North America</v>
      </c>
      <c r="H7" s="3">
        <v>4</v>
      </c>
      <c r="I7" s="8">
        <v>43908</v>
      </c>
      <c r="J7" s="9">
        <v>20</v>
      </c>
      <c r="K7" s="10">
        <v>20</v>
      </c>
      <c r="L7" s="10">
        <v>16</v>
      </c>
      <c r="M7" s="3" t="s">
        <v>130</v>
      </c>
      <c r="N7" s="3" t="s">
        <v>147</v>
      </c>
      <c r="O7" s="34">
        <v>4</v>
      </c>
      <c r="P7" s="3">
        <v>2020</v>
      </c>
      <c r="Q7" s="3">
        <f>VLOOKUP(C7,layoffs_location!A:F,6,FALSE)</f>
        <v>40.014985600000003</v>
      </c>
      <c r="R7" s="3">
        <f>VLOOKUP(C7,layoffs_location!A:G,7,FALSE)</f>
        <v>-105.270545</v>
      </c>
    </row>
    <row r="8" spans="1:18" x14ac:dyDescent="0.2">
      <c r="A8" s="3">
        <v>7</v>
      </c>
      <c r="B8" s="3" t="s">
        <v>1320</v>
      </c>
      <c r="C8" s="3" t="s">
        <v>154</v>
      </c>
      <c r="D8" s="3" t="str">
        <f>VLOOKUP(C8,layoffs_location!A:B,2,FALSE)</f>
        <v>other</v>
      </c>
      <c r="E8" s="3" t="str">
        <f>VLOOKUP(C8,layoffs_location!A:C,3,FALSE)</f>
        <v>Illinois</v>
      </c>
      <c r="F8" s="3" t="str">
        <f>VLOOKUP(C8,layoffs_location!A:D,4,FALSE)</f>
        <v>USA</v>
      </c>
      <c r="G8" s="3" t="str">
        <f>VLOOKUP(C8,layoffs_location!A:E,5,FALSE)</f>
        <v>North America</v>
      </c>
      <c r="H8" s="3">
        <v>50</v>
      </c>
      <c r="I8" s="8">
        <v>43909</v>
      </c>
      <c r="J8" s="9">
        <v>50</v>
      </c>
      <c r="K8" s="10">
        <v>100</v>
      </c>
      <c r="L8" s="10">
        <v>50</v>
      </c>
      <c r="M8" s="3" t="s">
        <v>72</v>
      </c>
      <c r="N8" s="3" t="s">
        <v>49</v>
      </c>
      <c r="O8" s="34">
        <v>17</v>
      </c>
      <c r="P8" s="3">
        <v>2020</v>
      </c>
      <c r="Q8" s="3">
        <f>VLOOKUP(C8,layoffs_location!A:F,6,FALSE)</f>
        <v>41.875561599999997</v>
      </c>
      <c r="R8" s="3">
        <f>VLOOKUP(C8,layoffs_location!A:G,7,FALSE)</f>
        <v>-87.6244212</v>
      </c>
    </row>
    <row r="9" spans="1:18" x14ac:dyDescent="0.2">
      <c r="A9" s="3">
        <v>8</v>
      </c>
      <c r="B9" s="3" t="s">
        <v>1319</v>
      </c>
      <c r="C9" s="3" t="s">
        <v>271</v>
      </c>
      <c r="D9" s="3" t="str">
        <f>VLOOKUP(C9,layoffs_location!A:B,2,FALSE)</f>
        <v>Cascadia</v>
      </c>
      <c r="E9" s="3" t="str">
        <f>VLOOKUP(C9,layoffs_location!A:C,3,FALSE)</f>
        <v>British Columbia</v>
      </c>
      <c r="F9" s="3" t="str">
        <f>VLOOKUP(C9,layoffs_location!A:D,4,FALSE)</f>
        <v>Canada</v>
      </c>
      <c r="G9" s="3" t="str">
        <f>VLOOKUP(C9,layoffs_location!A:E,5,FALSE)</f>
        <v>North America</v>
      </c>
      <c r="H9" s="3">
        <v>30</v>
      </c>
      <c r="I9" s="8">
        <v>43910</v>
      </c>
      <c r="J9" s="9">
        <v>50</v>
      </c>
      <c r="K9" s="10">
        <v>60</v>
      </c>
      <c r="L9" s="10">
        <v>30</v>
      </c>
      <c r="M9" s="3" t="s">
        <v>239</v>
      </c>
      <c r="N9" s="3" t="s">
        <v>147</v>
      </c>
      <c r="O9" s="34">
        <v>7</v>
      </c>
      <c r="P9" s="3">
        <v>2020</v>
      </c>
      <c r="Q9" s="3">
        <f>VLOOKUP(C9,layoffs_location!A:F,6,FALSE)</f>
        <v>49.260872399999997</v>
      </c>
      <c r="R9" s="3">
        <f>VLOOKUP(C9,layoffs_location!A:G,7,FALSE)</f>
        <v>-123.113952</v>
      </c>
    </row>
    <row r="10" spans="1:18" x14ac:dyDescent="0.2">
      <c r="A10" s="3">
        <v>9</v>
      </c>
      <c r="B10" s="3" t="s">
        <v>1318</v>
      </c>
      <c r="C10" s="3" t="s">
        <v>39</v>
      </c>
      <c r="D10" s="3" t="str">
        <f>VLOOKUP(C10,layoffs_location!A:B,2,FALSE)</f>
        <v>New York</v>
      </c>
      <c r="E10" s="3" t="str">
        <f>VLOOKUP(C10,layoffs_location!A:C,3,FALSE)</f>
        <v>New York</v>
      </c>
      <c r="F10" s="3" t="str">
        <f>VLOOKUP(C10,layoffs_location!A:D,4,FALSE)</f>
        <v>USA</v>
      </c>
      <c r="G10" s="3" t="str">
        <f>VLOOKUP(C10,layoffs_location!A:E,5,FALSE)</f>
        <v>North America</v>
      </c>
      <c r="H10" s="3">
        <v>784</v>
      </c>
      <c r="I10" s="8">
        <v>43910</v>
      </c>
      <c r="J10" s="9">
        <v>98</v>
      </c>
      <c r="K10" s="10">
        <v>800</v>
      </c>
      <c r="L10" s="10">
        <v>16</v>
      </c>
      <c r="M10" s="3" t="s">
        <v>399</v>
      </c>
      <c r="N10" s="3" t="s">
        <v>33</v>
      </c>
      <c r="O10" s="34">
        <v>120</v>
      </c>
      <c r="P10" s="3">
        <v>2020</v>
      </c>
      <c r="Q10" s="3">
        <f>VLOOKUP(C10,layoffs_location!A:F,6,FALSE)</f>
        <v>40.7127281</v>
      </c>
      <c r="R10" s="3">
        <f>VLOOKUP(C10,layoffs_location!A:G,7,FALSE)</f>
        <v>-74.006015199999993</v>
      </c>
    </row>
    <row r="11" spans="1:18" x14ac:dyDescent="0.2">
      <c r="A11" s="3">
        <v>10</v>
      </c>
      <c r="B11" s="3" t="s">
        <v>779</v>
      </c>
      <c r="C11" s="3" t="s">
        <v>39</v>
      </c>
      <c r="D11" s="3" t="str">
        <f>VLOOKUP(C11,layoffs_location!A:B,2,FALSE)</f>
        <v>New York</v>
      </c>
      <c r="E11" s="3" t="str">
        <f>VLOOKUP(C11,layoffs_location!A:C,3,FALSE)</f>
        <v>New York</v>
      </c>
      <c r="F11" s="3" t="str">
        <f>VLOOKUP(C11,layoffs_location!A:D,4,FALSE)</f>
        <v>USA</v>
      </c>
      <c r="G11" s="3" t="str">
        <f>VLOOKUP(C11,layoffs_location!A:E,5,FALSE)</f>
        <v>North America</v>
      </c>
      <c r="H11" s="3">
        <v>375</v>
      </c>
      <c r="I11" s="8">
        <v>43913</v>
      </c>
      <c r="J11" s="9">
        <v>15</v>
      </c>
      <c r="K11" s="10">
        <v>2500</v>
      </c>
      <c r="L11" s="10">
        <v>2125</v>
      </c>
      <c r="M11" s="3" t="s">
        <v>137</v>
      </c>
      <c r="N11" s="3" t="s">
        <v>81</v>
      </c>
      <c r="O11" s="34">
        <v>1600</v>
      </c>
      <c r="P11" s="3">
        <v>2020</v>
      </c>
      <c r="Q11" s="3">
        <f>VLOOKUP(C11,layoffs_location!A:F,6,FALSE)</f>
        <v>40.7127281</v>
      </c>
      <c r="R11" s="3">
        <f>VLOOKUP(C11,layoffs_location!A:G,7,FALSE)</f>
        <v>-74.006015199999993</v>
      </c>
    </row>
    <row r="12" spans="1:18" x14ac:dyDescent="0.2">
      <c r="A12" s="3">
        <v>11</v>
      </c>
      <c r="B12" s="3" t="s">
        <v>1313</v>
      </c>
      <c r="C12" s="3" t="s">
        <v>39</v>
      </c>
      <c r="D12" s="3" t="str">
        <f>VLOOKUP(C12,layoffs_location!A:B,2,FALSE)</f>
        <v>New York</v>
      </c>
      <c r="E12" s="3" t="str">
        <f>VLOOKUP(C12,layoffs_location!A:C,3,FALSE)</f>
        <v>New York</v>
      </c>
      <c r="F12" s="3" t="str">
        <f>VLOOKUP(C12,layoffs_location!A:D,4,FALSE)</f>
        <v>USA</v>
      </c>
      <c r="G12" s="3" t="str">
        <f>VLOOKUP(C12,layoffs_location!A:E,5,FALSE)</f>
        <v>North America</v>
      </c>
      <c r="H12" s="3">
        <v>150</v>
      </c>
      <c r="I12" s="8">
        <v>43913</v>
      </c>
      <c r="J12" s="9">
        <v>18</v>
      </c>
      <c r="K12" s="10">
        <v>833</v>
      </c>
      <c r="L12" s="10">
        <v>683</v>
      </c>
      <c r="M12" s="3" t="s">
        <v>137</v>
      </c>
      <c r="N12" s="3" t="s">
        <v>108</v>
      </c>
      <c r="O12" s="34">
        <v>280</v>
      </c>
      <c r="P12" s="3">
        <v>2020</v>
      </c>
      <c r="Q12" s="3">
        <f>VLOOKUP(C12,layoffs_location!A:F,6,FALSE)</f>
        <v>40.7127281</v>
      </c>
      <c r="R12" s="3">
        <f>VLOOKUP(C12,layoffs_location!A:G,7,FALSE)</f>
        <v>-74.006015199999993</v>
      </c>
    </row>
    <row r="13" spans="1:18" x14ac:dyDescent="0.2">
      <c r="A13" s="3">
        <v>12</v>
      </c>
      <c r="B13" s="3" t="s">
        <v>1315</v>
      </c>
      <c r="C13" s="3" t="s">
        <v>76</v>
      </c>
      <c r="D13" s="3" t="str">
        <f>VLOOKUP(C13,layoffs_location!A:B,2,FALSE)</f>
        <v>other</v>
      </c>
      <c r="E13" s="3" t="str">
        <f>VLOOKUP(C13,layoffs_location!A:C,3,FALSE)</f>
        <v>California</v>
      </c>
      <c r="F13" s="3" t="str">
        <f>VLOOKUP(C13,layoffs_location!A:D,4,FALSE)</f>
        <v>USA</v>
      </c>
      <c r="G13" s="3" t="str">
        <f>VLOOKUP(C13,layoffs_location!A:E,5,FALSE)</f>
        <v>North America</v>
      </c>
      <c r="H13" s="3">
        <v>20</v>
      </c>
      <c r="I13" s="8">
        <v>43913</v>
      </c>
      <c r="J13" s="9">
        <v>40</v>
      </c>
      <c r="K13" s="10">
        <v>50</v>
      </c>
      <c r="L13" s="10">
        <v>30</v>
      </c>
      <c r="M13" s="3" t="s">
        <v>79</v>
      </c>
      <c r="N13" s="3" t="s">
        <v>22</v>
      </c>
      <c r="O13" s="34">
        <v>7</v>
      </c>
      <c r="P13" s="3">
        <v>2020</v>
      </c>
      <c r="Q13" s="3">
        <f>VLOOKUP(C13,layoffs_location!A:F,6,FALSE)</f>
        <v>34.053690899999999</v>
      </c>
      <c r="R13" s="3">
        <f>VLOOKUP(C13,layoffs_location!A:G,7,FALSE)</f>
        <v>-118.242766</v>
      </c>
    </row>
    <row r="14" spans="1:18" x14ac:dyDescent="0.2">
      <c r="A14" s="3">
        <v>13</v>
      </c>
      <c r="B14" s="3" t="s">
        <v>1317</v>
      </c>
      <c r="C14" s="3" t="s">
        <v>1473</v>
      </c>
      <c r="D14" s="3" t="str">
        <f>VLOOKUP(C14,layoffs_location!A:B,2,FALSE)</f>
        <v>San Francisco Bay Area</v>
      </c>
      <c r="E14" s="3" t="str">
        <f>VLOOKUP(C14,layoffs_location!A:C,3,FALSE)</f>
        <v>California</v>
      </c>
      <c r="F14" s="3" t="str">
        <f>VLOOKUP(C14,layoffs_location!A:D,4,FALSE)</f>
        <v>USA</v>
      </c>
      <c r="G14" s="3" t="str">
        <f>VLOOKUP(C14,layoffs_location!A:E,5,FALSE)</f>
        <v>North America</v>
      </c>
      <c r="H14" s="3">
        <v>13</v>
      </c>
      <c r="I14" s="8">
        <v>43913</v>
      </c>
      <c r="J14" s="9">
        <v>25</v>
      </c>
      <c r="K14" s="10">
        <v>52</v>
      </c>
      <c r="L14" s="10">
        <v>39</v>
      </c>
      <c r="M14" s="3" t="s">
        <v>35</v>
      </c>
      <c r="N14" s="3" t="s">
        <v>41</v>
      </c>
      <c r="O14" s="34">
        <v>94</v>
      </c>
      <c r="P14" s="3">
        <v>2020</v>
      </c>
      <c r="Q14" s="3">
        <f>VLOOKUP(C14,layoffs_location!A:F,6,FALSE)</f>
        <v>37.4443293</v>
      </c>
      <c r="R14" s="3">
        <f>VLOOKUP(C14,layoffs_location!A:G,7,FALSE)</f>
        <v>-122.1598465</v>
      </c>
    </row>
    <row r="15" spans="1:18" x14ac:dyDescent="0.2">
      <c r="A15" s="3">
        <v>14</v>
      </c>
      <c r="B15" s="3" t="s">
        <v>381</v>
      </c>
      <c r="C15" s="3" t="s">
        <v>43</v>
      </c>
      <c r="D15" s="3" t="str">
        <f>VLOOKUP(C15,layoffs_location!A:B,2,FALSE)</f>
        <v>Cascadia</v>
      </c>
      <c r="E15" s="3" t="str">
        <f>VLOOKUP(C15,layoffs_location!A:C,3,FALSE)</f>
        <v>Washington</v>
      </c>
      <c r="F15" s="3" t="str">
        <f>VLOOKUP(C15,layoffs_location!A:D,4,FALSE)</f>
        <v>USA</v>
      </c>
      <c r="G15" s="3" t="str">
        <f>VLOOKUP(C15,layoffs_location!A:E,5,FALSE)</f>
        <v>North America</v>
      </c>
      <c r="H15" s="3">
        <v>91</v>
      </c>
      <c r="I15" s="8">
        <v>43913</v>
      </c>
      <c r="J15" s="9">
        <v>50</v>
      </c>
      <c r="K15" s="10">
        <v>182</v>
      </c>
      <c r="L15" s="10">
        <v>91</v>
      </c>
      <c r="M15" s="3" t="s">
        <v>30</v>
      </c>
      <c r="N15" s="3" t="s">
        <v>33</v>
      </c>
      <c r="O15" s="34">
        <v>2</v>
      </c>
      <c r="P15" s="3">
        <v>2020</v>
      </c>
      <c r="Q15" s="3">
        <f>VLOOKUP(C15,layoffs_location!A:F,6,FALSE)</f>
        <v>47.603832099999998</v>
      </c>
      <c r="R15" s="3">
        <f>VLOOKUP(C15,layoffs_location!A:G,7,FALSE)</f>
        <v>-122.330062</v>
      </c>
    </row>
    <row r="16" spans="1:18" x14ac:dyDescent="0.2">
      <c r="A16" s="3">
        <v>15</v>
      </c>
      <c r="B16" s="3" t="s">
        <v>1314</v>
      </c>
      <c r="C16" s="3" t="s">
        <v>83</v>
      </c>
      <c r="D16" s="3" t="str">
        <f>VLOOKUP(C16,layoffs_location!A:B,2,FALSE)</f>
        <v>other</v>
      </c>
      <c r="E16" s="3" t="str">
        <f>VLOOKUP(C16,layoffs_location!A:C,3,FALSE)</f>
        <v>Texas</v>
      </c>
      <c r="F16" s="3" t="str">
        <f>VLOOKUP(C16,layoffs_location!A:D,4,FALSE)</f>
        <v>USA</v>
      </c>
      <c r="G16" s="3" t="str">
        <f>VLOOKUP(C16,layoffs_location!A:E,5,FALSE)</f>
        <v>North America</v>
      </c>
      <c r="H16" s="3">
        <v>38</v>
      </c>
      <c r="I16" s="8">
        <v>43913</v>
      </c>
      <c r="J16" s="9">
        <v>22</v>
      </c>
      <c r="K16" s="10">
        <v>173</v>
      </c>
      <c r="L16" s="10">
        <v>135</v>
      </c>
      <c r="M16" s="3" t="s">
        <v>72</v>
      </c>
      <c r="N16" s="3" t="s">
        <v>49</v>
      </c>
      <c r="O16" s="34">
        <v>36</v>
      </c>
      <c r="P16" s="3">
        <v>2020</v>
      </c>
      <c r="Q16" s="3">
        <f>VLOOKUP(C16,layoffs_location!A:F,6,FALSE)</f>
        <v>30.271128600000001</v>
      </c>
      <c r="R16" s="3">
        <f>VLOOKUP(C16,layoffs_location!A:G,7,FALSE)</f>
        <v>-97.743699500000005</v>
      </c>
    </row>
    <row r="17" spans="1:18" ht="16" x14ac:dyDescent="0.2">
      <c r="A17" s="3">
        <v>16</v>
      </c>
      <c r="B17" s="3" t="s">
        <v>1316</v>
      </c>
      <c r="C17" s="11" t="s">
        <v>1370</v>
      </c>
      <c r="D17" s="3" t="str">
        <f>VLOOKUP(C17,layoffs_location!A:B,2,FALSE)</f>
        <v>San Francisco Bay Area</v>
      </c>
      <c r="E17" s="3" t="str">
        <f>VLOOKUP(C17,layoffs_location!A:C,3,FALSE)</f>
        <v>California</v>
      </c>
      <c r="F17" s="3" t="str">
        <f>VLOOKUP(C17,layoffs_location!A:D,4,FALSE)</f>
        <v>USA</v>
      </c>
      <c r="G17" s="3" t="str">
        <f>VLOOKUP(C17,layoffs_location!A:E,5,FALSE)</f>
        <v>North America</v>
      </c>
      <c r="H17" s="3">
        <v>15</v>
      </c>
      <c r="I17" s="8">
        <v>43913</v>
      </c>
      <c r="J17" s="9">
        <v>17</v>
      </c>
      <c r="K17" s="10">
        <v>88</v>
      </c>
      <c r="L17" s="10">
        <v>73</v>
      </c>
      <c r="M17" s="3" t="s">
        <v>84</v>
      </c>
      <c r="N17" s="3" t="s">
        <v>49</v>
      </c>
      <c r="O17" s="34">
        <v>48</v>
      </c>
      <c r="P17" s="3">
        <v>2020</v>
      </c>
      <c r="Q17" s="3">
        <f>VLOOKUP(C17,layoffs_location!A:F,6,FALSE)</f>
        <v>37.779258800000001</v>
      </c>
      <c r="R17" s="3">
        <f>VLOOKUP(C17,layoffs_location!A:G,7,FALSE)</f>
        <v>-122.4193286</v>
      </c>
    </row>
    <row r="18" spans="1:18" x14ac:dyDescent="0.2">
      <c r="A18" s="3">
        <v>17</v>
      </c>
      <c r="B18" s="3" t="s">
        <v>1312</v>
      </c>
      <c r="C18" s="3" t="s">
        <v>392</v>
      </c>
      <c r="D18" s="3" t="str">
        <f>VLOOKUP(C18,layoffs_location!A:B,2,FALSE)</f>
        <v>other</v>
      </c>
      <c r="E18" s="3" t="str">
        <f>VLOOKUP(C18,layoffs_location!A:C,3,FALSE)</f>
        <v>Minnesota</v>
      </c>
      <c r="F18" s="3" t="str">
        <f>VLOOKUP(C18,layoffs_location!A:D,4,FALSE)</f>
        <v>USA</v>
      </c>
      <c r="G18" s="3" t="str">
        <f>VLOOKUP(C18,layoffs_location!A:E,5,FALSE)</f>
        <v>North America</v>
      </c>
      <c r="H18" s="3">
        <v>87</v>
      </c>
      <c r="I18" s="8">
        <v>43914</v>
      </c>
      <c r="J18" s="9">
        <v>67</v>
      </c>
      <c r="K18" s="10">
        <v>130</v>
      </c>
      <c r="L18" s="10">
        <v>43</v>
      </c>
      <c r="M18" s="3" t="s">
        <v>77</v>
      </c>
      <c r="N18" s="3" t="s">
        <v>49</v>
      </c>
      <c r="O18" s="34">
        <v>20</v>
      </c>
      <c r="P18" s="3">
        <v>2020</v>
      </c>
      <c r="Q18" s="3">
        <f>VLOOKUP(C18,layoffs_location!A:F,6,FALSE)</f>
        <v>44.977299500000001</v>
      </c>
      <c r="R18" s="3">
        <f>VLOOKUP(C18,layoffs_location!A:G,7,FALSE)</f>
        <v>-93.265469199999998</v>
      </c>
    </row>
    <row r="19" spans="1:18" ht="16" x14ac:dyDescent="0.2">
      <c r="A19" s="3">
        <v>18</v>
      </c>
      <c r="B19" s="3" t="s">
        <v>411</v>
      </c>
      <c r="C19" s="11" t="s">
        <v>1370</v>
      </c>
      <c r="D19" s="3" t="str">
        <f>VLOOKUP(C19,layoffs_location!A:B,2,FALSE)</f>
        <v>San Francisco Bay Area</v>
      </c>
      <c r="E19" s="3" t="str">
        <f>VLOOKUP(C19,layoffs_location!A:C,3,FALSE)</f>
        <v>California</v>
      </c>
      <c r="F19" s="3" t="str">
        <f>VLOOKUP(C19,layoffs_location!A:D,4,FALSE)</f>
        <v>USA</v>
      </c>
      <c r="G19" s="3" t="str">
        <f>VLOOKUP(C19,layoffs_location!A:E,5,FALSE)</f>
        <v>North America</v>
      </c>
      <c r="H19" s="3">
        <v>400</v>
      </c>
      <c r="I19" s="8">
        <v>43914</v>
      </c>
      <c r="J19" s="9">
        <v>33</v>
      </c>
      <c r="K19" s="10">
        <v>1212</v>
      </c>
      <c r="L19" s="10">
        <v>812</v>
      </c>
      <c r="M19" s="3" t="s">
        <v>72</v>
      </c>
      <c r="N19" s="3" t="s">
        <v>108</v>
      </c>
      <c r="O19" s="34">
        <v>359</v>
      </c>
      <c r="P19" s="3">
        <v>2020</v>
      </c>
      <c r="Q19" s="3">
        <f>VLOOKUP(C19,layoffs_location!A:F,6,FALSE)</f>
        <v>37.779258800000001</v>
      </c>
      <c r="R19" s="3">
        <f>VLOOKUP(C19,layoffs_location!A:G,7,FALSE)</f>
        <v>-122.4193286</v>
      </c>
    </row>
    <row r="20" spans="1:18" x14ac:dyDescent="0.2">
      <c r="A20" s="3">
        <v>19</v>
      </c>
      <c r="B20" s="3" t="s">
        <v>751</v>
      </c>
      <c r="C20" s="3" t="s">
        <v>1370</v>
      </c>
      <c r="D20" s="3" t="str">
        <f>VLOOKUP(C20,layoffs_location!A:B,2,FALSE)</f>
        <v>San Francisco Bay Area</v>
      </c>
      <c r="E20" s="3" t="str">
        <f>VLOOKUP(C20,layoffs_location!A:C,3,FALSE)</f>
        <v>California</v>
      </c>
      <c r="F20" s="3" t="str">
        <f>VLOOKUP(C20,layoffs_location!A:D,4,FALSE)</f>
        <v>USA</v>
      </c>
      <c r="G20" s="3" t="str">
        <f>VLOOKUP(C20,layoffs_location!A:E,5,FALSE)</f>
        <v>North America</v>
      </c>
      <c r="H20" s="3">
        <v>80</v>
      </c>
      <c r="I20" s="8">
        <v>43914</v>
      </c>
      <c r="J20" s="9">
        <v>30</v>
      </c>
      <c r="K20" s="10">
        <v>267</v>
      </c>
      <c r="L20" s="10">
        <v>187</v>
      </c>
      <c r="M20" s="3" t="s">
        <v>137</v>
      </c>
      <c r="N20" s="3" t="s">
        <v>49</v>
      </c>
      <c r="O20" s="34">
        <v>79</v>
      </c>
      <c r="P20" s="3">
        <v>2020</v>
      </c>
      <c r="Q20" s="3">
        <f>VLOOKUP(C20,layoffs_location!A:F,6,FALSE)</f>
        <v>37.779258800000001</v>
      </c>
      <c r="R20" s="3">
        <f>VLOOKUP(C20,layoffs_location!A:G,7,FALSE)</f>
        <v>-122.4193286</v>
      </c>
    </row>
    <row r="21" spans="1:18" x14ac:dyDescent="0.2">
      <c r="A21" s="3">
        <v>20</v>
      </c>
      <c r="B21" s="3" t="s">
        <v>1311</v>
      </c>
      <c r="C21" s="3" t="s">
        <v>145</v>
      </c>
      <c r="D21" s="3" t="str">
        <f>VLOOKUP(C21,layoffs_location!A:B,2,FALSE)</f>
        <v>Cascadia</v>
      </c>
      <c r="E21" s="3" t="str">
        <f>VLOOKUP(C21,layoffs_location!A:C,3,FALSE)</f>
        <v>Oregon</v>
      </c>
      <c r="F21" s="3" t="str">
        <f>VLOOKUP(C21,layoffs_location!A:D,4,FALSE)</f>
        <v>USA</v>
      </c>
      <c r="G21" s="3" t="str">
        <f>VLOOKUP(C21,layoffs_location!A:E,5,FALSE)</f>
        <v>North America</v>
      </c>
      <c r="H21" s="3">
        <v>12</v>
      </c>
      <c r="I21" s="8">
        <v>43915</v>
      </c>
      <c r="J21" s="9">
        <v>5</v>
      </c>
      <c r="K21" s="10">
        <v>240</v>
      </c>
      <c r="L21" s="10">
        <v>228</v>
      </c>
      <c r="M21" s="3" t="s">
        <v>48</v>
      </c>
      <c r="N21" s="3" t="s">
        <v>22</v>
      </c>
      <c r="O21" s="34">
        <v>233</v>
      </c>
      <c r="P21" s="3">
        <v>2020</v>
      </c>
      <c r="Q21" s="3">
        <f>VLOOKUP(C21,layoffs_location!A:F,6,FALSE)</f>
        <v>45.520247099999999</v>
      </c>
      <c r="R21" s="3">
        <f>VLOOKUP(C21,layoffs_location!A:G,7,FALSE)</f>
        <v>-122.674194</v>
      </c>
    </row>
    <row r="22" spans="1:18" x14ac:dyDescent="0.2">
      <c r="A22" s="3">
        <v>21</v>
      </c>
      <c r="B22" s="3" t="s">
        <v>1308</v>
      </c>
      <c r="C22" s="3" t="s">
        <v>83</v>
      </c>
      <c r="D22" s="3" t="str">
        <f>VLOOKUP(C22,layoffs_location!A:B,2,FALSE)</f>
        <v>other</v>
      </c>
      <c r="E22" s="3" t="str">
        <f>VLOOKUP(C22,layoffs_location!A:C,3,FALSE)</f>
        <v>Texas</v>
      </c>
      <c r="F22" s="3" t="str">
        <f>VLOOKUP(C22,layoffs_location!A:D,4,FALSE)</f>
        <v>USA</v>
      </c>
      <c r="G22" s="3" t="str">
        <f>VLOOKUP(C22,layoffs_location!A:E,5,FALSE)</f>
        <v>North America</v>
      </c>
      <c r="H22" s="3">
        <v>52</v>
      </c>
      <c r="I22" s="8">
        <v>43915</v>
      </c>
      <c r="J22" s="9">
        <v>28</v>
      </c>
      <c r="K22" s="10">
        <v>186</v>
      </c>
      <c r="L22" s="10">
        <v>134</v>
      </c>
      <c r="M22" s="3" t="s">
        <v>130</v>
      </c>
      <c r="N22" s="3" t="s">
        <v>41</v>
      </c>
      <c r="O22" s="34">
        <v>48</v>
      </c>
      <c r="P22" s="3">
        <v>2020</v>
      </c>
      <c r="Q22" s="3">
        <f>VLOOKUP(C22,layoffs_location!A:F,6,FALSE)</f>
        <v>30.271128600000001</v>
      </c>
      <c r="R22" s="3">
        <f>VLOOKUP(C22,layoffs_location!A:G,7,FALSE)</f>
        <v>-97.743699500000005</v>
      </c>
    </row>
    <row r="23" spans="1:18" x14ac:dyDescent="0.2">
      <c r="A23" s="3">
        <v>22</v>
      </c>
      <c r="B23" s="3" t="s">
        <v>1310</v>
      </c>
      <c r="C23" s="3" t="s">
        <v>39</v>
      </c>
      <c r="D23" s="3" t="str">
        <f>VLOOKUP(C23,layoffs_location!A:B,2,FALSE)</f>
        <v>New York</v>
      </c>
      <c r="E23" s="3" t="str">
        <f>VLOOKUP(C23,layoffs_location!A:C,3,FALSE)</f>
        <v>New York</v>
      </c>
      <c r="F23" s="3" t="str">
        <f>VLOOKUP(C23,layoffs_location!A:D,4,FALSE)</f>
        <v>USA</v>
      </c>
      <c r="G23" s="3" t="str">
        <f>VLOOKUP(C23,layoffs_location!A:E,5,FALSE)</f>
        <v>North America</v>
      </c>
      <c r="H23" s="3">
        <v>30</v>
      </c>
      <c r="I23" s="8">
        <v>43915</v>
      </c>
      <c r="J23" s="9">
        <v>23</v>
      </c>
      <c r="K23" s="10">
        <v>130</v>
      </c>
      <c r="L23" s="10">
        <v>100</v>
      </c>
      <c r="M23" s="3" t="s">
        <v>54</v>
      </c>
      <c r="N23" s="3" t="s">
        <v>49</v>
      </c>
      <c r="O23" s="34">
        <v>35</v>
      </c>
      <c r="P23" s="3">
        <v>2020</v>
      </c>
      <c r="Q23" s="3">
        <f>VLOOKUP(C23,layoffs_location!A:F,6,FALSE)</f>
        <v>40.7127281</v>
      </c>
      <c r="R23" s="3">
        <f>VLOOKUP(C23,layoffs_location!A:G,7,FALSE)</f>
        <v>-74.006015199999993</v>
      </c>
    </row>
    <row r="24" spans="1:18" x14ac:dyDescent="0.2">
      <c r="A24" s="3">
        <v>23</v>
      </c>
      <c r="B24" s="3" t="s">
        <v>1307</v>
      </c>
      <c r="C24" s="3" t="s">
        <v>1473</v>
      </c>
      <c r="D24" s="3" t="str">
        <f>VLOOKUP(C24,layoffs_location!A:B,2,FALSE)</f>
        <v>San Francisco Bay Area</v>
      </c>
      <c r="E24" s="3" t="str">
        <f>VLOOKUP(C24,layoffs_location!A:C,3,FALSE)</f>
        <v>California</v>
      </c>
      <c r="F24" s="3" t="str">
        <f>VLOOKUP(C24,layoffs_location!A:D,4,FALSE)</f>
        <v>USA</v>
      </c>
      <c r="G24" s="3" t="str">
        <f>VLOOKUP(C24,layoffs_location!A:E,5,FALSE)</f>
        <v>North America</v>
      </c>
      <c r="H24" s="3">
        <v>300</v>
      </c>
      <c r="I24" s="8">
        <v>43915</v>
      </c>
      <c r="J24" s="9">
        <v>25</v>
      </c>
      <c r="K24" s="10">
        <v>1200</v>
      </c>
      <c r="L24" s="10">
        <v>900</v>
      </c>
      <c r="M24" s="3" t="s">
        <v>72</v>
      </c>
      <c r="N24" s="3" t="s">
        <v>108</v>
      </c>
      <c r="P24" s="3">
        <v>2020</v>
      </c>
      <c r="Q24" s="3">
        <f>VLOOKUP(C24,layoffs_location!A:F,6,FALSE)</f>
        <v>37.4443293</v>
      </c>
      <c r="R24" s="3">
        <f>VLOOKUP(C24,layoffs_location!A:G,7,FALSE)</f>
        <v>-122.1598465</v>
      </c>
    </row>
    <row r="25" spans="1:18" x14ac:dyDescent="0.2">
      <c r="A25" s="3">
        <v>24</v>
      </c>
      <c r="B25" s="3" t="s">
        <v>911</v>
      </c>
      <c r="C25" s="3" t="s">
        <v>1370</v>
      </c>
      <c r="D25" s="3" t="str">
        <f>VLOOKUP(C25,layoffs_location!A:B,2,FALSE)</f>
        <v>San Francisco Bay Area</v>
      </c>
      <c r="E25" s="3" t="str">
        <f>VLOOKUP(C25,layoffs_location!A:C,3,FALSE)</f>
        <v>California</v>
      </c>
      <c r="F25" s="3" t="str">
        <f>VLOOKUP(C25,layoffs_location!A:D,4,FALSE)</f>
        <v>USA</v>
      </c>
      <c r="G25" s="3" t="str">
        <f>VLOOKUP(C25,layoffs_location!A:E,5,FALSE)</f>
        <v>North America</v>
      </c>
      <c r="H25" s="3">
        <v>56</v>
      </c>
      <c r="I25" s="8">
        <v>43915</v>
      </c>
      <c r="J25" s="9">
        <v>23</v>
      </c>
      <c r="K25" s="10">
        <v>243</v>
      </c>
      <c r="L25" s="10">
        <v>187</v>
      </c>
      <c r="M25" s="3" t="s">
        <v>72</v>
      </c>
      <c r="N25" s="3" t="s">
        <v>49</v>
      </c>
      <c r="O25" s="34">
        <v>26</v>
      </c>
      <c r="P25" s="3">
        <v>2020</v>
      </c>
      <c r="Q25" s="3">
        <f>VLOOKUP(C25,layoffs_location!A:F,6,FALSE)</f>
        <v>37.779258800000001</v>
      </c>
      <c r="R25" s="3">
        <f>VLOOKUP(C25,layoffs_location!A:G,7,FALSE)</f>
        <v>-122.4193286</v>
      </c>
    </row>
    <row r="26" spans="1:18" x14ac:dyDescent="0.2">
      <c r="A26" s="3">
        <v>25</v>
      </c>
      <c r="B26" s="3" t="s">
        <v>1309</v>
      </c>
      <c r="C26" s="3" t="s">
        <v>1370</v>
      </c>
      <c r="D26" s="3" t="str">
        <f>VLOOKUP(C26,layoffs_location!A:B,2,FALSE)</f>
        <v>San Francisco Bay Area</v>
      </c>
      <c r="E26" s="3" t="str">
        <f>VLOOKUP(C26,layoffs_location!A:C,3,FALSE)</f>
        <v>California</v>
      </c>
      <c r="F26" s="3" t="str">
        <f>VLOOKUP(C26,layoffs_location!A:D,4,FALSE)</f>
        <v>USA</v>
      </c>
      <c r="G26" s="3" t="str">
        <f>VLOOKUP(C26,layoffs_location!A:E,5,FALSE)</f>
        <v>North America</v>
      </c>
      <c r="H26" s="3">
        <v>50</v>
      </c>
      <c r="I26" s="8">
        <v>43915</v>
      </c>
      <c r="J26" s="9">
        <v>75</v>
      </c>
      <c r="K26" s="10">
        <v>67</v>
      </c>
      <c r="L26" s="10">
        <v>17</v>
      </c>
      <c r="M26" s="3" t="s">
        <v>68</v>
      </c>
      <c r="N26" s="3" t="s">
        <v>69</v>
      </c>
      <c r="O26" s="34">
        <v>24</v>
      </c>
      <c r="P26" s="3">
        <v>2020</v>
      </c>
      <c r="Q26" s="3">
        <f>VLOOKUP(C26,layoffs_location!A:F,6,FALSE)</f>
        <v>37.779258800000001</v>
      </c>
      <c r="R26" s="3">
        <f>VLOOKUP(C26,layoffs_location!A:G,7,FALSE)</f>
        <v>-122.4193286</v>
      </c>
    </row>
    <row r="27" spans="1:18" x14ac:dyDescent="0.2">
      <c r="A27" s="3">
        <v>26</v>
      </c>
      <c r="B27" s="3" t="s">
        <v>1301</v>
      </c>
      <c r="C27" s="3" t="s">
        <v>1370</v>
      </c>
      <c r="D27" s="3" t="str">
        <f>VLOOKUP(C27,layoffs_location!A:B,2,FALSE)</f>
        <v>San Francisco Bay Area</v>
      </c>
      <c r="E27" s="3" t="str">
        <f>VLOOKUP(C27,layoffs_location!A:C,3,FALSE)</f>
        <v>California</v>
      </c>
      <c r="F27" s="3" t="str">
        <f>VLOOKUP(C27,layoffs_location!A:D,4,FALSE)</f>
        <v>USA</v>
      </c>
      <c r="G27" s="3" t="str">
        <f>VLOOKUP(C27,layoffs_location!A:E,5,FALSE)</f>
        <v>North America</v>
      </c>
      <c r="H27" s="3">
        <v>250</v>
      </c>
      <c r="I27" s="8">
        <v>43916</v>
      </c>
      <c r="J27" s="9">
        <v>50</v>
      </c>
      <c r="K27" s="10">
        <v>500</v>
      </c>
      <c r="L27" s="10">
        <v>250</v>
      </c>
      <c r="M27" s="3" t="s">
        <v>30</v>
      </c>
      <c r="N27" s="3" t="s">
        <v>41</v>
      </c>
      <c r="O27" s="34">
        <v>88</v>
      </c>
      <c r="P27" s="3">
        <v>2020</v>
      </c>
      <c r="Q27" s="3">
        <f>VLOOKUP(C27,layoffs_location!A:F,6,FALSE)</f>
        <v>37.779258800000001</v>
      </c>
      <c r="R27" s="3">
        <f>VLOOKUP(C27,layoffs_location!A:G,7,FALSE)</f>
        <v>-122.4193286</v>
      </c>
    </row>
    <row r="28" spans="1:18" x14ac:dyDescent="0.2">
      <c r="A28" s="3">
        <v>27</v>
      </c>
      <c r="B28" s="3" t="s">
        <v>1306</v>
      </c>
      <c r="C28" s="3" t="s">
        <v>1408</v>
      </c>
      <c r="D28" s="3" t="str">
        <f>VLOOKUP(C28,layoffs_location!A:B,2,FALSE)</f>
        <v>San Francisco Bay Area</v>
      </c>
      <c r="E28" s="3" t="str">
        <f>VLOOKUP(C28,layoffs_location!A:C,3,FALSE)</f>
        <v>California</v>
      </c>
      <c r="F28" s="3" t="str">
        <f>VLOOKUP(C28,layoffs_location!A:D,4,FALSE)</f>
        <v>USA</v>
      </c>
      <c r="G28" s="3" t="str">
        <f>VLOOKUP(C28,layoffs_location!A:E,5,FALSE)</f>
        <v>North America</v>
      </c>
      <c r="H28" s="3">
        <v>13</v>
      </c>
      <c r="I28" s="8">
        <v>43916</v>
      </c>
      <c r="J28" s="9">
        <v>100</v>
      </c>
      <c r="K28" s="10">
        <v>13</v>
      </c>
      <c r="L28" s="10">
        <v>0</v>
      </c>
      <c r="M28" s="3" t="s">
        <v>60</v>
      </c>
      <c r="N28" s="3" t="s">
        <v>147</v>
      </c>
      <c r="O28" s="34">
        <v>5</v>
      </c>
      <c r="P28" s="3">
        <v>2020</v>
      </c>
      <c r="Q28" s="3">
        <f>VLOOKUP(C28,layoffs_location!A:F,6,FALSE)</f>
        <v>37.3893889</v>
      </c>
      <c r="R28" s="3">
        <f>VLOOKUP(C28,layoffs_location!A:G,7,FALSE)</f>
        <v>-122.0832101</v>
      </c>
    </row>
    <row r="29" spans="1:18" x14ac:dyDescent="0.2">
      <c r="A29" s="3">
        <v>28</v>
      </c>
      <c r="B29" s="3" t="s">
        <v>1303</v>
      </c>
      <c r="C29" s="3" t="s">
        <v>179</v>
      </c>
      <c r="D29" s="3" t="str">
        <f>VLOOKUP(C29,layoffs_location!A:B,2,FALSE)</f>
        <v>other</v>
      </c>
      <c r="E29" s="3" t="str">
        <f>VLOOKUP(C29,layoffs_location!A:C,3,FALSE)</f>
        <v>Ontario</v>
      </c>
      <c r="F29" s="3" t="str">
        <f>VLOOKUP(C29,layoffs_location!A:D,4,FALSE)</f>
        <v>Canada</v>
      </c>
      <c r="G29" s="3" t="str">
        <f>VLOOKUP(C29,layoffs_location!A:E,5,FALSE)</f>
        <v>North America</v>
      </c>
      <c r="H29" s="3">
        <v>47</v>
      </c>
      <c r="I29" s="8">
        <v>43916</v>
      </c>
      <c r="J29" s="9">
        <v>10</v>
      </c>
      <c r="K29" s="10">
        <v>470</v>
      </c>
      <c r="L29" s="10">
        <v>423</v>
      </c>
      <c r="M29" s="3" t="s">
        <v>27</v>
      </c>
      <c r="N29" s="3" t="s">
        <v>41</v>
      </c>
      <c r="O29" s="34">
        <v>149</v>
      </c>
      <c r="P29" s="3">
        <v>2020</v>
      </c>
      <c r="Q29" s="3">
        <f>VLOOKUP(C29,layoffs_location!A:F,6,FALSE)</f>
        <v>43.6534817</v>
      </c>
      <c r="R29" s="3">
        <f>VLOOKUP(C29,layoffs_location!A:G,7,FALSE)</f>
        <v>-79.383934699999998</v>
      </c>
    </row>
    <row r="30" spans="1:18" x14ac:dyDescent="0.2">
      <c r="A30" s="3">
        <v>29</v>
      </c>
      <c r="B30" s="3" t="s">
        <v>1305</v>
      </c>
      <c r="C30" s="3" t="s">
        <v>132</v>
      </c>
      <c r="D30" s="3" t="str">
        <f>VLOOKUP(C30,layoffs_location!A:B,2,FALSE)</f>
        <v>other</v>
      </c>
      <c r="E30" s="3" t="str">
        <f>VLOOKUP(C30,layoffs_location!A:C,3,FALSE)</f>
        <v>Colorado</v>
      </c>
      <c r="F30" s="3" t="str">
        <f>VLOOKUP(C30,layoffs_location!A:D,4,FALSE)</f>
        <v>USA</v>
      </c>
      <c r="G30" s="3" t="str">
        <f>VLOOKUP(C30,layoffs_location!A:E,5,FALSE)</f>
        <v>North America</v>
      </c>
      <c r="H30" s="3">
        <v>23</v>
      </c>
      <c r="I30" s="8">
        <v>43916</v>
      </c>
      <c r="J30" s="9">
        <v>20</v>
      </c>
      <c r="K30" s="10">
        <v>115</v>
      </c>
      <c r="L30" s="10">
        <v>92</v>
      </c>
      <c r="M30" s="3" t="s">
        <v>30</v>
      </c>
      <c r="N30" s="3" t="s">
        <v>49</v>
      </c>
      <c r="O30" s="34">
        <v>47</v>
      </c>
      <c r="P30" s="3">
        <v>2020</v>
      </c>
      <c r="Q30" s="3">
        <f>VLOOKUP(C30,layoffs_location!A:F,6,FALSE)</f>
        <v>39.739236400000003</v>
      </c>
      <c r="R30" s="3">
        <f>VLOOKUP(C30,layoffs_location!A:G,7,FALSE)</f>
        <v>-104.98486200000001</v>
      </c>
    </row>
    <row r="31" spans="1:18" ht="16" x14ac:dyDescent="0.2">
      <c r="A31" s="3">
        <v>30</v>
      </c>
      <c r="B31" s="3" t="s">
        <v>1304</v>
      </c>
      <c r="C31" s="11" t="s">
        <v>1370</v>
      </c>
      <c r="D31" s="3" t="str">
        <f>VLOOKUP(C31,layoffs_location!A:B,2,FALSE)</f>
        <v>San Francisco Bay Area</v>
      </c>
      <c r="E31" s="3" t="str">
        <f>VLOOKUP(C31,layoffs_location!A:C,3,FALSE)</f>
        <v>California</v>
      </c>
      <c r="F31" s="3" t="str">
        <f>VLOOKUP(C31,layoffs_location!A:D,4,FALSE)</f>
        <v>USA</v>
      </c>
      <c r="G31" s="3" t="str">
        <f>VLOOKUP(C31,layoffs_location!A:E,5,FALSE)</f>
        <v>North America</v>
      </c>
      <c r="H31" s="3">
        <v>41</v>
      </c>
      <c r="I31" s="8">
        <v>43916</v>
      </c>
      <c r="J31" s="9">
        <v>75</v>
      </c>
      <c r="K31" s="10">
        <v>55</v>
      </c>
      <c r="L31" s="10">
        <v>14</v>
      </c>
      <c r="M31" s="3" t="s">
        <v>137</v>
      </c>
      <c r="N31" s="3" t="s">
        <v>49</v>
      </c>
      <c r="O31" s="34">
        <v>34</v>
      </c>
      <c r="P31" s="3">
        <v>2020</v>
      </c>
      <c r="Q31" s="3">
        <f>VLOOKUP(C31,layoffs_location!A:F,6,FALSE)</f>
        <v>37.779258800000001</v>
      </c>
      <c r="R31" s="3">
        <f>VLOOKUP(C31,layoffs_location!A:G,7,FALSE)</f>
        <v>-122.4193286</v>
      </c>
    </row>
    <row r="32" spans="1:18" x14ac:dyDescent="0.2">
      <c r="A32" s="3">
        <v>31</v>
      </c>
      <c r="B32" s="3" t="s">
        <v>1302</v>
      </c>
      <c r="C32" s="3" t="s">
        <v>145</v>
      </c>
      <c r="D32" s="3" t="str">
        <f>VLOOKUP(C32,layoffs_location!A:B,2,FALSE)</f>
        <v>Cascadia</v>
      </c>
      <c r="E32" s="3" t="str">
        <f>VLOOKUP(C32,layoffs_location!A:C,3,FALSE)</f>
        <v>Oregon</v>
      </c>
      <c r="F32" s="3" t="str">
        <f>VLOOKUP(C32,layoffs_location!A:D,4,FALSE)</f>
        <v>USA</v>
      </c>
      <c r="G32" s="3" t="str">
        <f>VLOOKUP(C32,layoffs_location!A:E,5,FALSE)</f>
        <v>North America</v>
      </c>
      <c r="H32" s="3">
        <v>50</v>
      </c>
      <c r="I32" s="8">
        <v>43916</v>
      </c>
      <c r="J32" s="9">
        <v>10</v>
      </c>
      <c r="K32" s="10">
        <v>500</v>
      </c>
      <c r="L32" s="10">
        <v>450</v>
      </c>
      <c r="M32" s="3" t="s">
        <v>239</v>
      </c>
      <c r="N32" s="3" t="s">
        <v>63</v>
      </c>
      <c r="O32" s="34">
        <v>149</v>
      </c>
      <c r="P32" s="3">
        <v>2020</v>
      </c>
      <c r="Q32" s="3">
        <f>VLOOKUP(C32,layoffs_location!A:F,6,FALSE)</f>
        <v>45.520247099999999</v>
      </c>
      <c r="R32" s="3">
        <f>VLOOKUP(C32,layoffs_location!A:G,7,FALSE)</f>
        <v>-122.674194</v>
      </c>
    </row>
    <row r="33" spans="1:18" x14ac:dyDescent="0.2">
      <c r="A33" s="3">
        <v>32</v>
      </c>
      <c r="B33" s="3" t="s">
        <v>1299</v>
      </c>
      <c r="C33" s="3" t="s">
        <v>271</v>
      </c>
      <c r="D33" s="3" t="str">
        <f>VLOOKUP(C33,layoffs_location!A:B,2,FALSE)</f>
        <v>Cascadia</v>
      </c>
      <c r="E33" s="3" t="str">
        <f>VLOOKUP(C33,layoffs_location!A:C,3,FALSE)</f>
        <v>British Columbia</v>
      </c>
      <c r="F33" s="3" t="str">
        <f>VLOOKUP(C33,layoffs_location!A:D,4,FALSE)</f>
        <v>Canada</v>
      </c>
      <c r="G33" s="3" t="str">
        <f>VLOOKUP(C33,layoffs_location!A:E,5,FALSE)</f>
        <v>North America</v>
      </c>
      <c r="H33" s="3">
        <v>47</v>
      </c>
      <c r="I33" s="8">
        <v>43917</v>
      </c>
      <c r="J33" s="9">
        <v>10</v>
      </c>
      <c r="K33" s="10">
        <v>470</v>
      </c>
      <c r="L33" s="10">
        <v>423</v>
      </c>
      <c r="M33" s="3" t="s">
        <v>35</v>
      </c>
      <c r="N33" s="3" t="s">
        <v>49</v>
      </c>
      <c r="O33" s="34">
        <v>49</v>
      </c>
      <c r="P33" s="3">
        <v>2020</v>
      </c>
      <c r="Q33" s="3">
        <f>VLOOKUP(C33,layoffs_location!A:F,6,FALSE)</f>
        <v>49.260872399999997</v>
      </c>
      <c r="R33" s="3">
        <f>VLOOKUP(C33,layoffs_location!A:G,7,FALSE)</f>
        <v>-123.113952</v>
      </c>
    </row>
    <row r="34" spans="1:18" x14ac:dyDescent="0.2">
      <c r="A34" s="3">
        <v>33</v>
      </c>
      <c r="B34" s="3" t="s">
        <v>1300</v>
      </c>
      <c r="C34" s="3" t="s">
        <v>71</v>
      </c>
      <c r="D34" s="3" t="str">
        <f>VLOOKUP(C34,layoffs_location!A:B,2,FALSE)</f>
        <v>other</v>
      </c>
      <c r="E34" s="3" t="str">
        <f>VLOOKUP(C34,layoffs_location!A:C,3,FALSE)</f>
        <v>Massachusetts</v>
      </c>
      <c r="F34" s="3" t="str">
        <f>VLOOKUP(C34,layoffs_location!A:D,4,FALSE)</f>
        <v>USA</v>
      </c>
      <c r="G34" s="3" t="str">
        <f>VLOOKUP(C34,layoffs_location!A:E,5,FALSE)</f>
        <v>North America</v>
      </c>
      <c r="H34" s="3">
        <v>30</v>
      </c>
      <c r="I34" s="8">
        <v>43917</v>
      </c>
      <c r="J34" s="9">
        <v>20</v>
      </c>
      <c r="K34" s="10">
        <v>150</v>
      </c>
      <c r="L34" s="10">
        <v>120</v>
      </c>
      <c r="M34" s="3" t="s">
        <v>77</v>
      </c>
      <c r="N34" s="3" t="s">
        <v>41</v>
      </c>
      <c r="O34" s="34">
        <v>60</v>
      </c>
      <c r="P34" s="3">
        <v>2020</v>
      </c>
      <c r="Q34" s="3">
        <f>VLOOKUP(C34,layoffs_location!A:F,6,FALSE)</f>
        <v>42.355433400000003</v>
      </c>
      <c r="R34" s="3">
        <f>VLOOKUP(C34,layoffs_location!A:G,7,FALSE)</f>
        <v>-71.060511000000005</v>
      </c>
    </row>
    <row r="35" spans="1:18" x14ac:dyDescent="0.2">
      <c r="A35" s="3">
        <v>34</v>
      </c>
      <c r="B35" s="3" t="s">
        <v>996</v>
      </c>
      <c r="C35" s="3" t="s">
        <v>76</v>
      </c>
      <c r="D35" s="3" t="str">
        <f>VLOOKUP(C35,layoffs_location!A:B,2,FALSE)</f>
        <v>other</v>
      </c>
      <c r="E35" s="3" t="str">
        <f>VLOOKUP(C35,layoffs_location!A:C,3,FALSE)</f>
        <v>California</v>
      </c>
      <c r="F35" s="3" t="str">
        <f>VLOOKUP(C35,layoffs_location!A:D,4,FALSE)</f>
        <v>USA</v>
      </c>
      <c r="G35" s="3" t="str">
        <f>VLOOKUP(C35,layoffs_location!A:E,5,FALSE)</f>
        <v>North America</v>
      </c>
      <c r="H35" s="3">
        <v>406</v>
      </c>
      <c r="I35" s="8">
        <v>43917</v>
      </c>
      <c r="J35" s="9">
        <v>30</v>
      </c>
      <c r="K35" s="10">
        <v>1353</v>
      </c>
      <c r="L35" s="10">
        <v>947</v>
      </c>
      <c r="M35" s="3" t="s">
        <v>32</v>
      </c>
      <c r="N35" s="3" t="s">
        <v>108</v>
      </c>
      <c r="O35" s="34">
        <v>623</v>
      </c>
      <c r="P35" s="3">
        <v>2020</v>
      </c>
      <c r="Q35" s="3">
        <f>VLOOKUP(C35,layoffs_location!A:F,6,FALSE)</f>
        <v>34.053690899999999</v>
      </c>
      <c r="R35" s="3">
        <f>VLOOKUP(C35,layoffs_location!A:G,7,FALSE)</f>
        <v>-118.242766</v>
      </c>
    </row>
    <row r="36" spans="1:18" x14ac:dyDescent="0.2">
      <c r="A36" s="3">
        <v>35</v>
      </c>
      <c r="B36" s="3" t="s">
        <v>1295</v>
      </c>
      <c r="C36" s="3" t="s">
        <v>39</v>
      </c>
      <c r="D36" s="3" t="str">
        <f>VLOOKUP(C36,layoffs_location!A:B,2,FALSE)</f>
        <v>New York</v>
      </c>
      <c r="E36" s="3" t="str">
        <f>VLOOKUP(C36,layoffs_location!A:C,3,FALSE)</f>
        <v>New York</v>
      </c>
      <c r="F36" s="3" t="str">
        <f>VLOOKUP(C36,layoffs_location!A:D,4,FALSE)</f>
        <v>USA</v>
      </c>
      <c r="G36" s="3" t="str">
        <f>VLOOKUP(C36,layoffs_location!A:E,5,FALSE)</f>
        <v>North America</v>
      </c>
      <c r="H36" s="3">
        <v>130</v>
      </c>
      <c r="I36" s="8">
        <v>43917</v>
      </c>
      <c r="J36" s="9">
        <v>25</v>
      </c>
      <c r="K36" s="10">
        <v>520</v>
      </c>
      <c r="L36" s="10">
        <v>390</v>
      </c>
      <c r="M36" s="3" t="s">
        <v>137</v>
      </c>
      <c r="N36" s="3" t="s">
        <v>49</v>
      </c>
      <c r="O36" s="34">
        <v>77</v>
      </c>
      <c r="P36" s="3">
        <v>2020</v>
      </c>
      <c r="Q36" s="3">
        <f>VLOOKUP(C36,layoffs_location!A:F,6,FALSE)</f>
        <v>40.7127281</v>
      </c>
      <c r="R36" s="3">
        <f>VLOOKUP(C36,layoffs_location!A:G,7,FALSE)</f>
        <v>-74.006015199999993</v>
      </c>
    </row>
    <row r="37" spans="1:18" x14ac:dyDescent="0.2">
      <c r="A37" s="3">
        <v>36</v>
      </c>
      <c r="B37" s="3" t="s">
        <v>816</v>
      </c>
      <c r="C37" s="3" t="s">
        <v>71</v>
      </c>
      <c r="D37" s="3" t="str">
        <f>VLOOKUP(C37,layoffs_location!A:B,2,FALSE)</f>
        <v>other</v>
      </c>
      <c r="E37" s="3" t="str">
        <f>VLOOKUP(C37,layoffs_location!A:C,3,FALSE)</f>
        <v>Massachusetts</v>
      </c>
      <c r="F37" s="3" t="str">
        <f>VLOOKUP(C37,layoffs_location!A:D,4,FALSE)</f>
        <v>USA</v>
      </c>
      <c r="G37" s="3" t="str">
        <f>VLOOKUP(C37,layoffs_location!A:E,5,FALSE)</f>
        <v>North America</v>
      </c>
      <c r="H37" s="3">
        <v>200</v>
      </c>
      <c r="I37" s="8">
        <v>43917</v>
      </c>
      <c r="J37" s="9">
        <v>16.666666666666671</v>
      </c>
      <c r="K37" s="10">
        <v>1200</v>
      </c>
      <c r="L37" s="10">
        <v>1000</v>
      </c>
      <c r="M37" s="3" t="s">
        <v>79</v>
      </c>
      <c r="N37" s="3" t="s">
        <v>36</v>
      </c>
      <c r="O37" s="34">
        <v>430</v>
      </c>
      <c r="P37" s="3">
        <v>2020</v>
      </c>
      <c r="Q37" s="3">
        <f>VLOOKUP(C37,layoffs_location!A:F,6,FALSE)</f>
        <v>42.355433400000003</v>
      </c>
      <c r="R37" s="3">
        <f>VLOOKUP(C37,layoffs_location!A:G,7,FALSE)</f>
        <v>-71.060511000000005</v>
      </c>
    </row>
    <row r="38" spans="1:18" x14ac:dyDescent="0.2">
      <c r="A38" s="3">
        <v>37</v>
      </c>
      <c r="B38" s="3" t="s">
        <v>1296</v>
      </c>
      <c r="C38" s="3" t="s">
        <v>1370</v>
      </c>
      <c r="D38" s="3" t="str">
        <f>VLOOKUP(C38,layoffs_location!A:B,2,FALSE)</f>
        <v>San Francisco Bay Area</v>
      </c>
      <c r="E38" s="3" t="str">
        <f>VLOOKUP(C38,layoffs_location!A:C,3,FALSE)</f>
        <v>California</v>
      </c>
      <c r="F38" s="3" t="str">
        <f>VLOOKUP(C38,layoffs_location!A:D,4,FALSE)</f>
        <v>USA</v>
      </c>
      <c r="G38" s="3" t="str">
        <f>VLOOKUP(C38,layoffs_location!A:E,5,FALSE)</f>
        <v>North America</v>
      </c>
      <c r="H38" s="3">
        <v>100</v>
      </c>
      <c r="I38" s="8">
        <v>43917</v>
      </c>
      <c r="J38" s="9">
        <v>25</v>
      </c>
      <c r="K38" s="10">
        <v>400</v>
      </c>
      <c r="L38" s="10">
        <v>300</v>
      </c>
      <c r="M38" s="3" t="s">
        <v>32</v>
      </c>
      <c r="N38" s="3" t="s">
        <v>108</v>
      </c>
      <c r="O38" s="34">
        <v>403</v>
      </c>
      <c r="P38" s="3">
        <v>2020</v>
      </c>
      <c r="Q38" s="3">
        <f>VLOOKUP(C38,layoffs_location!A:F,6,FALSE)</f>
        <v>37.779258800000001</v>
      </c>
      <c r="R38" s="3">
        <f>VLOOKUP(C38,layoffs_location!A:G,7,FALSE)</f>
        <v>-122.4193286</v>
      </c>
    </row>
    <row r="39" spans="1:18" x14ac:dyDescent="0.2">
      <c r="A39" s="3">
        <v>38</v>
      </c>
      <c r="B39" s="3" t="s">
        <v>1294</v>
      </c>
      <c r="C39" s="3" t="s">
        <v>244</v>
      </c>
      <c r="D39" s="3" t="str">
        <f>VLOOKUP(C39,layoffs_location!A:B,2,FALSE)</f>
        <v>other</v>
      </c>
      <c r="E39" s="3" t="str">
        <f>VLOOKUP(C39,layoffs_location!A:C,3,FALSE)</f>
        <v>non</v>
      </c>
      <c r="F39" s="3" t="str">
        <f>VLOOKUP(C39,layoffs_location!A:D,4,FALSE)</f>
        <v>Singapore</v>
      </c>
      <c r="G39" s="3" t="str">
        <f>VLOOKUP(C39,layoffs_location!A:E,5,FALSE)</f>
        <v>Asia</v>
      </c>
      <c r="H39" s="3">
        <v>250</v>
      </c>
      <c r="I39" s="8">
        <v>43917</v>
      </c>
      <c r="J39" s="9">
        <v>100</v>
      </c>
      <c r="K39" s="10">
        <v>250</v>
      </c>
      <c r="L39" s="10">
        <v>0</v>
      </c>
      <c r="M39" s="3" t="s">
        <v>16</v>
      </c>
      <c r="N39" s="3" t="s">
        <v>22</v>
      </c>
      <c r="O39" s="34">
        <v>95</v>
      </c>
      <c r="P39" s="3">
        <v>2020</v>
      </c>
      <c r="Q39" s="3">
        <f>VLOOKUP(C39,layoffs_location!A:F,6,FALSE)</f>
        <v>1.2899175000000001</v>
      </c>
      <c r="R39" s="3">
        <f>VLOOKUP(C39,layoffs_location!A:G,7,FALSE)</f>
        <v>103.8519072</v>
      </c>
    </row>
    <row r="40" spans="1:18" x14ac:dyDescent="0.2">
      <c r="A40" s="3">
        <v>39</v>
      </c>
      <c r="B40" s="3" t="s">
        <v>1075</v>
      </c>
      <c r="C40" s="3" t="s">
        <v>39</v>
      </c>
      <c r="D40" s="3" t="str">
        <f>VLOOKUP(C40,layoffs_location!A:B,2,FALSE)</f>
        <v>New York</v>
      </c>
      <c r="E40" s="3" t="str">
        <f>VLOOKUP(C40,layoffs_location!A:C,3,FALSE)</f>
        <v>New York</v>
      </c>
      <c r="F40" s="3" t="str">
        <f>VLOOKUP(C40,layoffs_location!A:D,4,FALSE)</f>
        <v>USA</v>
      </c>
      <c r="G40" s="3" t="str">
        <f>VLOOKUP(C40,layoffs_location!A:E,5,FALSE)</f>
        <v>North America</v>
      </c>
      <c r="H40" s="3">
        <v>127</v>
      </c>
      <c r="I40" s="8">
        <v>43917</v>
      </c>
      <c r="J40" s="9">
        <v>30</v>
      </c>
      <c r="K40" s="10">
        <v>423</v>
      </c>
      <c r="L40" s="10">
        <v>296</v>
      </c>
      <c r="M40" s="3" t="s">
        <v>137</v>
      </c>
      <c r="N40" s="3" t="s">
        <v>41</v>
      </c>
      <c r="O40" s="34">
        <v>560</v>
      </c>
      <c r="P40" s="3">
        <v>2020</v>
      </c>
      <c r="Q40" s="3">
        <f>VLOOKUP(C40,layoffs_location!A:F,6,FALSE)</f>
        <v>40.7127281</v>
      </c>
      <c r="R40" s="3">
        <f>VLOOKUP(C40,layoffs_location!A:G,7,FALSE)</f>
        <v>-74.006015199999993</v>
      </c>
    </row>
    <row r="41" spans="1:18" x14ac:dyDescent="0.2">
      <c r="A41" s="3">
        <v>40</v>
      </c>
      <c r="B41" s="3" t="s">
        <v>1298</v>
      </c>
      <c r="C41" s="3" t="s">
        <v>271</v>
      </c>
      <c r="D41" s="3" t="str">
        <f>VLOOKUP(C41,layoffs_location!A:B,2,FALSE)</f>
        <v>Cascadia</v>
      </c>
      <c r="E41" s="3" t="str">
        <f>VLOOKUP(C41,layoffs_location!A:C,3,FALSE)</f>
        <v>British Columbia</v>
      </c>
      <c r="F41" s="3" t="str">
        <f>VLOOKUP(C41,layoffs_location!A:D,4,FALSE)</f>
        <v>Canada</v>
      </c>
      <c r="G41" s="3" t="str">
        <f>VLOOKUP(C41,layoffs_location!A:E,5,FALSE)</f>
        <v>North America</v>
      </c>
      <c r="H41" s="3">
        <v>78</v>
      </c>
      <c r="I41" s="8">
        <v>43917</v>
      </c>
      <c r="J41" s="9">
        <v>30</v>
      </c>
      <c r="K41" s="10">
        <v>260</v>
      </c>
      <c r="L41" s="10">
        <v>182</v>
      </c>
      <c r="M41" s="3" t="s">
        <v>35</v>
      </c>
      <c r="N41" s="3" t="s">
        <v>28</v>
      </c>
      <c r="O41" s="34">
        <v>201</v>
      </c>
      <c r="P41" s="3">
        <v>2020</v>
      </c>
      <c r="Q41" s="3">
        <f>VLOOKUP(C41,layoffs_location!A:F,6,FALSE)</f>
        <v>49.260872399999997</v>
      </c>
      <c r="R41" s="3">
        <f>VLOOKUP(C41,layoffs_location!A:G,7,FALSE)</f>
        <v>-123.113952</v>
      </c>
    </row>
    <row r="42" spans="1:18" x14ac:dyDescent="0.2">
      <c r="A42" s="3">
        <v>41</v>
      </c>
      <c r="B42" s="3" t="s">
        <v>1293</v>
      </c>
      <c r="C42" s="3" t="s">
        <v>58</v>
      </c>
      <c r="D42" s="3" t="str">
        <f>VLOOKUP(C42,layoffs_location!A:B,2,FALSE)</f>
        <v>other</v>
      </c>
      <c r="E42" s="3" t="str">
        <f>VLOOKUP(C42,layoffs_location!A:C,3,FALSE)</f>
        <v>England</v>
      </c>
      <c r="F42" s="3" t="str">
        <f>VLOOKUP(C42,layoffs_location!A:D,4,FALSE)</f>
        <v>UK</v>
      </c>
      <c r="G42" s="3" t="str">
        <f>VLOOKUP(C42,layoffs_location!A:E,5,FALSE)</f>
        <v>Europe</v>
      </c>
      <c r="H42" s="3">
        <v>451</v>
      </c>
      <c r="I42" s="8">
        <v>43917</v>
      </c>
      <c r="J42" s="9">
        <v>85</v>
      </c>
      <c r="K42" s="10">
        <v>531</v>
      </c>
      <c r="L42" s="10">
        <v>80</v>
      </c>
      <c r="M42" s="3" t="s">
        <v>192</v>
      </c>
      <c r="N42" s="3" t="s">
        <v>22</v>
      </c>
      <c r="P42" s="3">
        <v>2020</v>
      </c>
      <c r="Q42" s="3">
        <f>VLOOKUP(C42,layoffs_location!A:F,6,FALSE)</f>
        <v>51.489333500000001</v>
      </c>
      <c r="R42" s="3">
        <f>VLOOKUP(C42,layoffs_location!A:G,7,FALSE)</f>
        <v>-0.14405508452768701</v>
      </c>
    </row>
    <row r="43" spans="1:18" x14ac:dyDescent="0.2">
      <c r="A43" s="3">
        <v>42</v>
      </c>
      <c r="B43" s="3" t="s">
        <v>355</v>
      </c>
      <c r="C43" s="3" t="s">
        <v>43</v>
      </c>
      <c r="D43" s="3" t="str">
        <f>VLOOKUP(C43,layoffs_location!A:B,2,FALSE)</f>
        <v>Cascadia</v>
      </c>
      <c r="E43" s="3" t="str">
        <f>VLOOKUP(C43,layoffs_location!A:C,3,FALSE)</f>
        <v>Washington</v>
      </c>
      <c r="F43" s="3" t="str">
        <f>VLOOKUP(C43,layoffs_location!A:D,4,FALSE)</f>
        <v>USA</v>
      </c>
      <c r="G43" s="3" t="str">
        <f>VLOOKUP(C43,layoffs_location!A:E,5,FALSE)</f>
        <v>North America</v>
      </c>
      <c r="H43" s="3">
        <v>30</v>
      </c>
      <c r="I43" s="8">
        <v>43917</v>
      </c>
      <c r="J43" s="9">
        <v>20</v>
      </c>
      <c r="K43" s="10">
        <v>150</v>
      </c>
      <c r="L43" s="10">
        <v>120</v>
      </c>
      <c r="M43" s="3" t="s">
        <v>84</v>
      </c>
      <c r="N43" s="3" t="s">
        <v>22</v>
      </c>
      <c r="O43" s="34">
        <v>41</v>
      </c>
      <c r="P43" s="3">
        <v>2020</v>
      </c>
      <c r="Q43" s="3">
        <f>VLOOKUP(C43,layoffs_location!A:F,6,FALSE)</f>
        <v>47.603832099999998</v>
      </c>
      <c r="R43" s="3">
        <f>VLOOKUP(C43,layoffs_location!A:G,7,FALSE)</f>
        <v>-122.330062</v>
      </c>
    </row>
    <row r="44" spans="1:18" x14ac:dyDescent="0.2">
      <c r="A44" s="3">
        <v>43</v>
      </c>
      <c r="B44" s="3" t="s">
        <v>1297</v>
      </c>
      <c r="C44" s="3" t="s">
        <v>71</v>
      </c>
      <c r="D44" s="3" t="str">
        <f>VLOOKUP(C44,layoffs_location!A:B,2,FALSE)</f>
        <v>other</v>
      </c>
      <c r="E44" s="3" t="str">
        <f>VLOOKUP(C44,layoffs_location!A:C,3,FALSE)</f>
        <v>Massachusetts</v>
      </c>
      <c r="F44" s="3" t="str">
        <f>VLOOKUP(C44,layoffs_location!A:D,4,FALSE)</f>
        <v>USA</v>
      </c>
      <c r="G44" s="3" t="str">
        <f>VLOOKUP(C44,layoffs_location!A:E,5,FALSE)</f>
        <v>North America</v>
      </c>
      <c r="H44" s="3">
        <v>100</v>
      </c>
      <c r="I44" s="8">
        <v>43917</v>
      </c>
      <c r="J44" s="9">
        <v>20</v>
      </c>
      <c r="K44" s="10">
        <v>500</v>
      </c>
      <c r="L44" s="10">
        <v>400</v>
      </c>
      <c r="M44" s="3" t="s">
        <v>32</v>
      </c>
      <c r="N44" s="3" t="s">
        <v>33</v>
      </c>
      <c r="O44" s="34">
        <v>107</v>
      </c>
      <c r="P44" s="3">
        <v>2020</v>
      </c>
      <c r="Q44" s="3">
        <f>VLOOKUP(C44,layoffs_location!A:F,6,FALSE)</f>
        <v>42.355433400000003</v>
      </c>
      <c r="R44" s="3">
        <f>VLOOKUP(C44,layoffs_location!A:G,7,FALSE)</f>
        <v>-71.060511000000005</v>
      </c>
    </row>
    <row r="45" spans="1:18" x14ac:dyDescent="0.2">
      <c r="A45" s="3">
        <v>44</v>
      </c>
      <c r="B45" s="3" t="s">
        <v>1292</v>
      </c>
      <c r="C45" s="3" t="s">
        <v>182</v>
      </c>
      <c r="D45" s="3" t="str">
        <f>VLOOKUP(C45,layoffs_location!A:B,2,FALSE)</f>
        <v>other</v>
      </c>
      <c r="E45" s="3" t="str">
        <f>VLOOKUP(C45,layoffs_location!A:C,3,FALSE)</f>
        <v>Haryana</v>
      </c>
      <c r="F45" s="3" t="str">
        <f>VLOOKUP(C45,layoffs_location!A:D,4,FALSE)</f>
        <v>India</v>
      </c>
      <c r="G45" s="3" t="str">
        <f>VLOOKUP(C45,layoffs_location!A:E,5,FALSE)</f>
        <v>Asia</v>
      </c>
      <c r="H45" s="3">
        <v>250</v>
      </c>
      <c r="I45" s="8">
        <v>43918</v>
      </c>
      <c r="J45" s="9">
        <v>50</v>
      </c>
      <c r="K45" s="10">
        <v>500</v>
      </c>
      <c r="L45" s="10">
        <v>250</v>
      </c>
      <c r="M45" s="3" t="s">
        <v>72</v>
      </c>
      <c r="N45" s="3" t="s">
        <v>108</v>
      </c>
      <c r="O45" s="34">
        <v>47</v>
      </c>
      <c r="P45" s="3">
        <v>2020</v>
      </c>
      <c r="Q45" s="3">
        <f>VLOOKUP(C45,layoffs_location!A:F,6,FALSE)</f>
        <v>28.4646148</v>
      </c>
      <c r="R45" s="3">
        <f>VLOOKUP(C45,layoffs_location!A:G,7,FALSE)</f>
        <v>77.029919399999997</v>
      </c>
    </row>
    <row r="46" spans="1:18" x14ac:dyDescent="0.2">
      <c r="A46" s="3">
        <v>45</v>
      </c>
      <c r="B46" s="3" t="s">
        <v>1291</v>
      </c>
      <c r="C46" s="3" t="s">
        <v>43</v>
      </c>
      <c r="D46" s="3" t="str">
        <f>VLOOKUP(C46,layoffs_location!A:B,2,FALSE)</f>
        <v>Cascadia</v>
      </c>
      <c r="E46" s="3" t="str">
        <f>VLOOKUP(C46,layoffs_location!A:C,3,FALSE)</f>
        <v>Washington</v>
      </c>
      <c r="F46" s="3" t="str">
        <f>VLOOKUP(C46,layoffs_location!A:D,4,FALSE)</f>
        <v>USA</v>
      </c>
      <c r="G46" s="3" t="str">
        <f>VLOOKUP(C46,layoffs_location!A:E,5,FALSE)</f>
        <v>North America</v>
      </c>
      <c r="H46" s="3">
        <v>17</v>
      </c>
      <c r="I46" s="8">
        <v>43919</v>
      </c>
      <c r="J46" s="9">
        <v>100</v>
      </c>
      <c r="K46" s="10">
        <v>17</v>
      </c>
      <c r="L46" s="10">
        <v>0</v>
      </c>
      <c r="M46" s="3" t="s">
        <v>130</v>
      </c>
      <c r="N46" s="3" t="s">
        <v>49</v>
      </c>
      <c r="O46" s="34">
        <v>25</v>
      </c>
      <c r="P46" s="3">
        <v>2020</v>
      </c>
      <c r="Q46" s="3">
        <f>VLOOKUP(C46,layoffs_location!A:F,6,FALSE)</f>
        <v>47.603832099999998</v>
      </c>
      <c r="R46" s="3">
        <f>VLOOKUP(C46,layoffs_location!A:G,7,FALSE)</f>
        <v>-122.330062</v>
      </c>
    </row>
    <row r="47" spans="1:18" x14ac:dyDescent="0.2">
      <c r="A47" s="3">
        <v>46</v>
      </c>
      <c r="B47" s="3" t="s">
        <v>275</v>
      </c>
      <c r="C47" s="3" t="s">
        <v>76</v>
      </c>
      <c r="D47" s="3" t="str">
        <f>VLOOKUP(C47,layoffs_location!A:B,2,FALSE)</f>
        <v>other</v>
      </c>
      <c r="E47" s="3" t="str">
        <f>VLOOKUP(C47,layoffs_location!A:C,3,FALSE)</f>
        <v>California</v>
      </c>
      <c r="F47" s="3" t="str">
        <f>VLOOKUP(C47,layoffs_location!A:D,4,FALSE)</f>
        <v>USA</v>
      </c>
      <c r="G47" s="3" t="str">
        <f>VLOOKUP(C47,layoffs_location!A:E,5,FALSE)</f>
        <v>North America</v>
      </c>
      <c r="H47" s="3">
        <v>400</v>
      </c>
      <c r="I47" s="8">
        <v>43919</v>
      </c>
      <c r="J47" s="9">
        <v>39</v>
      </c>
      <c r="K47" s="10">
        <v>1026</v>
      </c>
      <c r="L47" s="10">
        <v>626</v>
      </c>
      <c r="M47" s="3" t="s">
        <v>84</v>
      </c>
      <c r="N47" s="3" t="s">
        <v>49</v>
      </c>
      <c r="O47" s="34">
        <v>219</v>
      </c>
      <c r="P47" s="3">
        <v>2020</v>
      </c>
      <c r="Q47" s="3">
        <f>VLOOKUP(C47,layoffs_location!A:F,6,FALSE)</f>
        <v>34.053690899999999</v>
      </c>
      <c r="R47" s="3">
        <f>VLOOKUP(C47,layoffs_location!A:G,7,FALSE)</f>
        <v>-118.242766</v>
      </c>
    </row>
    <row r="48" spans="1:18" x14ac:dyDescent="0.2">
      <c r="A48" s="3">
        <v>47</v>
      </c>
      <c r="B48" s="3" t="s">
        <v>1285</v>
      </c>
      <c r="C48" s="3" t="s">
        <v>748</v>
      </c>
      <c r="D48" s="3" t="str">
        <f>VLOOKUP(C48,layoffs_location!A:B,2,FALSE)</f>
        <v>other</v>
      </c>
      <c r="E48" s="3" t="str">
        <f>VLOOKUP(C48,layoffs_location!A:C,3,FALSE)</f>
        <v>Delhi</v>
      </c>
      <c r="F48" s="3" t="str">
        <f>VLOOKUP(C48,layoffs_location!A:D,4,FALSE)</f>
        <v>India</v>
      </c>
      <c r="G48" s="3" t="str">
        <f>VLOOKUP(C48,layoffs_location!A:E,5,FALSE)</f>
        <v>Asia</v>
      </c>
      <c r="H48" s="3">
        <v>80</v>
      </c>
      <c r="I48" s="8">
        <v>43920</v>
      </c>
      <c r="J48" s="9">
        <v>20</v>
      </c>
      <c r="K48" s="10">
        <v>400</v>
      </c>
      <c r="L48" s="10">
        <v>320</v>
      </c>
      <c r="M48" s="3" t="s">
        <v>72</v>
      </c>
      <c r="N48" s="3" t="s">
        <v>49</v>
      </c>
      <c r="O48" s="34">
        <v>48</v>
      </c>
      <c r="P48" s="3">
        <v>2020</v>
      </c>
      <c r="Q48" s="3">
        <f>VLOOKUP(C48,layoffs_location!A:F,6,FALSE)</f>
        <v>28.613895400000001</v>
      </c>
      <c r="R48" s="3">
        <f>VLOOKUP(C48,layoffs_location!A:G,7,FALSE)</f>
        <v>77.209005700000006</v>
      </c>
    </row>
    <row r="49" spans="1:18" x14ac:dyDescent="0.2">
      <c r="A49" s="3">
        <v>48</v>
      </c>
      <c r="B49" s="3" t="s">
        <v>1286</v>
      </c>
      <c r="C49" s="3" t="s">
        <v>47</v>
      </c>
      <c r="D49" s="3" t="str">
        <f>VLOOKUP(C49,layoffs_location!A:B,2,FALSE)</f>
        <v>other</v>
      </c>
      <c r="E49" s="3" t="str">
        <f>VLOOKUP(C49,layoffs_location!A:C,3,FALSE)</f>
        <v>non</v>
      </c>
      <c r="F49" s="3" t="str">
        <f>VLOOKUP(C49,layoffs_location!A:D,4,FALSE)</f>
        <v>Israel</v>
      </c>
      <c r="G49" s="3" t="str">
        <f>VLOOKUP(C49,layoffs_location!A:E,5,FALSE)</f>
        <v>Asia</v>
      </c>
      <c r="H49" s="3">
        <v>70</v>
      </c>
      <c r="I49" s="8">
        <v>43920</v>
      </c>
      <c r="J49" s="9">
        <v>30</v>
      </c>
      <c r="K49" s="10">
        <v>233</v>
      </c>
      <c r="L49" s="10">
        <v>163</v>
      </c>
      <c r="M49" s="3" t="s">
        <v>84</v>
      </c>
      <c r="N49" s="3" t="s">
        <v>69</v>
      </c>
      <c r="O49" s="34">
        <v>45</v>
      </c>
      <c r="P49" s="3">
        <v>2020</v>
      </c>
      <c r="Q49" s="3">
        <f>VLOOKUP(C49,layoffs_location!A:F,6,FALSE)</f>
        <v>32.0852997</v>
      </c>
      <c r="R49" s="3">
        <f>VLOOKUP(C49,layoffs_location!A:G,7,FALSE)</f>
        <v>34.781806400000001</v>
      </c>
    </row>
    <row r="50" spans="1:18" x14ac:dyDescent="0.2">
      <c r="A50" s="3">
        <v>49</v>
      </c>
      <c r="B50" s="3" t="s">
        <v>1290</v>
      </c>
      <c r="C50" s="3" t="s">
        <v>39</v>
      </c>
      <c r="D50" s="3" t="str">
        <f>VLOOKUP(C50,layoffs_location!A:B,2,FALSE)</f>
        <v>New York</v>
      </c>
      <c r="E50" s="3" t="str">
        <f>VLOOKUP(C50,layoffs_location!A:C,3,FALSE)</f>
        <v>New York</v>
      </c>
      <c r="F50" s="3" t="str">
        <f>VLOOKUP(C50,layoffs_location!A:D,4,FALSE)</f>
        <v>USA</v>
      </c>
      <c r="G50" s="3" t="str">
        <f>VLOOKUP(C50,layoffs_location!A:E,5,FALSE)</f>
        <v>North America</v>
      </c>
      <c r="H50" s="3">
        <v>9</v>
      </c>
      <c r="I50" s="8">
        <v>43920</v>
      </c>
      <c r="J50" s="9">
        <v>50</v>
      </c>
      <c r="K50" s="10">
        <v>18</v>
      </c>
      <c r="L50" s="10">
        <v>9</v>
      </c>
      <c r="M50" s="3" t="s">
        <v>77</v>
      </c>
      <c r="N50" s="3" t="s">
        <v>147</v>
      </c>
      <c r="O50" s="34">
        <v>15</v>
      </c>
      <c r="P50" s="3">
        <v>2020</v>
      </c>
      <c r="Q50" s="3">
        <f>VLOOKUP(C50,layoffs_location!A:F,6,FALSE)</f>
        <v>40.7127281</v>
      </c>
      <c r="R50" s="3">
        <f>VLOOKUP(C50,layoffs_location!A:G,7,FALSE)</f>
        <v>-74.006015199999993</v>
      </c>
    </row>
    <row r="51" spans="1:18" x14ac:dyDescent="0.2">
      <c r="A51" s="3">
        <v>50</v>
      </c>
      <c r="B51" s="3" t="s">
        <v>1289</v>
      </c>
      <c r="C51" s="3" t="s">
        <v>39</v>
      </c>
      <c r="D51" s="3" t="str">
        <f>VLOOKUP(C51,layoffs_location!A:B,2,FALSE)</f>
        <v>New York</v>
      </c>
      <c r="E51" s="3" t="str">
        <f>VLOOKUP(C51,layoffs_location!A:C,3,FALSE)</f>
        <v>New York</v>
      </c>
      <c r="F51" s="3" t="str">
        <f>VLOOKUP(C51,layoffs_location!A:D,4,FALSE)</f>
        <v>USA</v>
      </c>
      <c r="G51" s="3" t="str">
        <f>VLOOKUP(C51,layoffs_location!A:E,5,FALSE)</f>
        <v>North America</v>
      </c>
      <c r="H51" s="3">
        <v>25</v>
      </c>
      <c r="I51" s="8">
        <v>43920</v>
      </c>
      <c r="J51" s="9">
        <v>75</v>
      </c>
      <c r="K51" s="10">
        <v>33</v>
      </c>
      <c r="L51" s="10">
        <v>8</v>
      </c>
      <c r="M51" s="3" t="s">
        <v>137</v>
      </c>
      <c r="N51" s="3" t="s">
        <v>69</v>
      </c>
      <c r="O51" s="34">
        <v>18</v>
      </c>
      <c r="P51" s="3">
        <v>2020</v>
      </c>
      <c r="Q51" s="3">
        <f>VLOOKUP(C51,layoffs_location!A:F,6,FALSE)</f>
        <v>40.7127281</v>
      </c>
      <c r="R51" s="3">
        <f>VLOOKUP(C51,layoffs_location!A:G,7,FALSE)</f>
        <v>-74.006015199999993</v>
      </c>
    </row>
    <row r="52" spans="1:18" x14ac:dyDescent="0.2">
      <c r="A52" s="3">
        <v>51</v>
      </c>
      <c r="B52" s="3" t="s">
        <v>1288</v>
      </c>
      <c r="C52" s="3" t="s">
        <v>43</v>
      </c>
      <c r="D52" s="3" t="str">
        <f>VLOOKUP(C52,layoffs_location!A:B,2,FALSE)</f>
        <v>Cascadia</v>
      </c>
      <c r="E52" s="3" t="str">
        <f>VLOOKUP(C52,layoffs_location!A:C,3,FALSE)</f>
        <v>Washington</v>
      </c>
      <c r="F52" s="3" t="str">
        <f>VLOOKUP(C52,layoffs_location!A:D,4,FALSE)</f>
        <v>USA</v>
      </c>
      <c r="G52" s="3" t="str">
        <f>VLOOKUP(C52,layoffs_location!A:E,5,FALSE)</f>
        <v>North America</v>
      </c>
      <c r="H52" s="3">
        <v>31</v>
      </c>
      <c r="I52" s="8">
        <v>43920</v>
      </c>
      <c r="J52" s="9">
        <v>9</v>
      </c>
      <c r="K52" s="10">
        <v>344</v>
      </c>
      <c r="L52" s="10">
        <v>313</v>
      </c>
      <c r="M52" s="3" t="s">
        <v>54</v>
      </c>
      <c r="N52" s="3" t="s">
        <v>28</v>
      </c>
      <c r="O52" s="34">
        <v>77</v>
      </c>
      <c r="P52" s="3">
        <v>2020</v>
      </c>
      <c r="Q52" s="3">
        <f>VLOOKUP(C52,layoffs_location!A:F,6,FALSE)</f>
        <v>47.603832099999998</v>
      </c>
      <c r="R52" s="3">
        <f>VLOOKUP(C52,layoffs_location!A:G,7,FALSE)</f>
        <v>-122.330062</v>
      </c>
    </row>
    <row r="53" spans="1:18" x14ac:dyDescent="0.2">
      <c r="A53" s="3">
        <v>52</v>
      </c>
      <c r="B53" s="3" t="s">
        <v>1287</v>
      </c>
      <c r="C53" s="3" t="s">
        <v>76</v>
      </c>
      <c r="D53" s="3" t="str">
        <f>VLOOKUP(C53,layoffs_location!A:B,2,FALSE)</f>
        <v>other</v>
      </c>
      <c r="E53" s="3" t="str">
        <f>VLOOKUP(C53,layoffs_location!A:C,3,FALSE)</f>
        <v>California</v>
      </c>
      <c r="F53" s="3" t="str">
        <f>VLOOKUP(C53,layoffs_location!A:D,4,FALSE)</f>
        <v>USA</v>
      </c>
      <c r="G53" s="3" t="str">
        <f>VLOOKUP(C53,layoffs_location!A:E,5,FALSE)</f>
        <v>North America</v>
      </c>
      <c r="H53" s="3">
        <v>51</v>
      </c>
      <c r="I53" s="8">
        <v>43920</v>
      </c>
      <c r="J53" s="9">
        <v>30</v>
      </c>
      <c r="K53" s="10">
        <v>170</v>
      </c>
      <c r="L53" s="10">
        <v>119</v>
      </c>
      <c r="M53" s="3" t="s">
        <v>35</v>
      </c>
      <c r="N53" s="3" t="s">
        <v>41</v>
      </c>
      <c r="O53" s="34">
        <v>110</v>
      </c>
      <c r="P53" s="3">
        <v>2020</v>
      </c>
      <c r="Q53" s="3">
        <f>VLOOKUP(C53,layoffs_location!A:F,6,FALSE)</f>
        <v>34.053690899999999</v>
      </c>
      <c r="R53" s="3">
        <f>VLOOKUP(C53,layoffs_location!A:G,7,FALSE)</f>
        <v>-118.242766</v>
      </c>
    </row>
    <row r="54" spans="1:18" x14ac:dyDescent="0.2">
      <c r="A54" s="3">
        <v>53</v>
      </c>
      <c r="B54" s="3" t="s">
        <v>1284</v>
      </c>
      <c r="C54" s="3" t="s">
        <v>83</v>
      </c>
      <c r="D54" s="3" t="str">
        <f>VLOOKUP(C54,layoffs_location!A:B,2,FALSE)</f>
        <v>other</v>
      </c>
      <c r="E54" s="3" t="str">
        <f>VLOOKUP(C54,layoffs_location!A:C,3,FALSE)</f>
        <v>Texas</v>
      </c>
      <c r="F54" s="3" t="str">
        <f>VLOOKUP(C54,layoffs_location!A:D,4,FALSE)</f>
        <v>USA</v>
      </c>
      <c r="G54" s="3" t="str">
        <f>VLOOKUP(C54,layoffs_location!A:E,5,FALSE)</f>
        <v>North America</v>
      </c>
      <c r="H54" s="3">
        <v>120</v>
      </c>
      <c r="I54" s="8">
        <v>43920</v>
      </c>
      <c r="J54" s="9">
        <v>25</v>
      </c>
      <c r="K54" s="10">
        <v>480</v>
      </c>
      <c r="L54" s="10">
        <v>360</v>
      </c>
      <c r="M54" s="3" t="s">
        <v>27</v>
      </c>
      <c r="N54" s="3" t="s">
        <v>108</v>
      </c>
      <c r="O54" s="34">
        <v>423</v>
      </c>
      <c r="P54" s="3">
        <v>2020</v>
      </c>
      <c r="Q54" s="3">
        <f>VLOOKUP(C54,layoffs_location!A:F,6,FALSE)</f>
        <v>30.271128600000001</v>
      </c>
      <c r="R54" s="3">
        <f>VLOOKUP(C54,layoffs_location!A:G,7,FALSE)</f>
        <v>-97.743699500000005</v>
      </c>
    </row>
    <row r="55" spans="1:18" ht="16" x14ac:dyDescent="0.2">
      <c r="A55" s="3">
        <v>54</v>
      </c>
      <c r="B55" s="3" t="s">
        <v>595</v>
      </c>
      <c r="C55" s="11" t="s">
        <v>1370</v>
      </c>
      <c r="D55" s="3" t="str">
        <f>VLOOKUP(C55,layoffs_location!A:B,2,FALSE)</f>
        <v>San Francisco Bay Area</v>
      </c>
      <c r="E55" s="3" t="str">
        <f>VLOOKUP(C55,layoffs_location!A:C,3,FALSE)</f>
        <v>California</v>
      </c>
      <c r="F55" s="3" t="str">
        <f>VLOOKUP(C55,layoffs_location!A:D,4,FALSE)</f>
        <v>USA</v>
      </c>
      <c r="G55" s="3" t="str">
        <f>VLOOKUP(C55,layoffs_location!A:E,5,FALSE)</f>
        <v>North America</v>
      </c>
      <c r="H55" s="3">
        <v>250</v>
      </c>
      <c r="I55" s="8">
        <v>43920</v>
      </c>
      <c r="J55" s="9">
        <v>30</v>
      </c>
      <c r="K55" s="10">
        <v>833</v>
      </c>
      <c r="L55" s="10">
        <v>583</v>
      </c>
      <c r="M55" s="3" t="s">
        <v>16</v>
      </c>
      <c r="N55" s="3" t="s">
        <v>63</v>
      </c>
      <c r="O55" s="34">
        <v>423</v>
      </c>
      <c r="P55" s="3">
        <v>2020</v>
      </c>
      <c r="Q55" s="3">
        <f>VLOOKUP(C55,layoffs_location!A:F,6,FALSE)</f>
        <v>37.779258800000001</v>
      </c>
      <c r="R55" s="3">
        <f>VLOOKUP(C55,layoffs_location!A:G,7,FALSE)</f>
        <v>-122.4193286</v>
      </c>
    </row>
    <row r="56" spans="1:18" x14ac:dyDescent="0.2">
      <c r="A56" s="3">
        <v>55</v>
      </c>
      <c r="B56" s="3" t="s">
        <v>1278</v>
      </c>
      <c r="C56" s="3" t="s">
        <v>113</v>
      </c>
      <c r="D56" s="3" t="str">
        <f>VLOOKUP(C56,layoffs_location!A:B,2,FALSE)</f>
        <v>other</v>
      </c>
      <c r="E56" s="3" t="str">
        <f>VLOOKUP(C56,layoffs_location!A:C,3,FALSE)</f>
        <v>Utah</v>
      </c>
      <c r="F56" s="3" t="str">
        <f>VLOOKUP(C56,layoffs_location!A:D,4,FALSE)</f>
        <v>USA</v>
      </c>
      <c r="G56" s="3" t="str">
        <f>VLOOKUP(C56,layoffs_location!A:E,5,FALSE)</f>
        <v>North America</v>
      </c>
      <c r="H56" s="3">
        <v>210</v>
      </c>
      <c r="I56" s="8">
        <v>43921</v>
      </c>
      <c r="J56" s="9">
        <v>30</v>
      </c>
      <c r="K56" s="10">
        <v>700</v>
      </c>
      <c r="L56" s="10">
        <v>490</v>
      </c>
      <c r="M56" s="3" t="s">
        <v>130</v>
      </c>
      <c r="N56" s="3" t="s">
        <v>41</v>
      </c>
      <c r="O56" s="34">
        <v>89</v>
      </c>
      <c r="P56" s="3">
        <v>2020</v>
      </c>
      <c r="Q56" s="3">
        <f>VLOOKUP(C56,layoffs_location!A:F,6,FALSE)</f>
        <v>40.759619800000003</v>
      </c>
      <c r="R56" s="3">
        <f>VLOOKUP(C56,layoffs_location!A:G,7,FALSE)</f>
        <v>-111.886797</v>
      </c>
    </row>
    <row r="57" spans="1:18" x14ac:dyDescent="0.2">
      <c r="A57" s="3">
        <v>56</v>
      </c>
      <c r="B57" s="3" t="s">
        <v>1283</v>
      </c>
      <c r="C57" s="3" t="s">
        <v>637</v>
      </c>
      <c r="D57" s="3" t="str">
        <f>VLOOKUP(C57,layoffs_location!A:B,2,FALSE)</f>
        <v>other</v>
      </c>
      <c r="E57" s="3" t="str">
        <f>VLOOKUP(C57,layoffs_location!A:C,3,FALSE)</f>
        <v>California</v>
      </c>
      <c r="F57" s="3" t="str">
        <f>VLOOKUP(C57,layoffs_location!A:D,4,FALSE)</f>
        <v>USA</v>
      </c>
      <c r="G57" s="3" t="str">
        <f>VLOOKUP(C57,layoffs_location!A:E,5,FALSE)</f>
        <v>North America</v>
      </c>
      <c r="H57" s="3">
        <v>5</v>
      </c>
      <c r="I57" s="8">
        <v>43921</v>
      </c>
      <c r="J57" s="9">
        <v>14</v>
      </c>
      <c r="K57" s="10">
        <v>36</v>
      </c>
      <c r="L57" s="10">
        <v>31</v>
      </c>
      <c r="M57" s="3" t="s">
        <v>130</v>
      </c>
      <c r="N57" s="3" t="s">
        <v>49</v>
      </c>
      <c r="O57" s="34">
        <v>26</v>
      </c>
      <c r="P57" s="3">
        <v>2020</v>
      </c>
      <c r="Q57" s="3">
        <f>VLOOKUP(C57,layoffs_location!A:F,6,FALSE)</f>
        <v>38.581060600000001</v>
      </c>
      <c r="R57" s="3">
        <f>VLOOKUP(C57,layoffs_location!A:G,7,FALSE)</f>
        <v>-121.49389499999999</v>
      </c>
    </row>
    <row r="58" spans="1:18" ht="16" x14ac:dyDescent="0.2">
      <c r="A58" s="3">
        <v>57</v>
      </c>
      <c r="B58" s="3" t="s">
        <v>1277</v>
      </c>
      <c r="C58" s="11" t="s">
        <v>1370</v>
      </c>
      <c r="D58" s="3" t="str">
        <f>VLOOKUP(C58,layoffs_location!A:B,2,FALSE)</f>
        <v>San Francisco Bay Area</v>
      </c>
      <c r="E58" s="3" t="str">
        <f>VLOOKUP(C58,layoffs_location!A:C,3,FALSE)</f>
        <v>California</v>
      </c>
      <c r="F58" s="3" t="str">
        <f>VLOOKUP(C58,layoffs_location!A:D,4,FALSE)</f>
        <v>USA</v>
      </c>
      <c r="G58" s="3" t="str">
        <f>VLOOKUP(C58,layoffs_location!A:E,5,FALSE)</f>
        <v>North America</v>
      </c>
      <c r="H58" s="3">
        <v>349</v>
      </c>
      <c r="I58" s="8">
        <v>43921</v>
      </c>
      <c r="J58" s="9">
        <v>18</v>
      </c>
      <c r="K58" s="10">
        <v>1939</v>
      </c>
      <c r="L58" s="10">
        <v>1590</v>
      </c>
      <c r="M58" s="3" t="s">
        <v>90</v>
      </c>
      <c r="N58" s="3" t="s">
        <v>108</v>
      </c>
      <c r="O58" s="34">
        <v>227</v>
      </c>
      <c r="P58" s="3">
        <v>2020</v>
      </c>
      <c r="Q58" s="3">
        <f>VLOOKUP(C58,layoffs_location!A:F,6,FALSE)</f>
        <v>37.779258800000001</v>
      </c>
      <c r="R58" s="3">
        <f>VLOOKUP(C58,layoffs_location!A:G,7,FALSE)</f>
        <v>-122.4193286</v>
      </c>
    </row>
    <row r="59" spans="1:18" x14ac:dyDescent="0.2">
      <c r="A59" s="3">
        <v>58</v>
      </c>
      <c r="B59" s="3" t="s">
        <v>1279</v>
      </c>
      <c r="C59" s="3" t="s">
        <v>43</v>
      </c>
      <c r="D59" s="3" t="str">
        <f>VLOOKUP(C59,layoffs_location!A:B,2,FALSE)</f>
        <v>Cascadia</v>
      </c>
      <c r="E59" s="3" t="str">
        <f>VLOOKUP(C59,layoffs_location!A:C,3,FALSE)</f>
        <v>Washington</v>
      </c>
      <c r="F59" s="3" t="str">
        <f>VLOOKUP(C59,layoffs_location!A:D,4,FALSE)</f>
        <v>USA</v>
      </c>
      <c r="G59" s="3" t="str">
        <f>VLOOKUP(C59,layoffs_location!A:E,5,FALSE)</f>
        <v>North America</v>
      </c>
      <c r="H59" s="3">
        <v>194</v>
      </c>
      <c r="I59" s="8">
        <v>43921</v>
      </c>
      <c r="J59" s="9">
        <v>41</v>
      </c>
      <c r="K59" s="10">
        <v>473</v>
      </c>
      <c r="L59" s="10">
        <v>279</v>
      </c>
      <c r="M59" s="3" t="s">
        <v>16</v>
      </c>
      <c r="N59" s="3" t="s">
        <v>81</v>
      </c>
      <c r="O59" s="34">
        <v>310</v>
      </c>
      <c r="P59" s="3">
        <v>2020</v>
      </c>
      <c r="Q59" s="3">
        <f>VLOOKUP(C59,layoffs_location!A:F,6,FALSE)</f>
        <v>47.603832099999998</v>
      </c>
      <c r="R59" s="3">
        <f>VLOOKUP(C59,layoffs_location!A:G,7,FALSE)</f>
        <v>-122.330062</v>
      </c>
    </row>
    <row r="60" spans="1:18" ht="16" x14ac:dyDescent="0.2">
      <c r="A60" s="3">
        <v>59</v>
      </c>
      <c r="B60" s="3" t="s">
        <v>1280</v>
      </c>
      <c r="C60" s="11" t="s">
        <v>1370</v>
      </c>
      <c r="D60" s="3" t="str">
        <f>VLOOKUP(C60,layoffs_location!A:B,2,FALSE)</f>
        <v>San Francisco Bay Area</v>
      </c>
      <c r="E60" s="3" t="str">
        <f>VLOOKUP(C60,layoffs_location!A:C,3,FALSE)</f>
        <v>California</v>
      </c>
      <c r="F60" s="3" t="str">
        <f>VLOOKUP(C60,layoffs_location!A:D,4,FALSE)</f>
        <v>USA</v>
      </c>
      <c r="G60" s="3" t="str">
        <f>VLOOKUP(C60,layoffs_location!A:E,5,FALSE)</f>
        <v>North America</v>
      </c>
      <c r="H60" s="3">
        <v>108</v>
      </c>
      <c r="I60" s="8">
        <v>43921</v>
      </c>
      <c r="J60" s="9">
        <v>30</v>
      </c>
      <c r="K60" s="10">
        <v>360</v>
      </c>
      <c r="L60" s="10">
        <v>252</v>
      </c>
      <c r="M60" s="3" t="s">
        <v>32</v>
      </c>
      <c r="N60" s="3" t="s">
        <v>36</v>
      </c>
      <c r="O60" s="34">
        <v>467</v>
      </c>
      <c r="P60" s="3">
        <v>2020</v>
      </c>
      <c r="Q60" s="3">
        <f>VLOOKUP(C60,layoffs_location!A:F,6,FALSE)</f>
        <v>37.779258800000001</v>
      </c>
      <c r="R60" s="3">
        <f>VLOOKUP(C60,layoffs_location!A:G,7,FALSE)</f>
        <v>-122.4193286</v>
      </c>
    </row>
    <row r="61" spans="1:18" x14ac:dyDescent="0.2">
      <c r="A61" s="3">
        <v>60</v>
      </c>
      <c r="B61" s="3" t="s">
        <v>1281</v>
      </c>
      <c r="C61" s="3" t="s">
        <v>83</v>
      </c>
      <c r="D61" s="3" t="str">
        <f>VLOOKUP(C61,layoffs_location!A:B,2,FALSE)</f>
        <v>other</v>
      </c>
      <c r="E61" s="3" t="str">
        <f>VLOOKUP(C61,layoffs_location!A:C,3,FALSE)</f>
        <v>Texas</v>
      </c>
      <c r="F61" s="3" t="str">
        <f>VLOOKUP(C61,layoffs_location!A:D,4,FALSE)</f>
        <v>USA</v>
      </c>
      <c r="G61" s="3" t="str">
        <f>VLOOKUP(C61,layoffs_location!A:E,5,FALSE)</f>
        <v>North America</v>
      </c>
      <c r="H61" s="3">
        <v>65</v>
      </c>
      <c r="I61" s="8">
        <v>43921</v>
      </c>
      <c r="J61" s="9">
        <v>37</v>
      </c>
      <c r="K61" s="10">
        <v>176</v>
      </c>
      <c r="L61" s="10">
        <v>111</v>
      </c>
      <c r="M61" s="3" t="s">
        <v>90</v>
      </c>
      <c r="N61" s="3" t="s">
        <v>108</v>
      </c>
      <c r="O61" s="34">
        <v>69</v>
      </c>
      <c r="P61" s="3">
        <v>2020</v>
      </c>
      <c r="Q61" s="3">
        <f>VLOOKUP(C61,layoffs_location!A:F,6,FALSE)</f>
        <v>30.271128600000001</v>
      </c>
      <c r="R61" s="3">
        <f>VLOOKUP(C61,layoffs_location!A:G,7,FALSE)</f>
        <v>-97.743699500000005</v>
      </c>
    </row>
    <row r="62" spans="1:18" x14ac:dyDescent="0.2">
      <c r="A62" s="3">
        <v>61</v>
      </c>
      <c r="B62" s="3" t="s">
        <v>1282</v>
      </c>
      <c r="C62" s="3" t="s">
        <v>43</v>
      </c>
      <c r="D62" s="3" t="str">
        <f>VLOOKUP(C62,layoffs_location!A:B,2,FALSE)</f>
        <v>Cascadia</v>
      </c>
      <c r="E62" s="3" t="str">
        <f>VLOOKUP(C62,layoffs_location!A:C,3,FALSE)</f>
        <v>Washington</v>
      </c>
      <c r="F62" s="3" t="str">
        <f>VLOOKUP(C62,layoffs_location!A:D,4,FALSE)</f>
        <v>USA</v>
      </c>
      <c r="G62" s="3" t="str">
        <f>VLOOKUP(C62,layoffs_location!A:E,5,FALSE)</f>
        <v>North America</v>
      </c>
      <c r="H62" s="3">
        <v>17</v>
      </c>
      <c r="I62" s="8">
        <v>43921</v>
      </c>
      <c r="J62" s="9">
        <v>4</v>
      </c>
      <c r="K62" s="10">
        <v>425</v>
      </c>
      <c r="L62" s="10">
        <v>408</v>
      </c>
      <c r="M62" s="3" t="s">
        <v>399</v>
      </c>
      <c r="N62" s="3" t="s">
        <v>41</v>
      </c>
      <c r="O62" s="34">
        <v>91</v>
      </c>
      <c r="P62" s="3">
        <v>2020</v>
      </c>
      <c r="Q62" s="3">
        <f>VLOOKUP(C62,layoffs_location!A:F,6,FALSE)</f>
        <v>47.603832099999998</v>
      </c>
      <c r="R62" s="3">
        <f>VLOOKUP(C62,layoffs_location!A:G,7,FALSE)</f>
        <v>-122.330062</v>
      </c>
    </row>
    <row r="63" spans="1:18" x14ac:dyDescent="0.2">
      <c r="A63" s="3">
        <v>62</v>
      </c>
      <c r="B63" s="3" t="s">
        <v>1272</v>
      </c>
      <c r="C63" s="3" t="s">
        <v>56</v>
      </c>
      <c r="D63" s="3" t="str">
        <f>VLOOKUP(C63,layoffs_location!A:B,2,FALSE)</f>
        <v>other</v>
      </c>
      <c r="E63" s="3" t="str">
        <f>VLOOKUP(C63,layoffs_location!A:C,3,FALSE)</f>
        <v>Maharashtra</v>
      </c>
      <c r="F63" s="3" t="str">
        <f>VLOOKUP(C63,layoffs_location!A:D,4,FALSE)</f>
        <v>India</v>
      </c>
      <c r="G63" s="3" t="str">
        <f>VLOOKUP(C63,layoffs_location!A:E,5,FALSE)</f>
        <v>Asia</v>
      </c>
      <c r="H63" s="3">
        <v>45</v>
      </c>
      <c r="I63" s="8">
        <v>43922</v>
      </c>
      <c r="J63" s="9">
        <v>9</v>
      </c>
      <c r="K63" s="10">
        <v>500</v>
      </c>
      <c r="L63" s="10">
        <v>455</v>
      </c>
      <c r="M63" s="3" t="s">
        <v>35</v>
      </c>
      <c r="N63" s="3" t="s">
        <v>22</v>
      </c>
      <c r="O63" s="34">
        <v>143</v>
      </c>
      <c r="P63" s="7">
        <v>2024</v>
      </c>
      <c r="Q63" s="3">
        <f>VLOOKUP(C63,layoffs_location!A:F,6,FALSE)</f>
        <v>19.078545099999999</v>
      </c>
      <c r="R63" s="3">
        <f>VLOOKUP(C63,layoffs_location!A:G,7,FALSE)</f>
        <v>72.878175999999996</v>
      </c>
    </row>
    <row r="64" spans="1:18" x14ac:dyDescent="0.2">
      <c r="A64" s="3">
        <v>63</v>
      </c>
      <c r="B64" s="3" t="s">
        <v>623</v>
      </c>
      <c r="C64" s="3" t="s">
        <v>47</v>
      </c>
      <c r="D64" s="3" t="str">
        <f>VLOOKUP(C64,layoffs_location!A:B,2,FALSE)</f>
        <v>other</v>
      </c>
      <c r="E64" s="3" t="str">
        <f>VLOOKUP(C64,layoffs_location!A:C,3,FALSE)</f>
        <v>non</v>
      </c>
      <c r="F64" s="3" t="str">
        <f>VLOOKUP(C64,layoffs_location!A:D,4,FALSE)</f>
        <v>Israel</v>
      </c>
      <c r="G64" s="3" t="str">
        <f>VLOOKUP(C64,layoffs_location!A:E,5,FALSE)</f>
        <v>Asia</v>
      </c>
      <c r="H64" s="3">
        <v>24</v>
      </c>
      <c r="I64" s="8">
        <v>43922</v>
      </c>
      <c r="J64" s="9">
        <v>9</v>
      </c>
      <c r="K64" s="10">
        <v>267</v>
      </c>
      <c r="L64" s="10">
        <v>243</v>
      </c>
      <c r="M64" s="3" t="s">
        <v>139</v>
      </c>
      <c r="N64" s="3" t="s">
        <v>41</v>
      </c>
      <c r="O64" s="34">
        <v>100</v>
      </c>
      <c r="P64" s="3">
        <v>2020</v>
      </c>
      <c r="Q64" s="3">
        <f>VLOOKUP(C64,layoffs_location!A:F,6,FALSE)</f>
        <v>32.0852997</v>
      </c>
      <c r="R64" s="3">
        <f>VLOOKUP(C64,layoffs_location!A:G,7,FALSE)</f>
        <v>34.781806400000001</v>
      </c>
    </row>
    <row r="65" spans="1:18" x14ac:dyDescent="0.2">
      <c r="A65" s="3">
        <v>64</v>
      </c>
      <c r="B65" s="3" t="s">
        <v>1273</v>
      </c>
      <c r="C65" s="3" t="s">
        <v>71</v>
      </c>
      <c r="D65" s="3" t="str">
        <f>VLOOKUP(C65,layoffs_location!A:B,2,FALSE)</f>
        <v>other</v>
      </c>
      <c r="E65" s="3" t="str">
        <f>VLOOKUP(C65,layoffs_location!A:C,3,FALSE)</f>
        <v>Massachusetts</v>
      </c>
      <c r="F65" s="3" t="str">
        <f>VLOOKUP(C65,layoffs_location!A:D,4,FALSE)</f>
        <v>USA</v>
      </c>
      <c r="G65" s="3" t="str">
        <f>VLOOKUP(C65,layoffs_location!A:E,5,FALSE)</f>
        <v>North America</v>
      </c>
      <c r="H65" s="3">
        <v>20</v>
      </c>
      <c r="I65" s="8">
        <v>43922</v>
      </c>
      <c r="J65" s="9">
        <v>20</v>
      </c>
      <c r="K65" s="10">
        <v>100</v>
      </c>
      <c r="L65" s="10">
        <v>80</v>
      </c>
      <c r="M65" s="3" t="s">
        <v>130</v>
      </c>
      <c r="N65" s="3" t="s">
        <v>69</v>
      </c>
      <c r="O65" s="34">
        <v>16</v>
      </c>
      <c r="P65" s="3">
        <v>2020</v>
      </c>
      <c r="Q65" s="3">
        <f>VLOOKUP(C65,layoffs_location!A:F,6,FALSE)</f>
        <v>42.355433400000003</v>
      </c>
      <c r="R65" s="3">
        <f>VLOOKUP(C65,layoffs_location!A:G,7,FALSE)</f>
        <v>-71.060511000000005</v>
      </c>
    </row>
    <row r="66" spans="1:18" x14ac:dyDescent="0.2">
      <c r="A66" s="3">
        <v>65</v>
      </c>
      <c r="B66" s="3" t="s">
        <v>1270</v>
      </c>
      <c r="C66" s="3" t="s">
        <v>1473</v>
      </c>
      <c r="D66" s="3" t="str">
        <f>VLOOKUP(C66,layoffs_location!A:B,2,FALSE)</f>
        <v>San Francisco Bay Area</v>
      </c>
      <c r="E66" s="3" t="str">
        <f>VLOOKUP(C66,layoffs_location!A:C,3,FALSE)</f>
        <v>California</v>
      </c>
      <c r="F66" s="3" t="str">
        <f>VLOOKUP(C66,layoffs_location!A:D,4,FALSE)</f>
        <v>USA</v>
      </c>
      <c r="G66" s="3" t="str">
        <f>VLOOKUP(C66,layoffs_location!A:E,5,FALSE)</f>
        <v>North America</v>
      </c>
      <c r="H66" s="3">
        <v>50</v>
      </c>
      <c r="I66" s="8">
        <v>43922</v>
      </c>
      <c r="J66" s="9">
        <v>20</v>
      </c>
      <c r="K66" s="10">
        <v>250</v>
      </c>
      <c r="L66" s="10">
        <v>200</v>
      </c>
      <c r="M66" s="3" t="s">
        <v>35</v>
      </c>
      <c r="N66" s="3" t="s">
        <v>41</v>
      </c>
      <c r="O66" s="34">
        <v>190</v>
      </c>
      <c r="P66" s="3">
        <v>2020</v>
      </c>
      <c r="Q66" s="3">
        <f>VLOOKUP(C66,layoffs_location!A:F,6,FALSE)</f>
        <v>37.4443293</v>
      </c>
      <c r="R66" s="3">
        <f>VLOOKUP(C66,layoffs_location!A:G,7,FALSE)</f>
        <v>-122.1598465</v>
      </c>
    </row>
    <row r="67" spans="1:18" x14ac:dyDescent="0.2">
      <c r="A67" s="3">
        <v>66</v>
      </c>
      <c r="B67" s="3" t="s">
        <v>229</v>
      </c>
      <c r="C67" s="3" t="s">
        <v>135</v>
      </c>
      <c r="D67" s="3" t="str">
        <f>VLOOKUP(C67,layoffs_location!A:B,2,FALSE)</f>
        <v>other</v>
      </c>
      <c r="E67" s="3" t="str">
        <f>VLOOKUP(C67,layoffs_location!A:C,3,FALSE)</f>
        <v>Berlin</v>
      </c>
      <c r="F67" s="3" t="str">
        <f>VLOOKUP(C67,layoffs_location!A:D,4,FALSE)</f>
        <v>Germany</v>
      </c>
      <c r="G67" s="3" t="str">
        <f>VLOOKUP(C67,layoffs_location!A:E,5,FALSE)</f>
        <v>Europe</v>
      </c>
      <c r="H67" s="3">
        <v>51</v>
      </c>
      <c r="I67" s="8">
        <v>43922</v>
      </c>
      <c r="J67" s="9">
        <v>25</v>
      </c>
      <c r="K67" s="10">
        <v>204</v>
      </c>
      <c r="L67" s="10">
        <v>153</v>
      </c>
      <c r="M67" s="3" t="s">
        <v>54</v>
      </c>
      <c r="N67" s="3" t="s">
        <v>69</v>
      </c>
      <c r="O67" s="34">
        <v>9</v>
      </c>
      <c r="P67" s="3">
        <v>2020</v>
      </c>
      <c r="Q67" s="3">
        <f>VLOOKUP(C67,layoffs_location!A:F,6,FALSE)</f>
        <v>52.517036500000003</v>
      </c>
      <c r="R67" s="3">
        <f>VLOOKUP(C67,layoffs_location!A:G,7,FALSE)</f>
        <v>13.3888599</v>
      </c>
    </row>
    <row r="68" spans="1:18" x14ac:dyDescent="0.2">
      <c r="A68" s="3">
        <v>67</v>
      </c>
      <c r="B68" s="3" t="s">
        <v>1276</v>
      </c>
      <c r="C68" s="3" t="s">
        <v>1370</v>
      </c>
      <c r="D68" s="3" t="str">
        <f>VLOOKUP(C68,layoffs_location!A:B,2,FALSE)</f>
        <v>San Francisco Bay Area</v>
      </c>
      <c r="E68" s="3" t="str">
        <f>VLOOKUP(C68,layoffs_location!A:C,3,FALSE)</f>
        <v>California</v>
      </c>
      <c r="F68" s="3" t="str">
        <f>VLOOKUP(C68,layoffs_location!A:D,4,FALSE)</f>
        <v>USA</v>
      </c>
      <c r="G68" s="3" t="str">
        <f>VLOOKUP(C68,layoffs_location!A:E,5,FALSE)</f>
        <v>North America</v>
      </c>
      <c r="H68" s="3">
        <v>9</v>
      </c>
      <c r="I68" s="8">
        <v>43922</v>
      </c>
      <c r="J68" s="9">
        <v>40</v>
      </c>
      <c r="K68" s="10">
        <v>23</v>
      </c>
      <c r="L68" s="10">
        <v>14</v>
      </c>
      <c r="M68" s="3" t="s">
        <v>21</v>
      </c>
      <c r="N68" s="3" t="s">
        <v>69</v>
      </c>
      <c r="O68" s="34">
        <v>15</v>
      </c>
      <c r="P68" s="3">
        <v>2020</v>
      </c>
      <c r="Q68" s="3">
        <f>VLOOKUP(C68,layoffs_location!A:F,6,FALSE)</f>
        <v>37.779258800000001</v>
      </c>
      <c r="R68" s="3">
        <f>VLOOKUP(C68,layoffs_location!A:G,7,FALSE)</f>
        <v>-122.4193286</v>
      </c>
    </row>
    <row r="69" spans="1:18" x14ac:dyDescent="0.2">
      <c r="A69" s="3">
        <v>68</v>
      </c>
      <c r="B69" s="3" t="s">
        <v>1268</v>
      </c>
      <c r="C69" s="3" t="s">
        <v>76</v>
      </c>
      <c r="D69" s="3" t="str">
        <f>VLOOKUP(C69,layoffs_location!A:B,2,FALSE)</f>
        <v>other</v>
      </c>
      <c r="E69" s="3" t="str">
        <f>VLOOKUP(C69,layoffs_location!A:C,3,FALSE)</f>
        <v>California</v>
      </c>
      <c r="F69" s="3" t="str">
        <f>VLOOKUP(C69,layoffs_location!A:D,4,FALSE)</f>
        <v>USA</v>
      </c>
      <c r="G69" s="3" t="str">
        <f>VLOOKUP(C69,layoffs_location!A:E,5,FALSE)</f>
        <v>North America</v>
      </c>
      <c r="H69" s="3">
        <v>100</v>
      </c>
      <c r="I69" s="8">
        <v>43922</v>
      </c>
      <c r="J69" s="9">
        <v>20</v>
      </c>
      <c r="K69" s="10">
        <v>500</v>
      </c>
      <c r="L69" s="10">
        <v>400</v>
      </c>
      <c r="M69" s="3" t="s">
        <v>21</v>
      </c>
      <c r="N69" s="3" t="s">
        <v>49</v>
      </c>
      <c r="O69" s="34">
        <v>75</v>
      </c>
      <c r="P69" s="3">
        <v>2020</v>
      </c>
      <c r="Q69" s="3">
        <f>VLOOKUP(C69,layoffs_location!A:F,6,FALSE)</f>
        <v>34.053690899999999</v>
      </c>
      <c r="R69" s="3">
        <f>VLOOKUP(C69,layoffs_location!A:G,7,FALSE)</f>
        <v>-118.242766</v>
      </c>
    </row>
    <row r="70" spans="1:18" x14ac:dyDescent="0.2">
      <c r="A70" s="3">
        <v>69</v>
      </c>
      <c r="B70" s="3" t="s">
        <v>1274</v>
      </c>
      <c r="C70" s="3" t="s">
        <v>179</v>
      </c>
      <c r="D70" s="3" t="str">
        <f>VLOOKUP(C70,layoffs_location!A:B,2,FALSE)</f>
        <v>other</v>
      </c>
      <c r="E70" s="3" t="str">
        <f>VLOOKUP(C70,layoffs_location!A:C,3,FALSE)</f>
        <v>Ontario</v>
      </c>
      <c r="F70" s="3" t="str">
        <f>VLOOKUP(C70,layoffs_location!A:D,4,FALSE)</f>
        <v>Canada</v>
      </c>
      <c r="G70" s="3" t="str">
        <f>VLOOKUP(C70,layoffs_location!A:E,5,FALSE)</f>
        <v>North America</v>
      </c>
      <c r="H70" s="3">
        <v>17</v>
      </c>
      <c r="I70" s="8">
        <v>43922</v>
      </c>
      <c r="J70" s="9">
        <v>20</v>
      </c>
      <c r="K70" s="10">
        <v>85</v>
      </c>
      <c r="L70" s="10">
        <v>68</v>
      </c>
      <c r="M70" s="3" t="s">
        <v>35</v>
      </c>
      <c r="N70" s="3" t="s">
        <v>49</v>
      </c>
      <c r="O70" s="34">
        <v>50</v>
      </c>
      <c r="P70" s="3">
        <v>2020</v>
      </c>
      <c r="Q70" s="3">
        <f>VLOOKUP(C70,layoffs_location!A:F,6,FALSE)</f>
        <v>43.6534817</v>
      </c>
      <c r="R70" s="3">
        <f>VLOOKUP(C70,layoffs_location!A:G,7,FALSE)</f>
        <v>-79.383934699999998</v>
      </c>
    </row>
    <row r="71" spans="1:18" x14ac:dyDescent="0.2">
      <c r="A71" s="3">
        <v>70</v>
      </c>
      <c r="B71" s="3" t="s">
        <v>1269</v>
      </c>
      <c r="C71" s="3" t="s">
        <v>154</v>
      </c>
      <c r="D71" s="3" t="str">
        <f>VLOOKUP(C71,layoffs_location!A:B,2,FALSE)</f>
        <v>other</v>
      </c>
      <c r="E71" s="3" t="str">
        <f>VLOOKUP(C71,layoffs_location!A:C,3,FALSE)</f>
        <v>Illinois</v>
      </c>
      <c r="F71" s="3" t="str">
        <f>VLOOKUP(C71,layoffs_location!A:D,4,FALSE)</f>
        <v>USA</v>
      </c>
      <c r="G71" s="3" t="str">
        <f>VLOOKUP(C71,layoffs_location!A:E,5,FALSE)</f>
        <v>North America</v>
      </c>
      <c r="H71" s="3">
        <v>52</v>
      </c>
      <c r="I71" s="8">
        <v>43922</v>
      </c>
      <c r="J71" s="9">
        <v>12</v>
      </c>
      <c r="K71" s="10">
        <v>433</v>
      </c>
      <c r="L71" s="10">
        <v>381</v>
      </c>
      <c r="M71" s="3" t="s">
        <v>130</v>
      </c>
      <c r="N71" s="3" t="s">
        <v>108</v>
      </c>
      <c r="O71" s="34">
        <v>159</v>
      </c>
      <c r="P71" s="3">
        <v>2020</v>
      </c>
      <c r="Q71" s="3">
        <f>VLOOKUP(C71,layoffs_location!A:F,6,FALSE)</f>
        <v>41.875561599999997</v>
      </c>
      <c r="R71" s="3">
        <f>VLOOKUP(C71,layoffs_location!A:G,7,FALSE)</f>
        <v>-87.6244212</v>
      </c>
    </row>
    <row r="72" spans="1:18" x14ac:dyDescent="0.2">
      <c r="A72" s="3">
        <v>71</v>
      </c>
      <c r="B72" s="3" t="s">
        <v>1275</v>
      </c>
      <c r="C72" s="3" t="s">
        <v>43</v>
      </c>
      <c r="D72" s="3" t="str">
        <f>VLOOKUP(C72,layoffs_location!A:B,2,FALSE)</f>
        <v>Cascadia</v>
      </c>
      <c r="E72" s="3" t="str">
        <f>VLOOKUP(C72,layoffs_location!A:C,3,FALSE)</f>
        <v>Washington</v>
      </c>
      <c r="F72" s="3" t="str">
        <f>VLOOKUP(C72,layoffs_location!A:D,4,FALSE)</f>
        <v>USA</v>
      </c>
      <c r="G72" s="3" t="str">
        <f>VLOOKUP(C72,layoffs_location!A:E,5,FALSE)</f>
        <v>North America</v>
      </c>
      <c r="H72" s="3">
        <v>15</v>
      </c>
      <c r="I72" s="8">
        <v>43922</v>
      </c>
      <c r="J72" s="9">
        <v>25</v>
      </c>
      <c r="K72" s="10">
        <v>60</v>
      </c>
      <c r="L72" s="10">
        <v>45</v>
      </c>
      <c r="M72" s="3" t="s">
        <v>130</v>
      </c>
      <c r="N72" s="3" t="s">
        <v>41</v>
      </c>
      <c r="O72" s="34">
        <v>46</v>
      </c>
      <c r="P72" s="3">
        <v>2020</v>
      </c>
      <c r="Q72" s="3">
        <f>VLOOKUP(C72,layoffs_location!A:F,6,FALSE)</f>
        <v>47.603832099999998</v>
      </c>
      <c r="R72" s="3">
        <f>VLOOKUP(C72,layoffs_location!A:G,7,FALSE)</f>
        <v>-122.330062</v>
      </c>
    </row>
    <row r="73" spans="1:18" x14ac:dyDescent="0.2">
      <c r="A73" s="3">
        <v>72</v>
      </c>
      <c r="B73" s="3" t="s">
        <v>1271</v>
      </c>
      <c r="C73" s="3" t="s">
        <v>1370</v>
      </c>
      <c r="D73" s="3" t="str">
        <f>VLOOKUP(C73,layoffs_location!A:B,2,FALSE)</f>
        <v>San Francisco Bay Area</v>
      </c>
      <c r="E73" s="3" t="str">
        <f>VLOOKUP(C73,layoffs_location!A:C,3,FALSE)</f>
        <v>California</v>
      </c>
      <c r="F73" s="3" t="str">
        <f>VLOOKUP(C73,layoffs_location!A:D,4,FALSE)</f>
        <v>USA</v>
      </c>
      <c r="G73" s="3" t="str">
        <f>VLOOKUP(C73,layoffs_location!A:E,5,FALSE)</f>
        <v>North America</v>
      </c>
      <c r="H73" s="3">
        <v>46</v>
      </c>
      <c r="I73" s="8">
        <v>43922</v>
      </c>
      <c r="J73" s="9">
        <v>13</v>
      </c>
      <c r="K73" s="10">
        <v>354</v>
      </c>
      <c r="L73" s="10">
        <v>308</v>
      </c>
      <c r="M73" s="3" t="s">
        <v>84</v>
      </c>
      <c r="N73" s="3" t="s">
        <v>41</v>
      </c>
      <c r="O73" s="34">
        <v>52</v>
      </c>
      <c r="P73" s="3">
        <v>2020</v>
      </c>
      <c r="Q73" s="3">
        <f>VLOOKUP(C73,layoffs_location!A:F,6,FALSE)</f>
        <v>37.779258800000001</v>
      </c>
      <c r="R73" s="3">
        <f>VLOOKUP(C73,layoffs_location!A:G,7,FALSE)</f>
        <v>-122.4193286</v>
      </c>
    </row>
    <row r="74" spans="1:18" x14ac:dyDescent="0.2">
      <c r="A74" s="3">
        <v>73</v>
      </c>
      <c r="B74" s="3" t="s">
        <v>1259</v>
      </c>
      <c r="C74" s="3" t="s">
        <v>39</v>
      </c>
      <c r="D74" s="3" t="str">
        <f>VLOOKUP(C74,layoffs_location!A:B,2,FALSE)</f>
        <v>New York</v>
      </c>
      <c r="E74" s="3" t="str">
        <f>VLOOKUP(C74,layoffs_location!A:C,3,FALSE)</f>
        <v>New York</v>
      </c>
      <c r="F74" s="3" t="str">
        <f>VLOOKUP(C74,layoffs_location!A:D,4,FALSE)</f>
        <v>USA</v>
      </c>
      <c r="G74" s="3" t="str">
        <f>VLOOKUP(C74,layoffs_location!A:E,5,FALSE)</f>
        <v>North America</v>
      </c>
      <c r="H74" s="3">
        <v>70</v>
      </c>
      <c r="I74" s="8">
        <v>43923</v>
      </c>
      <c r="J74" s="9">
        <v>17</v>
      </c>
      <c r="K74" s="10">
        <v>412</v>
      </c>
      <c r="L74" s="10">
        <v>342</v>
      </c>
      <c r="M74" s="3" t="s">
        <v>30</v>
      </c>
      <c r="N74" s="3" t="s">
        <v>108</v>
      </c>
      <c r="O74" s="34">
        <v>253</v>
      </c>
      <c r="P74" s="3">
        <v>2020</v>
      </c>
      <c r="Q74" s="3">
        <f>VLOOKUP(C74,layoffs_location!A:F,6,FALSE)</f>
        <v>40.7127281</v>
      </c>
      <c r="R74" s="3">
        <f>VLOOKUP(C74,layoffs_location!A:G,7,FALSE)</f>
        <v>-74.006015199999993</v>
      </c>
    </row>
    <row r="75" spans="1:18" x14ac:dyDescent="0.2">
      <c r="A75" s="3">
        <v>74</v>
      </c>
      <c r="B75" s="3" t="s">
        <v>1256</v>
      </c>
      <c r="C75" s="3" t="s">
        <v>39</v>
      </c>
      <c r="D75" s="3" t="str">
        <f>VLOOKUP(C75,layoffs_location!A:B,2,FALSE)</f>
        <v>New York</v>
      </c>
      <c r="E75" s="3" t="str">
        <f>VLOOKUP(C75,layoffs_location!A:C,3,FALSE)</f>
        <v>New York</v>
      </c>
      <c r="F75" s="3" t="str">
        <f>VLOOKUP(C75,layoffs_location!A:D,4,FALSE)</f>
        <v>USA</v>
      </c>
      <c r="G75" s="3" t="str">
        <f>VLOOKUP(C75,layoffs_location!A:E,5,FALSE)</f>
        <v>North America</v>
      </c>
      <c r="H75" s="3">
        <v>154</v>
      </c>
      <c r="I75" s="8">
        <v>43923</v>
      </c>
      <c r="J75" s="9">
        <v>22</v>
      </c>
      <c r="K75" s="10">
        <v>700</v>
      </c>
      <c r="L75" s="10">
        <v>546</v>
      </c>
      <c r="M75" s="3" t="s">
        <v>399</v>
      </c>
      <c r="N75" s="3" t="s">
        <v>36</v>
      </c>
      <c r="O75" s="34">
        <v>549</v>
      </c>
      <c r="P75" s="3">
        <v>2020</v>
      </c>
      <c r="Q75" s="3">
        <f>VLOOKUP(C75,layoffs_location!A:F,6,FALSE)</f>
        <v>40.7127281</v>
      </c>
      <c r="R75" s="3">
        <f>VLOOKUP(C75,layoffs_location!A:G,7,FALSE)</f>
        <v>-74.006015199999993</v>
      </c>
    </row>
    <row r="76" spans="1:18" x14ac:dyDescent="0.2">
      <c r="A76" s="3">
        <v>75</v>
      </c>
      <c r="B76" s="3" t="s">
        <v>1265</v>
      </c>
      <c r="C76" s="3" t="s">
        <v>43</v>
      </c>
      <c r="D76" s="3" t="str">
        <f>VLOOKUP(C76,layoffs_location!A:B,2,FALSE)</f>
        <v>Cascadia</v>
      </c>
      <c r="E76" s="3" t="str">
        <f>VLOOKUP(C76,layoffs_location!A:C,3,FALSE)</f>
        <v>Washington</v>
      </c>
      <c r="F76" s="3" t="str">
        <f>VLOOKUP(C76,layoffs_location!A:D,4,FALSE)</f>
        <v>USA</v>
      </c>
      <c r="G76" s="3" t="str">
        <f>VLOOKUP(C76,layoffs_location!A:E,5,FALSE)</f>
        <v>North America</v>
      </c>
      <c r="H76" s="3">
        <v>7</v>
      </c>
      <c r="I76" s="8">
        <v>43923</v>
      </c>
      <c r="J76" s="9">
        <v>7</v>
      </c>
      <c r="K76" s="10">
        <v>100</v>
      </c>
      <c r="L76" s="10">
        <v>93</v>
      </c>
      <c r="M76" s="3" t="s">
        <v>68</v>
      </c>
      <c r="N76" s="3" t="s">
        <v>22</v>
      </c>
      <c r="O76" s="34">
        <v>2</v>
      </c>
      <c r="P76" s="3">
        <v>2020</v>
      </c>
      <c r="Q76" s="3">
        <f>VLOOKUP(C76,layoffs_location!A:F,6,FALSE)</f>
        <v>47.603832099999998</v>
      </c>
      <c r="R76" s="3">
        <f>VLOOKUP(C76,layoffs_location!A:G,7,FALSE)</f>
        <v>-122.330062</v>
      </c>
    </row>
    <row r="77" spans="1:18" x14ac:dyDescent="0.2">
      <c r="A77" s="3">
        <v>76</v>
      </c>
      <c r="B77" s="3" t="s">
        <v>1263</v>
      </c>
      <c r="C77" s="3" t="s">
        <v>1717</v>
      </c>
      <c r="D77" s="3" t="str">
        <f>VLOOKUP(C77,layoffs_location!A:B,2,FALSE)</f>
        <v>San Francisco Bay Area</v>
      </c>
      <c r="E77" s="3" t="str">
        <f>VLOOKUP(C77,layoffs_location!A:C,3,FALSE)</f>
        <v>California</v>
      </c>
      <c r="F77" s="3" t="str">
        <f>VLOOKUP(C77,layoffs_location!A:D,4,FALSE)</f>
        <v>USA</v>
      </c>
      <c r="G77" s="3" t="str">
        <f>VLOOKUP(C77,layoffs_location!A:E,5,FALSE)</f>
        <v>North America</v>
      </c>
      <c r="H77" s="3">
        <v>35</v>
      </c>
      <c r="I77" s="8">
        <v>43923</v>
      </c>
      <c r="J77" s="9">
        <v>19</v>
      </c>
      <c r="K77" s="10">
        <v>184</v>
      </c>
      <c r="L77" s="10">
        <v>149</v>
      </c>
      <c r="M77" s="3" t="s">
        <v>84</v>
      </c>
      <c r="N77" s="3" t="s">
        <v>36</v>
      </c>
      <c r="O77" s="34">
        <v>114</v>
      </c>
      <c r="P77" s="3">
        <v>2020</v>
      </c>
      <c r="Q77" s="3">
        <f>VLOOKUP(C77,layoffs_location!A:F,6,FALSE)</f>
        <v>37.624853600000002</v>
      </c>
      <c r="R77" s="3">
        <f>VLOOKUP(C77,layoffs_location!A:G,7,FALSE)</f>
        <v>-122.41459860000001</v>
      </c>
    </row>
    <row r="78" spans="1:18" x14ac:dyDescent="0.2">
      <c r="A78" s="3">
        <v>77</v>
      </c>
      <c r="B78" s="3" t="s">
        <v>1257</v>
      </c>
      <c r="C78" s="3" t="s">
        <v>600</v>
      </c>
      <c r="D78" s="3" t="str">
        <f>VLOOKUP(C78,layoffs_location!A:B,2,FALSE)</f>
        <v>other</v>
      </c>
      <c r="E78" s="3" t="str">
        <f>VLOOKUP(C78,layoffs_location!A:C,3,FALSE)</f>
        <v>Bayern</v>
      </c>
      <c r="F78" s="3" t="str">
        <f>VLOOKUP(C78,layoffs_location!A:D,4,FALSE)</f>
        <v>Germany</v>
      </c>
      <c r="G78" s="3" t="str">
        <f>VLOOKUP(C78,layoffs_location!A:E,5,FALSE)</f>
        <v>Europe</v>
      </c>
      <c r="H78" s="3">
        <v>100</v>
      </c>
      <c r="I78" s="8">
        <v>43923</v>
      </c>
      <c r="J78" s="9">
        <v>25</v>
      </c>
      <c r="K78" s="10">
        <v>400</v>
      </c>
      <c r="L78" s="10">
        <v>300</v>
      </c>
      <c r="M78" s="3" t="s">
        <v>399</v>
      </c>
      <c r="N78" s="3" t="s">
        <v>108</v>
      </c>
      <c r="O78" s="34">
        <v>109</v>
      </c>
      <c r="P78" s="3">
        <v>2020</v>
      </c>
      <c r="Q78" s="3">
        <f>VLOOKUP(C78,layoffs_location!A:F,6,FALSE)</f>
        <v>48.137107899999997</v>
      </c>
      <c r="R78" s="3">
        <f>VLOOKUP(C78,layoffs_location!A:G,7,FALSE)</f>
        <v>11.5753822</v>
      </c>
    </row>
    <row r="79" spans="1:18" x14ac:dyDescent="0.2">
      <c r="A79" s="3">
        <v>78</v>
      </c>
      <c r="B79" s="3" t="s">
        <v>1258</v>
      </c>
      <c r="C79" s="3" t="s">
        <v>39</v>
      </c>
      <c r="D79" s="3" t="str">
        <f>VLOOKUP(C79,layoffs_location!A:B,2,FALSE)</f>
        <v>New York</v>
      </c>
      <c r="E79" s="3" t="str">
        <f>VLOOKUP(C79,layoffs_location!A:C,3,FALSE)</f>
        <v>New York</v>
      </c>
      <c r="F79" s="3" t="str">
        <f>VLOOKUP(C79,layoffs_location!A:D,4,FALSE)</f>
        <v>USA</v>
      </c>
      <c r="G79" s="3" t="str">
        <f>VLOOKUP(C79,layoffs_location!A:E,5,FALSE)</f>
        <v>North America</v>
      </c>
      <c r="H79" s="3">
        <v>90</v>
      </c>
      <c r="I79" s="8">
        <v>43923</v>
      </c>
      <c r="J79" s="9">
        <v>20</v>
      </c>
      <c r="K79" s="10">
        <v>450</v>
      </c>
      <c r="L79" s="10">
        <v>360</v>
      </c>
      <c r="M79" s="3" t="s">
        <v>137</v>
      </c>
      <c r="N79" s="3" t="s">
        <v>108</v>
      </c>
      <c r="O79" s="34">
        <v>222</v>
      </c>
      <c r="P79" s="3">
        <v>2020</v>
      </c>
      <c r="Q79" s="3">
        <f>VLOOKUP(C79,layoffs_location!A:F,6,FALSE)</f>
        <v>40.7127281</v>
      </c>
      <c r="R79" s="3">
        <f>VLOOKUP(C79,layoffs_location!A:G,7,FALSE)</f>
        <v>-74.006015199999993</v>
      </c>
    </row>
    <row r="80" spans="1:18" x14ac:dyDescent="0.2">
      <c r="A80" s="3">
        <v>79</v>
      </c>
      <c r="B80" s="3" t="s">
        <v>1266</v>
      </c>
      <c r="C80" s="3" t="s">
        <v>13</v>
      </c>
      <c r="D80" s="3" t="str">
        <f>VLOOKUP(C80,layoffs_location!A:B,2,FALSE)</f>
        <v>other</v>
      </c>
      <c r="E80" s="3" t="str">
        <f>VLOOKUP(C80,layoffs_location!A:C,3,FALSE)</f>
        <v>Karnataka</v>
      </c>
      <c r="F80" s="3" t="str">
        <f>VLOOKUP(C80,layoffs_location!A:D,4,FALSE)</f>
        <v>India</v>
      </c>
      <c r="G80" s="3" t="str">
        <f>VLOOKUP(C80,layoffs_location!A:E,5,FALSE)</f>
        <v>Asia</v>
      </c>
      <c r="H80" s="3">
        <v>6</v>
      </c>
      <c r="I80" s="8">
        <v>43923</v>
      </c>
      <c r="J80" s="9">
        <v>6</v>
      </c>
      <c r="K80" s="10">
        <v>100</v>
      </c>
      <c r="L80" s="10">
        <v>94</v>
      </c>
      <c r="M80" s="3" t="s">
        <v>35</v>
      </c>
      <c r="N80" s="3" t="s">
        <v>22</v>
      </c>
      <c r="O80" s="34">
        <v>8</v>
      </c>
      <c r="P80" s="3">
        <v>2020</v>
      </c>
      <c r="Q80" s="3">
        <f>VLOOKUP(C80,layoffs_location!A:F,6,FALSE)</f>
        <v>12.98815675</v>
      </c>
      <c r="R80" s="3">
        <f>VLOOKUP(C80,layoffs_location!A:G,7,FALSE)</f>
        <v>77.622600037959998</v>
      </c>
    </row>
    <row r="81" spans="1:18" x14ac:dyDescent="0.2">
      <c r="A81" s="3">
        <v>80</v>
      </c>
      <c r="B81" s="3" t="s">
        <v>1262</v>
      </c>
      <c r="C81" s="3" t="s">
        <v>71</v>
      </c>
      <c r="D81" s="3" t="str">
        <f>VLOOKUP(C81,layoffs_location!A:B,2,FALSE)</f>
        <v>other</v>
      </c>
      <c r="E81" s="3" t="str">
        <f>VLOOKUP(C81,layoffs_location!A:C,3,FALSE)</f>
        <v>Massachusetts</v>
      </c>
      <c r="F81" s="3" t="str">
        <f>VLOOKUP(C81,layoffs_location!A:D,4,FALSE)</f>
        <v>USA</v>
      </c>
      <c r="G81" s="3" t="str">
        <f>VLOOKUP(C81,layoffs_location!A:E,5,FALSE)</f>
        <v>North America</v>
      </c>
      <c r="H81" s="3">
        <v>39</v>
      </c>
      <c r="I81" s="8">
        <v>43923</v>
      </c>
      <c r="J81" s="9">
        <v>20</v>
      </c>
      <c r="K81" s="10">
        <v>195</v>
      </c>
      <c r="L81" s="10">
        <v>156</v>
      </c>
      <c r="M81" s="3" t="s">
        <v>84</v>
      </c>
      <c r="N81" s="3" t="s">
        <v>1696</v>
      </c>
      <c r="O81" s="34">
        <v>118</v>
      </c>
      <c r="P81" s="3">
        <v>2020</v>
      </c>
      <c r="Q81" s="3">
        <f>VLOOKUP(C81,layoffs_location!A:F,6,FALSE)</f>
        <v>42.355433400000003</v>
      </c>
      <c r="R81" s="3">
        <f>VLOOKUP(C81,layoffs_location!A:G,7,FALSE)</f>
        <v>-71.060511000000005</v>
      </c>
    </row>
    <row r="82" spans="1:18" x14ac:dyDescent="0.2">
      <c r="A82" s="3">
        <v>81</v>
      </c>
      <c r="B82" s="3" t="s">
        <v>1066</v>
      </c>
      <c r="C82" s="3" t="s">
        <v>1443</v>
      </c>
      <c r="D82" s="3" t="str">
        <f>VLOOKUP(C82,layoffs_location!A:B,2,FALSE)</f>
        <v>San Francisco Bay Area</v>
      </c>
      <c r="E82" s="3" t="str">
        <f>VLOOKUP(C82,layoffs_location!A:C,3,FALSE)</f>
        <v>California</v>
      </c>
      <c r="F82" s="3" t="str">
        <f>VLOOKUP(C82,layoffs_location!A:D,4,FALSE)</f>
        <v>USA</v>
      </c>
      <c r="G82" s="3" t="str">
        <f>VLOOKUP(C82,layoffs_location!A:E,5,FALSE)</f>
        <v>North America</v>
      </c>
      <c r="H82" s="3">
        <v>240</v>
      </c>
      <c r="I82" s="8">
        <v>43923</v>
      </c>
      <c r="J82" s="9">
        <v>3</v>
      </c>
      <c r="K82" s="10">
        <v>8000</v>
      </c>
      <c r="L82" s="10">
        <v>7760</v>
      </c>
      <c r="M82" s="3" t="s">
        <v>622</v>
      </c>
      <c r="N82" s="3" t="s">
        <v>108</v>
      </c>
      <c r="O82" s="34">
        <v>1200</v>
      </c>
      <c r="P82" s="3">
        <v>2020</v>
      </c>
      <c r="Q82" s="3">
        <f>VLOOKUP(C82,layoffs_location!A:F,6,FALSE)</f>
        <v>37.451967099999997</v>
      </c>
      <c r="R82" s="3">
        <f>VLOOKUP(C82,layoffs_location!A:G,7,FALSE)</f>
        <v>-122.177992</v>
      </c>
    </row>
    <row r="83" spans="1:18" x14ac:dyDescent="0.2">
      <c r="A83" s="3">
        <v>82</v>
      </c>
      <c r="B83" s="3" t="s">
        <v>733</v>
      </c>
      <c r="C83" s="3" t="s">
        <v>734</v>
      </c>
      <c r="D83" s="3" t="str">
        <f>VLOOKUP(C83,layoffs_location!A:B,2,FALSE)</f>
        <v>other</v>
      </c>
      <c r="E83" s="3" t="str">
        <f>VLOOKUP(C83,layoffs_location!A:C,3,FALSE)</f>
        <v>California</v>
      </c>
      <c r="F83" s="3" t="str">
        <f>VLOOKUP(C83,layoffs_location!A:D,4,FALSE)</f>
        <v>USA</v>
      </c>
      <c r="G83" s="3" t="str">
        <f>VLOOKUP(C83,layoffs_location!A:E,5,FALSE)</f>
        <v>North America</v>
      </c>
      <c r="H83" s="3">
        <v>700</v>
      </c>
      <c r="I83" s="8">
        <v>43923</v>
      </c>
      <c r="J83" s="9">
        <v>35</v>
      </c>
      <c r="K83" s="10">
        <v>2000</v>
      </c>
      <c r="L83" s="10">
        <v>1300</v>
      </c>
      <c r="M83" s="3" t="s">
        <v>399</v>
      </c>
      <c r="N83" s="3" t="s">
        <v>28</v>
      </c>
      <c r="O83" s="34">
        <v>114</v>
      </c>
      <c r="P83" s="3">
        <v>2020</v>
      </c>
      <c r="Q83" s="3">
        <f>VLOOKUP(C83,layoffs_location!A:F,6,FALSE)</f>
        <v>35.354020900000002</v>
      </c>
      <c r="R83" s="3">
        <f>VLOOKUP(C83,layoffs_location!A:G,7,FALSE)</f>
        <v>-120.375716</v>
      </c>
    </row>
    <row r="84" spans="1:18" x14ac:dyDescent="0.2">
      <c r="A84" s="3">
        <v>83</v>
      </c>
      <c r="B84" s="3" t="s">
        <v>242</v>
      </c>
      <c r="C84" s="3" t="s">
        <v>179</v>
      </c>
      <c r="D84" s="3" t="str">
        <f>VLOOKUP(C84,layoffs_location!A:B,2,FALSE)</f>
        <v>other</v>
      </c>
      <c r="E84" s="3" t="str">
        <f>VLOOKUP(C84,layoffs_location!A:C,3,FALSE)</f>
        <v>Ontario</v>
      </c>
      <c r="F84" s="3" t="str">
        <f>VLOOKUP(C84,layoffs_location!A:D,4,FALSE)</f>
        <v>Canada</v>
      </c>
      <c r="G84" s="3" t="str">
        <f>VLOOKUP(C84,layoffs_location!A:E,5,FALSE)</f>
        <v>North America</v>
      </c>
      <c r="H84" s="3">
        <v>196</v>
      </c>
      <c r="I84" s="8">
        <v>43923</v>
      </c>
      <c r="J84" s="9">
        <v>54</v>
      </c>
      <c r="K84" s="10">
        <v>363</v>
      </c>
      <c r="L84" s="10">
        <v>167</v>
      </c>
      <c r="M84" s="3" t="s">
        <v>77</v>
      </c>
      <c r="N84" s="3" t="s">
        <v>41</v>
      </c>
      <c r="O84" s="34">
        <v>112</v>
      </c>
      <c r="P84" s="3">
        <v>2020</v>
      </c>
      <c r="Q84" s="3">
        <f>VLOOKUP(C84,layoffs_location!A:F,6,FALSE)</f>
        <v>43.6534817</v>
      </c>
      <c r="R84" s="3">
        <f>VLOOKUP(C84,layoffs_location!A:G,7,FALSE)</f>
        <v>-79.383934699999998</v>
      </c>
    </row>
    <row r="85" spans="1:18" ht="16" x14ac:dyDescent="0.2">
      <c r="A85" s="3">
        <v>84</v>
      </c>
      <c r="B85" s="3" t="s">
        <v>1264</v>
      </c>
      <c r="C85" s="11" t="s">
        <v>1370</v>
      </c>
      <c r="D85" s="3" t="str">
        <f>VLOOKUP(C85,layoffs_location!A:B,2,FALSE)</f>
        <v>San Francisco Bay Area</v>
      </c>
      <c r="E85" s="3" t="str">
        <f>VLOOKUP(C85,layoffs_location!A:C,3,FALSE)</f>
        <v>California</v>
      </c>
      <c r="F85" s="3" t="str">
        <f>VLOOKUP(C85,layoffs_location!A:D,4,FALSE)</f>
        <v>USA</v>
      </c>
      <c r="G85" s="3" t="str">
        <f>VLOOKUP(C85,layoffs_location!A:E,5,FALSE)</f>
        <v>North America</v>
      </c>
      <c r="H85" s="3">
        <v>30</v>
      </c>
      <c r="I85" s="8">
        <v>43923</v>
      </c>
      <c r="J85" s="9">
        <v>15</v>
      </c>
      <c r="K85" s="10">
        <v>200</v>
      </c>
      <c r="L85" s="10">
        <v>170</v>
      </c>
      <c r="M85" s="3" t="s">
        <v>239</v>
      </c>
      <c r="N85" s="3" t="s">
        <v>22</v>
      </c>
      <c r="O85" s="34">
        <v>151</v>
      </c>
      <c r="P85" s="3">
        <v>2020</v>
      </c>
      <c r="Q85" s="3">
        <f>VLOOKUP(C85,layoffs_location!A:F,6,FALSE)</f>
        <v>37.779258800000001</v>
      </c>
      <c r="R85" s="3">
        <f>VLOOKUP(C85,layoffs_location!A:G,7,FALSE)</f>
        <v>-122.4193286</v>
      </c>
    </row>
    <row r="86" spans="1:18" x14ac:dyDescent="0.2">
      <c r="A86" s="3">
        <v>85</v>
      </c>
      <c r="B86" s="3" t="s">
        <v>1267</v>
      </c>
      <c r="C86" s="3" t="s">
        <v>113</v>
      </c>
      <c r="D86" s="3" t="str">
        <f>VLOOKUP(C86,layoffs_location!A:B,2,FALSE)</f>
        <v>other</v>
      </c>
      <c r="E86" s="3" t="str">
        <f>VLOOKUP(C86,layoffs_location!A:C,3,FALSE)</f>
        <v>Utah</v>
      </c>
      <c r="F86" s="3" t="str">
        <f>VLOOKUP(C86,layoffs_location!A:D,4,FALSE)</f>
        <v>USA</v>
      </c>
      <c r="G86" s="3" t="str">
        <f>VLOOKUP(C86,layoffs_location!A:E,5,FALSE)</f>
        <v>North America</v>
      </c>
      <c r="H86" s="3">
        <v>5</v>
      </c>
      <c r="I86" s="8">
        <v>43923</v>
      </c>
      <c r="J86" s="9">
        <v>7</v>
      </c>
      <c r="K86" s="10">
        <v>71</v>
      </c>
      <c r="L86" s="10">
        <v>66</v>
      </c>
      <c r="M86" s="3" t="s">
        <v>77</v>
      </c>
      <c r="N86" s="3" t="s">
        <v>69</v>
      </c>
      <c r="O86" s="34">
        <v>6</v>
      </c>
      <c r="P86" s="3">
        <v>2020</v>
      </c>
      <c r="Q86" s="3">
        <f>VLOOKUP(C86,layoffs_location!A:F,6,FALSE)</f>
        <v>40.759619800000003</v>
      </c>
      <c r="R86" s="3">
        <f>VLOOKUP(C86,layoffs_location!A:G,7,FALSE)</f>
        <v>-111.886797</v>
      </c>
    </row>
    <row r="87" spans="1:18" x14ac:dyDescent="0.2">
      <c r="A87" s="3">
        <v>86</v>
      </c>
      <c r="B87" s="3" t="s">
        <v>1261</v>
      </c>
      <c r="C87" s="3" t="s">
        <v>71</v>
      </c>
      <c r="D87" s="3" t="str">
        <f>VLOOKUP(C87,layoffs_location!A:B,2,FALSE)</f>
        <v>other</v>
      </c>
      <c r="E87" s="3" t="str">
        <f>VLOOKUP(C87,layoffs_location!A:C,3,FALSE)</f>
        <v>Massachusetts</v>
      </c>
      <c r="F87" s="3" t="str">
        <f>VLOOKUP(C87,layoffs_location!A:D,4,FALSE)</f>
        <v>USA</v>
      </c>
      <c r="G87" s="3" t="str">
        <f>VLOOKUP(C87,layoffs_location!A:E,5,FALSE)</f>
        <v>North America</v>
      </c>
      <c r="H87" s="3">
        <v>59</v>
      </c>
      <c r="I87" s="8">
        <v>43923</v>
      </c>
      <c r="J87" s="9">
        <v>25</v>
      </c>
      <c r="K87" s="10">
        <v>236</v>
      </c>
      <c r="L87" s="10">
        <v>177</v>
      </c>
      <c r="M87" s="3" t="s">
        <v>84</v>
      </c>
      <c r="N87" s="3" t="s">
        <v>33</v>
      </c>
      <c r="O87" s="34">
        <v>65</v>
      </c>
      <c r="P87" s="3">
        <v>2020</v>
      </c>
      <c r="Q87" s="3">
        <f>VLOOKUP(C87,layoffs_location!A:F,6,FALSE)</f>
        <v>42.355433400000003</v>
      </c>
      <c r="R87" s="3">
        <f>VLOOKUP(C87,layoffs_location!A:G,7,FALSE)</f>
        <v>-71.060511000000005</v>
      </c>
    </row>
    <row r="88" spans="1:18" ht="16" x14ac:dyDescent="0.2">
      <c r="A88" s="3">
        <v>87</v>
      </c>
      <c r="B88" s="3" t="s">
        <v>1260</v>
      </c>
      <c r="C88" s="11" t="s">
        <v>1370</v>
      </c>
      <c r="D88" s="3" t="str">
        <f>VLOOKUP(C88,layoffs_location!A:B,2,FALSE)</f>
        <v>San Francisco Bay Area</v>
      </c>
      <c r="E88" s="3" t="str">
        <f>VLOOKUP(C88,layoffs_location!A:C,3,FALSE)</f>
        <v>California</v>
      </c>
      <c r="F88" s="3" t="str">
        <f>VLOOKUP(C88,layoffs_location!A:D,4,FALSE)</f>
        <v>USA</v>
      </c>
      <c r="G88" s="3" t="str">
        <f>VLOOKUP(C88,layoffs_location!A:E,5,FALSE)</f>
        <v>North America</v>
      </c>
      <c r="H88" s="3">
        <v>65</v>
      </c>
      <c r="I88" s="8">
        <v>43923</v>
      </c>
      <c r="J88" s="9">
        <v>30</v>
      </c>
      <c r="K88" s="10">
        <v>217</v>
      </c>
      <c r="L88" s="10">
        <v>152</v>
      </c>
      <c r="M88" s="3" t="s">
        <v>30</v>
      </c>
      <c r="N88" s="3" t="s">
        <v>49</v>
      </c>
      <c r="O88" s="34">
        <v>68</v>
      </c>
      <c r="P88" s="3">
        <v>2020</v>
      </c>
      <c r="Q88" s="3">
        <f>VLOOKUP(C88,layoffs_location!A:F,6,FALSE)</f>
        <v>37.779258800000001</v>
      </c>
      <c r="R88" s="3">
        <f>VLOOKUP(C88,layoffs_location!A:G,7,FALSE)</f>
        <v>-122.4193286</v>
      </c>
    </row>
    <row r="89" spans="1:18" x14ac:dyDescent="0.2">
      <c r="A89" s="3">
        <v>88</v>
      </c>
      <c r="B89" s="3" t="s">
        <v>447</v>
      </c>
      <c r="C89" s="3" t="s">
        <v>39</v>
      </c>
      <c r="D89" s="3" t="str">
        <f>VLOOKUP(C89,layoffs_location!A:B,2,FALSE)</f>
        <v>New York</v>
      </c>
      <c r="E89" s="3" t="str">
        <f>VLOOKUP(C89,layoffs_location!A:C,3,FALSE)</f>
        <v>New York</v>
      </c>
      <c r="F89" s="3" t="str">
        <f>VLOOKUP(C89,layoffs_location!A:D,4,FALSE)</f>
        <v>USA</v>
      </c>
      <c r="G89" s="3" t="str">
        <f>VLOOKUP(C89,layoffs_location!A:E,5,FALSE)</f>
        <v>North America</v>
      </c>
      <c r="H89" s="3">
        <v>23</v>
      </c>
      <c r="I89" s="8">
        <v>43923</v>
      </c>
      <c r="J89" s="9">
        <v>7</v>
      </c>
      <c r="K89" s="10">
        <v>329</v>
      </c>
      <c r="L89" s="10">
        <v>306</v>
      </c>
      <c r="M89" s="3" t="s">
        <v>130</v>
      </c>
      <c r="N89" s="3" t="s">
        <v>49</v>
      </c>
      <c r="O89" s="34">
        <v>16</v>
      </c>
      <c r="P89" s="3">
        <v>2020</v>
      </c>
      <c r="Q89" s="3">
        <f>VLOOKUP(C89,layoffs_location!A:F,6,FALSE)</f>
        <v>40.7127281</v>
      </c>
      <c r="R89" s="3">
        <f>VLOOKUP(C89,layoffs_location!A:G,7,FALSE)</f>
        <v>-74.006015199999993</v>
      </c>
    </row>
    <row r="90" spans="1:18" x14ac:dyDescent="0.2">
      <c r="A90" s="3">
        <v>89</v>
      </c>
      <c r="B90" s="3" t="s">
        <v>1251</v>
      </c>
      <c r="C90" s="3" t="s">
        <v>83</v>
      </c>
      <c r="D90" s="3" t="str">
        <f>VLOOKUP(C90,layoffs_location!A:B,2,FALSE)</f>
        <v>other</v>
      </c>
      <c r="E90" s="3" t="str">
        <f>VLOOKUP(C90,layoffs_location!A:C,3,FALSE)</f>
        <v>Texas</v>
      </c>
      <c r="F90" s="3" t="str">
        <f>VLOOKUP(C90,layoffs_location!A:D,4,FALSE)</f>
        <v>USA</v>
      </c>
      <c r="G90" s="3" t="str">
        <f>VLOOKUP(C90,layoffs_location!A:E,5,FALSE)</f>
        <v>North America</v>
      </c>
      <c r="H90" s="3">
        <v>75</v>
      </c>
      <c r="I90" s="8">
        <v>43924</v>
      </c>
      <c r="J90" s="9">
        <v>7</v>
      </c>
      <c r="K90" s="10">
        <v>1071</v>
      </c>
      <c r="L90" s="10">
        <v>996</v>
      </c>
      <c r="M90" s="3" t="s">
        <v>90</v>
      </c>
      <c r="N90" s="3" t="s">
        <v>49</v>
      </c>
      <c r="O90" s="34">
        <v>35</v>
      </c>
      <c r="P90" s="3">
        <v>2020</v>
      </c>
      <c r="Q90" s="3">
        <f>VLOOKUP(C90,layoffs_location!A:F,6,FALSE)</f>
        <v>30.271128600000001</v>
      </c>
      <c r="R90" s="3">
        <f>VLOOKUP(C90,layoffs_location!A:G,7,FALSE)</f>
        <v>-97.743699500000005</v>
      </c>
    </row>
    <row r="91" spans="1:18" x14ac:dyDescent="0.2">
      <c r="A91" s="3">
        <v>90</v>
      </c>
      <c r="B91" s="3" t="s">
        <v>1254</v>
      </c>
      <c r="C91" s="3" t="s">
        <v>39</v>
      </c>
      <c r="D91" s="3" t="str">
        <f>VLOOKUP(C91,layoffs_location!A:B,2,FALSE)</f>
        <v>New York</v>
      </c>
      <c r="E91" s="3" t="str">
        <f>VLOOKUP(C91,layoffs_location!A:C,3,FALSE)</f>
        <v>New York</v>
      </c>
      <c r="F91" s="3" t="str">
        <f>VLOOKUP(C91,layoffs_location!A:D,4,FALSE)</f>
        <v>USA</v>
      </c>
      <c r="G91" s="3" t="str">
        <f>VLOOKUP(C91,layoffs_location!A:E,5,FALSE)</f>
        <v>North America</v>
      </c>
      <c r="H91" s="3">
        <v>24</v>
      </c>
      <c r="I91" s="8">
        <v>43924</v>
      </c>
      <c r="J91" s="9">
        <v>8</v>
      </c>
      <c r="K91" s="10">
        <v>300</v>
      </c>
      <c r="L91" s="10">
        <v>276</v>
      </c>
      <c r="M91" s="3" t="s">
        <v>54</v>
      </c>
      <c r="N91" s="3" t="s">
        <v>36</v>
      </c>
      <c r="O91" s="34">
        <v>80</v>
      </c>
      <c r="P91" s="3">
        <v>2020</v>
      </c>
      <c r="Q91" s="3">
        <f>VLOOKUP(C91,layoffs_location!A:F,6,FALSE)</f>
        <v>40.7127281</v>
      </c>
      <c r="R91" s="3">
        <f>VLOOKUP(C91,layoffs_location!A:G,7,FALSE)</f>
        <v>-74.006015199999993</v>
      </c>
    </row>
    <row r="92" spans="1:18" x14ac:dyDescent="0.2">
      <c r="A92" s="3">
        <v>91</v>
      </c>
      <c r="B92" s="3" t="s">
        <v>1253</v>
      </c>
      <c r="C92" s="3" t="s">
        <v>1370</v>
      </c>
      <c r="D92" s="3" t="str">
        <f>VLOOKUP(C92,layoffs_location!A:B,2,FALSE)</f>
        <v>San Francisco Bay Area</v>
      </c>
      <c r="E92" s="3" t="str">
        <f>VLOOKUP(C92,layoffs_location!A:C,3,FALSE)</f>
        <v>California</v>
      </c>
      <c r="F92" s="3" t="str">
        <f>VLOOKUP(C92,layoffs_location!A:D,4,FALSE)</f>
        <v>USA</v>
      </c>
      <c r="G92" s="3" t="str">
        <f>VLOOKUP(C92,layoffs_location!A:E,5,FALSE)</f>
        <v>North America</v>
      </c>
      <c r="H92" s="3">
        <v>34</v>
      </c>
      <c r="I92" s="8">
        <v>43924</v>
      </c>
      <c r="J92" s="9">
        <v>13</v>
      </c>
      <c r="K92" s="10">
        <v>262</v>
      </c>
      <c r="L92" s="10">
        <v>228</v>
      </c>
      <c r="M92" s="3" t="s">
        <v>239</v>
      </c>
      <c r="N92" s="3" t="s">
        <v>108</v>
      </c>
      <c r="O92" s="34">
        <v>247</v>
      </c>
      <c r="P92" s="3">
        <v>2020</v>
      </c>
      <c r="Q92" s="3">
        <f>VLOOKUP(C92,layoffs_location!A:F,6,FALSE)</f>
        <v>37.779258800000001</v>
      </c>
      <c r="R92" s="3">
        <f>VLOOKUP(C92,layoffs_location!A:G,7,FALSE)</f>
        <v>-122.4193286</v>
      </c>
    </row>
    <row r="93" spans="1:18" x14ac:dyDescent="0.2">
      <c r="A93" s="3">
        <v>92</v>
      </c>
      <c r="B93" s="3" t="s">
        <v>1248</v>
      </c>
      <c r="C93" s="3" t="s">
        <v>187</v>
      </c>
      <c r="D93" s="3" t="str">
        <f>VLOOKUP(C93,layoffs_location!A:B,2,FALSE)</f>
        <v>other</v>
      </c>
      <c r="E93" s="3" t="str">
        <f>VLOOKUP(C93,layoffs_location!A:C,3,FALSE)</f>
        <v>State of São Paulo</v>
      </c>
      <c r="F93" s="3" t="str">
        <f>VLOOKUP(C93,layoffs_location!A:D,4,FALSE)</f>
        <v>Brazil</v>
      </c>
      <c r="G93" s="3" t="str">
        <f>VLOOKUP(C93,layoffs_location!A:E,5,FALSE)</f>
        <v>South America</v>
      </c>
      <c r="H93" s="3">
        <v>467</v>
      </c>
      <c r="I93" s="8">
        <v>43924</v>
      </c>
      <c r="J93" s="9">
        <v>33</v>
      </c>
      <c r="K93" s="10">
        <v>1415</v>
      </c>
      <c r="L93" s="10">
        <v>948</v>
      </c>
      <c r="M93" s="3" t="s">
        <v>399</v>
      </c>
      <c r="N93" s="3" t="s">
        <v>108</v>
      </c>
      <c r="O93" s="34">
        <v>300</v>
      </c>
      <c r="P93" s="3">
        <v>2020</v>
      </c>
      <c r="Q93" s="3">
        <f>VLOOKUP(C93,layoffs_location!A:F,6,FALSE)</f>
        <v>-23.550650699999998</v>
      </c>
      <c r="R93" s="3">
        <f>VLOOKUP(C93,layoffs_location!A:G,7,FALSE)</f>
        <v>-46.633382400000002</v>
      </c>
    </row>
    <row r="94" spans="1:18" x14ac:dyDescent="0.2">
      <c r="A94" s="3">
        <v>93</v>
      </c>
      <c r="B94" s="3" t="s">
        <v>1252</v>
      </c>
      <c r="C94" s="3" t="s">
        <v>39</v>
      </c>
      <c r="D94" s="3" t="str">
        <f>VLOOKUP(C94,layoffs_location!A:B,2,FALSE)</f>
        <v>New York</v>
      </c>
      <c r="E94" s="3" t="str">
        <f>VLOOKUP(C94,layoffs_location!A:C,3,FALSE)</f>
        <v>New York</v>
      </c>
      <c r="F94" s="3" t="str">
        <f>VLOOKUP(C94,layoffs_location!A:D,4,FALSE)</f>
        <v>USA</v>
      </c>
      <c r="G94" s="3" t="str">
        <f>VLOOKUP(C94,layoffs_location!A:E,5,FALSE)</f>
        <v>North America</v>
      </c>
      <c r="H94" s="3">
        <v>35</v>
      </c>
      <c r="I94" s="8">
        <v>43924</v>
      </c>
      <c r="J94" s="9">
        <v>40</v>
      </c>
      <c r="K94" s="10">
        <v>88</v>
      </c>
      <c r="L94" s="10">
        <v>53</v>
      </c>
      <c r="M94" s="3" t="s">
        <v>35</v>
      </c>
      <c r="N94" s="3" t="s">
        <v>49</v>
      </c>
      <c r="O94" s="34">
        <v>40</v>
      </c>
      <c r="P94" s="3">
        <v>2020</v>
      </c>
      <c r="Q94" s="3">
        <f>VLOOKUP(C94,layoffs_location!A:F,6,FALSE)</f>
        <v>40.7127281</v>
      </c>
      <c r="R94" s="3">
        <f>VLOOKUP(C94,layoffs_location!A:G,7,FALSE)</f>
        <v>-74.006015199999993</v>
      </c>
    </row>
    <row r="95" spans="1:18" ht="16" x14ac:dyDescent="0.2">
      <c r="A95" s="3">
        <v>94</v>
      </c>
      <c r="B95" s="3" t="s">
        <v>1250</v>
      </c>
      <c r="C95" s="11" t="s">
        <v>1370</v>
      </c>
      <c r="D95" s="3" t="str">
        <f>VLOOKUP(C95,layoffs_location!A:B,2,FALSE)</f>
        <v>San Francisco Bay Area</v>
      </c>
      <c r="E95" s="3" t="str">
        <f>VLOOKUP(C95,layoffs_location!A:C,3,FALSE)</f>
        <v>California</v>
      </c>
      <c r="F95" s="3" t="str">
        <f>VLOOKUP(C95,layoffs_location!A:D,4,FALSE)</f>
        <v>USA</v>
      </c>
      <c r="G95" s="3" t="str">
        <f>VLOOKUP(C95,layoffs_location!A:E,5,FALSE)</f>
        <v>North America</v>
      </c>
      <c r="H95" s="3">
        <v>147</v>
      </c>
      <c r="I95" s="8">
        <v>43924</v>
      </c>
      <c r="J95" s="9">
        <v>37</v>
      </c>
      <c r="K95" s="10">
        <v>397</v>
      </c>
      <c r="L95" s="10">
        <v>250</v>
      </c>
      <c r="M95" s="3" t="s">
        <v>30</v>
      </c>
      <c r="N95" s="3" t="s">
        <v>36</v>
      </c>
      <c r="O95" s="34">
        <v>297</v>
      </c>
      <c r="P95" s="3">
        <v>2020</v>
      </c>
      <c r="Q95" s="3">
        <f>VLOOKUP(C95,layoffs_location!A:F,6,FALSE)</f>
        <v>37.779258800000001</v>
      </c>
      <c r="R95" s="3">
        <f>VLOOKUP(C95,layoffs_location!A:G,7,FALSE)</f>
        <v>-122.4193286</v>
      </c>
    </row>
    <row r="96" spans="1:18" x14ac:dyDescent="0.2">
      <c r="A96" s="3">
        <v>95</v>
      </c>
      <c r="B96" s="3" t="s">
        <v>1255</v>
      </c>
      <c r="C96" s="3" t="s">
        <v>179</v>
      </c>
      <c r="D96" s="3" t="str">
        <f>VLOOKUP(C96,layoffs_location!A:B,2,FALSE)</f>
        <v>other</v>
      </c>
      <c r="E96" s="3" t="str">
        <f>VLOOKUP(C96,layoffs_location!A:C,3,FALSE)</f>
        <v>Ontario</v>
      </c>
      <c r="F96" s="3" t="str">
        <f>VLOOKUP(C96,layoffs_location!A:D,4,FALSE)</f>
        <v>Canada</v>
      </c>
      <c r="G96" s="3" t="str">
        <f>VLOOKUP(C96,layoffs_location!A:E,5,FALSE)</f>
        <v>North America</v>
      </c>
      <c r="H96" s="3">
        <v>18</v>
      </c>
      <c r="I96" s="8">
        <v>43924</v>
      </c>
      <c r="J96" s="9">
        <v>25</v>
      </c>
      <c r="K96" s="10">
        <v>72</v>
      </c>
      <c r="L96" s="10">
        <v>54</v>
      </c>
      <c r="M96" s="3" t="s">
        <v>21</v>
      </c>
      <c r="N96" s="3" t="s">
        <v>69</v>
      </c>
      <c r="O96" s="34">
        <v>24</v>
      </c>
      <c r="P96" s="3">
        <v>2020</v>
      </c>
      <c r="Q96" s="3">
        <f>VLOOKUP(C96,layoffs_location!A:F,6,FALSE)</f>
        <v>43.6534817</v>
      </c>
      <c r="R96" s="3">
        <f>VLOOKUP(C96,layoffs_location!A:G,7,FALSE)</f>
        <v>-79.383934699999998</v>
      </c>
    </row>
    <row r="97" spans="1:18" x14ac:dyDescent="0.2">
      <c r="A97" s="3">
        <v>96</v>
      </c>
      <c r="B97" s="3" t="s">
        <v>676</v>
      </c>
      <c r="C97" s="3" t="s">
        <v>71</v>
      </c>
      <c r="D97" s="3" t="str">
        <f>VLOOKUP(C97,layoffs_location!A:B,2,FALSE)</f>
        <v>other</v>
      </c>
      <c r="E97" s="3" t="str">
        <f>VLOOKUP(C97,layoffs_location!A:C,3,FALSE)</f>
        <v>Massachusetts</v>
      </c>
      <c r="F97" s="3" t="str">
        <f>VLOOKUP(C97,layoffs_location!A:D,4,FALSE)</f>
        <v>USA</v>
      </c>
      <c r="G97" s="3" t="str">
        <f>VLOOKUP(C97,layoffs_location!A:E,5,FALSE)</f>
        <v>North America</v>
      </c>
      <c r="H97" s="3">
        <v>60</v>
      </c>
      <c r="I97" s="8">
        <v>43924</v>
      </c>
      <c r="J97" s="9">
        <v>13</v>
      </c>
      <c r="K97" s="10">
        <v>462</v>
      </c>
      <c r="L97" s="10">
        <v>402</v>
      </c>
      <c r="M97" s="3" t="s">
        <v>30</v>
      </c>
      <c r="N97" s="3" t="s">
        <v>108</v>
      </c>
      <c r="O97" s="34">
        <v>97</v>
      </c>
      <c r="P97" s="3">
        <v>2020</v>
      </c>
      <c r="Q97" s="3">
        <f>VLOOKUP(C97,layoffs_location!A:F,6,FALSE)</f>
        <v>42.355433400000003</v>
      </c>
      <c r="R97" s="3">
        <f>VLOOKUP(C97,layoffs_location!A:G,7,FALSE)</f>
        <v>-71.060511000000005</v>
      </c>
    </row>
    <row r="98" spans="1:18" ht="16" x14ac:dyDescent="0.2">
      <c r="A98" s="3">
        <v>97</v>
      </c>
      <c r="B98" s="3" t="s">
        <v>1249</v>
      </c>
      <c r="C98" s="11" t="s">
        <v>1370</v>
      </c>
      <c r="D98" s="3" t="str">
        <f>VLOOKUP(C98,layoffs_location!A:B,2,FALSE)</f>
        <v>San Francisco Bay Area</v>
      </c>
      <c r="E98" s="3" t="str">
        <f>VLOOKUP(C98,layoffs_location!A:C,3,FALSE)</f>
        <v>California</v>
      </c>
      <c r="F98" s="3" t="str">
        <f>VLOOKUP(C98,layoffs_location!A:D,4,FALSE)</f>
        <v>USA</v>
      </c>
      <c r="G98" s="3" t="str">
        <f>VLOOKUP(C98,layoffs_location!A:E,5,FALSE)</f>
        <v>North America</v>
      </c>
      <c r="H98" s="3">
        <v>300</v>
      </c>
      <c r="I98" s="8">
        <v>43924</v>
      </c>
      <c r="J98" s="9">
        <v>50</v>
      </c>
      <c r="K98" s="10">
        <v>600</v>
      </c>
      <c r="L98" s="10">
        <v>300</v>
      </c>
      <c r="M98" s="3" t="s">
        <v>130</v>
      </c>
      <c r="N98" s="3" t="s">
        <v>108</v>
      </c>
      <c r="O98" s="34">
        <v>162</v>
      </c>
      <c r="P98" s="3">
        <v>2020</v>
      </c>
      <c r="Q98" s="3">
        <f>VLOOKUP(C98,layoffs_location!A:F,6,FALSE)</f>
        <v>37.779258800000001</v>
      </c>
      <c r="R98" s="3">
        <f>VLOOKUP(C98,layoffs_location!A:G,7,FALSE)</f>
        <v>-122.4193286</v>
      </c>
    </row>
    <row r="99" spans="1:18" x14ac:dyDescent="0.2">
      <c r="A99" s="3">
        <v>98</v>
      </c>
      <c r="B99" s="3" t="s">
        <v>1247</v>
      </c>
      <c r="C99" s="3" t="s">
        <v>992</v>
      </c>
      <c r="D99" s="3" t="str">
        <f>VLOOKUP(C99,layoffs_location!A:B,2,FALSE)</f>
        <v>other</v>
      </c>
      <c r="E99" s="3" t="str">
        <f>VLOOKUP(C99,layoffs_location!A:C,3,FALSE)</f>
        <v>non</v>
      </c>
      <c r="F99" s="3" t="str">
        <f>VLOOKUP(C99,layoffs_location!A:D,4,FALSE)</f>
        <v>Malaysia</v>
      </c>
      <c r="G99" s="3" t="str">
        <f>VLOOKUP(C99,layoffs_location!A:E,5,FALSE)</f>
        <v>Asia</v>
      </c>
      <c r="H99" s="3">
        <v>50</v>
      </c>
      <c r="I99" s="8">
        <v>43925</v>
      </c>
      <c r="J99" s="9">
        <v>12</v>
      </c>
      <c r="K99" s="10">
        <v>417</v>
      </c>
      <c r="L99" s="10">
        <v>367</v>
      </c>
      <c r="M99" s="3" t="s">
        <v>16</v>
      </c>
      <c r="N99" s="3" t="s">
        <v>22</v>
      </c>
      <c r="O99" s="34">
        <v>348</v>
      </c>
      <c r="P99" s="3">
        <v>2020</v>
      </c>
      <c r="Q99" s="3">
        <f>VLOOKUP(C99,layoffs_location!A:F,6,FALSE)</f>
        <v>3.1516964000000001</v>
      </c>
      <c r="R99" s="3">
        <f>VLOOKUP(C99,layoffs_location!A:G,7,FALSE)</f>
        <v>101.6942371</v>
      </c>
    </row>
    <row r="100" spans="1:18" x14ac:dyDescent="0.2">
      <c r="A100" s="3">
        <v>99</v>
      </c>
      <c r="B100" s="3" t="s">
        <v>1246</v>
      </c>
      <c r="C100" s="3" t="s">
        <v>1709</v>
      </c>
      <c r="D100" s="3" t="str">
        <f>VLOOKUP(C100,layoffs_location!A:B,2,FALSE)</f>
        <v>San Francisco Bay Area</v>
      </c>
      <c r="E100" s="3" t="str">
        <f>VLOOKUP(C100,layoffs_location!A:C,3,FALSE)</f>
        <v>California</v>
      </c>
      <c r="F100" s="3" t="str">
        <f>VLOOKUP(C100,layoffs_location!A:D,4,FALSE)</f>
        <v>USA</v>
      </c>
      <c r="G100" s="3" t="str">
        <f>VLOOKUP(C100,layoffs_location!A:E,5,FALSE)</f>
        <v>North America</v>
      </c>
      <c r="H100" s="3">
        <v>40</v>
      </c>
      <c r="I100" s="8">
        <v>43926</v>
      </c>
      <c r="J100" s="9">
        <v>25</v>
      </c>
      <c r="K100" s="10">
        <v>160</v>
      </c>
      <c r="L100" s="10">
        <v>120</v>
      </c>
      <c r="M100" s="3" t="s">
        <v>192</v>
      </c>
      <c r="N100" s="3" t="s">
        <v>22</v>
      </c>
      <c r="O100" s="34">
        <v>100</v>
      </c>
      <c r="P100" s="3">
        <v>2020</v>
      </c>
      <c r="Q100" s="3">
        <f>VLOOKUP(C100,layoffs_location!A:F,6,FALSE)</f>
        <v>37.609029100000001</v>
      </c>
      <c r="R100" s="3">
        <f>VLOOKUP(C100,layoffs_location!A:G,7,FALSE)</f>
        <v>-121.899142</v>
      </c>
    </row>
    <row r="101" spans="1:18" x14ac:dyDescent="0.2">
      <c r="A101" s="3">
        <v>100</v>
      </c>
      <c r="B101" s="3" t="s">
        <v>1244</v>
      </c>
      <c r="C101" s="3" t="s">
        <v>179</v>
      </c>
      <c r="D101" s="3" t="str">
        <f>VLOOKUP(C101,layoffs_location!A:B,2,FALSE)</f>
        <v>other</v>
      </c>
      <c r="E101" s="3" t="str">
        <f>VLOOKUP(C101,layoffs_location!A:C,3,FALSE)</f>
        <v>Ontario</v>
      </c>
      <c r="F101" s="3" t="str">
        <f>VLOOKUP(C101,layoffs_location!A:D,4,FALSE)</f>
        <v>Canada</v>
      </c>
      <c r="G101" s="3" t="str">
        <f>VLOOKUP(C101,layoffs_location!A:E,5,FALSE)</f>
        <v>North America</v>
      </c>
      <c r="H101" s="3">
        <v>15</v>
      </c>
      <c r="I101" s="8">
        <v>43927</v>
      </c>
      <c r="J101" s="9">
        <v>20</v>
      </c>
      <c r="K101" s="10">
        <v>75</v>
      </c>
      <c r="L101" s="10">
        <v>60</v>
      </c>
      <c r="M101" s="3" t="s">
        <v>35</v>
      </c>
      <c r="N101" s="3" t="s">
        <v>49</v>
      </c>
      <c r="O101" s="34">
        <v>72</v>
      </c>
      <c r="P101" s="3">
        <v>2020</v>
      </c>
      <c r="Q101" s="3">
        <f>VLOOKUP(C101,layoffs_location!A:F,6,FALSE)</f>
        <v>43.6534817</v>
      </c>
      <c r="R101" s="3">
        <f>VLOOKUP(C101,layoffs_location!A:G,7,FALSE)</f>
        <v>-79.383934699999998</v>
      </c>
    </row>
    <row r="102" spans="1:18" x14ac:dyDescent="0.2">
      <c r="A102" s="3">
        <v>101</v>
      </c>
      <c r="B102" s="3" t="s">
        <v>1240</v>
      </c>
      <c r="C102" s="3" t="s">
        <v>39</v>
      </c>
      <c r="D102" s="3" t="str">
        <f>VLOOKUP(C102,layoffs_location!A:B,2,FALSE)</f>
        <v>New York</v>
      </c>
      <c r="E102" s="3" t="str">
        <f>VLOOKUP(C102,layoffs_location!A:C,3,FALSE)</f>
        <v>New York</v>
      </c>
      <c r="F102" s="3" t="str">
        <f>VLOOKUP(C102,layoffs_location!A:D,4,FALSE)</f>
        <v>USA</v>
      </c>
      <c r="G102" s="3" t="str">
        <f>VLOOKUP(C102,layoffs_location!A:E,5,FALSE)</f>
        <v>North America</v>
      </c>
      <c r="H102" s="3">
        <v>77</v>
      </c>
      <c r="I102" s="8">
        <v>43927</v>
      </c>
      <c r="J102" s="9">
        <v>20</v>
      </c>
      <c r="K102" s="10">
        <v>385</v>
      </c>
      <c r="L102" s="10">
        <v>308</v>
      </c>
      <c r="M102" s="3" t="s">
        <v>130</v>
      </c>
      <c r="N102" s="3" t="s">
        <v>49</v>
      </c>
      <c r="O102" s="34">
        <v>75</v>
      </c>
      <c r="P102" s="3">
        <v>2020</v>
      </c>
      <c r="Q102" s="3">
        <f>VLOOKUP(C102,layoffs_location!A:F,6,FALSE)</f>
        <v>40.7127281</v>
      </c>
      <c r="R102" s="3">
        <f>VLOOKUP(C102,layoffs_location!A:G,7,FALSE)</f>
        <v>-74.006015199999993</v>
      </c>
    </row>
    <row r="103" spans="1:18" x14ac:dyDescent="0.2">
      <c r="A103" s="3">
        <v>102</v>
      </c>
      <c r="B103" s="3" t="s">
        <v>1243</v>
      </c>
      <c r="C103" s="3" t="s">
        <v>115</v>
      </c>
      <c r="D103" s="3" t="str">
        <f>VLOOKUP(C103,layoffs_location!A:B,2,FALSE)</f>
        <v>other</v>
      </c>
      <c r="E103" s="3" t="str">
        <f>VLOOKUP(C103,layoffs_location!A:C,3,FALSE)</f>
        <v>Quebec</v>
      </c>
      <c r="F103" s="3" t="str">
        <f>VLOOKUP(C103,layoffs_location!A:D,4,FALSE)</f>
        <v>Canada</v>
      </c>
      <c r="G103" s="3" t="str">
        <f>VLOOKUP(C103,layoffs_location!A:E,5,FALSE)</f>
        <v>North America</v>
      </c>
      <c r="H103" s="3">
        <v>23</v>
      </c>
      <c r="I103" s="8">
        <v>43927</v>
      </c>
      <c r="J103" s="9">
        <v>32</v>
      </c>
      <c r="K103" s="10">
        <v>72</v>
      </c>
      <c r="L103" s="10">
        <v>49</v>
      </c>
      <c r="M103" s="3" t="s">
        <v>32</v>
      </c>
      <c r="N103" s="3" t="s">
        <v>49</v>
      </c>
      <c r="O103" s="34">
        <v>21</v>
      </c>
      <c r="P103" s="3">
        <v>2020</v>
      </c>
      <c r="Q103" s="3">
        <f>VLOOKUP(C103,layoffs_location!A:F,6,FALSE)</f>
        <v>45.5031824</v>
      </c>
      <c r="R103" s="3">
        <f>VLOOKUP(C103,layoffs_location!A:G,7,FALSE)</f>
        <v>-73.569806499999999</v>
      </c>
    </row>
    <row r="104" spans="1:18" x14ac:dyDescent="0.2">
      <c r="A104" s="3">
        <v>103</v>
      </c>
      <c r="B104" s="3" t="s">
        <v>1242</v>
      </c>
      <c r="C104" s="3" t="s">
        <v>71</v>
      </c>
      <c r="D104" s="3" t="str">
        <f>VLOOKUP(C104,layoffs_location!A:B,2,FALSE)</f>
        <v>other</v>
      </c>
      <c r="E104" s="3" t="str">
        <f>VLOOKUP(C104,layoffs_location!A:C,3,FALSE)</f>
        <v>Massachusetts</v>
      </c>
      <c r="F104" s="3" t="str">
        <f>VLOOKUP(C104,layoffs_location!A:D,4,FALSE)</f>
        <v>USA</v>
      </c>
      <c r="G104" s="3" t="str">
        <f>VLOOKUP(C104,layoffs_location!A:E,5,FALSE)</f>
        <v>North America</v>
      </c>
      <c r="H104" s="3">
        <v>24</v>
      </c>
      <c r="I104" s="8">
        <v>43927</v>
      </c>
      <c r="J104" s="9">
        <v>14</v>
      </c>
      <c r="K104" s="10">
        <v>171</v>
      </c>
      <c r="L104" s="10">
        <v>147</v>
      </c>
      <c r="M104" s="3" t="s">
        <v>274</v>
      </c>
      <c r="N104" s="3" t="s">
        <v>41</v>
      </c>
      <c r="O104" s="34">
        <v>92</v>
      </c>
      <c r="P104" s="3">
        <v>2020</v>
      </c>
      <c r="Q104" s="3">
        <f>VLOOKUP(C104,layoffs_location!A:F,6,FALSE)</f>
        <v>42.355433400000003</v>
      </c>
      <c r="R104" s="3">
        <f>VLOOKUP(C104,layoffs_location!A:G,7,FALSE)</f>
        <v>-71.060511000000005</v>
      </c>
    </row>
    <row r="105" spans="1:18" ht="16" x14ac:dyDescent="0.2">
      <c r="A105" s="3">
        <v>104</v>
      </c>
      <c r="B105" s="3" t="s">
        <v>857</v>
      </c>
      <c r="C105" s="11" t="s">
        <v>1370</v>
      </c>
      <c r="D105" s="3" t="str">
        <f>VLOOKUP(C105,layoffs_location!A:B,2,FALSE)</f>
        <v>San Francisco Bay Area</v>
      </c>
      <c r="E105" s="3" t="str">
        <f>VLOOKUP(C105,layoffs_location!A:C,3,FALSE)</f>
        <v>California</v>
      </c>
      <c r="F105" s="3" t="str">
        <f>VLOOKUP(C105,layoffs_location!A:D,4,FALSE)</f>
        <v>USA</v>
      </c>
      <c r="G105" s="3" t="str">
        <f>VLOOKUP(C105,layoffs_location!A:E,5,FALSE)</f>
        <v>North America</v>
      </c>
      <c r="H105" s="3">
        <v>100</v>
      </c>
      <c r="I105" s="8">
        <v>43927</v>
      </c>
      <c r="J105" s="9">
        <v>33</v>
      </c>
      <c r="K105" s="10">
        <v>303</v>
      </c>
      <c r="L105" s="10">
        <v>203</v>
      </c>
      <c r="M105" s="3" t="s">
        <v>35</v>
      </c>
      <c r="N105" s="3" t="s">
        <v>36</v>
      </c>
      <c r="O105" s="34">
        <v>293</v>
      </c>
      <c r="P105" s="3">
        <v>2020</v>
      </c>
      <c r="Q105" s="3">
        <f>VLOOKUP(C105,layoffs_location!A:F,6,FALSE)</f>
        <v>37.779258800000001</v>
      </c>
      <c r="R105" s="3">
        <f>VLOOKUP(C105,layoffs_location!A:G,7,FALSE)</f>
        <v>-122.4193286</v>
      </c>
    </row>
    <row r="106" spans="1:18" x14ac:dyDescent="0.2">
      <c r="A106" s="3">
        <v>105</v>
      </c>
      <c r="B106" s="3" t="s">
        <v>1245</v>
      </c>
      <c r="C106" s="3" t="s">
        <v>154</v>
      </c>
      <c r="D106" s="3" t="str">
        <f>VLOOKUP(C106,layoffs_location!A:B,2,FALSE)</f>
        <v>other</v>
      </c>
      <c r="E106" s="3" t="str">
        <f>VLOOKUP(C106,layoffs_location!A:C,3,FALSE)</f>
        <v>Illinois</v>
      </c>
      <c r="F106" s="3" t="str">
        <f>VLOOKUP(C106,layoffs_location!A:D,4,FALSE)</f>
        <v>USA</v>
      </c>
      <c r="G106" s="3" t="str">
        <f>VLOOKUP(C106,layoffs_location!A:E,5,FALSE)</f>
        <v>North America</v>
      </c>
      <c r="H106" s="3">
        <v>10</v>
      </c>
      <c r="I106" s="8">
        <v>43927</v>
      </c>
      <c r="J106" s="9">
        <v>10</v>
      </c>
      <c r="K106" s="10">
        <v>100</v>
      </c>
      <c r="L106" s="10">
        <v>90</v>
      </c>
      <c r="M106" s="3" t="s">
        <v>84</v>
      </c>
      <c r="N106" s="3" t="s">
        <v>1696</v>
      </c>
      <c r="O106" s="34">
        <v>50</v>
      </c>
      <c r="P106" s="3">
        <v>2020</v>
      </c>
      <c r="Q106" s="3">
        <f>VLOOKUP(C106,layoffs_location!A:F,6,FALSE)</f>
        <v>41.875561599999997</v>
      </c>
      <c r="R106" s="3">
        <f>VLOOKUP(C106,layoffs_location!A:G,7,FALSE)</f>
        <v>-87.6244212</v>
      </c>
    </row>
    <row r="107" spans="1:18" x14ac:dyDescent="0.2">
      <c r="A107" s="3">
        <v>106</v>
      </c>
      <c r="B107" s="3" t="s">
        <v>1239</v>
      </c>
      <c r="C107" s="3" t="s">
        <v>750</v>
      </c>
      <c r="D107" s="3" t="str">
        <f>VLOOKUP(C107,layoffs_location!A:B,2,FALSE)</f>
        <v>other</v>
      </c>
      <c r="E107" s="3" t="str">
        <f>VLOOKUP(C107,layoffs_location!A:C,3,FALSE)</f>
        <v>State of Minas Gerais</v>
      </c>
      <c r="F107" s="3" t="str">
        <f>VLOOKUP(C107,layoffs_location!A:D,4,FALSE)</f>
        <v>Brazil</v>
      </c>
      <c r="G107" s="3" t="str">
        <f>VLOOKUP(C107,layoffs_location!A:E,5,FALSE)</f>
        <v>South America</v>
      </c>
      <c r="H107" s="3">
        <v>100</v>
      </c>
      <c r="I107" s="8">
        <v>43927</v>
      </c>
      <c r="J107" s="9">
        <v>20</v>
      </c>
      <c r="K107" s="10">
        <v>500</v>
      </c>
      <c r="L107" s="10">
        <v>400</v>
      </c>
      <c r="M107" s="3" t="s">
        <v>130</v>
      </c>
      <c r="N107" s="3" t="s">
        <v>69</v>
      </c>
      <c r="O107" s="34">
        <v>1</v>
      </c>
      <c r="P107" s="3">
        <v>2020</v>
      </c>
      <c r="Q107" s="3">
        <f>VLOOKUP(C107,layoffs_location!A:F,6,FALSE)</f>
        <v>-19.922731800000001</v>
      </c>
      <c r="R107" s="3">
        <f>VLOOKUP(C107,layoffs_location!A:G,7,FALSE)</f>
        <v>-43.9450948</v>
      </c>
    </row>
    <row r="108" spans="1:18" x14ac:dyDescent="0.2">
      <c r="A108" s="3">
        <v>107</v>
      </c>
      <c r="B108" s="3" t="s">
        <v>1241</v>
      </c>
      <c r="C108" s="3" t="s">
        <v>71</v>
      </c>
      <c r="D108" s="3" t="str">
        <f>VLOOKUP(C108,layoffs_location!A:B,2,FALSE)</f>
        <v>other</v>
      </c>
      <c r="E108" s="3" t="str">
        <f>VLOOKUP(C108,layoffs_location!A:C,3,FALSE)</f>
        <v>Massachusetts</v>
      </c>
      <c r="F108" s="3" t="str">
        <f>VLOOKUP(C108,layoffs_location!A:D,4,FALSE)</f>
        <v>USA</v>
      </c>
      <c r="G108" s="3" t="str">
        <f>VLOOKUP(C108,layoffs_location!A:E,5,FALSE)</f>
        <v>North America</v>
      </c>
      <c r="H108" s="3">
        <v>26</v>
      </c>
      <c r="I108" s="8">
        <v>43927</v>
      </c>
      <c r="J108" s="9">
        <v>10</v>
      </c>
      <c r="K108" s="10">
        <v>260</v>
      </c>
      <c r="L108" s="10">
        <v>234</v>
      </c>
      <c r="M108" s="3" t="s">
        <v>130</v>
      </c>
      <c r="N108" s="3" t="s">
        <v>33</v>
      </c>
      <c r="O108" s="34">
        <v>28</v>
      </c>
      <c r="P108" s="3">
        <v>2020</v>
      </c>
      <c r="Q108" s="3">
        <f>VLOOKUP(C108,layoffs_location!A:F,6,FALSE)</f>
        <v>42.355433400000003</v>
      </c>
      <c r="R108" s="3">
        <f>VLOOKUP(C108,layoffs_location!A:G,7,FALSE)</f>
        <v>-71.060511000000005</v>
      </c>
    </row>
    <row r="109" spans="1:18" x14ac:dyDescent="0.2">
      <c r="A109" s="3">
        <v>108</v>
      </c>
      <c r="B109" s="3" t="s">
        <v>278</v>
      </c>
      <c r="C109" s="3" t="s">
        <v>39</v>
      </c>
      <c r="D109" s="3" t="str">
        <f>VLOOKUP(C109,layoffs_location!A:B,2,FALSE)</f>
        <v>New York</v>
      </c>
      <c r="E109" s="3" t="str">
        <f>VLOOKUP(C109,layoffs_location!A:C,3,FALSE)</f>
        <v>New York</v>
      </c>
      <c r="F109" s="3" t="str">
        <f>VLOOKUP(C109,layoffs_location!A:D,4,FALSE)</f>
        <v>USA</v>
      </c>
      <c r="G109" s="3" t="str">
        <f>VLOOKUP(C109,layoffs_location!A:E,5,FALSE)</f>
        <v>North America</v>
      </c>
      <c r="H109" s="3">
        <v>60</v>
      </c>
      <c r="I109" s="8">
        <v>43928</v>
      </c>
      <c r="J109" s="9">
        <v>10</v>
      </c>
      <c r="K109" s="10">
        <v>600</v>
      </c>
      <c r="L109" s="10">
        <v>540</v>
      </c>
      <c r="M109" s="3" t="s">
        <v>30</v>
      </c>
      <c r="N109" s="3" t="s">
        <v>108</v>
      </c>
      <c r="O109" s="34">
        <v>181</v>
      </c>
      <c r="P109" s="3">
        <v>2020</v>
      </c>
      <c r="Q109" s="3">
        <f>VLOOKUP(C109,layoffs_location!A:F,6,FALSE)</f>
        <v>40.7127281</v>
      </c>
      <c r="R109" s="3">
        <f>VLOOKUP(C109,layoffs_location!A:G,7,FALSE)</f>
        <v>-74.006015199999993</v>
      </c>
    </row>
    <row r="110" spans="1:18" x14ac:dyDescent="0.2">
      <c r="A110" s="3">
        <v>109</v>
      </c>
      <c r="B110" s="3" t="s">
        <v>1235</v>
      </c>
      <c r="C110" s="3" t="s">
        <v>1473</v>
      </c>
      <c r="D110" s="3" t="str">
        <f>VLOOKUP(C110,layoffs_location!A:B,2,FALSE)</f>
        <v>San Francisco Bay Area</v>
      </c>
      <c r="E110" s="3" t="str">
        <f>VLOOKUP(C110,layoffs_location!A:C,3,FALSE)</f>
        <v>California</v>
      </c>
      <c r="F110" s="3" t="str">
        <f>VLOOKUP(C110,layoffs_location!A:D,4,FALSE)</f>
        <v>USA</v>
      </c>
      <c r="G110" s="3" t="str">
        <f>VLOOKUP(C110,layoffs_location!A:E,5,FALSE)</f>
        <v>North America</v>
      </c>
      <c r="H110" s="3">
        <v>100</v>
      </c>
      <c r="I110" s="8">
        <v>43928</v>
      </c>
      <c r="J110" s="9">
        <v>20</v>
      </c>
      <c r="K110" s="10">
        <v>500</v>
      </c>
      <c r="L110" s="10">
        <v>400</v>
      </c>
      <c r="M110" s="3" t="s">
        <v>130</v>
      </c>
      <c r="N110" s="3" t="s">
        <v>36</v>
      </c>
      <c r="O110" s="34">
        <v>367</v>
      </c>
      <c r="P110" s="3">
        <v>2020</v>
      </c>
      <c r="Q110" s="3">
        <f>VLOOKUP(C110,layoffs_location!A:F,6,FALSE)</f>
        <v>37.4443293</v>
      </c>
      <c r="R110" s="3">
        <f>VLOOKUP(C110,layoffs_location!A:G,7,FALSE)</f>
        <v>-122.1598465</v>
      </c>
    </row>
    <row r="111" spans="1:18" x14ac:dyDescent="0.2">
      <c r="A111" s="3">
        <v>110</v>
      </c>
      <c r="B111" s="3" t="s">
        <v>1233</v>
      </c>
      <c r="C111" s="3" t="s">
        <v>71</v>
      </c>
      <c r="D111" s="3" t="str">
        <f>VLOOKUP(C111,layoffs_location!A:B,2,FALSE)</f>
        <v>other</v>
      </c>
      <c r="E111" s="3" t="str">
        <f>VLOOKUP(C111,layoffs_location!A:C,3,FALSE)</f>
        <v>Massachusetts</v>
      </c>
      <c r="F111" s="3" t="str">
        <f>VLOOKUP(C111,layoffs_location!A:D,4,FALSE)</f>
        <v>USA</v>
      </c>
      <c r="G111" s="3" t="str">
        <f>VLOOKUP(C111,layoffs_location!A:E,5,FALSE)</f>
        <v>North America</v>
      </c>
      <c r="H111" s="3">
        <v>400</v>
      </c>
      <c r="I111" s="8">
        <v>43928</v>
      </c>
      <c r="J111" s="9">
        <v>44</v>
      </c>
      <c r="K111" s="10">
        <v>909</v>
      </c>
      <c r="L111" s="10">
        <v>509</v>
      </c>
      <c r="M111" s="3" t="s">
        <v>77</v>
      </c>
      <c r="N111" s="3" t="s">
        <v>108</v>
      </c>
      <c r="O111" s="34">
        <v>319</v>
      </c>
      <c r="P111" s="3">
        <v>2020</v>
      </c>
      <c r="Q111" s="3">
        <f>VLOOKUP(C111,layoffs_location!A:F,6,FALSE)</f>
        <v>42.355433400000003</v>
      </c>
      <c r="R111" s="3">
        <f>VLOOKUP(C111,layoffs_location!A:G,7,FALSE)</f>
        <v>-71.060511000000005</v>
      </c>
    </row>
    <row r="112" spans="1:18" x14ac:dyDescent="0.2">
      <c r="A112" s="3">
        <v>111</v>
      </c>
      <c r="B112" s="3" t="s">
        <v>1238</v>
      </c>
      <c r="C112" s="3" t="s">
        <v>39</v>
      </c>
      <c r="D112" s="3" t="str">
        <f>VLOOKUP(C112,layoffs_location!A:B,2,FALSE)</f>
        <v>New York</v>
      </c>
      <c r="E112" s="3" t="str">
        <f>VLOOKUP(C112,layoffs_location!A:C,3,FALSE)</f>
        <v>New York</v>
      </c>
      <c r="F112" s="3" t="str">
        <f>VLOOKUP(C112,layoffs_location!A:D,4,FALSE)</f>
        <v>USA</v>
      </c>
      <c r="G112" s="3" t="str">
        <f>VLOOKUP(C112,layoffs_location!A:E,5,FALSE)</f>
        <v>North America</v>
      </c>
      <c r="H112" s="3">
        <v>50</v>
      </c>
      <c r="I112" s="8">
        <v>43928</v>
      </c>
      <c r="J112" s="9">
        <v>7</v>
      </c>
      <c r="K112" s="10">
        <v>714</v>
      </c>
      <c r="L112" s="10">
        <v>664</v>
      </c>
      <c r="M112" s="3" t="s">
        <v>54</v>
      </c>
      <c r="N112" s="3" t="s">
        <v>22</v>
      </c>
      <c r="O112" s="34">
        <v>190</v>
      </c>
      <c r="P112" s="3">
        <v>2020</v>
      </c>
      <c r="Q112" s="3">
        <f>VLOOKUP(C112,layoffs_location!A:F,6,FALSE)</f>
        <v>40.7127281</v>
      </c>
      <c r="R112" s="3">
        <f>VLOOKUP(C112,layoffs_location!A:G,7,FALSE)</f>
        <v>-74.006015199999993</v>
      </c>
    </row>
    <row r="113" spans="1:18" x14ac:dyDescent="0.2">
      <c r="A113" s="3">
        <v>112</v>
      </c>
      <c r="B113" s="3" t="s">
        <v>1236</v>
      </c>
      <c r="C113" s="3" t="s">
        <v>132</v>
      </c>
      <c r="D113" s="3" t="str">
        <f>VLOOKUP(C113,layoffs_location!A:B,2,FALSE)</f>
        <v>other</v>
      </c>
      <c r="E113" s="3" t="str">
        <f>VLOOKUP(C113,layoffs_location!A:C,3,FALSE)</f>
        <v>Colorado</v>
      </c>
      <c r="F113" s="3" t="str">
        <f>VLOOKUP(C113,layoffs_location!A:D,4,FALSE)</f>
        <v>USA</v>
      </c>
      <c r="G113" s="3" t="str">
        <f>VLOOKUP(C113,layoffs_location!A:E,5,FALSE)</f>
        <v>North America</v>
      </c>
      <c r="H113" s="3">
        <v>87</v>
      </c>
      <c r="I113" s="8">
        <v>43928</v>
      </c>
      <c r="J113" s="9">
        <v>15</v>
      </c>
      <c r="K113" s="10">
        <v>580</v>
      </c>
      <c r="L113" s="10">
        <v>493</v>
      </c>
      <c r="M113" s="3" t="s">
        <v>30</v>
      </c>
      <c r="N113" s="3" t="s">
        <v>108</v>
      </c>
      <c r="O113" s="34">
        <v>85</v>
      </c>
      <c r="P113" s="3">
        <v>2020</v>
      </c>
      <c r="Q113" s="3">
        <f>VLOOKUP(C113,layoffs_location!A:F,6,FALSE)</f>
        <v>39.739236400000003</v>
      </c>
      <c r="R113" s="3">
        <f>VLOOKUP(C113,layoffs_location!A:G,7,FALSE)</f>
        <v>-104.98486200000001</v>
      </c>
    </row>
    <row r="114" spans="1:18" x14ac:dyDescent="0.2">
      <c r="A114" s="3">
        <v>113</v>
      </c>
      <c r="B114" s="3" t="s">
        <v>1237</v>
      </c>
      <c r="C114" s="3" t="s">
        <v>39</v>
      </c>
      <c r="D114" s="3" t="str">
        <f>VLOOKUP(C114,layoffs_location!A:B,2,FALSE)</f>
        <v>New York</v>
      </c>
      <c r="E114" s="3" t="str">
        <f>VLOOKUP(C114,layoffs_location!A:C,3,FALSE)</f>
        <v>New York</v>
      </c>
      <c r="F114" s="3" t="str">
        <f>VLOOKUP(C114,layoffs_location!A:D,4,FALSE)</f>
        <v>USA</v>
      </c>
      <c r="G114" s="3" t="str">
        <f>VLOOKUP(C114,layoffs_location!A:E,5,FALSE)</f>
        <v>North America</v>
      </c>
      <c r="H114" s="3">
        <v>53</v>
      </c>
      <c r="I114" s="8">
        <v>43928</v>
      </c>
      <c r="J114" s="9">
        <v>8</v>
      </c>
      <c r="K114" s="10">
        <v>663</v>
      </c>
      <c r="L114" s="10">
        <v>610</v>
      </c>
      <c r="M114" s="3" t="s">
        <v>130</v>
      </c>
      <c r="N114" s="3" t="s">
        <v>1696</v>
      </c>
      <c r="O114" s="34">
        <v>607</v>
      </c>
      <c r="P114" s="3">
        <v>2020</v>
      </c>
      <c r="Q114" s="3">
        <f>VLOOKUP(C114,layoffs_location!A:F,6,FALSE)</f>
        <v>40.7127281</v>
      </c>
      <c r="R114" s="3">
        <f>VLOOKUP(C114,layoffs_location!A:G,7,FALSE)</f>
        <v>-74.006015199999993</v>
      </c>
    </row>
    <row r="115" spans="1:18" x14ac:dyDescent="0.2">
      <c r="A115" s="3">
        <v>114</v>
      </c>
      <c r="B115" s="3" t="s">
        <v>343</v>
      </c>
      <c r="C115" s="3" t="s">
        <v>43</v>
      </c>
      <c r="D115" s="3" t="str">
        <f>VLOOKUP(C115,layoffs_location!A:B,2,FALSE)</f>
        <v>Cascadia</v>
      </c>
      <c r="E115" s="3" t="str">
        <f>VLOOKUP(C115,layoffs_location!A:C,3,FALSE)</f>
        <v>Washington</v>
      </c>
      <c r="F115" s="3" t="str">
        <f>VLOOKUP(C115,layoffs_location!A:D,4,FALSE)</f>
        <v>USA</v>
      </c>
      <c r="G115" s="3" t="str">
        <f>VLOOKUP(C115,layoffs_location!A:E,5,FALSE)</f>
        <v>North America</v>
      </c>
      <c r="H115" s="3">
        <v>236</v>
      </c>
      <c r="I115" s="8">
        <v>43928</v>
      </c>
      <c r="J115" s="9">
        <v>7</v>
      </c>
      <c r="K115" s="10">
        <v>3371</v>
      </c>
      <c r="L115" s="10">
        <v>3135</v>
      </c>
      <c r="M115" s="3" t="s">
        <v>137</v>
      </c>
      <c r="N115" s="3" t="s">
        <v>28</v>
      </c>
      <c r="O115" s="34">
        <v>319</v>
      </c>
      <c r="P115" s="3">
        <v>2020</v>
      </c>
      <c r="Q115" s="3">
        <f>VLOOKUP(C115,layoffs_location!A:F,6,FALSE)</f>
        <v>47.603832099999998</v>
      </c>
      <c r="R115" s="3">
        <f>VLOOKUP(C115,layoffs_location!A:G,7,FALSE)</f>
        <v>-122.330062</v>
      </c>
    </row>
    <row r="116" spans="1:18" x14ac:dyDescent="0.2">
      <c r="A116" s="3">
        <v>115</v>
      </c>
      <c r="B116" s="3" t="s">
        <v>1234</v>
      </c>
      <c r="C116" s="3" t="s">
        <v>71</v>
      </c>
      <c r="D116" s="3" t="str">
        <f>VLOOKUP(C116,layoffs_location!A:B,2,FALSE)</f>
        <v>other</v>
      </c>
      <c r="E116" s="3" t="str">
        <f>VLOOKUP(C116,layoffs_location!A:C,3,FALSE)</f>
        <v>Massachusetts</v>
      </c>
      <c r="F116" s="3" t="str">
        <f>VLOOKUP(C116,layoffs_location!A:D,4,FALSE)</f>
        <v>USA</v>
      </c>
      <c r="G116" s="3" t="str">
        <f>VLOOKUP(C116,layoffs_location!A:E,5,FALSE)</f>
        <v>North America</v>
      </c>
      <c r="H116" s="3">
        <v>340</v>
      </c>
      <c r="I116" s="8">
        <v>43928</v>
      </c>
      <c r="J116" s="9">
        <v>53</v>
      </c>
      <c r="K116" s="10">
        <v>642</v>
      </c>
      <c r="L116" s="10">
        <v>302</v>
      </c>
      <c r="M116" s="3" t="s">
        <v>21</v>
      </c>
      <c r="N116" s="3" t="s">
        <v>28</v>
      </c>
      <c r="O116" s="34">
        <v>438</v>
      </c>
      <c r="P116" s="3">
        <v>2020</v>
      </c>
      <c r="Q116" s="3">
        <f>VLOOKUP(C116,layoffs_location!A:F,6,FALSE)</f>
        <v>42.355433400000003</v>
      </c>
      <c r="R116" s="3">
        <f>VLOOKUP(C116,layoffs_location!A:G,7,FALSE)</f>
        <v>-71.060511000000005</v>
      </c>
    </row>
    <row r="117" spans="1:18" x14ac:dyDescent="0.2">
      <c r="A117" s="3">
        <v>116</v>
      </c>
      <c r="B117" s="3" t="s">
        <v>1232</v>
      </c>
      <c r="C117" s="3" t="s">
        <v>71</v>
      </c>
      <c r="D117" s="3" t="str">
        <f>VLOOKUP(C117,layoffs_location!A:B,2,FALSE)</f>
        <v>other</v>
      </c>
      <c r="E117" s="3" t="str">
        <f>VLOOKUP(C117,layoffs_location!A:C,3,FALSE)</f>
        <v>Massachusetts</v>
      </c>
      <c r="F117" s="3" t="str">
        <f>VLOOKUP(C117,layoffs_location!A:D,4,FALSE)</f>
        <v>USA</v>
      </c>
      <c r="G117" s="3" t="str">
        <f>VLOOKUP(C117,layoffs_location!A:E,5,FALSE)</f>
        <v>North America</v>
      </c>
      <c r="H117" s="3">
        <v>1300</v>
      </c>
      <c r="I117" s="8">
        <v>43928</v>
      </c>
      <c r="J117" s="9">
        <v>50</v>
      </c>
      <c r="K117" s="10">
        <v>2600</v>
      </c>
      <c r="L117" s="10">
        <v>1300</v>
      </c>
      <c r="M117" s="3" t="s">
        <v>77</v>
      </c>
      <c r="N117" s="3" t="s">
        <v>63</v>
      </c>
      <c r="O117" s="34">
        <v>902</v>
      </c>
      <c r="P117" s="3">
        <v>2020</v>
      </c>
      <c r="Q117" s="3">
        <f>VLOOKUP(C117,layoffs_location!A:F,6,FALSE)</f>
        <v>42.355433400000003</v>
      </c>
      <c r="R117" s="3">
        <f>VLOOKUP(C117,layoffs_location!A:G,7,FALSE)</f>
        <v>-71.060511000000005</v>
      </c>
    </row>
    <row r="118" spans="1:18" x14ac:dyDescent="0.2">
      <c r="A118" s="3">
        <v>117</v>
      </c>
      <c r="B118" s="3" t="s">
        <v>1227</v>
      </c>
      <c r="C118" s="3" t="s">
        <v>39</v>
      </c>
      <c r="D118" s="3" t="str">
        <f>VLOOKUP(C118,layoffs_location!A:B,2,FALSE)</f>
        <v>New York</v>
      </c>
      <c r="E118" s="3" t="str">
        <f>VLOOKUP(C118,layoffs_location!A:C,3,FALSE)</f>
        <v>New York</v>
      </c>
      <c r="F118" s="3" t="str">
        <f>VLOOKUP(C118,layoffs_location!A:D,4,FALSE)</f>
        <v>USA</v>
      </c>
      <c r="G118" s="3" t="str">
        <f>VLOOKUP(C118,layoffs_location!A:E,5,FALSE)</f>
        <v>North America</v>
      </c>
      <c r="H118" s="3">
        <v>48</v>
      </c>
      <c r="I118" s="8">
        <v>43929</v>
      </c>
      <c r="J118" s="9">
        <v>35</v>
      </c>
      <c r="K118" s="10">
        <v>137</v>
      </c>
      <c r="L118" s="10">
        <v>89</v>
      </c>
      <c r="M118" s="3" t="s">
        <v>130</v>
      </c>
      <c r="N118" s="3" t="s">
        <v>41</v>
      </c>
      <c r="O118" s="34">
        <v>64</v>
      </c>
      <c r="P118" s="3">
        <v>2020</v>
      </c>
      <c r="Q118" s="3">
        <f>VLOOKUP(C118,layoffs_location!A:F,6,FALSE)</f>
        <v>40.7127281</v>
      </c>
      <c r="R118" s="3">
        <f>VLOOKUP(C118,layoffs_location!A:G,7,FALSE)</f>
        <v>-74.006015199999993</v>
      </c>
    </row>
    <row r="119" spans="1:18" x14ac:dyDescent="0.2">
      <c r="A119" s="3">
        <v>118</v>
      </c>
      <c r="B119" s="3" t="s">
        <v>1228</v>
      </c>
      <c r="C119" s="3" t="s">
        <v>39</v>
      </c>
      <c r="D119" s="3" t="str">
        <f>VLOOKUP(C119,layoffs_location!A:B,2,FALSE)</f>
        <v>New York</v>
      </c>
      <c r="E119" s="3" t="str">
        <f>VLOOKUP(C119,layoffs_location!A:C,3,FALSE)</f>
        <v>New York</v>
      </c>
      <c r="F119" s="3" t="str">
        <f>VLOOKUP(C119,layoffs_location!A:D,4,FALSE)</f>
        <v>USA</v>
      </c>
      <c r="G119" s="3" t="str">
        <f>VLOOKUP(C119,layoffs_location!A:E,5,FALSE)</f>
        <v>North America</v>
      </c>
      <c r="H119" s="3">
        <v>40</v>
      </c>
      <c r="I119" s="8">
        <v>43929</v>
      </c>
      <c r="J119" s="9">
        <v>40</v>
      </c>
      <c r="K119" s="10">
        <v>100</v>
      </c>
      <c r="L119" s="10">
        <v>60</v>
      </c>
      <c r="M119" s="3" t="s">
        <v>137</v>
      </c>
      <c r="N119" s="3" t="s">
        <v>49</v>
      </c>
      <c r="O119" s="34">
        <v>40</v>
      </c>
      <c r="P119" s="3">
        <v>2020</v>
      </c>
      <c r="Q119" s="3">
        <f>VLOOKUP(C119,layoffs_location!A:F,6,FALSE)</f>
        <v>40.7127281</v>
      </c>
      <c r="R119" s="3">
        <f>VLOOKUP(C119,layoffs_location!A:G,7,FALSE)</f>
        <v>-74.006015199999993</v>
      </c>
    </row>
    <row r="120" spans="1:18" x14ac:dyDescent="0.2">
      <c r="A120" s="3">
        <v>119</v>
      </c>
      <c r="B120" s="3" t="s">
        <v>412</v>
      </c>
      <c r="C120" s="3" t="s">
        <v>1370</v>
      </c>
      <c r="D120" s="3" t="str">
        <f>VLOOKUP(C120,layoffs_location!A:B,2,FALSE)</f>
        <v>San Francisco Bay Area</v>
      </c>
      <c r="E120" s="3" t="str">
        <f>VLOOKUP(C120,layoffs_location!A:C,3,FALSE)</f>
        <v>California</v>
      </c>
      <c r="F120" s="3" t="str">
        <f>VLOOKUP(C120,layoffs_location!A:D,4,FALSE)</f>
        <v>USA</v>
      </c>
      <c r="G120" s="3" t="str">
        <f>VLOOKUP(C120,layoffs_location!A:E,5,FALSE)</f>
        <v>North America</v>
      </c>
      <c r="H120" s="3">
        <v>500</v>
      </c>
      <c r="I120" s="8">
        <v>43929</v>
      </c>
      <c r="J120" s="9">
        <v>45</v>
      </c>
      <c r="K120" s="10">
        <v>1111</v>
      </c>
      <c r="L120" s="10">
        <v>611</v>
      </c>
      <c r="M120" s="3" t="s">
        <v>16</v>
      </c>
      <c r="N120" s="3" t="s">
        <v>28</v>
      </c>
      <c r="O120" s="34">
        <v>332</v>
      </c>
      <c r="P120" s="3">
        <v>2020</v>
      </c>
      <c r="Q120" s="3">
        <f>VLOOKUP(C120,layoffs_location!A:F,6,FALSE)</f>
        <v>37.779258800000001</v>
      </c>
      <c r="R120" s="3">
        <f>VLOOKUP(C120,layoffs_location!A:G,7,FALSE)</f>
        <v>-122.4193286</v>
      </c>
    </row>
    <row r="121" spans="1:18" x14ac:dyDescent="0.2">
      <c r="A121" s="3">
        <v>120</v>
      </c>
      <c r="B121" s="3" t="s">
        <v>1230</v>
      </c>
      <c r="C121" s="3" t="s">
        <v>187</v>
      </c>
      <c r="D121" s="3" t="str">
        <f>VLOOKUP(C121,layoffs_location!A:B,2,FALSE)</f>
        <v>other</v>
      </c>
      <c r="E121" s="3" t="str">
        <f>VLOOKUP(C121,layoffs_location!A:C,3,FALSE)</f>
        <v>State of São Paulo</v>
      </c>
      <c r="F121" s="3" t="str">
        <f>VLOOKUP(C121,layoffs_location!A:D,4,FALSE)</f>
        <v>Brazil</v>
      </c>
      <c r="G121" s="3" t="str">
        <f>VLOOKUP(C121,layoffs_location!A:E,5,FALSE)</f>
        <v>South America</v>
      </c>
      <c r="H121" s="3">
        <v>11</v>
      </c>
      <c r="I121" s="8">
        <v>43929</v>
      </c>
      <c r="J121" s="9">
        <v>10</v>
      </c>
      <c r="K121" s="10">
        <v>110</v>
      </c>
      <c r="L121" s="10">
        <v>99</v>
      </c>
      <c r="M121" s="3" t="s">
        <v>16</v>
      </c>
      <c r="N121" s="3" t="s">
        <v>49</v>
      </c>
      <c r="O121" s="34">
        <v>16</v>
      </c>
      <c r="P121" s="3">
        <v>2020</v>
      </c>
      <c r="Q121" s="3">
        <f>VLOOKUP(C121,layoffs_location!A:F,6,FALSE)</f>
        <v>-23.550650699999998</v>
      </c>
      <c r="R121" s="3">
        <f>VLOOKUP(C121,layoffs_location!A:G,7,FALSE)</f>
        <v>-46.633382400000002</v>
      </c>
    </row>
    <row r="122" spans="1:18" x14ac:dyDescent="0.2">
      <c r="A122" s="3">
        <v>121</v>
      </c>
      <c r="B122" s="3" t="s">
        <v>1229</v>
      </c>
      <c r="C122" s="3" t="s">
        <v>187</v>
      </c>
      <c r="D122" s="3" t="str">
        <f>VLOOKUP(C122,layoffs_location!A:B,2,FALSE)</f>
        <v>other</v>
      </c>
      <c r="E122" s="3" t="str">
        <f>VLOOKUP(C122,layoffs_location!A:C,3,FALSE)</f>
        <v>State of São Paulo</v>
      </c>
      <c r="F122" s="3" t="str">
        <f>VLOOKUP(C122,layoffs_location!A:D,4,FALSE)</f>
        <v>Brazil</v>
      </c>
      <c r="G122" s="3" t="str">
        <f>VLOOKUP(C122,layoffs_location!A:E,5,FALSE)</f>
        <v>South America</v>
      </c>
      <c r="H122" s="3">
        <v>18</v>
      </c>
      <c r="I122" s="8">
        <v>43929</v>
      </c>
      <c r="J122" s="9">
        <v>16</v>
      </c>
      <c r="K122" s="10">
        <v>113</v>
      </c>
      <c r="L122" s="10">
        <v>95</v>
      </c>
      <c r="M122" s="3" t="s">
        <v>84</v>
      </c>
      <c r="N122" s="3" t="s">
        <v>22</v>
      </c>
      <c r="O122" s="34">
        <v>23</v>
      </c>
      <c r="P122" s="3">
        <v>2020</v>
      </c>
      <c r="Q122" s="3">
        <f>VLOOKUP(C122,layoffs_location!A:F,6,FALSE)</f>
        <v>-23.550650699999998</v>
      </c>
      <c r="R122" s="3">
        <f>VLOOKUP(C122,layoffs_location!A:G,7,FALSE)</f>
        <v>-46.633382400000002</v>
      </c>
    </row>
    <row r="123" spans="1:18" ht="16" x14ac:dyDescent="0.2">
      <c r="A123" s="3">
        <v>122</v>
      </c>
      <c r="B123" s="3" t="s">
        <v>1223</v>
      </c>
      <c r="C123" s="11" t="s">
        <v>1370</v>
      </c>
      <c r="D123" s="3" t="str">
        <f>VLOOKUP(C123,layoffs_location!A:B,2,FALSE)</f>
        <v>San Francisco Bay Area</v>
      </c>
      <c r="E123" s="3" t="str">
        <f>VLOOKUP(C123,layoffs_location!A:C,3,FALSE)</f>
        <v>California</v>
      </c>
      <c r="F123" s="3" t="str">
        <f>VLOOKUP(C123,layoffs_location!A:D,4,FALSE)</f>
        <v>USA</v>
      </c>
      <c r="G123" s="3" t="str">
        <f>VLOOKUP(C123,layoffs_location!A:E,5,FALSE)</f>
        <v>North America</v>
      </c>
      <c r="H123" s="3">
        <v>86</v>
      </c>
      <c r="I123" s="8">
        <v>43929</v>
      </c>
      <c r="J123" s="9">
        <v>40</v>
      </c>
      <c r="K123" s="10">
        <v>215</v>
      </c>
      <c r="L123" s="10">
        <v>129</v>
      </c>
      <c r="M123" s="3" t="s">
        <v>84</v>
      </c>
      <c r="N123" s="3" t="s">
        <v>41</v>
      </c>
      <c r="O123" s="34">
        <v>72</v>
      </c>
      <c r="P123" s="3">
        <v>2020</v>
      </c>
      <c r="Q123" s="3">
        <f>VLOOKUP(C123,layoffs_location!A:F,6,FALSE)</f>
        <v>37.779258800000001</v>
      </c>
      <c r="R123" s="3">
        <f>VLOOKUP(C123,layoffs_location!A:G,7,FALSE)</f>
        <v>-122.4193286</v>
      </c>
    </row>
    <row r="124" spans="1:18" x14ac:dyDescent="0.2">
      <c r="A124" s="3">
        <v>123</v>
      </c>
      <c r="B124" s="3" t="s">
        <v>300</v>
      </c>
      <c r="C124" s="3" t="s">
        <v>13</v>
      </c>
      <c r="D124" s="3" t="str">
        <f>VLOOKUP(C124,layoffs_location!A:B,2,FALSE)</f>
        <v>other</v>
      </c>
      <c r="E124" s="3" t="str">
        <f>VLOOKUP(C124,layoffs_location!A:C,3,FALSE)</f>
        <v>Karnataka</v>
      </c>
      <c r="F124" s="3" t="str">
        <f>VLOOKUP(C124,layoffs_location!A:D,4,FALSE)</f>
        <v>India</v>
      </c>
      <c r="G124" s="3" t="str">
        <f>VLOOKUP(C124,layoffs_location!A:E,5,FALSE)</f>
        <v>Asia</v>
      </c>
      <c r="H124" s="3">
        <v>200</v>
      </c>
      <c r="I124" s="8">
        <v>43929</v>
      </c>
      <c r="J124" s="9">
        <v>28</v>
      </c>
      <c r="K124" s="10">
        <v>714</v>
      </c>
      <c r="L124" s="10">
        <v>514</v>
      </c>
      <c r="M124" s="3" t="s">
        <v>30</v>
      </c>
      <c r="N124" s="3" t="s">
        <v>108</v>
      </c>
      <c r="O124" s="34">
        <v>215</v>
      </c>
      <c r="P124" s="3">
        <v>2020</v>
      </c>
      <c r="Q124" s="3">
        <f>VLOOKUP(C124,layoffs_location!A:F,6,FALSE)</f>
        <v>12.98815675</v>
      </c>
      <c r="R124" s="3">
        <f>VLOOKUP(C124,layoffs_location!A:G,7,FALSE)</f>
        <v>77.622600037959998</v>
      </c>
    </row>
    <row r="125" spans="1:18" ht="16" x14ac:dyDescent="0.2">
      <c r="A125" s="3">
        <v>124</v>
      </c>
      <c r="B125" s="3" t="s">
        <v>855</v>
      </c>
      <c r="C125" s="11" t="s">
        <v>1370</v>
      </c>
      <c r="D125" s="3" t="str">
        <f>VLOOKUP(C125,layoffs_location!A:B,2,FALSE)</f>
        <v>San Francisco Bay Area</v>
      </c>
      <c r="E125" s="3" t="str">
        <f>VLOOKUP(C125,layoffs_location!A:C,3,FALSE)</f>
        <v>California</v>
      </c>
      <c r="F125" s="3" t="str">
        <f>VLOOKUP(C125,layoffs_location!A:D,4,FALSE)</f>
        <v>USA</v>
      </c>
      <c r="G125" s="3" t="str">
        <f>VLOOKUP(C125,layoffs_location!A:E,5,FALSE)</f>
        <v>North America</v>
      </c>
      <c r="H125" s="3">
        <v>30</v>
      </c>
      <c r="I125" s="8">
        <v>43929</v>
      </c>
      <c r="J125" s="9">
        <v>5</v>
      </c>
      <c r="K125" s="10">
        <v>600</v>
      </c>
      <c r="L125" s="10">
        <v>570</v>
      </c>
      <c r="M125" s="3" t="s">
        <v>130</v>
      </c>
      <c r="N125" s="3" t="s">
        <v>41</v>
      </c>
      <c r="O125" s="34">
        <v>65</v>
      </c>
      <c r="P125" s="3">
        <v>2020</v>
      </c>
      <c r="Q125" s="3">
        <f>VLOOKUP(C125,layoffs_location!A:F,6,FALSE)</f>
        <v>37.779258800000001</v>
      </c>
      <c r="R125" s="3">
        <f>VLOOKUP(C125,layoffs_location!A:G,7,FALSE)</f>
        <v>-122.4193286</v>
      </c>
    </row>
    <row r="126" spans="1:18" ht="16" x14ac:dyDescent="0.2">
      <c r="A126" s="3">
        <v>125</v>
      </c>
      <c r="B126" s="3" t="s">
        <v>1221</v>
      </c>
      <c r="C126" s="11" t="s">
        <v>1370</v>
      </c>
      <c r="D126" s="3" t="str">
        <f>VLOOKUP(C126,layoffs_location!A:B,2,FALSE)</f>
        <v>San Francisco Bay Area</v>
      </c>
      <c r="E126" s="3" t="str">
        <f>VLOOKUP(C126,layoffs_location!A:C,3,FALSE)</f>
        <v>California</v>
      </c>
      <c r="F126" s="3" t="str">
        <f>VLOOKUP(C126,layoffs_location!A:D,4,FALSE)</f>
        <v>USA</v>
      </c>
      <c r="G126" s="3" t="str">
        <f>VLOOKUP(C126,layoffs_location!A:E,5,FALSE)</f>
        <v>North America</v>
      </c>
      <c r="H126" s="3">
        <v>92</v>
      </c>
      <c r="I126" s="8">
        <v>43929</v>
      </c>
      <c r="J126" s="9">
        <v>33</v>
      </c>
      <c r="K126" s="10">
        <v>279</v>
      </c>
      <c r="L126" s="10">
        <v>187</v>
      </c>
      <c r="M126" s="3" t="s">
        <v>32</v>
      </c>
      <c r="N126" s="3" t="s">
        <v>41</v>
      </c>
      <c r="O126" s="34">
        <v>95</v>
      </c>
      <c r="P126" s="3">
        <v>2020</v>
      </c>
      <c r="Q126" s="3">
        <f>VLOOKUP(C126,layoffs_location!A:F,6,FALSE)</f>
        <v>37.779258800000001</v>
      </c>
      <c r="R126" s="3">
        <f>VLOOKUP(C126,layoffs_location!A:G,7,FALSE)</f>
        <v>-122.4193286</v>
      </c>
    </row>
    <row r="127" spans="1:18" x14ac:dyDescent="0.2">
      <c r="A127" s="3">
        <v>126</v>
      </c>
      <c r="B127" s="3" t="s">
        <v>1231</v>
      </c>
      <c r="C127" s="3" t="s">
        <v>71</v>
      </c>
      <c r="D127" s="3" t="str">
        <f>VLOOKUP(C127,layoffs_location!A:B,2,FALSE)</f>
        <v>other</v>
      </c>
      <c r="E127" s="3" t="str">
        <f>VLOOKUP(C127,layoffs_location!A:C,3,FALSE)</f>
        <v>Massachusetts</v>
      </c>
      <c r="F127" s="3" t="str">
        <f>VLOOKUP(C127,layoffs_location!A:D,4,FALSE)</f>
        <v>USA</v>
      </c>
      <c r="G127" s="3" t="str">
        <f>VLOOKUP(C127,layoffs_location!A:E,5,FALSE)</f>
        <v>North America</v>
      </c>
      <c r="H127" s="3">
        <v>4</v>
      </c>
      <c r="I127" s="8">
        <v>43929</v>
      </c>
      <c r="J127" s="9">
        <v>12</v>
      </c>
      <c r="K127" s="10">
        <v>33</v>
      </c>
      <c r="L127" s="10">
        <v>29</v>
      </c>
      <c r="M127" s="3" t="s">
        <v>77</v>
      </c>
      <c r="N127" s="3" t="s">
        <v>69</v>
      </c>
      <c r="O127" s="34">
        <v>26</v>
      </c>
      <c r="P127" s="3">
        <v>2020</v>
      </c>
      <c r="Q127" s="3">
        <f>VLOOKUP(C127,layoffs_location!A:F,6,FALSE)</f>
        <v>42.355433400000003</v>
      </c>
      <c r="R127" s="3">
        <f>VLOOKUP(C127,layoffs_location!A:G,7,FALSE)</f>
        <v>-71.060511000000005</v>
      </c>
    </row>
    <row r="128" spans="1:18" x14ac:dyDescent="0.2">
      <c r="A128" s="3">
        <v>127</v>
      </c>
      <c r="B128" s="3" t="s">
        <v>1224</v>
      </c>
      <c r="C128" s="3" t="s">
        <v>1225</v>
      </c>
      <c r="D128" s="3" t="str">
        <f>VLOOKUP(C128,layoffs_location!A:B,2,FALSE)</f>
        <v>other</v>
      </c>
      <c r="E128" s="3" t="str">
        <f>VLOOKUP(C128,layoffs_location!A:C,3,FALSE)</f>
        <v>non</v>
      </c>
      <c r="F128" s="3" t="str">
        <f>VLOOKUP(C128,layoffs_location!A:D,4,FALSE)</f>
        <v>Portugal</v>
      </c>
      <c r="G128" s="3" t="str">
        <f>VLOOKUP(C128,layoffs_location!A:E,5,FALSE)</f>
        <v>Europe</v>
      </c>
      <c r="H128" s="3">
        <v>80</v>
      </c>
      <c r="I128" s="8">
        <v>43929</v>
      </c>
      <c r="J128" s="9">
        <v>35</v>
      </c>
      <c r="K128" s="10">
        <v>229</v>
      </c>
      <c r="L128" s="10">
        <v>149</v>
      </c>
      <c r="M128" s="3" t="s">
        <v>274</v>
      </c>
      <c r="N128" s="3" t="s">
        <v>41</v>
      </c>
      <c r="O128" s="34">
        <v>91</v>
      </c>
      <c r="P128" s="3">
        <v>2020</v>
      </c>
      <c r="Q128" s="3">
        <f>VLOOKUP(C128,layoffs_location!A:F,6,FALSE)</f>
        <v>38.707750699999998</v>
      </c>
      <c r="R128" s="3">
        <f>VLOOKUP(C128,layoffs_location!A:G,7,FALSE)</f>
        <v>-9.1365919000000009</v>
      </c>
    </row>
    <row r="129" spans="1:18" ht="16" x14ac:dyDescent="0.2">
      <c r="A129" s="3">
        <v>128</v>
      </c>
      <c r="B129" s="3" t="s">
        <v>1222</v>
      </c>
      <c r="C129" s="11" t="s">
        <v>1370</v>
      </c>
      <c r="D129" s="3" t="str">
        <f>VLOOKUP(C129,layoffs_location!A:B,2,FALSE)</f>
        <v>San Francisco Bay Area</v>
      </c>
      <c r="E129" s="3" t="str">
        <f>VLOOKUP(C129,layoffs_location!A:C,3,FALSE)</f>
        <v>California</v>
      </c>
      <c r="F129" s="3" t="str">
        <f>VLOOKUP(C129,layoffs_location!A:D,4,FALSE)</f>
        <v>USA</v>
      </c>
      <c r="G129" s="3" t="str">
        <f>VLOOKUP(C129,layoffs_location!A:E,5,FALSE)</f>
        <v>North America</v>
      </c>
      <c r="H129" s="3">
        <v>89</v>
      </c>
      <c r="I129" s="8">
        <v>43929</v>
      </c>
      <c r="J129" s="9">
        <v>45</v>
      </c>
      <c r="K129" s="10">
        <v>198</v>
      </c>
      <c r="L129" s="10">
        <v>109</v>
      </c>
      <c r="M129" s="3" t="s">
        <v>35</v>
      </c>
      <c r="N129" s="3" t="s">
        <v>49</v>
      </c>
      <c r="O129" s="34">
        <v>40</v>
      </c>
      <c r="P129" s="3">
        <v>2020</v>
      </c>
      <c r="Q129" s="3">
        <f>VLOOKUP(C129,layoffs_location!A:F,6,FALSE)</f>
        <v>37.779258800000001</v>
      </c>
      <c r="R129" s="3">
        <f>VLOOKUP(C129,layoffs_location!A:G,7,FALSE)</f>
        <v>-122.4193286</v>
      </c>
    </row>
    <row r="130" spans="1:18" x14ac:dyDescent="0.2">
      <c r="A130" s="3">
        <v>129</v>
      </c>
      <c r="B130" s="3" t="s">
        <v>129</v>
      </c>
      <c r="C130" s="3" t="s">
        <v>76</v>
      </c>
      <c r="D130" s="3" t="str">
        <f>VLOOKUP(C130,layoffs_location!A:B,2,FALSE)</f>
        <v>other</v>
      </c>
      <c r="E130" s="3" t="str">
        <f>VLOOKUP(C130,layoffs_location!A:C,3,FALSE)</f>
        <v>California</v>
      </c>
      <c r="F130" s="3" t="str">
        <f>VLOOKUP(C130,layoffs_location!A:D,4,FALSE)</f>
        <v>USA</v>
      </c>
      <c r="G130" s="3" t="str">
        <f>VLOOKUP(C130,layoffs_location!A:E,5,FALSE)</f>
        <v>North America</v>
      </c>
      <c r="H130" s="3">
        <v>21</v>
      </c>
      <c r="I130" s="8">
        <v>43929</v>
      </c>
      <c r="J130" s="9">
        <v>10</v>
      </c>
      <c r="K130" s="10">
        <v>210</v>
      </c>
      <c r="L130" s="10">
        <v>189</v>
      </c>
      <c r="M130" s="3" t="s">
        <v>130</v>
      </c>
      <c r="N130" s="3" t="s">
        <v>41</v>
      </c>
      <c r="O130" s="34">
        <v>106</v>
      </c>
      <c r="P130" s="3">
        <v>2020</v>
      </c>
      <c r="Q130" s="3">
        <f>VLOOKUP(C130,layoffs_location!A:F,6,FALSE)</f>
        <v>34.053690899999999</v>
      </c>
      <c r="R130" s="3">
        <f>VLOOKUP(C130,layoffs_location!A:G,7,FALSE)</f>
        <v>-118.242766</v>
      </c>
    </row>
    <row r="131" spans="1:18" x14ac:dyDescent="0.2">
      <c r="A131" s="3">
        <v>130</v>
      </c>
      <c r="B131" s="3" t="s">
        <v>1217</v>
      </c>
      <c r="C131" s="3" t="s">
        <v>1218</v>
      </c>
      <c r="D131" s="3" t="str">
        <f>VLOOKUP(C131,layoffs_location!A:B,2,FALSE)</f>
        <v>other</v>
      </c>
      <c r="E131" s="3" t="str">
        <f>VLOOKUP(C131,layoffs_location!A:C,3,FALSE)</f>
        <v>Michigan</v>
      </c>
      <c r="F131" s="3" t="str">
        <f>VLOOKUP(C131,layoffs_location!A:D,4,FALSE)</f>
        <v>USA</v>
      </c>
      <c r="G131" s="3" t="str">
        <f>VLOOKUP(C131,layoffs_location!A:E,5,FALSE)</f>
        <v>North America</v>
      </c>
      <c r="H131" s="3">
        <v>40</v>
      </c>
      <c r="I131" s="8">
        <v>43930</v>
      </c>
      <c r="J131" s="9">
        <v>32</v>
      </c>
      <c r="K131" s="10">
        <v>125</v>
      </c>
      <c r="L131" s="10">
        <v>85</v>
      </c>
      <c r="M131" s="3" t="s">
        <v>274</v>
      </c>
      <c r="N131" s="3" t="s">
        <v>49</v>
      </c>
      <c r="O131" s="34">
        <v>59</v>
      </c>
      <c r="P131" s="3">
        <v>2020</v>
      </c>
      <c r="Q131" s="3">
        <f>VLOOKUP(C131,layoffs_location!A:F,6,FALSE)</f>
        <v>42.2813722</v>
      </c>
      <c r="R131" s="3">
        <f>VLOOKUP(C131,layoffs_location!A:G,7,FALSE)</f>
        <v>-83.748461599999999</v>
      </c>
    </row>
    <row r="132" spans="1:18" x14ac:dyDescent="0.2">
      <c r="A132" s="3">
        <v>131</v>
      </c>
      <c r="B132" s="3" t="s">
        <v>1219</v>
      </c>
      <c r="C132" s="3" t="s">
        <v>392</v>
      </c>
      <c r="D132" s="3" t="str">
        <f>VLOOKUP(C132,layoffs_location!A:B,2,FALSE)</f>
        <v>other</v>
      </c>
      <c r="E132" s="3" t="str">
        <f>VLOOKUP(C132,layoffs_location!A:C,3,FALSE)</f>
        <v>Minnesota</v>
      </c>
      <c r="F132" s="3" t="str">
        <f>VLOOKUP(C132,layoffs_location!A:D,4,FALSE)</f>
        <v>USA</v>
      </c>
      <c r="G132" s="3" t="str">
        <f>VLOOKUP(C132,layoffs_location!A:E,5,FALSE)</f>
        <v>North America</v>
      </c>
      <c r="H132" s="3">
        <v>25</v>
      </c>
      <c r="I132" s="8">
        <v>43930</v>
      </c>
      <c r="J132" s="9">
        <v>5</v>
      </c>
      <c r="K132" s="10">
        <v>500</v>
      </c>
      <c r="L132" s="10">
        <v>475</v>
      </c>
      <c r="M132" s="3" t="s">
        <v>79</v>
      </c>
      <c r="N132" s="3" t="s">
        <v>49</v>
      </c>
      <c r="O132" s="34">
        <v>138</v>
      </c>
      <c r="P132" s="3">
        <v>2020</v>
      </c>
      <c r="Q132" s="3">
        <f>VLOOKUP(C132,layoffs_location!A:F,6,FALSE)</f>
        <v>44.977299500000001</v>
      </c>
      <c r="R132" s="3">
        <f>VLOOKUP(C132,layoffs_location!A:G,7,FALSE)</f>
        <v>-93.265469199999998</v>
      </c>
    </row>
    <row r="133" spans="1:18" ht="17" customHeight="1" x14ac:dyDescent="0.2">
      <c r="A133" s="3">
        <v>132</v>
      </c>
      <c r="B133" s="3" t="s">
        <v>1216</v>
      </c>
      <c r="C133" s="3" t="s">
        <v>113</v>
      </c>
      <c r="D133" s="3" t="str">
        <f>VLOOKUP(C133,layoffs_location!A:B,2,FALSE)</f>
        <v>other</v>
      </c>
      <c r="E133" s="3" t="str">
        <f>VLOOKUP(C133,layoffs_location!A:C,3,FALSE)</f>
        <v>Utah</v>
      </c>
      <c r="F133" s="3" t="str">
        <f>VLOOKUP(C133,layoffs_location!A:D,4,FALSE)</f>
        <v>USA</v>
      </c>
      <c r="G133" s="3" t="str">
        <f>VLOOKUP(C133,layoffs_location!A:E,5,FALSE)</f>
        <v>North America</v>
      </c>
      <c r="H133" s="3">
        <v>90</v>
      </c>
      <c r="I133" s="8">
        <v>43930</v>
      </c>
      <c r="J133" s="9">
        <v>10</v>
      </c>
      <c r="K133" s="10">
        <v>900</v>
      </c>
      <c r="L133" s="10">
        <v>810</v>
      </c>
      <c r="M133" s="3" t="s">
        <v>79</v>
      </c>
      <c r="N133" s="3" t="s">
        <v>28</v>
      </c>
      <c r="O133" s="34">
        <v>689</v>
      </c>
      <c r="P133" s="3">
        <v>2020</v>
      </c>
      <c r="Q133" s="3">
        <f>VLOOKUP(C133,layoffs_location!A:F,6,FALSE)</f>
        <v>40.759619800000003</v>
      </c>
      <c r="R133" s="3">
        <f>VLOOKUP(C133,layoffs_location!A:G,7,FALSE)</f>
        <v>-111.886797</v>
      </c>
    </row>
    <row r="134" spans="1:18" x14ac:dyDescent="0.2">
      <c r="A134" s="3">
        <v>133</v>
      </c>
      <c r="B134" s="3" t="s">
        <v>1220</v>
      </c>
      <c r="C134" s="3" t="s">
        <v>58</v>
      </c>
      <c r="D134" s="3" t="str">
        <f>VLOOKUP(C134,layoffs_location!A:B,2,FALSE)</f>
        <v>other</v>
      </c>
      <c r="E134" s="3" t="str">
        <f>VLOOKUP(C134,layoffs_location!A:C,3,FALSE)</f>
        <v>England</v>
      </c>
      <c r="F134" s="3" t="str">
        <f>VLOOKUP(C134,layoffs_location!A:D,4,FALSE)</f>
        <v>UK</v>
      </c>
      <c r="G134" s="3" t="str">
        <f>VLOOKUP(C134,layoffs_location!A:E,5,FALSE)</f>
        <v>Europe</v>
      </c>
      <c r="H134" s="3">
        <v>8</v>
      </c>
      <c r="I134" s="8">
        <v>43930</v>
      </c>
      <c r="J134" s="9">
        <v>4</v>
      </c>
      <c r="K134" s="10">
        <v>200</v>
      </c>
      <c r="L134" s="10">
        <v>192</v>
      </c>
      <c r="M134" s="3" t="s">
        <v>130</v>
      </c>
      <c r="N134" s="3" t="s">
        <v>22</v>
      </c>
      <c r="O134" s="34">
        <v>32</v>
      </c>
      <c r="P134" s="3">
        <v>2020</v>
      </c>
      <c r="Q134" s="3">
        <f>VLOOKUP(C134,layoffs_location!A:F,6,FALSE)</f>
        <v>51.489333500000001</v>
      </c>
      <c r="R134" s="3">
        <f>VLOOKUP(C134,layoffs_location!A:G,7,FALSE)</f>
        <v>-0.14405508452768701</v>
      </c>
    </row>
    <row r="135" spans="1:18" x14ac:dyDescent="0.2">
      <c r="A135" s="3">
        <v>134</v>
      </c>
      <c r="B135" s="3" t="s">
        <v>223</v>
      </c>
      <c r="C135" s="3" t="s">
        <v>1720</v>
      </c>
      <c r="D135" s="3" t="str">
        <f>VLOOKUP(C135,layoffs_location!A:B,2,FALSE)</f>
        <v>San Francisco Bay Area</v>
      </c>
      <c r="E135" s="3" t="str">
        <f>VLOOKUP(C135,layoffs_location!A:C,3,FALSE)</f>
        <v>California</v>
      </c>
      <c r="F135" s="3" t="str">
        <f>VLOOKUP(C135,layoffs_location!A:D,4,FALSE)</f>
        <v>USA</v>
      </c>
      <c r="G135" s="3" t="str">
        <f>VLOOKUP(C135,layoffs_location!A:E,5,FALSE)</f>
        <v>North America</v>
      </c>
      <c r="H135" s="3">
        <v>90</v>
      </c>
      <c r="I135" s="8">
        <v>43930</v>
      </c>
      <c r="J135" s="9">
        <v>34</v>
      </c>
      <c r="K135" s="10">
        <v>265</v>
      </c>
      <c r="L135" s="10">
        <v>175</v>
      </c>
      <c r="M135" s="3" t="s">
        <v>79</v>
      </c>
      <c r="N135" s="3" t="s">
        <v>108</v>
      </c>
      <c r="O135" s="34">
        <v>114</v>
      </c>
      <c r="P135" s="3">
        <v>2020</v>
      </c>
      <c r="Q135" s="3">
        <f>VLOOKUP(C135,layoffs_location!A:F,6,FALSE)</f>
        <v>37.368830099999997</v>
      </c>
      <c r="R135" s="3">
        <f>VLOOKUP(C135,layoffs_location!A:G,7,FALSE)</f>
        <v>-122.036349</v>
      </c>
    </row>
    <row r="136" spans="1:18" x14ac:dyDescent="0.2">
      <c r="A136" s="3">
        <v>135</v>
      </c>
      <c r="B136" s="3" t="s">
        <v>840</v>
      </c>
      <c r="C136" s="3" t="s">
        <v>179</v>
      </c>
      <c r="D136" s="3" t="str">
        <f>VLOOKUP(C136,layoffs_location!A:B,2,FALSE)</f>
        <v>other</v>
      </c>
      <c r="E136" s="3" t="str">
        <f>VLOOKUP(C136,layoffs_location!A:C,3,FALSE)</f>
        <v>Ontario</v>
      </c>
      <c r="F136" s="3" t="str">
        <f>VLOOKUP(C136,layoffs_location!A:D,4,FALSE)</f>
        <v>Canada</v>
      </c>
      <c r="G136" s="3" t="str">
        <f>VLOOKUP(C136,layoffs_location!A:E,5,FALSE)</f>
        <v>North America</v>
      </c>
      <c r="H136" s="3">
        <v>36</v>
      </c>
      <c r="I136" s="8">
        <v>43930</v>
      </c>
      <c r="J136" s="9">
        <v>15</v>
      </c>
      <c r="K136" s="10">
        <v>240</v>
      </c>
      <c r="L136" s="10">
        <v>204</v>
      </c>
      <c r="M136" s="3" t="s">
        <v>30</v>
      </c>
      <c r="N136" s="3" t="s">
        <v>49</v>
      </c>
      <c r="O136" s="34">
        <v>28</v>
      </c>
      <c r="P136" s="3">
        <v>2020</v>
      </c>
      <c r="Q136" s="3">
        <f>VLOOKUP(C136,layoffs_location!A:F,6,FALSE)</f>
        <v>43.6534817</v>
      </c>
      <c r="R136" s="3">
        <f>VLOOKUP(C136,layoffs_location!A:G,7,FALSE)</f>
        <v>-79.383934699999998</v>
      </c>
    </row>
    <row r="137" spans="1:18" x14ac:dyDescent="0.2">
      <c r="A137" s="3">
        <v>136</v>
      </c>
      <c r="B137" s="3" t="s">
        <v>1215</v>
      </c>
      <c r="C137" s="3" t="s">
        <v>187</v>
      </c>
      <c r="D137" s="3" t="str">
        <f>VLOOKUP(C137,layoffs_location!A:B,2,FALSE)</f>
        <v>other</v>
      </c>
      <c r="E137" s="3" t="str">
        <f>VLOOKUP(C137,layoffs_location!A:C,3,FALSE)</f>
        <v>State of São Paulo</v>
      </c>
      <c r="F137" s="3" t="str">
        <f>VLOOKUP(C137,layoffs_location!A:D,4,FALSE)</f>
        <v>Brazil</v>
      </c>
      <c r="G137" s="3" t="str">
        <f>VLOOKUP(C137,layoffs_location!A:E,5,FALSE)</f>
        <v>South America</v>
      </c>
      <c r="H137" s="3">
        <v>136</v>
      </c>
      <c r="I137" s="8">
        <v>43930</v>
      </c>
      <c r="J137" s="9">
        <v>31</v>
      </c>
      <c r="K137" s="10">
        <v>439</v>
      </c>
      <c r="L137" s="10">
        <v>303</v>
      </c>
      <c r="M137" s="3" t="s">
        <v>35</v>
      </c>
      <c r="N137" s="3" t="s">
        <v>49</v>
      </c>
      <c r="O137" s="34">
        <v>26</v>
      </c>
      <c r="P137" s="3">
        <v>2020</v>
      </c>
      <c r="Q137" s="3">
        <f>VLOOKUP(C137,layoffs_location!A:F,6,FALSE)</f>
        <v>-23.550650699999998</v>
      </c>
      <c r="R137" s="3">
        <f>VLOOKUP(C137,layoffs_location!A:G,7,FALSE)</f>
        <v>-46.633382400000002</v>
      </c>
    </row>
    <row r="138" spans="1:18" x14ac:dyDescent="0.2">
      <c r="A138" s="3">
        <v>137</v>
      </c>
      <c r="B138" s="3" t="s">
        <v>983</v>
      </c>
      <c r="C138" s="3" t="s">
        <v>171</v>
      </c>
      <c r="D138" s="3" t="str">
        <f>VLOOKUP(C138,layoffs_location!A:B,2,FALSE)</f>
        <v>other</v>
      </c>
      <c r="E138" s="3" t="str">
        <f>VLOOKUP(C138,layoffs_location!A:C,3,FALSE)</f>
        <v>Georgia</v>
      </c>
      <c r="F138" s="3" t="str">
        <f>VLOOKUP(C138,layoffs_location!A:D,4,FALSE)</f>
        <v>USA</v>
      </c>
      <c r="G138" s="3" t="str">
        <f>VLOOKUP(C138,layoffs_location!A:E,5,FALSE)</f>
        <v>North America</v>
      </c>
      <c r="H138" s="3">
        <v>150</v>
      </c>
      <c r="I138" s="8">
        <v>43930</v>
      </c>
      <c r="J138" s="9">
        <v>10</v>
      </c>
      <c r="K138" s="10">
        <v>1500</v>
      </c>
      <c r="L138" s="10">
        <v>1350</v>
      </c>
      <c r="M138" s="3" t="s">
        <v>478</v>
      </c>
      <c r="N138" s="3" t="s">
        <v>49</v>
      </c>
      <c r="O138" s="34">
        <v>410</v>
      </c>
      <c r="P138" s="3">
        <v>2020</v>
      </c>
      <c r="Q138" s="3">
        <f>VLOOKUP(C138,layoffs_location!A:F,6,FALSE)</f>
        <v>33.748992399999999</v>
      </c>
      <c r="R138" s="3">
        <f>VLOOKUP(C138,layoffs_location!A:G,7,FALSE)</f>
        <v>-84.390264400000007</v>
      </c>
    </row>
    <row r="139" spans="1:18" x14ac:dyDescent="0.2">
      <c r="A139" s="3">
        <v>138</v>
      </c>
      <c r="B139" s="3" t="s">
        <v>1214</v>
      </c>
      <c r="C139" s="3" t="s">
        <v>1370</v>
      </c>
      <c r="D139" s="3" t="str">
        <f>VLOOKUP(C139,layoffs_location!A:B,2,FALSE)</f>
        <v>San Francisco Bay Area</v>
      </c>
      <c r="E139" s="3" t="str">
        <f>VLOOKUP(C139,layoffs_location!A:C,3,FALSE)</f>
        <v>California</v>
      </c>
      <c r="F139" s="3" t="str">
        <f>VLOOKUP(C139,layoffs_location!A:D,4,FALSE)</f>
        <v>USA</v>
      </c>
      <c r="G139" s="3" t="str">
        <f>VLOOKUP(C139,layoffs_location!A:E,5,FALSE)</f>
        <v>North America</v>
      </c>
      <c r="H139" s="3">
        <v>1000</v>
      </c>
      <c r="I139" s="8">
        <v>43930</v>
      </c>
      <c r="J139" s="9">
        <v>17</v>
      </c>
      <c r="K139" s="10">
        <v>5882</v>
      </c>
      <c r="L139" s="10">
        <v>4882</v>
      </c>
      <c r="M139" s="3" t="s">
        <v>16</v>
      </c>
      <c r="N139" s="3" t="s">
        <v>28</v>
      </c>
      <c r="O139" s="34">
        <v>56</v>
      </c>
      <c r="P139" s="3">
        <v>2020</v>
      </c>
      <c r="Q139" s="3">
        <f>VLOOKUP(C139,layoffs_location!A:F,6,FALSE)</f>
        <v>37.779258800000001</v>
      </c>
      <c r="R139" s="3">
        <f>VLOOKUP(C139,layoffs_location!A:G,7,FALSE)</f>
        <v>-122.4193286</v>
      </c>
    </row>
    <row r="140" spans="1:18" x14ac:dyDescent="0.2">
      <c r="A140" s="3">
        <v>139</v>
      </c>
      <c r="B140" s="3" t="s">
        <v>1213</v>
      </c>
      <c r="C140" s="3" t="s">
        <v>43</v>
      </c>
      <c r="D140" s="3" t="str">
        <f>VLOOKUP(C140,layoffs_location!A:B,2,FALSE)</f>
        <v>Cascadia</v>
      </c>
      <c r="E140" s="3" t="str">
        <f>VLOOKUP(C140,layoffs_location!A:C,3,FALSE)</f>
        <v>Washington</v>
      </c>
      <c r="F140" s="3" t="str">
        <f>VLOOKUP(C140,layoffs_location!A:D,4,FALSE)</f>
        <v>USA</v>
      </c>
      <c r="G140" s="3" t="str">
        <f>VLOOKUP(C140,layoffs_location!A:E,5,FALSE)</f>
        <v>North America</v>
      </c>
      <c r="H140" s="3">
        <v>6</v>
      </c>
      <c r="I140" s="8">
        <v>43931</v>
      </c>
      <c r="J140" s="9">
        <v>100</v>
      </c>
      <c r="K140" s="10">
        <v>6</v>
      </c>
      <c r="L140" s="10">
        <v>0</v>
      </c>
      <c r="M140" s="3" t="s">
        <v>239</v>
      </c>
      <c r="N140" s="3" t="s">
        <v>22</v>
      </c>
      <c r="O140" s="34">
        <v>1</v>
      </c>
      <c r="P140" s="3">
        <v>2020</v>
      </c>
      <c r="Q140" s="3">
        <f>VLOOKUP(C140,layoffs_location!A:F,6,FALSE)</f>
        <v>47.603832099999998</v>
      </c>
      <c r="R140" s="3">
        <f>VLOOKUP(C140,layoffs_location!A:G,7,FALSE)</f>
        <v>-122.330062</v>
      </c>
    </row>
    <row r="141" spans="1:18" x14ac:dyDescent="0.2">
      <c r="A141" s="3">
        <v>140</v>
      </c>
      <c r="B141" s="3" t="s">
        <v>1209</v>
      </c>
      <c r="C141" s="3" t="s">
        <v>1210</v>
      </c>
      <c r="D141" s="3" t="str">
        <f>VLOOKUP(C141,layoffs_location!A:B,2,FALSE)</f>
        <v>other</v>
      </c>
      <c r="E141" s="3" t="str">
        <f>VLOOKUP(C141,layoffs_location!A:C,3,FALSE)</f>
        <v>Wisconsin</v>
      </c>
      <c r="F141" s="3" t="str">
        <f>VLOOKUP(C141,layoffs_location!A:D,4,FALSE)</f>
        <v>USA</v>
      </c>
      <c r="G141" s="3" t="str">
        <f>VLOOKUP(C141,layoffs_location!A:E,5,FALSE)</f>
        <v>North America</v>
      </c>
      <c r="H141" s="3">
        <v>35</v>
      </c>
      <c r="I141" s="8">
        <v>43931</v>
      </c>
      <c r="J141" s="9">
        <v>16</v>
      </c>
      <c r="K141" s="10">
        <v>219</v>
      </c>
      <c r="L141" s="10">
        <v>184</v>
      </c>
      <c r="M141" s="3" t="s">
        <v>72</v>
      </c>
      <c r="N141" s="3" t="s">
        <v>22</v>
      </c>
      <c r="O141" s="34">
        <v>3</v>
      </c>
      <c r="P141" s="3">
        <v>2020</v>
      </c>
      <c r="Q141" s="3">
        <f>VLOOKUP(C141,layoffs_location!A:F,6,FALSE)</f>
        <v>43.038647500000003</v>
      </c>
      <c r="R141" s="3">
        <f>VLOOKUP(C141,layoffs_location!A:G,7,FALSE)</f>
        <v>-87.909075099999995</v>
      </c>
    </row>
    <row r="142" spans="1:18" x14ac:dyDescent="0.2">
      <c r="A142" s="3">
        <v>141</v>
      </c>
      <c r="B142" s="3" t="s">
        <v>1211</v>
      </c>
      <c r="C142" s="3" t="s">
        <v>71</v>
      </c>
      <c r="D142" s="3" t="str">
        <f>VLOOKUP(C142,layoffs_location!A:B,2,FALSE)</f>
        <v>other</v>
      </c>
      <c r="E142" s="3" t="str">
        <f>VLOOKUP(C142,layoffs_location!A:C,3,FALSE)</f>
        <v>Massachusetts</v>
      </c>
      <c r="F142" s="3" t="str">
        <f>VLOOKUP(C142,layoffs_location!A:D,4,FALSE)</f>
        <v>USA</v>
      </c>
      <c r="G142" s="3" t="str">
        <f>VLOOKUP(C142,layoffs_location!A:E,5,FALSE)</f>
        <v>North America</v>
      </c>
      <c r="H142" s="3">
        <v>20</v>
      </c>
      <c r="I142" s="8">
        <v>43931</v>
      </c>
      <c r="J142" s="9">
        <v>29</v>
      </c>
      <c r="K142" s="10">
        <v>69</v>
      </c>
      <c r="L142" s="10">
        <v>49</v>
      </c>
      <c r="M142" s="3" t="s">
        <v>79</v>
      </c>
      <c r="N142" s="3" t="s">
        <v>22</v>
      </c>
      <c r="O142" s="34">
        <v>85</v>
      </c>
      <c r="P142" s="3">
        <v>2020</v>
      </c>
      <c r="Q142" s="3">
        <f>VLOOKUP(C142,layoffs_location!A:F,6,FALSE)</f>
        <v>42.355433400000003</v>
      </c>
      <c r="R142" s="3">
        <f>VLOOKUP(C142,layoffs_location!A:G,7,FALSE)</f>
        <v>-71.060511000000005</v>
      </c>
    </row>
    <row r="143" spans="1:18" ht="16" x14ac:dyDescent="0.2">
      <c r="A143" s="3">
        <v>142</v>
      </c>
      <c r="B143" s="3" t="s">
        <v>1212</v>
      </c>
      <c r="C143" s="11" t="s">
        <v>1370</v>
      </c>
      <c r="D143" s="3" t="str">
        <f>VLOOKUP(C143,layoffs_location!A:B,2,FALSE)</f>
        <v>San Francisco Bay Area</v>
      </c>
      <c r="E143" s="3" t="str">
        <f>VLOOKUP(C143,layoffs_location!A:C,3,FALSE)</f>
        <v>California</v>
      </c>
      <c r="F143" s="3" t="str">
        <f>VLOOKUP(C143,layoffs_location!A:D,4,FALSE)</f>
        <v>USA</v>
      </c>
      <c r="G143" s="3" t="str">
        <f>VLOOKUP(C143,layoffs_location!A:E,5,FALSE)</f>
        <v>North America</v>
      </c>
      <c r="H143" s="3">
        <v>16</v>
      </c>
      <c r="I143" s="8">
        <v>43931</v>
      </c>
      <c r="J143" s="9">
        <v>27</v>
      </c>
      <c r="K143" s="10">
        <v>59</v>
      </c>
      <c r="L143" s="10">
        <v>43</v>
      </c>
      <c r="M143" s="3" t="s">
        <v>622</v>
      </c>
      <c r="N143" s="3" t="s">
        <v>49</v>
      </c>
      <c r="O143" s="34">
        <v>35</v>
      </c>
      <c r="P143" s="3">
        <v>2020</v>
      </c>
      <c r="Q143" s="3">
        <f>VLOOKUP(C143,layoffs_location!A:F,6,FALSE)</f>
        <v>37.779258800000001</v>
      </c>
      <c r="R143" s="3">
        <f>VLOOKUP(C143,layoffs_location!A:G,7,FALSE)</f>
        <v>-122.4193286</v>
      </c>
    </row>
    <row r="144" spans="1:18" x14ac:dyDescent="0.2">
      <c r="A144" s="3">
        <v>143</v>
      </c>
      <c r="B144" s="3" t="s">
        <v>1208</v>
      </c>
      <c r="C144" s="3" t="s">
        <v>179</v>
      </c>
      <c r="D144" s="3" t="str">
        <f>VLOOKUP(C144,layoffs_location!A:B,2,FALSE)</f>
        <v>other</v>
      </c>
      <c r="E144" s="3" t="str">
        <f>VLOOKUP(C144,layoffs_location!A:C,3,FALSE)</f>
        <v>Ontario</v>
      </c>
      <c r="F144" s="3" t="str">
        <f>VLOOKUP(C144,layoffs_location!A:D,4,FALSE)</f>
        <v>Canada</v>
      </c>
      <c r="G144" s="3" t="str">
        <f>VLOOKUP(C144,layoffs_location!A:E,5,FALSE)</f>
        <v>North America</v>
      </c>
      <c r="H144" s="3">
        <v>17</v>
      </c>
      <c r="I144" s="8">
        <v>43934</v>
      </c>
      <c r="J144" s="9">
        <v>8</v>
      </c>
      <c r="K144" s="10">
        <v>213</v>
      </c>
      <c r="L144" s="10">
        <v>196</v>
      </c>
      <c r="M144" s="3" t="s">
        <v>35</v>
      </c>
      <c r="N144" s="3" t="s">
        <v>49</v>
      </c>
      <c r="O144" s="34">
        <v>119</v>
      </c>
      <c r="P144" s="3">
        <v>2020</v>
      </c>
      <c r="Q144" s="3">
        <f>VLOOKUP(C144,layoffs_location!A:F,6,FALSE)</f>
        <v>43.6534817</v>
      </c>
      <c r="R144" s="3">
        <f>VLOOKUP(C144,layoffs_location!A:G,7,FALSE)</f>
        <v>-79.383934699999998</v>
      </c>
    </row>
    <row r="145" spans="1:18" x14ac:dyDescent="0.2">
      <c r="A145" s="3">
        <v>144</v>
      </c>
      <c r="B145" s="3" t="s">
        <v>1207</v>
      </c>
      <c r="C145" s="3" t="s">
        <v>1370</v>
      </c>
      <c r="D145" s="3" t="str">
        <f>VLOOKUP(C145,layoffs_location!A:B,2,FALSE)</f>
        <v>San Francisco Bay Area</v>
      </c>
      <c r="E145" s="3" t="str">
        <f>VLOOKUP(C145,layoffs_location!A:C,3,FALSE)</f>
        <v>California</v>
      </c>
      <c r="F145" s="3" t="str">
        <f>VLOOKUP(C145,layoffs_location!A:D,4,FALSE)</f>
        <v>USA</v>
      </c>
      <c r="G145" s="3" t="str">
        <f>VLOOKUP(C145,layoffs_location!A:E,5,FALSE)</f>
        <v>North America</v>
      </c>
      <c r="H145" s="3">
        <v>50</v>
      </c>
      <c r="I145" s="8">
        <v>43934</v>
      </c>
      <c r="J145" s="9">
        <v>25</v>
      </c>
      <c r="K145" s="10">
        <v>200</v>
      </c>
      <c r="L145" s="10">
        <v>150</v>
      </c>
      <c r="M145" s="3" t="s">
        <v>90</v>
      </c>
      <c r="N145" s="3" t="s">
        <v>69</v>
      </c>
      <c r="O145" s="34">
        <v>12</v>
      </c>
      <c r="P145" s="3">
        <v>2020</v>
      </c>
      <c r="Q145" s="3">
        <f>VLOOKUP(C145,layoffs_location!A:F,6,FALSE)</f>
        <v>37.779258800000001</v>
      </c>
      <c r="R145" s="3">
        <f>VLOOKUP(C145,layoffs_location!A:G,7,FALSE)</f>
        <v>-122.4193286</v>
      </c>
    </row>
    <row r="146" spans="1:18" x14ac:dyDescent="0.2">
      <c r="A146" s="3">
        <v>145</v>
      </c>
      <c r="B146" s="3" t="s">
        <v>838</v>
      </c>
      <c r="C146" s="3" t="s">
        <v>154</v>
      </c>
      <c r="D146" s="3" t="str">
        <f>VLOOKUP(C146,layoffs_location!A:B,2,FALSE)</f>
        <v>other</v>
      </c>
      <c r="E146" s="3" t="str">
        <f>VLOOKUP(C146,layoffs_location!A:C,3,FALSE)</f>
        <v>Illinois</v>
      </c>
      <c r="F146" s="3" t="str">
        <f>VLOOKUP(C146,layoffs_location!A:D,4,FALSE)</f>
        <v>USA</v>
      </c>
      <c r="G146" s="3" t="str">
        <f>VLOOKUP(C146,layoffs_location!A:E,5,FALSE)</f>
        <v>North America</v>
      </c>
      <c r="H146" s="3">
        <v>2800</v>
      </c>
      <c r="I146" s="8">
        <v>43934</v>
      </c>
      <c r="J146" s="9">
        <v>44</v>
      </c>
      <c r="K146" s="10">
        <v>6364</v>
      </c>
      <c r="L146" s="10">
        <v>3564</v>
      </c>
      <c r="M146" s="3" t="s">
        <v>30</v>
      </c>
      <c r="N146" s="3" t="s">
        <v>28</v>
      </c>
      <c r="P146" s="3">
        <v>2020</v>
      </c>
      <c r="Q146" s="3">
        <f>VLOOKUP(C146,layoffs_location!A:F,6,FALSE)</f>
        <v>41.875561599999997</v>
      </c>
      <c r="R146" s="3">
        <f>VLOOKUP(C146,layoffs_location!A:G,7,FALSE)</f>
        <v>-87.6244212</v>
      </c>
    </row>
    <row r="147" spans="1:18" x14ac:dyDescent="0.2">
      <c r="A147" s="3">
        <v>146</v>
      </c>
      <c r="B147" s="3" t="s">
        <v>437</v>
      </c>
      <c r="C147" s="3" t="s">
        <v>187</v>
      </c>
      <c r="D147" s="3" t="str">
        <f>VLOOKUP(C147,layoffs_location!A:B,2,FALSE)</f>
        <v>other</v>
      </c>
      <c r="E147" s="3" t="str">
        <f>VLOOKUP(C147,layoffs_location!A:C,3,FALSE)</f>
        <v>State of São Paulo</v>
      </c>
      <c r="F147" s="3" t="str">
        <f>VLOOKUP(C147,layoffs_location!A:D,4,FALSE)</f>
        <v>Brazil</v>
      </c>
      <c r="G147" s="3" t="str">
        <f>VLOOKUP(C147,layoffs_location!A:E,5,FALSE)</f>
        <v>South America</v>
      </c>
      <c r="H147" s="3">
        <v>70</v>
      </c>
      <c r="I147" s="8">
        <v>43934</v>
      </c>
      <c r="J147" s="9">
        <v>10</v>
      </c>
      <c r="K147" s="10">
        <v>700</v>
      </c>
      <c r="L147" s="10">
        <v>630</v>
      </c>
      <c r="M147" s="3" t="s">
        <v>35</v>
      </c>
      <c r="N147" s="3" t="s">
        <v>49</v>
      </c>
      <c r="O147" s="34">
        <v>120</v>
      </c>
      <c r="P147" s="3">
        <v>2020</v>
      </c>
      <c r="Q147" s="3">
        <f>VLOOKUP(C147,layoffs_location!A:F,6,FALSE)</f>
        <v>-23.550650699999998</v>
      </c>
      <c r="R147" s="3">
        <f>VLOOKUP(C147,layoffs_location!A:G,7,FALSE)</f>
        <v>-46.633382400000002</v>
      </c>
    </row>
    <row r="148" spans="1:18" x14ac:dyDescent="0.2">
      <c r="A148" s="3">
        <v>147</v>
      </c>
      <c r="B148" s="3" t="s">
        <v>1206</v>
      </c>
      <c r="C148" s="3" t="s">
        <v>1730</v>
      </c>
      <c r="D148" s="3" t="str">
        <f>VLOOKUP(C148,layoffs_location!A:B,2,FALSE)</f>
        <v>San Francisco Bay Area</v>
      </c>
      <c r="E148" s="3" t="str">
        <f>VLOOKUP(C148,layoffs_location!A:C,3,FALSE)</f>
        <v>California</v>
      </c>
      <c r="F148" s="3" t="str">
        <f>VLOOKUP(C148,layoffs_location!A:D,4,FALSE)</f>
        <v>USA</v>
      </c>
      <c r="G148" s="3" t="str">
        <f>VLOOKUP(C148,layoffs_location!A:E,5,FALSE)</f>
        <v>North America</v>
      </c>
      <c r="H148" s="3">
        <v>100</v>
      </c>
      <c r="I148" s="8">
        <v>43934</v>
      </c>
      <c r="J148" s="9">
        <v>10</v>
      </c>
      <c r="K148" s="10">
        <v>1000</v>
      </c>
      <c r="L148" s="10">
        <v>900</v>
      </c>
      <c r="M148" s="3" t="s">
        <v>32</v>
      </c>
      <c r="N148" s="3" t="s">
        <v>49</v>
      </c>
      <c r="O148" s="34">
        <v>955</v>
      </c>
      <c r="P148" s="3">
        <v>2020</v>
      </c>
      <c r="Q148" s="3">
        <f>VLOOKUP(C148,layoffs_location!A:F,6,FALSE)</f>
        <v>37.558546499999999</v>
      </c>
      <c r="R148" s="3">
        <f>VLOOKUP(C148,layoffs_location!A:G,7,FALSE)</f>
        <v>-122.2710788</v>
      </c>
    </row>
    <row r="149" spans="1:18" x14ac:dyDescent="0.2">
      <c r="A149" s="3">
        <v>148</v>
      </c>
      <c r="B149" s="3" t="s">
        <v>1204</v>
      </c>
      <c r="C149" s="3" t="s">
        <v>1370</v>
      </c>
      <c r="D149" s="3" t="str">
        <f>VLOOKUP(C149,layoffs_location!A:B,2,FALSE)</f>
        <v>San Francisco Bay Area</v>
      </c>
      <c r="E149" s="3" t="str">
        <f>VLOOKUP(C149,layoffs_location!A:C,3,FALSE)</f>
        <v>California</v>
      </c>
      <c r="F149" s="3" t="str">
        <f>VLOOKUP(C149,layoffs_location!A:D,4,FALSE)</f>
        <v>USA</v>
      </c>
      <c r="G149" s="3" t="str">
        <f>VLOOKUP(C149,layoffs_location!A:E,5,FALSE)</f>
        <v>North America</v>
      </c>
      <c r="H149" s="3">
        <v>58</v>
      </c>
      <c r="I149" s="8">
        <v>43935</v>
      </c>
      <c r="J149" s="9">
        <v>30</v>
      </c>
      <c r="K149" s="10">
        <v>193</v>
      </c>
      <c r="L149" s="10">
        <v>135</v>
      </c>
      <c r="M149" s="3" t="s">
        <v>84</v>
      </c>
      <c r="N149" s="3" t="s">
        <v>49</v>
      </c>
      <c r="O149" s="34">
        <v>59</v>
      </c>
      <c r="P149" s="3">
        <v>2020</v>
      </c>
      <c r="Q149" s="3">
        <f>VLOOKUP(C149,layoffs_location!A:F,6,FALSE)</f>
        <v>37.779258800000001</v>
      </c>
      <c r="R149" s="3">
        <f>VLOOKUP(C149,layoffs_location!A:G,7,FALSE)</f>
        <v>-122.4193286</v>
      </c>
    </row>
    <row r="150" spans="1:18" ht="16" x14ac:dyDescent="0.2">
      <c r="A150" s="3">
        <v>149</v>
      </c>
      <c r="B150" s="3" t="s">
        <v>433</v>
      </c>
      <c r="C150" s="11" t="s">
        <v>1370</v>
      </c>
      <c r="D150" s="3" t="str">
        <f>VLOOKUP(C150,layoffs_location!A:B,2,FALSE)</f>
        <v>San Francisco Bay Area</v>
      </c>
      <c r="E150" s="3" t="str">
        <f>VLOOKUP(C150,layoffs_location!A:C,3,FALSE)</f>
        <v>California</v>
      </c>
      <c r="F150" s="3" t="str">
        <f>VLOOKUP(C150,layoffs_location!A:D,4,FALSE)</f>
        <v>USA</v>
      </c>
      <c r="G150" s="3" t="str">
        <f>VLOOKUP(C150,layoffs_location!A:E,5,FALSE)</f>
        <v>North America</v>
      </c>
      <c r="H150" s="3">
        <v>235</v>
      </c>
      <c r="I150" s="8">
        <v>43935</v>
      </c>
      <c r="J150" s="9">
        <v>10</v>
      </c>
      <c r="K150" s="10">
        <v>2350</v>
      </c>
      <c r="L150" s="10">
        <v>2115</v>
      </c>
      <c r="M150" s="3" t="s">
        <v>30</v>
      </c>
      <c r="N150" s="3" t="s">
        <v>28</v>
      </c>
      <c r="O150" s="34">
        <v>358</v>
      </c>
      <c r="P150" s="3">
        <v>2020</v>
      </c>
      <c r="Q150" s="3">
        <f>VLOOKUP(C150,layoffs_location!A:F,6,FALSE)</f>
        <v>37.779258800000001</v>
      </c>
      <c r="R150" s="3">
        <f>VLOOKUP(C150,layoffs_location!A:G,7,FALSE)</f>
        <v>-122.4193286</v>
      </c>
    </row>
    <row r="151" spans="1:18" x14ac:dyDescent="0.2">
      <c r="A151" s="3">
        <v>150</v>
      </c>
      <c r="B151" s="3" t="s">
        <v>1203</v>
      </c>
      <c r="C151" s="3" t="s">
        <v>179</v>
      </c>
      <c r="D151" s="3" t="str">
        <f>VLOOKUP(C151,layoffs_location!A:B,2,FALSE)</f>
        <v>other</v>
      </c>
      <c r="E151" s="3" t="str">
        <f>VLOOKUP(C151,layoffs_location!A:C,3,FALSE)</f>
        <v>Ontario</v>
      </c>
      <c r="F151" s="3" t="str">
        <f>VLOOKUP(C151,layoffs_location!A:D,4,FALSE)</f>
        <v>Canada</v>
      </c>
      <c r="G151" s="3" t="str">
        <f>VLOOKUP(C151,layoffs_location!A:E,5,FALSE)</f>
        <v>North America</v>
      </c>
      <c r="H151" s="3">
        <v>131</v>
      </c>
      <c r="I151" s="8">
        <v>43935</v>
      </c>
      <c r="J151" s="9">
        <v>23</v>
      </c>
      <c r="K151" s="10">
        <v>570</v>
      </c>
      <c r="L151" s="10">
        <v>439</v>
      </c>
      <c r="M151" s="3" t="s">
        <v>77</v>
      </c>
      <c r="N151" s="3" t="s">
        <v>36</v>
      </c>
      <c r="O151" s="34">
        <v>224</v>
      </c>
      <c r="P151" s="3">
        <v>2020</v>
      </c>
      <c r="Q151" s="3">
        <f>VLOOKUP(C151,layoffs_location!A:F,6,FALSE)</f>
        <v>43.6534817</v>
      </c>
      <c r="R151" s="3">
        <f>VLOOKUP(C151,layoffs_location!A:G,7,FALSE)</f>
        <v>-79.383934699999998</v>
      </c>
    </row>
    <row r="152" spans="1:18" x14ac:dyDescent="0.2">
      <c r="A152" s="3">
        <v>151</v>
      </c>
      <c r="B152" s="3" t="s">
        <v>1205</v>
      </c>
      <c r="C152" s="3" t="s">
        <v>1726</v>
      </c>
      <c r="D152" s="3" t="str">
        <f>VLOOKUP(C152,layoffs_location!A:B,2,FALSE)</f>
        <v>San Francisco Bay Area</v>
      </c>
      <c r="E152" s="3" t="str">
        <f>VLOOKUP(C152,layoffs_location!A:C,3,FALSE)</f>
        <v>California</v>
      </c>
      <c r="F152" s="3" t="str">
        <f>VLOOKUP(C152,layoffs_location!A:D,4,FALSE)</f>
        <v>USA</v>
      </c>
      <c r="G152" s="3" t="str">
        <f>VLOOKUP(C152,layoffs_location!A:E,5,FALSE)</f>
        <v>North America</v>
      </c>
      <c r="H152" s="3">
        <v>45</v>
      </c>
      <c r="I152" s="8">
        <v>43935</v>
      </c>
      <c r="J152" s="9">
        <v>35</v>
      </c>
      <c r="K152" s="10">
        <v>129</v>
      </c>
      <c r="L152" s="10">
        <v>84</v>
      </c>
      <c r="M152" s="3" t="s">
        <v>16</v>
      </c>
      <c r="N152" s="3" t="s">
        <v>49</v>
      </c>
      <c r="O152" s="34">
        <v>90</v>
      </c>
      <c r="P152" s="3">
        <v>2020</v>
      </c>
      <c r="Q152" s="3">
        <f>VLOOKUP(C152,layoffs_location!A:F,6,FALSE)</f>
        <v>37.804455699999998</v>
      </c>
      <c r="R152" s="3">
        <f>VLOOKUP(C152,layoffs_location!A:G,7,FALSE)</f>
        <v>-122.271356</v>
      </c>
    </row>
    <row r="153" spans="1:18" x14ac:dyDescent="0.2">
      <c r="A153" s="3">
        <v>152</v>
      </c>
      <c r="B153" s="3" t="s">
        <v>1200</v>
      </c>
      <c r="C153" s="3" t="s">
        <v>1370</v>
      </c>
      <c r="D153" s="3" t="str">
        <f>VLOOKUP(C153,layoffs_location!A:B,2,FALSE)</f>
        <v>San Francisco Bay Area</v>
      </c>
      <c r="E153" s="3" t="str">
        <f>VLOOKUP(C153,layoffs_location!A:C,3,FALSE)</f>
        <v>California</v>
      </c>
      <c r="F153" s="3" t="str">
        <f>VLOOKUP(C153,layoffs_location!A:D,4,FALSE)</f>
        <v>USA</v>
      </c>
      <c r="G153" s="3" t="str">
        <f>VLOOKUP(C153,layoffs_location!A:E,5,FALSE)</f>
        <v>North America</v>
      </c>
      <c r="H153" s="3">
        <v>161</v>
      </c>
      <c r="I153" s="8">
        <v>43936</v>
      </c>
      <c r="J153" s="9">
        <v>16</v>
      </c>
      <c r="K153" s="10">
        <v>1006</v>
      </c>
      <c r="L153" s="10">
        <v>845</v>
      </c>
      <c r="M153" s="3" t="s">
        <v>35</v>
      </c>
      <c r="N153" s="3" t="s">
        <v>36</v>
      </c>
      <c r="O153" s="34">
        <v>447</v>
      </c>
      <c r="P153" s="3">
        <v>2020</v>
      </c>
      <c r="Q153" s="3">
        <f>VLOOKUP(C153,layoffs_location!A:F,6,FALSE)</f>
        <v>37.779258800000001</v>
      </c>
      <c r="R153" s="3">
        <f>VLOOKUP(C153,layoffs_location!A:G,7,FALSE)</f>
        <v>-122.4193286</v>
      </c>
    </row>
    <row r="154" spans="1:18" x14ac:dyDescent="0.2">
      <c r="A154" s="3">
        <v>153</v>
      </c>
      <c r="B154" s="3" t="s">
        <v>1197</v>
      </c>
      <c r="C154" s="3" t="s">
        <v>1713</v>
      </c>
      <c r="D154" s="3" t="str">
        <f>VLOOKUP(C154,layoffs_location!A:B,2,FALSE)</f>
        <v>San Francisco Bay Area</v>
      </c>
      <c r="E154" s="3" t="str">
        <f>VLOOKUP(C154,layoffs_location!A:C,3,FALSE)</f>
        <v>California</v>
      </c>
      <c r="F154" s="3" t="str">
        <f>VLOOKUP(C154,layoffs_location!A:D,4,FALSE)</f>
        <v>USA</v>
      </c>
      <c r="G154" s="3" t="str">
        <f>VLOOKUP(C154,layoffs_location!A:E,5,FALSE)</f>
        <v>North America</v>
      </c>
      <c r="H154" s="3">
        <v>200</v>
      </c>
      <c r="I154" s="8">
        <v>43936</v>
      </c>
      <c r="J154" s="9">
        <v>20</v>
      </c>
      <c r="K154" s="10">
        <v>1000</v>
      </c>
      <c r="L154" s="10">
        <v>800</v>
      </c>
      <c r="M154" s="3" t="s">
        <v>16</v>
      </c>
      <c r="N154" s="3" t="s">
        <v>28</v>
      </c>
      <c r="O154" s="34">
        <v>288</v>
      </c>
      <c r="P154" s="3">
        <v>2020</v>
      </c>
      <c r="Q154" s="3">
        <f>VLOOKUP(C154,layoffs_location!A:F,6,FALSE)</f>
        <v>37.496904000000001</v>
      </c>
      <c r="R154" s="3">
        <f>VLOOKUP(C154,layoffs_location!A:G,7,FALSE)</f>
        <v>-122.33305729999999</v>
      </c>
    </row>
    <row r="155" spans="1:18" x14ac:dyDescent="0.2">
      <c r="A155" s="3">
        <v>154</v>
      </c>
      <c r="B155" s="3" t="s">
        <v>1202</v>
      </c>
      <c r="C155" s="3" t="s">
        <v>1408</v>
      </c>
      <c r="D155" s="3" t="str">
        <f>VLOOKUP(C155,layoffs_location!A:B,2,FALSE)</f>
        <v>San Francisco Bay Area</v>
      </c>
      <c r="E155" s="3" t="str">
        <f>VLOOKUP(C155,layoffs_location!A:C,3,FALSE)</f>
        <v>California</v>
      </c>
      <c r="F155" s="3" t="str">
        <f>VLOOKUP(C155,layoffs_location!A:D,4,FALSE)</f>
        <v>USA</v>
      </c>
      <c r="G155" s="3" t="str">
        <f>VLOOKUP(C155,layoffs_location!A:E,5,FALSE)</f>
        <v>North America</v>
      </c>
      <c r="H155" s="3">
        <v>15</v>
      </c>
      <c r="I155" s="8">
        <v>43936</v>
      </c>
      <c r="J155" s="9">
        <v>20</v>
      </c>
      <c r="K155" s="10">
        <v>75</v>
      </c>
      <c r="L155" s="10">
        <v>60</v>
      </c>
      <c r="M155" s="3" t="s">
        <v>32</v>
      </c>
      <c r="N155" s="3" t="s">
        <v>69</v>
      </c>
      <c r="O155" s="34">
        <v>40</v>
      </c>
      <c r="P155" s="3">
        <v>2020</v>
      </c>
      <c r="Q155" s="3">
        <f>VLOOKUP(C155,layoffs_location!A:F,6,FALSE)</f>
        <v>37.3893889</v>
      </c>
      <c r="R155" s="3">
        <f>VLOOKUP(C155,layoffs_location!A:G,7,FALSE)</f>
        <v>-122.0832101</v>
      </c>
    </row>
    <row r="156" spans="1:18" ht="16" x14ac:dyDescent="0.2">
      <c r="A156" s="3">
        <v>155</v>
      </c>
      <c r="B156" s="3" t="s">
        <v>334</v>
      </c>
      <c r="C156" s="11" t="s">
        <v>1370</v>
      </c>
      <c r="D156" s="3" t="str">
        <f>VLOOKUP(C156,layoffs_location!A:B,2,FALSE)</f>
        <v>San Francisco Bay Area</v>
      </c>
      <c r="E156" s="3" t="str">
        <f>VLOOKUP(C156,layoffs_location!A:C,3,FALSE)</f>
        <v>California</v>
      </c>
      <c r="F156" s="3" t="str">
        <f>VLOOKUP(C156,layoffs_location!A:D,4,FALSE)</f>
        <v>USA</v>
      </c>
      <c r="G156" s="3" t="str">
        <f>VLOOKUP(C156,layoffs_location!A:E,5,FALSE)</f>
        <v>North America</v>
      </c>
      <c r="H156" s="3">
        <v>600</v>
      </c>
      <c r="I156" s="8">
        <v>43936</v>
      </c>
      <c r="J156" s="9">
        <v>35</v>
      </c>
      <c r="K156" s="10">
        <v>1714</v>
      </c>
      <c r="L156" s="10">
        <v>1114</v>
      </c>
      <c r="M156" s="3" t="s">
        <v>137</v>
      </c>
      <c r="N156" s="3" t="s">
        <v>36</v>
      </c>
      <c r="O156" s="34">
        <v>1500</v>
      </c>
      <c r="P156" s="3">
        <v>2020</v>
      </c>
      <c r="Q156" s="3">
        <f>VLOOKUP(C156,layoffs_location!A:F,6,FALSE)</f>
        <v>37.779258800000001</v>
      </c>
      <c r="R156" s="3">
        <f>VLOOKUP(C156,layoffs_location!A:G,7,FALSE)</f>
        <v>-122.4193286</v>
      </c>
    </row>
    <row r="157" spans="1:18" ht="16" x14ac:dyDescent="0.2">
      <c r="A157" s="3">
        <v>156</v>
      </c>
      <c r="B157" s="3" t="s">
        <v>1201</v>
      </c>
      <c r="C157" s="11" t="s">
        <v>1370</v>
      </c>
      <c r="D157" s="3" t="str">
        <f>VLOOKUP(C157,layoffs_location!A:B,2,FALSE)</f>
        <v>San Francisco Bay Area</v>
      </c>
      <c r="E157" s="3" t="str">
        <f>VLOOKUP(C157,layoffs_location!A:C,3,FALSE)</f>
        <v>California</v>
      </c>
      <c r="F157" s="3" t="str">
        <f>VLOOKUP(C157,layoffs_location!A:D,4,FALSE)</f>
        <v>USA</v>
      </c>
      <c r="G157" s="3" t="str">
        <f>VLOOKUP(C157,layoffs_location!A:E,5,FALSE)</f>
        <v>North America</v>
      </c>
      <c r="H157" s="3">
        <v>40</v>
      </c>
      <c r="I157" s="8">
        <v>43936</v>
      </c>
      <c r="J157" s="9">
        <v>25</v>
      </c>
      <c r="K157" s="10">
        <v>160</v>
      </c>
      <c r="L157" s="10">
        <v>120</v>
      </c>
      <c r="M157" s="3" t="s">
        <v>84</v>
      </c>
      <c r="N157" s="3" t="s">
        <v>41</v>
      </c>
      <c r="O157" s="34">
        <v>72</v>
      </c>
      <c r="P157" s="3">
        <v>2020</v>
      </c>
      <c r="Q157" s="3">
        <f>VLOOKUP(C157,layoffs_location!A:F,6,FALSE)</f>
        <v>37.779258800000001</v>
      </c>
      <c r="R157" s="3">
        <f>VLOOKUP(C157,layoffs_location!A:G,7,FALSE)</f>
        <v>-122.4193286</v>
      </c>
    </row>
    <row r="158" spans="1:18" x14ac:dyDescent="0.2">
      <c r="A158" s="3">
        <v>157</v>
      </c>
      <c r="B158" s="3" t="s">
        <v>1198</v>
      </c>
      <c r="C158" s="3" t="s">
        <v>56</v>
      </c>
      <c r="D158" s="3" t="str">
        <f>VLOOKUP(C158,layoffs_location!A:B,2,FALSE)</f>
        <v>other</v>
      </c>
      <c r="E158" s="3" t="str">
        <f>VLOOKUP(C158,layoffs_location!A:C,3,FALSE)</f>
        <v>Maharashtra</v>
      </c>
      <c r="F158" s="3" t="str">
        <f>VLOOKUP(C158,layoffs_location!A:D,4,FALSE)</f>
        <v>India</v>
      </c>
      <c r="G158" s="3" t="str">
        <f>VLOOKUP(C158,layoffs_location!A:E,5,FALSE)</f>
        <v>Asia</v>
      </c>
      <c r="H158" s="3">
        <v>200</v>
      </c>
      <c r="I158" s="8">
        <v>43936</v>
      </c>
      <c r="J158" s="9">
        <v>40</v>
      </c>
      <c r="K158" s="10">
        <v>500</v>
      </c>
      <c r="L158" s="10">
        <v>300</v>
      </c>
      <c r="M158" s="3" t="s">
        <v>30</v>
      </c>
      <c r="N158" s="3" t="s">
        <v>41</v>
      </c>
      <c r="O158" s="34">
        <v>19</v>
      </c>
      <c r="P158" s="3">
        <v>2020</v>
      </c>
      <c r="Q158" s="3">
        <f>VLOOKUP(C158,layoffs_location!A:F,6,FALSE)</f>
        <v>19.078545099999999</v>
      </c>
      <c r="R158" s="3">
        <f>VLOOKUP(C158,layoffs_location!A:G,7,FALSE)</f>
        <v>72.878175999999996</v>
      </c>
    </row>
    <row r="159" spans="1:18" x14ac:dyDescent="0.2">
      <c r="A159" s="3">
        <v>158</v>
      </c>
      <c r="B159" s="3" t="s">
        <v>1199</v>
      </c>
      <c r="C159" s="3" t="s">
        <v>1328</v>
      </c>
      <c r="D159" s="3" t="str">
        <f>VLOOKUP(C159,layoffs_location!A:B,2,FALSE)</f>
        <v>other</v>
      </c>
      <c r="E159" s="3" t="str">
        <f>VLOOKUP(C159,layoffs_location!A:C,3,FALSE)</f>
        <v>California</v>
      </c>
      <c r="F159" s="3" t="str">
        <f>VLOOKUP(C159,layoffs_location!A:D,4,FALSE)</f>
        <v>USA</v>
      </c>
      <c r="G159" s="3" t="str">
        <f>VLOOKUP(C159,layoffs_location!A:E,5,FALSE)</f>
        <v>North America</v>
      </c>
      <c r="H159" s="3">
        <v>200</v>
      </c>
      <c r="I159" s="8">
        <v>43936</v>
      </c>
      <c r="J159" s="9">
        <v>67</v>
      </c>
      <c r="K159" s="10">
        <v>299</v>
      </c>
      <c r="L159" s="10">
        <v>99</v>
      </c>
      <c r="M159" s="3" t="s">
        <v>77</v>
      </c>
      <c r="N159" s="3" t="s">
        <v>22</v>
      </c>
      <c r="O159" s="34">
        <v>423</v>
      </c>
      <c r="P159" s="3">
        <v>2020</v>
      </c>
      <c r="Q159" s="3">
        <f>VLOOKUP(C159,layoffs_location!A:F,6,FALSE)</f>
        <v>34.217637099999997</v>
      </c>
      <c r="R159" s="3">
        <f>VLOOKUP(C159,layoffs_location!A:G,7,FALSE)</f>
        <v>-119.03835410000001</v>
      </c>
    </row>
    <row r="160" spans="1:18" x14ac:dyDescent="0.2">
      <c r="A160" s="3">
        <v>159</v>
      </c>
      <c r="B160" s="3" t="s">
        <v>1194</v>
      </c>
      <c r="C160" s="3" t="s">
        <v>71</v>
      </c>
      <c r="D160" s="3" t="str">
        <f>VLOOKUP(C160,layoffs_location!A:B,2,FALSE)</f>
        <v>other</v>
      </c>
      <c r="E160" s="3" t="str">
        <f>VLOOKUP(C160,layoffs_location!A:C,3,FALSE)</f>
        <v>Massachusetts</v>
      </c>
      <c r="F160" s="3" t="str">
        <f>VLOOKUP(C160,layoffs_location!A:D,4,FALSE)</f>
        <v>USA</v>
      </c>
      <c r="G160" s="3" t="str">
        <f>VLOOKUP(C160,layoffs_location!A:E,5,FALSE)</f>
        <v>North America</v>
      </c>
      <c r="H160" s="3">
        <v>130</v>
      </c>
      <c r="I160" s="8">
        <v>43937</v>
      </c>
      <c r="J160" s="9">
        <v>13</v>
      </c>
      <c r="K160" s="10">
        <v>1000</v>
      </c>
      <c r="L160" s="10">
        <v>870</v>
      </c>
      <c r="M160" s="3" t="s">
        <v>32</v>
      </c>
      <c r="N160" s="3" t="s">
        <v>28</v>
      </c>
      <c r="O160" s="34">
        <v>1</v>
      </c>
      <c r="P160" s="3">
        <v>2020</v>
      </c>
      <c r="Q160" s="3">
        <f>VLOOKUP(C160,layoffs_location!A:F,6,FALSE)</f>
        <v>42.355433400000003</v>
      </c>
      <c r="R160" s="3">
        <f>VLOOKUP(C160,layoffs_location!A:G,7,FALSE)</f>
        <v>-71.060511000000005</v>
      </c>
    </row>
    <row r="161" spans="1:18" x14ac:dyDescent="0.2">
      <c r="A161" s="3">
        <v>160</v>
      </c>
      <c r="B161" s="3" t="s">
        <v>1196</v>
      </c>
      <c r="C161" s="3" t="s">
        <v>56</v>
      </c>
      <c r="D161" s="3" t="str">
        <f>VLOOKUP(C161,layoffs_location!A:B,2,FALSE)</f>
        <v>other</v>
      </c>
      <c r="E161" s="3" t="str">
        <f>VLOOKUP(C161,layoffs_location!A:C,3,FALSE)</f>
        <v>Maharashtra</v>
      </c>
      <c r="F161" s="3" t="str">
        <f>VLOOKUP(C161,layoffs_location!A:D,4,FALSE)</f>
        <v>India</v>
      </c>
      <c r="G161" s="3" t="str">
        <f>VLOOKUP(C161,layoffs_location!A:E,5,FALSE)</f>
        <v>Asia</v>
      </c>
      <c r="H161" s="3">
        <v>60</v>
      </c>
      <c r="I161" s="8">
        <v>43937</v>
      </c>
      <c r="J161" s="9">
        <v>20</v>
      </c>
      <c r="K161" s="10">
        <v>300</v>
      </c>
      <c r="L161" s="10">
        <v>240</v>
      </c>
      <c r="M161" s="3" t="s">
        <v>130</v>
      </c>
      <c r="N161" s="3" t="s">
        <v>41</v>
      </c>
      <c r="O161" s="34">
        <v>76</v>
      </c>
      <c r="P161" s="3">
        <v>2020</v>
      </c>
      <c r="Q161" s="3">
        <f>VLOOKUP(C161,layoffs_location!A:F,6,FALSE)</f>
        <v>19.078545099999999</v>
      </c>
      <c r="R161" s="3">
        <f>VLOOKUP(C161,layoffs_location!A:G,7,FALSE)</f>
        <v>72.878175999999996</v>
      </c>
    </row>
    <row r="162" spans="1:18" x14ac:dyDescent="0.2">
      <c r="A162" s="3">
        <v>161</v>
      </c>
      <c r="B162" s="3" t="s">
        <v>1195</v>
      </c>
      <c r="C162" s="3" t="s">
        <v>244</v>
      </c>
      <c r="D162" s="3" t="str">
        <f>VLOOKUP(C162,layoffs_location!A:B,2,FALSE)</f>
        <v>other</v>
      </c>
      <c r="E162" s="3" t="str">
        <f>VLOOKUP(C162,layoffs_location!A:C,3,FALSE)</f>
        <v>non</v>
      </c>
      <c r="F162" s="3" t="str">
        <f>VLOOKUP(C162,layoffs_location!A:D,4,FALSE)</f>
        <v>Singapore</v>
      </c>
      <c r="G162" s="3" t="str">
        <f>VLOOKUP(C162,layoffs_location!A:E,5,FALSE)</f>
        <v>Asia</v>
      </c>
      <c r="H162" s="3">
        <v>65</v>
      </c>
      <c r="I162" s="8">
        <v>43937</v>
      </c>
      <c r="J162" s="9">
        <v>18</v>
      </c>
      <c r="K162" s="10">
        <v>361</v>
      </c>
      <c r="L162" s="10">
        <v>296</v>
      </c>
      <c r="M162" s="3" t="s">
        <v>35</v>
      </c>
      <c r="N162" s="3" t="s">
        <v>49</v>
      </c>
      <c r="O162" s="34">
        <v>42</v>
      </c>
      <c r="P162" s="3">
        <v>2020</v>
      </c>
      <c r="Q162" s="3">
        <f>VLOOKUP(C162,layoffs_location!A:F,6,FALSE)</f>
        <v>1.2899175000000001</v>
      </c>
      <c r="R162" s="3">
        <f>VLOOKUP(C162,layoffs_location!A:G,7,FALSE)</f>
        <v>103.8519072</v>
      </c>
    </row>
    <row r="163" spans="1:18" x14ac:dyDescent="0.2">
      <c r="A163" s="3">
        <v>162</v>
      </c>
      <c r="B163" s="3" t="s">
        <v>1190</v>
      </c>
      <c r="C163" s="3" t="s">
        <v>1132</v>
      </c>
      <c r="D163" s="3" t="str">
        <f>VLOOKUP(C163,layoffs_location!A:B,2,FALSE)</f>
        <v>other</v>
      </c>
      <c r="E163" s="3" t="str">
        <f>VLOOKUP(C163,layoffs_location!A:C,3,FALSE)</f>
        <v>State of Santa Catarina</v>
      </c>
      <c r="F163" s="3" t="str">
        <f>VLOOKUP(C163,layoffs_location!A:D,4,FALSE)</f>
        <v>Brazil</v>
      </c>
      <c r="G163" s="3" t="str">
        <f>VLOOKUP(C163,layoffs_location!A:E,5,FALSE)</f>
        <v>South America</v>
      </c>
      <c r="H163" s="3">
        <v>140</v>
      </c>
      <c r="I163" s="8">
        <v>43938</v>
      </c>
      <c r="J163" s="9">
        <v>35</v>
      </c>
      <c r="K163" s="10">
        <v>400</v>
      </c>
      <c r="L163" s="10">
        <v>260</v>
      </c>
      <c r="M163" s="3" t="s">
        <v>68</v>
      </c>
      <c r="N163" s="3" t="s">
        <v>108</v>
      </c>
      <c r="O163" s="34">
        <v>37</v>
      </c>
      <c r="P163" s="3">
        <v>2020</v>
      </c>
      <c r="Q163" s="3">
        <f>VLOOKUP(C163,layoffs_location!A:F,6,FALSE)</f>
        <v>-26.304489799999999</v>
      </c>
      <c r="R163" s="3">
        <f>VLOOKUP(C163,layoffs_location!A:G,7,FALSE)</f>
        <v>-48.8486726</v>
      </c>
    </row>
    <row r="164" spans="1:18" x14ac:dyDescent="0.2">
      <c r="A164" s="3">
        <v>163</v>
      </c>
      <c r="B164" s="3" t="s">
        <v>319</v>
      </c>
      <c r="C164" s="3" t="s">
        <v>39</v>
      </c>
      <c r="D164" s="3" t="str">
        <f>VLOOKUP(C164,layoffs_location!A:B,2,FALSE)</f>
        <v>New York</v>
      </c>
      <c r="E164" s="3" t="str">
        <f>VLOOKUP(C164,layoffs_location!A:C,3,FALSE)</f>
        <v>New York</v>
      </c>
      <c r="F164" s="3" t="str">
        <f>VLOOKUP(C164,layoffs_location!A:D,4,FALSE)</f>
        <v>USA</v>
      </c>
      <c r="G164" s="3" t="str">
        <f>VLOOKUP(C164,layoffs_location!A:E,5,FALSE)</f>
        <v>North America</v>
      </c>
      <c r="H164" s="3">
        <v>120</v>
      </c>
      <c r="I164" s="8">
        <v>43938</v>
      </c>
      <c r="J164" s="9">
        <v>28</v>
      </c>
      <c r="K164" s="10">
        <v>429</v>
      </c>
      <c r="L164" s="10">
        <v>309</v>
      </c>
      <c r="M164" s="3" t="s">
        <v>84</v>
      </c>
      <c r="N164" s="3" t="s">
        <v>108</v>
      </c>
      <c r="O164" s="34">
        <v>110</v>
      </c>
      <c r="P164" s="3">
        <v>2020</v>
      </c>
      <c r="Q164" s="3">
        <f>VLOOKUP(C164,layoffs_location!A:F,6,FALSE)</f>
        <v>40.7127281</v>
      </c>
      <c r="R164" s="3">
        <f>VLOOKUP(C164,layoffs_location!A:G,7,FALSE)</f>
        <v>-74.006015199999993</v>
      </c>
    </row>
    <row r="165" spans="1:18" x14ac:dyDescent="0.2">
      <c r="A165" s="3">
        <v>164</v>
      </c>
      <c r="B165" s="3" t="s">
        <v>402</v>
      </c>
      <c r="C165" s="3" t="s">
        <v>187</v>
      </c>
      <c r="D165" s="3" t="str">
        <f>VLOOKUP(C165,layoffs_location!A:B,2,FALSE)</f>
        <v>other</v>
      </c>
      <c r="E165" s="3" t="str">
        <f>VLOOKUP(C165,layoffs_location!A:C,3,FALSE)</f>
        <v>State of São Paulo</v>
      </c>
      <c r="F165" s="3" t="str">
        <f>VLOOKUP(C165,layoffs_location!A:D,4,FALSE)</f>
        <v>Brazil</v>
      </c>
      <c r="G165" s="3" t="str">
        <f>VLOOKUP(C165,layoffs_location!A:E,5,FALSE)</f>
        <v>South America</v>
      </c>
      <c r="H165" s="3">
        <v>47</v>
      </c>
      <c r="I165" s="8">
        <v>43938</v>
      </c>
      <c r="J165" s="9">
        <v>10</v>
      </c>
      <c r="K165" s="10">
        <v>470</v>
      </c>
      <c r="L165" s="10">
        <v>423</v>
      </c>
      <c r="M165" s="3" t="s">
        <v>137</v>
      </c>
      <c r="N165" s="3" t="s">
        <v>41</v>
      </c>
      <c r="O165" s="34">
        <v>263</v>
      </c>
      <c r="P165" s="3">
        <v>2020</v>
      </c>
      <c r="Q165" s="3">
        <f>VLOOKUP(C165,layoffs_location!A:F,6,FALSE)</f>
        <v>-23.550650699999998</v>
      </c>
      <c r="R165" s="3">
        <f>VLOOKUP(C165,layoffs_location!A:G,7,FALSE)</f>
        <v>-46.633382400000002</v>
      </c>
    </row>
    <row r="166" spans="1:18" ht="16" x14ac:dyDescent="0.2">
      <c r="A166" s="3">
        <v>165</v>
      </c>
      <c r="B166" s="3" t="s">
        <v>1192</v>
      </c>
      <c r="C166" s="11" t="s">
        <v>1370</v>
      </c>
      <c r="D166" s="3" t="str">
        <f>VLOOKUP(C166,layoffs_location!A:B,2,FALSE)</f>
        <v>San Francisco Bay Area</v>
      </c>
      <c r="E166" s="3" t="str">
        <f>VLOOKUP(C166,layoffs_location!A:C,3,FALSE)</f>
        <v>California</v>
      </c>
      <c r="F166" s="3" t="str">
        <f>VLOOKUP(C166,layoffs_location!A:D,4,FALSE)</f>
        <v>USA</v>
      </c>
      <c r="G166" s="3" t="str">
        <f>VLOOKUP(C166,layoffs_location!A:E,5,FALSE)</f>
        <v>North America</v>
      </c>
      <c r="H166" s="3">
        <v>30</v>
      </c>
      <c r="I166" s="8">
        <v>43938</v>
      </c>
      <c r="J166" s="9">
        <v>18</v>
      </c>
      <c r="K166" s="10">
        <v>167</v>
      </c>
      <c r="L166" s="10">
        <v>137</v>
      </c>
      <c r="M166" s="3" t="s">
        <v>130</v>
      </c>
      <c r="N166" s="3" t="s">
        <v>41</v>
      </c>
      <c r="O166" s="34">
        <v>100</v>
      </c>
      <c r="P166" s="3">
        <v>2020</v>
      </c>
      <c r="Q166" s="3">
        <f>VLOOKUP(C166,layoffs_location!A:F,6,FALSE)</f>
        <v>37.779258800000001</v>
      </c>
      <c r="R166" s="3">
        <f>VLOOKUP(C166,layoffs_location!A:G,7,FALSE)</f>
        <v>-122.4193286</v>
      </c>
    </row>
    <row r="167" spans="1:18" x14ac:dyDescent="0.2">
      <c r="A167" s="3">
        <v>166</v>
      </c>
      <c r="B167" s="3" t="s">
        <v>1049</v>
      </c>
      <c r="C167" s="3" t="s">
        <v>187</v>
      </c>
      <c r="D167" s="3" t="str">
        <f>VLOOKUP(C167,layoffs_location!A:B,2,FALSE)</f>
        <v>other</v>
      </c>
      <c r="E167" s="3" t="str">
        <f>VLOOKUP(C167,layoffs_location!A:C,3,FALSE)</f>
        <v>State of São Paulo</v>
      </c>
      <c r="F167" s="3" t="str">
        <f>VLOOKUP(C167,layoffs_location!A:D,4,FALSE)</f>
        <v>Brazil</v>
      </c>
      <c r="G167" s="3" t="str">
        <f>VLOOKUP(C167,layoffs_location!A:E,5,FALSE)</f>
        <v>South America</v>
      </c>
      <c r="H167" s="3">
        <v>88</v>
      </c>
      <c r="I167" s="8">
        <v>43938</v>
      </c>
      <c r="J167" s="9">
        <v>8</v>
      </c>
      <c r="K167" s="10">
        <v>1100</v>
      </c>
      <c r="L167" s="10">
        <v>1012</v>
      </c>
      <c r="M167" s="3" t="s">
        <v>137</v>
      </c>
      <c r="N167" s="3" t="s">
        <v>108</v>
      </c>
      <c r="O167" s="34">
        <v>335</v>
      </c>
      <c r="P167" s="3">
        <v>2020</v>
      </c>
      <c r="Q167" s="3">
        <f>VLOOKUP(C167,layoffs_location!A:F,6,FALSE)</f>
        <v>-23.550650699999998</v>
      </c>
      <c r="R167" s="3">
        <f>VLOOKUP(C167,layoffs_location!A:G,7,FALSE)</f>
        <v>-46.633382400000002</v>
      </c>
    </row>
    <row r="168" spans="1:18" x14ac:dyDescent="0.2">
      <c r="A168" s="3">
        <v>167</v>
      </c>
      <c r="B168" s="3" t="s">
        <v>1191</v>
      </c>
      <c r="C168" s="3" t="s">
        <v>76</v>
      </c>
      <c r="D168" s="3" t="str">
        <f>VLOOKUP(C168,layoffs_location!A:B,2,FALSE)</f>
        <v>other</v>
      </c>
      <c r="E168" s="3" t="str">
        <f>VLOOKUP(C168,layoffs_location!A:C,3,FALSE)</f>
        <v>California</v>
      </c>
      <c r="F168" s="3" t="str">
        <f>VLOOKUP(C168,layoffs_location!A:D,4,FALSE)</f>
        <v>USA</v>
      </c>
      <c r="G168" s="3" t="str">
        <f>VLOOKUP(C168,layoffs_location!A:E,5,FALSE)</f>
        <v>North America</v>
      </c>
      <c r="H168" s="3">
        <v>35</v>
      </c>
      <c r="I168" s="8">
        <v>43938</v>
      </c>
      <c r="J168" s="9">
        <v>10</v>
      </c>
      <c r="K168" s="10">
        <v>350</v>
      </c>
      <c r="L168" s="10">
        <v>315</v>
      </c>
      <c r="M168" s="3" t="s">
        <v>77</v>
      </c>
      <c r="N168" s="3" t="s">
        <v>567</v>
      </c>
      <c r="O168" s="34">
        <v>478</v>
      </c>
      <c r="P168" s="3">
        <v>2020</v>
      </c>
      <c r="Q168" s="3">
        <f>VLOOKUP(C168,layoffs_location!A:F,6,FALSE)</f>
        <v>34.053690899999999</v>
      </c>
      <c r="R168" s="3">
        <f>VLOOKUP(C168,layoffs_location!A:G,7,FALSE)</f>
        <v>-118.242766</v>
      </c>
    </row>
    <row r="169" spans="1:18" x14ac:dyDescent="0.2">
      <c r="A169" s="3">
        <v>168</v>
      </c>
      <c r="B169" s="3" t="s">
        <v>1193</v>
      </c>
      <c r="C169" s="3" t="s">
        <v>71</v>
      </c>
      <c r="D169" s="3" t="str">
        <f>VLOOKUP(C169,layoffs_location!A:B,2,FALSE)</f>
        <v>other</v>
      </c>
      <c r="E169" s="3" t="str">
        <f>VLOOKUP(C169,layoffs_location!A:C,3,FALSE)</f>
        <v>Massachusetts</v>
      </c>
      <c r="F169" s="3" t="str">
        <f>VLOOKUP(C169,layoffs_location!A:D,4,FALSE)</f>
        <v>USA</v>
      </c>
      <c r="G169" s="3" t="str">
        <f>VLOOKUP(C169,layoffs_location!A:E,5,FALSE)</f>
        <v>North America</v>
      </c>
      <c r="H169" s="3">
        <v>13</v>
      </c>
      <c r="I169" s="8">
        <v>43938</v>
      </c>
      <c r="J169" s="9">
        <v>37</v>
      </c>
      <c r="K169" s="10">
        <v>35</v>
      </c>
      <c r="L169" s="10">
        <v>22</v>
      </c>
      <c r="M169" s="3" t="s">
        <v>139</v>
      </c>
      <c r="N169" s="3" t="s">
        <v>22</v>
      </c>
      <c r="O169" s="34">
        <v>1</v>
      </c>
      <c r="P169" s="3">
        <v>2020</v>
      </c>
      <c r="Q169" s="3">
        <f>VLOOKUP(C169,layoffs_location!A:F,6,FALSE)</f>
        <v>42.355433400000003</v>
      </c>
      <c r="R169" s="3">
        <f>VLOOKUP(C169,layoffs_location!A:G,7,FALSE)</f>
        <v>-71.060511000000005</v>
      </c>
    </row>
    <row r="170" spans="1:18" x14ac:dyDescent="0.2">
      <c r="A170" s="3">
        <v>169</v>
      </c>
      <c r="B170" s="3" t="s">
        <v>1094</v>
      </c>
      <c r="C170" s="3" t="s">
        <v>244</v>
      </c>
      <c r="D170" s="3" t="str">
        <f>VLOOKUP(C170,layoffs_location!A:B,2,FALSE)</f>
        <v>other</v>
      </c>
      <c r="E170" s="3" t="str">
        <f>VLOOKUP(C170,layoffs_location!A:C,3,FALSE)</f>
        <v>non</v>
      </c>
      <c r="F170" s="3" t="str">
        <f>VLOOKUP(C170,layoffs_location!A:D,4,FALSE)</f>
        <v>Singapore</v>
      </c>
      <c r="G170" s="3" t="str">
        <f>VLOOKUP(C170,layoffs_location!A:E,5,FALSE)</f>
        <v>Asia</v>
      </c>
      <c r="H170" s="3">
        <v>44</v>
      </c>
      <c r="I170" s="8">
        <v>43938</v>
      </c>
      <c r="J170" s="9">
        <v>5</v>
      </c>
      <c r="K170" s="10">
        <v>880</v>
      </c>
      <c r="L170" s="10">
        <v>836</v>
      </c>
      <c r="M170" s="3" t="s">
        <v>30</v>
      </c>
      <c r="N170" s="3" t="s">
        <v>108</v>
      </c>
      <c r="O170" s="34">
        <v>307</v>
      </c>
      <c r="P170" s="3">
        <v>2020</v>
      </c>
      <c r="Q170" s="3">
        <f>VLOOKUP(C170,layoffs_location!A:F,6,FALSE)</f>
        <v>1.2899175000000001</v>
      </c>
      <c r="R170" s="3">
        <f>VLOOKUP(C170,layoffs_location!A:G,7,FALSE)</f>
        <v>103.8519072</v>
      </c>
    </row>
    <row r="171" spans="1:18" x14ac:dyDescent="0.2">
      <c r="A171" s="3">
        <v>170</v>
      </c>
      <c r="B171" s="3" t="s">
        <v>558</v>
      </c>
      <c r="C171" s="3" t="s">
        <v>39</v>
      </c>
      <c r="D171" s="3" t="str">
        <f>VLOOKUP(C171,layoffs_location!A:B,2,FALSE)</f>
        <v>New York</v>
      </c>
      <c r="E171" s="3" t="str">
        <f>VLOOKUP(C171,layoffs_location!A:C,3,FALSE)</f>
        <v>New York</v>
      </c>
      <c r="F171" s="3" t="str">
        <f>VLOOKUP(C171,layoffs_location!A:D,4,FALSE)</f>
        <v>USA</v>
      </c>
      <c r="G171" s="3" t="str">
        <f>VLOOKUP(C171,layoffs_location!A:E,5,FALSE)</f>
        <v>North America</v>
      </c>
      <c r="H171" s="3">
        <v>91</v>
      </c>
      <c r="I171" s="8">
        <v>43941</v>
      </c>
      <c r="J171" s="9">
        <v>14</v>
      </c>
      <c r="K171" s="10">
        <v>650</v>
      </c>
      <c r="L171" s="10">
        <v>559</v>
      </c>
      <c r="M171" s="3" t="s">
        <v>117</v>
      </c>
      <c r="N171" s="3" t="s">
        <v>22</v>
      </c>
      <c r="O171" s="34">
        <v>10</v>
      </c>
      <c r="P171" s="3">
        <v>2020</v>
      </c>
      <c r="Q171" s="3">
        <f>VLOOKUP(C171,layoffs_location!A:F,6,FALSE)</f>
        <v>40.7127281</v>
      </c>
      <c r="R171" s="3">
        <f>VLOOKUP(C171,layoffs_location!A:G,7,FALSE)</f>
        <v>-74.006015199999993</v>
      </c>
    </row>
    <row r="172" spans="1:18" x14ac:dyDescent="0.2">
      <c r="A172" s="3">
        <v>171</v>
      </c>
      <c r="B172" s="3" t="s">
        <v>1189</v>
      </c>
      <c r="C172" s="63" t="s">
        <v>1370</v>
      </c>
      <c r="D172" s="3" t="str">
        <f>VLOOKUP(C172,layoffs_location!A:B,2,FALSE)</f>
        <v>San Francisco Bay Area</v>
      </c>
      <c r="E172" s="3" t="str">
        <f>VLOOKUP(C172,layoffs_location!A:C,3,FALSE)</f>
        <v>California</v>
      </c>
      <c r="F172" s="3" t="str">
        <f>VLOOKUP(C172,layoffs_location!A:D,4,FALSE)</f>
        <v>USA</v>
      </c>
      <c r="G172" s="3" t="str">
        <f>VLOOKUP(C172,layoffs_location!A:E,5,FALSE)</f>
        <v>North America</v>
      </c>
      <c r="H172" s="3">
        <v>10</v>
      </c>
      <c r="I172" s="8">
        <v>43941</v>
      </c>
      <c r="J172" s="9">
        <v>3</v>
      </c>
      <c r="K172" s="10">
        <v>333</v>
      </c>
      <c r="L172" s="10">
        <v>323</v>
      </c>
      <c r="M172" s="3" t="s">
        <v>21</v>
      </c>
      <c r="N172" s="3" t="s">
        <v>41</v>
      </c>
      <c r="O172" s="34">
        <v>100</v>
      </c>
      <c r="P172" s="3">
        <v>2020</v>
      </c>
      <c r="Q172" s="3">
        <f>VLOOKUP(C172,layoffs_location!A:F,6,FALSE)</f>
        <v>37.779258800000001</v>
      </c>
      <c r="R172" s="3">
        <f>VLOOKUP(C172,layoffs_location!A:G,7,FALSE)</f>
        <v>-122.4193286</v>
      </c>
    </row>
    <row r="173" spans="1:18" x14ac:dyDescent="0.2">
      <c r="A173" s="3">
        <v>172</v>
      </c>
      <c r="B173" s="3" t="s">
        <v>1184</v>
      </c>
      <c r="C173" s="3" t="s">
        <v>76</v>
      </c>
      <c r="D173" s="3" t="str">
        <f>VLOOKUP(C173,layoffs_location!A:B,2,FALSE)</f>
        <v>other</v>
      </c>
      <c r="E173" s="3" t="str">
        <f>VLOOKUP(C173,layoffs_location!A:C,3,FALSE)</f>
        <v>California</v>
      </c>
      <c r="F173" s="3" t="str">
        <f>VLOOKUP(C173,layoffs_location!A:D,4,FALSE)</f>
        <v>USA</v>
      </c>
      <c r="G173" s="3" t="str">
        <f>VLOOKUP(C173,layoffs_location!A:E,5,FALSE)</f>
        <v>North America</v>
      </c>
      <c r="H173" s="3">
        <v>90</v>
      </c>
      <c r="I173" s="8">
        <v>43941</v>
      </c>
      <c r="J173" s="9">
        <v>25</v>
      </c>
      <c r="K173" s="10">
        <v>360</v>
      </c>
      <c r="L173" s="10">
        <v>270</v>
      </c>
      <c r="M173" s="3" t="s">
        <v>130</v>
      </c>
      <c r="N173" s="3" t="s">
        <v>108</v>
      </c>
      <c r="O173" s="34">
        <v>58</v>
      </c>
      <c r="P173" s="3">
        <v>2020</v>
      </c>
      <c r="Q173" s="3">
        <f>VLOOKUP(C173,layoffs_location!A:F,6,FALSE)</f>
        <v>34.053690899999999</v>
      </c>
      <c r="R173" s="3">
        <f>VLOOKUP(C173,layoffs_location!A:G,7,FALSE)</f>
        <v>-118.242766</v>
      </c>
    </row>
    <row r="174" spans="1:18" x14ac:dyDescent="0.2">
      <c r="A174" s="3">
        <v>173</v>
      </c>
      <c r="B174" s="3" t="s">
        <v>1183</v>
      </c>
      <c r="C174" s="3" t="s">
        <v>903</v>
      </c>
      <c r="D174" s="3" t="str">
        <f>VLOOKUP(C174,layoffs_location!A:B,2,FALSE)</f>
        <v>other</v>
      </c>
      <c r="E174" s="3" t="str">
        <f>VLOOKUP(C174,layoffs_location!A:C,3,FALSE)</f>
        <v>non</v>
      </c>
      <c r="F174" s="3" t="str">
        <f>VLOOKUP(C174,layoffs_location!A:D,4,FALSE)</f>
        <v>Hong Kong</v>
      </c>
      <c r="G174" s="3" t="str">
        <f>VLOOKUP(C174,layoffs_location!A:E,5,FALSE)</f>
        <v>Asia</v>
      </c>
      <c r="H174" s="3">
        <v>300</v>
      </c>
      <c r="I174" s="8">
        <v>43941</v>
      </c>
      <c r="J174" s="9">
        <v>15</v>
      </c>
      <c r="K174" s="10">
        <v>2000</v>
      </c>
      <c r="L174" s="10">
        <v>1700</v>
      </c>
      <c r="M174" s="3" t="s">
        <v>72</v>
      </c>
      <c r="N174" s="3" t="s">
        <v>108</v>
      </c>
      <c r="O174" s="34">
        <v>521</v>
      </c>
      <c r="P174" s="3">
        <v>2020</v>
      </c>
      <c r="Q174" s="3">
        <f>VLOOKUP(C174,layoffs_location!A:F,6,FALSE)</f>
        <v>22.279327800000001</v>
      </c>
      <c r="R174" s="3">
        <f>VLOOKUP(C174,layoffs_location!A:G,7,FALSE)</f>
        <v>114.16281309999999</v>
      </c>
    </row>
    <row r="175" spans="1:18" ht="16" x14ac:dyDescent="0.2">
      <c r="A175" s="3">
        <v>174</v>
      </c>
      <c r="B175" s="3" t="s">
        <v>596</v>
      </c>
      <c r="C175" s="11" t="s">
        <v>1370</v>
      </c>
      <c r="D175" s="3" t="str">
        <f>VLOOKUP(C175,layoffs_location!A:B,2,FALSE)</f>
        <v>San Francisco Bay Area</v>
      </c>
      <c r="E175" s="3" t="str">
        <f>VLOOKUP(C175,layoffs_location!A:C,3,FALSE)</f>
        <v>California</v>
      </c>
      <c r="F175" s="3" t="str">
        <f>VLOOKUP(C175,layoffs_location!A:D,4,FALSE)</f>
        <v>USA</v>
      </c>
      <c r="G175" s="3" t="str">
        <f>VLOOKUP(C175,layoffs_location!A:E,5,FALSE)</f>
        <v>North America</v>
      </c>
      <c r="H175" s="3">
        <v>23</v>
      </c>
      <c r="I175" s="8">
        <v>43941</v>
      </c>
      <c r="J175" s="9">
        <v>9</v>
      </c>
      <c r="K175" s="10">
        <v>256</v>
      </c>
      <c r="L175" s="10">
        <v>233</v>
      </c>
      <c r="M175" s="3" t="s">
        <v>21</v>
      </c>
      <c r="N175" s="3" t="s">
        <v>41</v>
      </c>
      <c r="O175" s="34">
        <v>50</v>
      </c>
      <c r="P175" s="3">
        <v>2020</v>
      </c>
      <c r="Q175" s="3">
        <f>VLOOKUP(C175,layoffs_location!A:F,6,FALSE)</f>
        <v>37.779258800000001</v>
      </c>
      <c r="R175" s="3">
        <f>VLOOKUP(C175,layoffs_location!A:G,7,FALSE)</f>
        <v>-122.4193286</v>
      </c>
    </row>
    <row r="176" spans="1:18" x14ac:dyDescent="0.2">
      <c r="A176" s="3">
        <v>175</v>
      </c>
      <c r="B176" s="3" t="s">
        <v>1185</v>
      </c>
      <c r="C176" s="3" t="s">
        <v>1186</v>
      </c>
      <c r="D176" s="3" t="str">
        <f>VLOOKUP(C176,layoffs_location!A:B,2,FALSE)</f>
        <v>other</v>
      </c>
      <c r="E176" s="3" t="str">
        <f>VLOOKUP(C176,layoffs_location!A:C,3,FALSE)</f>
        <v>Jalisco</v>
      </c>
      <c r="F176" s="3" t="str">
        <f>VLOOKUP(C176,layoffs_location!A:D,4,FALSE)</f>
        <v>Mexico</v>
      </c>
      <c r="G176" s="3" t="str">
        <f>VLOOKUP(C176,layoffs_location!A:E,5,FALSE)</f>
        <v>North America</v>
      </c>
      <c r="H176" s="3">
        <v>90</v>
      </c>
      <c r="I176" s="8">
        <v>43941</v>
      </c>
      <c r="J176" s="9">
        <v>30</v>
      </c>
      <c r="K176" s="10">
        <v>300</v>
      </c>
      <c r="L176" s="10">
        <v>210</v>
      </c>
      <c r="M176" s="3" t="s">
        <v>35</v>
      </c>
      <c r="N176" s="3" t="s">
        <v>49</v>
      </c>
      <c r="O176" s="34">
        <v>38</v>
      </c>
      <c r="P176" s="3">
        <v>2020</v>
      </c>
      <c r="Q176" s="3">
        <f>VLOOKUP(C176,layoffs_location!A:F,6,FALSE)</f>
        <v>20.672037499999998</v>
      </c>
      <c r="R176" s="3">
        <f>VLOOKUP(C176,layoffs_location!A:G,7,FALSE)</f>
        <v>-103.338396</v>
      </c>
    </row>
    <row r="177" spans="1:18" x14ac:dyDescent="0.2">
      <c r="A177" s="3">
        <v>176</v>
      </c>
      <c r="B177" s="3" t="s">
        <v>1187</v>
      </c>
      <c r="C177" s="3" t="s">
        <v>1188</v>
      </c>
      <c r="D177" s="3" t="str">
        <f>VLOOKUP(C177,layoffs_location!A:B,2,FALSE)</f>
        <v>other</v>
      </c>
      <c r="E177" s="3" t="str">
        <f>VLOOKUP(C177,layoffs_location!A:C,3,FALSE)</f>
        <v>State of Santa Catarina</v>
      </c>
      <c r="F177" s="3" t="str">
        <f>VLOOKUP(C177,layoffs_location!A:D,4,FALSE)</f>
        <v>Brazil</v>
      </c>
      <c r="G177" s="3" t="str">
        <f>VLOOKUP(C177,layoffs_location!A:E,5,FALSE)</f>
        <v>South America</v>
      </c>
      <c r="H177" s="3">
        <v>33</v>
      </c>
      <c r="I177" s="8">
        <v>43941</v>
      </c>
      <c r="J177" s="9">
        <v>25</v>
      </c>
      <c r="K177" s="10">
        <v>132</v>
      </c>
      <c r="L177" s="10">
        <v>99</v>
      </c>
      <c r="M177" s="3" t="s">
        <v>274</v>
      </c>
      <c r="N177" s="3" t="s">
        <v>147</v>
      </c>
      <c r="O177" s="34">
        <v>1</v>
      </c>
      <c r="P177" s="3">
        <v>2020</v>
      </c>
      <c r="Q177" s="3">
        <f>VLOOKUP(C177,layoffs_location!A:F,6,FALSE)</f>
        <v>-26.919556700000001</v>
      </c>
      <c r="R177" s="3">
        <f>VLOOKUP(C177,layoffs_location!A:G,7,FALSE)</f>
        <v>-49.065802499999997</v>
      </c>
    </row>
    <row r="178" spans="1:18" x14ac:dyDescent="0.2">
      <c r="A178" s="3">
        <v>177</v>
      </c>
      <c r="B178" s="3" t="s">
        <v>1182</v>
      </c>
      <c r="C178" s="3" t="s">
        <v>47</v>
      </c>
      <c r="D178" s="3" t="str">
        <f>VLOOKUP(C178,layoffs_location!A:B,2,FALSE)</f>
        <v>other</v>
      </c>
      <c r="E178" s="3" t="str">
        <f>VLOOKUP(C178,layoffs_location!A:C,3,FALSE)</f>
        <v>non</v>
      </c>
      <c r="F178" s="3" t="str">
        <f>VLOOKUP(C178,layoffs_location!A:D,4,FALSE)</f>
        <v>Israel</v>
      </c>
      <c r="G178" s="3" t="str">
        <f>VLOOKUP(C178,layoffs_location!A:E,5,FALSE)</f>
        <v>Asia</v>
      </c>
      <c r="H178" s="3">
        <v>10</v>
      </c>
      <c r="I178" s="8">
        <v>43942</v>
      </c>
      <c r="J178" s="9">
        <v>10</v>
      </c>
      <c r="K178" s="10">
        <v>100</v>
      </c>
      <c r="L178" s="10">
        <v>90</v>
      </c>
      <c r="M178" s="3" t="s">
        <v>90</v>
      </c>
      <c r="N178" s="3" t="s">
        <v>108</v>
      </c>
      <c r="O178" s="34">
        <v>84</v>
      </c>
      <c r="P178" s="3">
        <v>2020</v>
      </c>
      <c r="Q178" s="3">
        <f>VLOOKUP(C178,layoffs_location!A:F,6,FALSE)</f>
        <v>32.0852997</v>
      </c>
      <c r="R178" s="3">
        <f>VLOOKUP(C178,layoffs_location!A:G,7,FALSE)</f>
        <v>34.781806400000001</v>
      </c>
    </row>
    <row r="179" spans="1:18" x14ac:dyDescent="0.2">
      <c r="A179" s="3">
        <v>178</v>
      </c>
      <c r="B179" s="3" t="s">
        <v>1180</v>
      </c>
      <c r="C179" s="3" t="s">
        <v>39</v>
      </c>
      <c r="D179" s="3" t="str">
        <f>VLOOKUP(C179,layoffs_location!A:B,2,FALSE)</f>
        <v>New York</v>
      </c>
      <c r="E179" s="3" t="str">
        <f>VLOOKUP(C179,layoffs_location!A:C,3,FALSE)</f>
        <v>New York</v>
      </c>
      <c r="F179" s="3" t="str">
        <f>VLOOKUP(C179,layoffs_location!A:D,4,FALSE)</f>
        <v>USA</v>
      </c>
      <c r="G179" s="3" t="str">
        <f>VLOOKUP(C179,layoffs_location!A:E,5,FALSE)</f>
        <v>North America</v>
      </c>
      <c r="H179" s="3">
        <v>78</v>
      </c>
      <c r="I179" s="8">
        <v>43942</v>
      </c>
      <c r="J179" s="9">
        <v>21</v>
      </c>
      <c r="K179" s="10">
        <v>371</v>
      </c>
      <c r="L179" s="10">
        <v>293</v>
      </c>
      <c r="M179" s="3" t="s">
        <v>30</v>
      </c>
      <c r="N179" s="3" t="s">
        <v>28</v>
      </c>
      <c r="O179" s="34">
        <v>339</v>
      </c>
      <c r="P179" s="3">
        <v>2020</v>
      </c>
      <c r="Q179" s="3">
        <f>VLOOKUP(C179,layoffs_location!A:F,6,FALSE)</f>
        <v>40.7127281</v>
      </c>
      <c r="R179" s="3">
        <f>VLOOKUP(C179,layoffs_location!A:G,7,FALSE)</f>
        <v>-74.006015199999993</v>
      </c>
    </row>
    <row r="180" spans="1:18" x14ac:dyDescent="0.2">
      <c r="A180" s="3">
        <v>179</v>
      </c>
      <c r="B180" s="3" t="s">
        <v>1181</v>
      </c>
      <c r="C180" s="3" t="s">
        <v>179</v>
      </c>
      <c r="D180" s="3" t="str">
        <f>VLOOKUP(C180,layoffs_location!A:B,2,FALSE)</f>
        <v>other</v>
      </c>
      <c r="E180" s="3" t="str">
        <f>VLOOKUP(C180,layoffs_location!A:C,3,FALSE)</f>
        <v>Ontario</v>
      </c>
      <c r="F180" s="3" t="str">
        <f>VLOOKUP(C180,layoffs_location!A:D,4,FALSE)</f>
        <v>Canada</v>
      </c>
      <c r="G180" s="3" t="str">
        <f>VLOOKUP(C180,layoffs_location!A:E,5,FALSE)</f>
        <v>North America</v>
      </c>
      <c r="H180" s="3">
        <v>38</v>
      </c>
      <c r="I180" s="8">
        <v>43942</v>
      </c>
      <c r="J180" s="9">
        <v>9</v>
      </c>
      <c r="K180" s="10">
        <v>422</v>
      </c>
      <c r="L180" s="10">
        <v>384</v>
      </c>
      <c r="M180" s="3" t="s">
        <v>35</v>
      </c>
      <c r="N180" s="3" t="s">
        <v>49</v>
      </c>
      <c r="O180" s="34">
        <v>75</v>
      </c>
      <c r="P180" s="3">
        <v>2020</v>
      </c>
      <c r="Q180" s="3">
        <f>VLOOKUP(C180,layoffs_location!A:F,6,FALSE)</f>
        <v>43.6534817</v>
      </c>
      <c r="R180" s="3">
        <f>VLOOKUP(C180,layoffs_location!A:G,7,FALSE)</f>
        <v>-79.383934699999998</v>
      </c>
    </row>
    <row r="181" spans="1:18" x14ac:dyDescent="0.2">
      <c r="A181" s="3">
        <v>180</v>
      </c>
      <c r="B181" s="3" t="s">
        <v>614</v>
      </c>
      <c r="C181" s="3" t="s">
        <v>1473</v>
      </c>
      <c r="D181" s="3" t="str">
        <f>VLOOKUP(C181,layoffs_location!A:B,2,FALSE)</f>
        <v>San Francisco Bay Area</v>
      </c>
      <c r="E181" s="3" t="str">
        <f>VLOOKUP(C181,layoffs_location!A:C,3,FALSE)</f>
        <v>California</v>
      </c>
      <c r="F181" s="3" t="str">
        <f>VLOOKUP(C181,layoffs_location!A:D,4,FALSE)</f>
        <v>USA</v>
      </c>
      <c r="G181" s="3" t="str">
        <f>VLOOKUP(C181,layoffs_location!A:E,5,FALSE)</f>
        <v>North America</v>
      </c>
      <c r="H181" s="3">
        <v>155</v>
      </c>
      <c r="I181" s="8">
        <v>43942</v>
      </c>
      <c r="J181" s="9">
        <v>10</v>
      </c>
      <c r="K181" s="10">
        <v>1550</v>
      </c>
      <c r="L181" s="10">
        <v>1395</v>
      </c>
      <c r="M181" s="3" t="s">
        <v>16</v>
      </c>
      <c r="N181" s="3" t="s">
        <v>36</v>
      </c>
      <c r="O181" s="34">
        <v>613</v>
      </c>
      <c r="P181" s="3">
        <v>2020</v>
      </c>
      <c r="Q181" s="3">
        <f>VLOOKUP(C181,layoffs_location!A:F,6,FALSE)</f>
        <v>37.4443293</v>
      </c>
      <c r="R181" s="3">
        <f>VLOOKUP(C181,layoffs_location!A:G,7,FALSE)</f>
        <v>-122.1598465</v>
      </c>
    </row>
    <row r="182" spans="1:18" ht="16" x14ac:dyDescent="0.2">
      <c r="A182" s="3">
        <v>181</v>
      </c>
      <c r="B182" s="3" t="s">
        <v>104</v>
      </c>
      <c r="C182" s="11" t="s">
        <v>1370</v>
      </c>
      <c r="D182" s="3" t="str">
        <f>VLOOKUP(C182,layoffs_location!A:B,2,FALSE)</f>
        <v>San Francisco Bay Area</v>
      </c>
      <c r="E182" s="3" t="str">
        <f>VLOOKUP(C182,layoffs_location!A:C,3,FALSE)</f>
        <v>California</v>
      </c>
      <c r="F182" s="3" t="str">
        <f>VLOOKUP(C182,layoffs_location!A:D,4,FALSE)</f>
        <v>USA</v>
      </c>
      <c r="G182" s="3" t="str">
        <f>VLOOKUP(C182,layoffs_location!A:E,5,FALSE)</f>
        <v>North America</v>
      </c>
      <c r="H182" s="3">
        <v>460</v>
      </c>
      <c r="I182" s="8">
        <v>43942</v>
      </c>
      <c r="J182" s="9">
        <v>30</v>
      </c>
      <c r="K182" s="10">
        <v>1533</v>
      </c>
      <c r="L182" s="10">
        <v>1073</v>
      </c>
      <c r="M182" s="3" t="s">
        <v>35</v>
      </c>
      <c r="N182" s="3" t="s">
        <v>28</v>
      </c>
      <c r="O182" s="34">
        <v>392</v>
      </c>
      <c r="P182" s="3">
        <v>2020</v>
      </c>
      <c r="Q182" s="3">
        <f>VLOOKUP(C182,layoffs_location!A:F,6,FALSE)</f>
        <v>37.779258800000001</v>
      </c>
      <c r="R182" s="3">
        <f>VLOOKUP(C182,layoffs_location!A:G,7,FALSE)</f>
        <v>-122.4193286</v>
      </c>
    </row>
    <row r="183" spans="1:18" ht="16" x14ac:dyDescent="0.2">
      <c r="A183" s="3">
        <v>182</v>
      </c>
      <c r="B183" s="3" t="s">
        <v>791</v>
      </c>
      <c r="C183" s="11" t="s">
        <v>1370</v>
      </c>
      <c r="D183" s="3" t="str">
        <f>VLOOKUP(C183,layoffs_location!A:B,2,FALSE)</f>
        <v>San Francisco Bay Area</v>
      </c>
      <c r="E183" s="3" t="str">
        <f>VLOOKUP(C183,layoffs_location!A:C,3,FALSE)</f>
        <v>California</v>
      </c>
      <c r="F183" s="3" t="str">
        <f>VLOOKUP(C183,layoffs_location!A:D,4,FALSE)</f>
        <v>USA</v>
      </c>
      <c r="G183" s="3" t="str">
        <f>VLOOKUP(C183,layoffs_location!A:E,5,FALSE)</f>
        <v>North America</v>
      </c>
      <c r="H183" s="3">
        <v>30</v>
      </c>
      <c r="I183" s="8">
        <v>43942</v>
      </c>
      <c r="J183" s="9">
        <v>13</v>
      </c>
      <c r="K183" s="10">
        <v>231</v>
      </c>
      <c r="L183" s="10">
        <v>201</v>
      </c>
      <c r="M183" s="3" t="s">
        <v>54</v>
      </c>
      <c r="N183" s="3" t="s">
        <v>108</v>
      </c>
      <c r="O183" s="34">
        <v>165</v>
      </c>
      <c r="P183" s="3">
        <v>2020</v>
      </c>
      <c r="Q183" s="3">
        <f>VLOOKUP(C183,layoffs_location!A:F,6,FALSE)</f>
        <v>37.779258800000001</v>
      </c>
      <c r="R183" s="3">
        <f>VLOOKUP(C183,layoffs_location!A:G,7,FALSE)</f>
        <v>-122.4193286</v>
      </c>
    </row>
    <row r="184" spans="1:18" x14ac:dyDescent="0.2">
      <c r="A184" s="3">
        <v>183</v>
      </c>
      <c r="B184" s="3" t="s">
        <v>871</v>
      </c>
      <c r="C184" s="3" t="s">
        <v>43</v>
      </c>
      <c r="D184" s="3" t="str">
        <f>VLOOKUP(C184,layoffs_location!A:B,2,FALSE)</f>
        <v>Cascadia</v>
      </c>
      <c r="E184" s="3" t="str">
        <f>VLOOKUP(C184,layoffs_location!A:C,3,FALSE)</f>
        <v>Washington</v>
      </c>
      <c r="F184" s="3" t="str">
        <f>VLOOKUP(C184,layoffs_location!A:D,4,FALSE)</f>
        <v>USA</v>
      </c>
      <c r="G184" s="3" t="str">
        <f>VLOOKUP(C184,layoffs_location!A:E,5,FALSE)</f>
        <v>North America</v>
      </c>
      <c r="H184" s="3">
        <v>40</v>
      </c>
      <c r="I184" s="8">
        <v>43942</v>
      </c>
      <c r="J184" s="9">
        <v>13</v>
      </c>
      <c r="K184" s="10">
        <v>308</v>
      </c>
      <c r="L184" s="10">
        <v>268</v>
      </c>
      <c r="M184" s="3" t="s">
        <v>21</v>
      </c>
      <c r="N184" s="3" t="s">
        <v>49</v>
      </c>
      <c r="O184" s="34">
        <v>42</v>
      </c>
      <c r="P184" s="3">
        <v>2020</v>
      </c>
      <c r="Q184" s="3">
        <f>VLOOKUP(C184,layoffs_location!A:F,6,FALSE)</f>
        <v>47.603832099999998</v>
      </c>
      <c r="R184" s="3">
        <f>VLOOKUP(C184,layoffs_location!A:G,7,FALSE)</f>
        <v>-122.330062</v>
      </c>
    </row>
    <row r="185" spans="1:18" x14ac:dyDescent="0.2">
      <c r="A185" s="3">
        <v>184</v>
      </c>
      <c r="B185" s="3" t="s">
        <v>515</v>
      </c>
      <c r="C185" s="3" t="s">
        <v>13</v>
      </c>
      <c r="D185" s="3" t="str">
        <f>VLOOKUP(C185,layoffs_location!A:B,2,FALSE)</f>
        <v>other</v>
      </c>
      <c r="E185" s="3" t="str">
        <f>VLOOKUP(C185,layoffs_location!A:C,3,FALSE)</f>
        <v>Karnataka</v>
      </c>
      <c r="F185" s="3" t="str">
        <f>VLOOKUP(C185,layoffs_location!A:D,4,FALSE)</f>
        <v>India</v>
      </c>
      <c r="G185" s="3" t="str">
        <f>VLOOKUP(C185,layoffs_location!A:E,5,FALSE)</f>
        <v>Asia</v>
      </c>
      <c r="H185" s="3">
        <v>800</v>
      </c>
      <c r="I185" s="8">
        <v>43942</v>
      </c>
      <c r="J185" s="9">
        <v>9.241076585422201</v>
      </c>
      <c r="K185" s="10">
        <v>8657</v>
      </c>
      <c r="L185" s="10">
        <v>7857</v>
      </c>
      <c r="M185" s="3" t="s">
        <v>77</v>
      </c>
      <c r="N185" s="3" t="s">
        <v>567</v>
      </c>
      <c r="O185" s="34">
        <v>1600</v>
      </c>
      <c r="P185" s="3">
        <v>2020</v>
      </c>
      <c r="Q185" s="3">
        <f>VLOOKUP(C185,layoffs_location!A:F,6,FALSE)</f>
        <v>12.98815675</v>
      </c>
      <c r="R185" s="3">
        <f>VLOOKUP(C185,layoffs_location!A:G,7,FALSE)</f>
        <v>77.622600037959998</v>
      </c>
    </row>
    <row r="186" spans="1:18" x14ac:dyDescent="0.2">
      <c r="A186" s="3">
        <v>185</v>
      </c>
      <c r="B186" s="3" t="s">
        <v>1179</v>
      </c>
      <c r="C186" s="3" t="s">
        <v>1370</v>
      </c>
      <c r="D186" s="3" t="str">
        <f>VLOOKUP(C186,layoffs_location!A:B,2,FALSE)</f>
        <v>San Francisco Bay Area</v>
      </c>
      <c r="E186" s="3" t="str">
        <f>VLOOKUP(C186,layoffs_location!A:C,3,FALSE)</f>
        <v>California</v>
      </c>
      <c r="F186" s="3" t="str">
        <f>VLOOKUP(C186,layoffs_location!A:D,4,FALSE)</f>
        <v>USA</v>
      </c>
      <c r="G186" s="3" t="str">
        <f>VLOOKUP(C186,layoffs_location!A:E,5,FALSE)</f>
        <v>North America</v>
      </c>
      <c r="H186" s="3">
        <v>10</v>
      </c>
      <c r="I186" s="8">
        <v>43943</v>
      </c>
      <c r="J186" s="9">
        <v>14</v>
      </c>
      <c r="K186" s="10">
        <v>71</v>
      </c>
      <c r="L186" s="10">
        <v>61</v>
      </c>
      <c r="M186" s="3" t="s">
        <v>32</v>
      </c>
      <c r="N186" s="3" t="s">
        <v>69</v>
      </c>
      <c r="O186" s="34">
        <v>52</v>
      </c>
      <c r="P186" s="3">
        <v>2020</v>
      </c>
      <c r="Q186" s="3">
        <f>VLOOKUP(C186,layoffs_location!A:F,6,FALSE)</f>
        <v>37.779258800000001</v>
      </c>
      <c r="R186" s="3">
        <f>VLOOKUP(C186,layoffs_location!A:G,7,FALSE)</f>
        <v>-122.4193286</v>
      </c>
    </row>
    <row r="187" spans="1:18" x14ac:dyDescent="0.2">
      <c r="A187" s="3">
        <v>186</v>
      </c>
      <c r="B187" s="3" t="s">
        <v>1177</v>
      </c>
      <c r="C187" s="3" t="s">
        <v>220</v>
      </c>
      <c r="D187" s="3" t="str">
        <f>VLOOKUP(C187,layoffs_location!A:B,2,FALSE)</f>
        <v>other</v>
      </c>
      <c r="E187" s="3" t="str">
        <f>VLOOKUP(C187,layoffs_location!A:C,3,FALSE)</f>
        <v>Florida</v>
      </c>
      <c r="F187" s="3" t="str">
        <f>VLOOKUP(C187,layoffs_location!A:D,4,FALSE)</f>
        <v>USA</v>
      </c>
      <c r="G187" s="3" t="str">
        <f>VLOOKUP(C187,layoffs_location!A:E,5,FALSE)</f>
        <v>North America</v>
      </c>
      <c r="H187" s="3">
        <v>1000</v>
      </c>
      <c r="I187" s="8">
        <v>43943</v>
      </c>
      <c r="J187" s="9">
        <v>50</v>
      </c>
      <c r="K187" s="10">
        <v>2000</v>
      </c>
      <c r="L187" s="10">
        <v>1000</v>
      </c>
      <c r="M187" s="3" t="s">
        <v>16</v>
      </c>
      <c r="N187" s="3" t="s">
        <v>36</v>
      </c>
      <c r="O187" s="34">
        <v>2600</v>
      </c>
      <c r="P187" s="3">
        <v>2020</v>
      </c>
      <c r="Q187" s="3">
        <f>VLOOKUP(C187,layoffs_location!A:F,6,FALSE)</f>
        <v>25.774172799999999</v>
      </c>
      <c r="R187" s="3">
        <f>VLOOKUP(C187,layoffs_location!A:G,7,FALSE)</f>
        <v>-80.193619999999996</v>
      </c>
    </row>
    <row r="188" spans="1:18" x14ac:dyDescent="0.2">
      <c r="A188" s="3">
        <v>187</v>
      </c>
      <c r="B188" s="3" t="s">
        <v>1178</v>
      </c>
      <c r="C188" s="3" t="s">
        <v>392</v>
      </c>
      <c r="D188" s="3" t="str">
        <f>VLOOKUP(C188,layoffs_location!A:B,2,FALSE)</f>
        <v>other</v>
      </c>
      <c r="E188" s="3" t="str">
        <f>VLOOKUP(C188,layoffs_location!A:C,3,FALSE)</f>
        <v>Minnesota</v>
      </c>
      <c r="F188" s="3" t="str">
        <f>VLOOKUP(C188,layoffs_location!A:D,4,FALSE)</f>
        <v>USA</v>
      </c>
      <c r="G188" s="3" t="str">
        <f>VLOOKUP(C188,layoffs_location!A:E,5,FALSE)</f>
        <v>North America</v>
      </c>
      <c r="H188" s="3">
        <v>55</v>
      </c>
      <c r="I188" s="8">
        <v>43943</v>
      </c>
      <c r="J188" s="9">
        <v>35</v>
      </c>
      <c r="K188" s="10">
        <v>157</v>
      </c>
      <c r="L188" s="10">
        <v>102</v>
      </c>
      <c r="M188" s="3" t="s">
        <v>84</v>
      </c>
      <c r="N188" s="3" t="s">
        <v>49</v>
      </c>
      <c r="O188" s="34">
        <v>24</v>
      </c>
      <c r="P188" s="3">
        <v>2020</v>
      </c>
      <c r="Q188" s="3">
        <f>VLOOKUP(C188,layoffs_location!A:F,6,FALSE)</f>
        <v>44.977299500000001</v>
      </c>
      <c r="R188" s="3">
        <f>VLOOKUP(C188,layoffs_location!A:G,7,FALSE)</f>
        <v>-93.265469199999998</v>
      </c>
    </row>
    <row r="189" spans="1:18" x14ac:dyDescent="0.2">
      <c r="A189" s="3">
        <v>188</v>
      </c>
      <c r="B189" s="3" t="s">
        <v>1176</v>
      </c>
      <c r="C189" s="3" t="s">
        <v>39</v>
      </c>
      <c r="D189" s="3" t="str">
        <f>VLOOKUP(C189,layoffs_location!A:B,2,FALSE)</f>
        <v>New York</v>
      </c>
      <c r="E189" s="3" t="str">
        <f>VLOOKUP(C189,layoffs_location!A:C,3,FALSE)</f>
        <v>New York</v>
      </c>
      <c r="F189" s="3" t="str">
        <f>VLOOKUP(C189,layoffs_location!A:D,4,FALSE)</f>
        <v>USA</v>
      </c>
      <c r="G189" s="3" t="str">
        <f>VLOOKUP(C189,layoffs_location!A:E,5,FALSE)</f>
        <v>North America</v>
      </c>
      <c r="H189" s="3">
        <v>70</v>
      </c>
      <c r="I189" s="8">
        <v>43944</v>
      </c>
      <c r="J189" s="9">
        <v>5</v>
      </c>
      <c r="K189" s="10">
        <v>1400</v>
      </c>
      <c r="L189" s="10">
        <v>1330</v>
      </c>
      <c r="M189" s="3" t="s">
        <v>21</v>
      </c>
      <c r="N189" s="3" t="s">
        <v>22</v>
      </c>
      <c r="P189" s="3">
        <v>2020</v>
      </c>
      <c r="Q189" s="3">
        <f>VLOOKUP(C189,layoffs_location!A:F,6,FALSE)</f>
        <v>40.7127281</v>
      </c>
      <c r="R189" s="3">
        <f>VLOOKUP(C189,layoffs_location!A:G,7,FALSE)</f>
        <v>-74.006015199999993</v>
      </c>
    </row>
    <row r="190" spans="1:18" x14ac:dyDescent="0.2">
      <c r="A190" s="3">
        <v>189</v>
      </c>
      <c r="B190" s="3" t="s">
        <v>224</v>
      </c>
      <c r="C190" s="3" t="s">
        <v>39</v>
      </c>
      <c r="D190" s="3" t="str">
        <f>VLOOKUP(C190,layoffs_location!A:B,2,FALSE)</f>
        <v>New York</v>
      </c>
      <c r="E190" s="3" t="str">
        <f>VLOOKUP(C190,layoffs_location!A:C,3,FALSE)</f>
        <v>New York</v>
      </c>
      <c r="F190" s="3" t="str">
        <f>VLOOKUP(C190,layoffs_location!A:D,4,FALSE)</f>
        <v>USA</v>
      </c>
      <c r="G190" s="3" t="str">
        <f>VLOOKUP(C190,layoffs_location!A:E,5,FALSE)</f>
        <v>North America</v>
      </c>
      <c r="H190" s="3">
        <v>80</v>
      </c>
      <c r="I190" s="8">
        <v>43944</v>
      </c>
      <c r="J190" s="9">
        <v>9</v>
      </c>
      <c r="K190" s="10">
        <v>889</v>
      </c>
      <c r="L190" s="10">
        <v>809</v>
      </c>
      <c r="M190" s="3" t="s">
        <v>79</v>
      </c>
      <c r="N190" s="3" t="s">
        <v>63</v>
      </c>
      <c r="O190" s="34">
        <v>274</v>
      </c>
      <c r="P190" s="3">
        <v>2020</v>
      </c>
      <c r="Q190" s="3">
        <f>VLOOKUP(C190,layoffs_location!A:F,6,FALSE)</f>
        <v>40.7127281</v>
      </c>
      <c r="R190" s="3">
        <f>VLOOKUP(C190,layoffs_location!A:G,7,FALSE)</f>
        <v>-74.006015199999993</v>
      </c>
    </row>
    <row r="191" spans="1:18" x14ac:dyDescent="0.2">
      <c r="A191" s="3">
        <v>190</v>
      </c>
      <c r="B191" s="3" t="s">
        <v>928</v>
      </c>
      <c r="C191" s="3" t="s">
        <v>65</v>
      </c>
      <c r="D191" s="3" t="str">
        <f>VLOOKUP(C191,layoffs_location!A:B,2,FALSE)</f>
        <v>other</v>
      </c>
      <c r="E191" s="3" t="str">
        <f>VLOOKUP(C191,layoffs_location!A:C,3,FALSE)</f>
        <v>Michigan</v>
      </c>
      <c r="F191" s="3" t="str">
        <f>VLOOKUP(C191,layoffs_location!A:D,4,FALSE)</f>
        <v>USA</v>
      </c>
      <c r="G191" s="3" t="str">
        <f>VLOOKUP(C191,layoffs_location!A:E,5,FALSE)</f>
        <v>North America</v>
      </c>
      <c r="H191" s="3">
        <v>100</v>
      </c>
      <c r="I191" s="8">
        <v>43944</v>
      </c>
      <c r="J191" s="9">
        <v>12</v>
      </c>
      <c r="K191" s="10">
        <v>833</v>
      </c>
      <c r="L191" s="10">
        <v>733</v>
      </c>
      <c r="M191" s="3" t="s">
        <v>30</v>
      </c>
      <c r="N191" s="3" t="s">
        <v>41</v>
      </c>
      <c r="O191" s="34">
        <v>160</v>
      </c>
      <c r="P191" s="3">
        <v>2020</v>
      </c>
      <c r="Q191" s="3">
        <f>VLOOKUP(C191,layoffs_location!A:F,6,FALSE)</f>
        <v>42.331550900000003</v>
      </c>
      <c r="R191" s="3">
        <f>VLOOKUP(C191,layoffs_location!A:G,7,FALSE)</f>
        <v>-83.046640300000007</v>
      </c>
    </row>
    <row r="192" spans="1:18" x14ac:dyDescent="0.2">
      <c r="A192" s="3">
        <v>191</v>
      </c>
      <c r="B192" s="3" t="s">
        <v>1175</v>
      </c>
      <c r="C192" s="3" t="s">
        <v>1370</v>
      </c>
      <c r="D192" s="3" t="str">
        <f>VLOOKUP(C192,layoffs_location!A:B,2,FALSE)</f>
        <v>San Francisco Bay Area</v>
      </c>
      <c r="E192" s="3" t="str">
        <f>VLOOKUP(C192,layoffs_location!A:C,3,FALSE)</f>
        <v>California</v>
      </c>
      <c r="F192" s="3" t="str">
        <f>VLOOKUP(C192,layoffs_location!A:D,4,FALSE)</f>
        <v>USA</v>
      </c>
      <c r="G192" s="3" t="str">
        <f>VLOOKUP(C192,layoffs_location!A:E,5,FALSE)</f>
        <v>North America</v>
      </c>
      <c r="H192" s="3">
        <v>87</v>
      </c>
      <c r="I192" s="8">
        <v>43944</v>
      </c>
      <c r="J192" s="9">
        <v>15</v>
      </c>
      <c r="K192" s="10">
        <v>580</v>
      </c>
      <c r="L192" s="10">
        <v>493</v>
      </c>
      <c r="M192" s="3" t="s">
        <v>84</v>
      </c>
      <c r="N192" s="3" t="s">
        <v>41</v>
      </c>
      <c r="O192" s="34">
        <v>583</v>
      </c>
      <c r="P192" s="3">
        <v>2020</v>
      </c>
      <c r="Q192" s="3">
        <f>VLOOKUP(C192,layoffs_location!A:F,6,FALSE)</f>
        <v>37.779258800000001</v>
      </c>
      <c r="R192" s="3">
        <f>VLOOKUP(C192,layoffs_location!A:G,7,FALSE)</f>
        <v>-122.4193286</v>
      </c>
    </row>
    <row r="193" spans="1:18" x14ac:dyDescent="0.2">
      <c r="A193" s="3">
        <v>192</v>
      </c>
      <c r="B193" s="3" t="s">
        <v>1169</v>
      </c>
      <c r="C193" s="3" t="s">
        <v>179</v>
      </c>
      <c r="D193" s="3" t="str">
        <f>VLOOKUP(C193,layoffs_location!A:B,2,FALSE)</f>
        <v>other</v>
      </c>
      <c r="E193" s="3" t="str">
        <f>VLOOKUP(C193,layoffs_location!A:C,3,FALSE)</f>
        <v>Ontario</v>
      </c>
      <c r="F193" s="3" t="str">
        <f>VLOOKUP(C193,layoffs_location!A:D,4,FALSE)</f>
        <v>Canada</v>
      </c>
      <c r="G193" s="3" t="str">
        <f>VLOOKUP(C193,layoffs_location!A:E,5,FALSE)</f>
        <v>North America</v>
      </c>
      <c r="H193" s="3">
        <v>36</v>
      </c>
      <c r="I193" s="8">
        <v>43945</v>
      </c>
      <c r="J193" s="9">
        <v>23</v>
      </c>
      <c r="K193" s="10">
        <v>157</v>
      </c>
      <c r="L193" s="10">
        <v>121</v>
      </c>
      <c r="M193" s="3" t="s">
        <v>274</v>
      </c>
      <c r="N193" s="3" t="s">
        <v>49</v>
      </c>
      <c r="O193" s="34">
        <v>60</v>
      </c>
      <c r="P193" s="7">
        <v>2024</v>
      </c>
      <c r="Q193" s="3">
        <f>VLOOKUP(C193,layoffs_location!A:F,6,FALSE)</f>
        <v>43.6534817</v>
      </c>
      <c r="R193" s="3">
        <f>VLOOKUP(C193,layoffs_location!A:G,7,FALSE)</f>
        <v>-79.383934699999998</v>
      </c>
    </row>
    <row r="194" spans="1:18" x14ac:dyDescent="0.2">
      <c r="A194" s="3">
        <v>193</v>
      </c>
      <c r="B194" s="3" t="s">
        <v>1168</v>
      </c>
      <c r="C194" s="3" t="s">
        <v>76</v>
      </c>
      <c r="D194" s="3" t="str">
        <f>VLOOKUP(C194,layoffs_location!A:B,2,FALSE)</f>
        <v>other</v>
      </c>
      <c r="E194" s="3" t="str">
        <f>VLOOKUP(C194,layoffs_location!A:C,3,FALSE)</f>
        <v>California</v>
      </c>
      <c r="F194" s="3" t="str">
        <f>VLOOKUP(C194,layoffs_location!A:D,4,FALSE)</f>
        <v>USA</v>
      </c>
      <c r="G194" s="3" t="str">
        <f>VLOOKUP(C194,layoffs_location!A:E,5,FALSE)</f>
        <v>North America</v>
      </c>
      <c r="H194" s="3">
        <v>57</v>
      </c>
      <c r="I194" s="8">
        <v>43945</v>
      </c>
      <c r="J194" s="9">
        <v>36</v>
      </c>
      <c r="K194" s="10">
        <v>158</v>
      </c>
      <c r="L194" s="10">
        <v>101</v>
      </c>
      <c r="M194" s="3" t="s">
        <v>32</v>
      </c>
      <c r="N194" s="3" t="s">
        <v>49</v>
      </c>
      <c r="O194" s="34">
        <v>88</v>
      </c>
      <c r="P194" s="3">
        <v>2020</v>
      </c>
      <c r="Q194" s="3">
        <f>VLOOKUP(C194,layoffs_location!A:F,6,FALSE)</f>
        <v>34.053690899999999</v>
      </c>
      <c r="R194" s="3">
        <f>VLOOKUP(C194,layoffs_location!A:G,7,FALSE)</f>
        <v>-118.242766</v>
      </c>
    </row>
    <row r="195" spans="1:18" x14ac:dyDescent="0.2">
      <c r="A195" s="3">
        <v>194</v>
      </c>
      <c r="B195" s="3" t="s">
        <v>1171</v>
      </c>
      <c r="C195" s="3" t="s">
        <v>135</v>
      </c>
      <c r="D195" s="3" t="str">
        <f>VLOOKUP(C195,layoffs_location!A:B,2,FALSE)</f>
        <v>other</v>
      </c>
      <c r="E195" s="3" t="str">
        <f>VLOOKUP(C195,layoffs_location!A:C,3,FALSE)</f>
        <v>Berlin</v>
      </c>
      <c r="F195" s="3" t="str">
        <f>VLOOKUP(C195,layoffs_location!A:D,4,FALSE)</f>
        <v>Germany</v>
      </c>
      <c r="G195" s="3" t="str">
        <f>VLOOKUP(C195,layoffs_location!A:E,5,FALSE)</f>
        <v>Europe</v>
      </c>
      <c r="H195" s="3">
        <v>15</v>
      </c>
      <c r="I195" s="8">
        <v>43945</v>
      </c>
      <c r="J195" s="9">
        <v>25</v>
      </c>
      <c r="K195" s="10">
        <v>60</v>
      </c>
      <c r="L195" s="10">
        <v>45</v>
      </c>
      <c r="M195" s="3" t="s">
        <v>72</v>
      </c>
      <c r="N195" s="3" t="s">
        <v>49</v>
      </c>
      <c r="O195" s="34">
        <v>30</v>
      </c>
      <c r="P195" s="3">
        <v>2020</v>
      </c>
      <c r="Q195" s="3">
        <f>VLOOKUP(C195,layoffs_location!A:F,6,FALSE)</f>
        <v>52.517036500000003</v>
      </c>
      <c r="R195" s="3">
        <f>VLOOKUP(C195,layoffs_location!A:G,7,FALSE)</f>
        <v>13.3888599</v>
      </c>
    </row>
    <row r="196" spans="1:18" x14ac:dyDescent="0.2">
      <c r="A196" s="3">
        <v>195</v>
      </c>
      <c r="B196" s="3" t="s">
        <v>1173</v>
      </c>
      <c r="C196" s="3" t="s">
        <v>154</v>
      </c>
      <c r="D196" s="3" t="str">
        <f>VLOOKUP(C196,layoffs_location!A:B,2,FALSE)</f>
        <v>other</v>
      </c>
      <c r="E196" s="3" t="str">
        <f>VLOOKUP(C196,layoffs_location!A:C,3,FALSE)</f>
        <v>Illinois</v>
      </c>
      <c r="F196" s="3" t="str">
        <f>VLOOKUP(C196,layoffs_location!A:D,4,FALSE)</f>
        <v>USA</v>
      </c>
      <c r="G196" s="3" t="str">
        <f>VLOOKUP(C196,layoffs_location!A:E,5,FALSE)</f>
        <v>North America</v>
      </c>
      <c r="H196" s="3">
        <v>6</v>
      </c>
      <c r="I196" s="8">
        <v>43945</v>
      </c>
      <c r="J196" s="9">
        <v>21</v>
      </c>
      <c r="K196" s="10">
        <v>29</v>
      </c>
      <c r="L196" s="10">
        <v>23</v>
      </c>
      <c r="M196" s="3" t="s">
        <v>16</v>
      </c>
      <c r="N196" s="3" t="s">
        <v>22</v>
      </c>
      <c r="O196" s="34">
        <v>12</v>
      </c>
      <c r="P196" s="3">
        <v>2020</v>
      </c>
      <c r="Q196" s="3">
        <f>VLOOKUP(C196,layoffs_location!A:F,6,FALSE)</f>
        <v>41.875561599999997</v>
      </c>
      <c r="R196" s="3">
        <f>VLOOKUP(C196,layoffs_location!A:G,7,FALSE)</f>
        <v>-87.6244212</v>
      </c>
    </row>
    <row r="197" spans="1:18" x14ac:dyDescent="0.2">
      <c r="A197" s="3">
        <v>196</v>
      </c>
      <c r="B197" s="3" t="s">
        <v>1090</v>
      </c>
      <c r="C197" s="3" t="s">
        <v>43</v>
      </c>
      <c r="D197" s="3" t="str">
        <f>VLOOKUP(C197,layoffs_location!A:B,2,FALSE)</f>
        <v>Cascadia</v>
      </c>
      <c r="E197" s="3" t="str">
        <f>VLOOKUP(C197,layoffs_location!A:C,3,FALSE)</f>
        <v>Washington</v>
      </c>
      <c r="F197" s="3" t="str">
        <f>VLOOKUP(C197,layoffs_location!A:D,4,FALSE)</f>
        <v>USA</v>
      </c>
      <c r="G197" s="3" t="str">
        <f>VLOOKUP(C197,layoffs_location!A:E,5,FALSE)</f>
        <v>North America</v>
      </c>
      <c r="H197" s="3">
        <v>18</v>
      </c>
      <c r="I197" s="8">
        <v>43945</v>
      </c>
      <c r="J197" s="9">
        <v>22</v>
      </c>
      <c r="K197" s="10">
        <v>82</v>
      </c>
      <c r="L197" s="10">
        <v>64</v>
      </c>
      <c r="M197" s="3" t="s">
        <v>35</v>
      </c>
      <c r="N197" s="3" t="s">
        <v>49</v>
      </c>
      <c r="O197" s="34">
        <v>15</v>
      </c>
      <c r="P197" s="3">
        <v>2020</v>
      </c>
      <c r="Q197" s="3">
        <f>VLOOKUP(C197,layoffs_location!A:F,6,FALSE)</f>
        <v>47.603832099999998</v>
      </c>
      <c r="R197" s="3">
        <f>VLOOKUP(C197,layoffs_location!A:G,7,FALSE)</f>
        <v>-122.330062</v>
      </c>
    </row>
    <row r="198" spans="1:18" x14ac:dyDescent="0.2">
      <c r="A198" s="3">
        <v>197</v>
      </c>
      <c r="B198" s="3" t="s">
        <v>1174</v>
      </c>
      <c r="C198" s="3" t="s">
        <v>187</v>
      </c>
      <c r="D198" s="3" t="str">
        <f>VLOOKUP(C198,layoffs_location!A:B,2,FALSE)</f>
        <v>other</v>
      </c>
      <c r="E198" s="3" t="str">
        <f>VLOOKUP(C198,layoffs_location!A:C,3,FALSE)</f>
        <v>State of São Paulo</v>
      </c>
      <c r="F198" s="3" t="str">
        <f>VLOOKUP(C198,layoffs_location!A:D,4,FALSE)</f>
        <v>Brazil</v>
      </c>
      <c r="G198" s="3" t="str">
        <f>VLOOKUP(C198,layoffs_location!A:E,5,FALSE)</f>
        <v>South America</v>
      </c>
      <c r="H198" s="3">
        <v>4</v>
      </c>
      <c r="I198" s="8">
        <v>43945</v>
      </c>
      <c r="J198" s="9">
        <v>100</v>
      </c>
      <c r="K198" s="10">
        <v>4</v>
      </c>
      <c r="L198" s="10">
        <v>0</v>
      </c>
      <c r="M198" s="3" t="s">
        <v>68</v>
      </c>
      <c r="N198" s="3" t="s">
        <v>69</v>
      </c>
      <c r="O198" s="34">
        <v>2</v>
      </c>
      <c r="P198" s="3">
        <v>2020</v>
      </c>
      <c r="Q198" s="3">
        <f>VLOOKUP(C198,layoffs_location!A:F,6,FALSE)</f>
        <v>-23.550650699999998</v>
      </c>
      <c r="R198" s="3">
        <f>VLOOKUP(C198,layoffs_location!A:G,7,FALSE)</f>
        <v>-46.633382400000002</v>
      </c>
    </row>
    <row r="199" spans="1:18" x14ac:dyDescent="0.2">
      <c r="A199" s="3">
        <v>198</v>
      </c>
      <c r="B199" s="3" t="s">
        <v>1170</v>
      </c>
      <c r="C199" s="3" t="s">
        <v>154</v>
      </c>
      <c r="D199" s="3" t="str">
        <f>VLOOKUP(C199,layoffs_location!A:B,2,FALSE)</f>
        <v>other</v>
      </c>
      <c r="E199" s="3" t="str">
        <f>VLOOKUP(C199,layoffs_location!A:C,3,FALSE)</f>
        <v>Illinois</v>
      </c>
      <c r="F199" s="3" t="str">
        <f>VLOOKUP(C199,layoffs_location!A:D,4,FALSE)</f>
        <v>USA</v>
      </c>
      <c r="G199" s="3" t="str">
        <f>VLOOKUP(C199,layoffs_location!A:E,5,FALSE)</f>
        <v>North America</v>
      </c>
      <c r="H199" s="3">
        <v>19</v>
      </c>
      <c r="I199" s="8">
        <v>43945</v>
      </c>
      <c r="J199" s="9">
        <v>30</v>
      </c>
      <c r="K199" s="10">
        <v>63</v>
      </c>
      <c r="L199" s="10">
        <v>44</v>
      </c>
      <c r="M199" s="3" t="s">
        <v>130</v>
      </c>
      <c r="N199" s="3" t="s">
        <v>69</v>
      </c>
      <c r="O199" s="34">
        <v>7</v>
      </c>
      <c r="P199" s="3">
        <v>2020</v>
      </c>
      <c r="Q199" s="3">
        <f>VLOOKUP(C199,layoffs_location!A:F,6,FALSE)</f>
        <v>41.875561599999997</v>
      </c>
      <c r="R199" s="3">
        <f>VLOOKUP(C199,layoffs_location!A:G,7,FALSE)</f>
        <v>-87.6244212</v>
      </c>
    </row>
    <row r="200" spans="1:18" x14ac:dyDescent="0.2">
      <c r="A200" s="3">
        <v>199</v>
      </c>
      <c r="B200" s="3" t="s">
        <v>1172</v>
      </c>
      <c r="C200" s="3" t="s">
        <v>1370</v>
      </c>
      <c r="D200" s="3" t="str">
        <f>VLOOKUP(C200,layoffs_location!A:B,2,FALSE)</f>
        <v>San Francisco Bay Area</v>
      </c>
      <c r="E200" s="3" t="str">
        <f>VLOOKUP(C200,layoffs_location!A:C,3,FALSE)</f>
        <v>California</v>
      </c>
      <c r="F200" s="3" t="str">
        <f>VLOOKUP(C200,layoffs_location!A:D,4,FALSE)</f>
        <v>USA</v>
      </c>
      <c r="G200" s="3" t="str">
        <f>VLOOKUP(C200,layoffs_location!A:E,5,FALSE)</f>
        <v>North America</v>
      </c>
      <c r="H200" s="3">
        <v>10</v>
      </c>
      <c r="I200" s="8">
        <v>43945</v>
      </c>
      <c r="J200" s="9">
        <v>33</v>
      </c>
      <c r="K200" s="10">
        <v>30</v>
      </c>
      <c r="L200" s="10">
        <v>20</v>
      </c>
      <c r="M200" s="3" t="s">
        <v>21</v>
      </c>
      <c r="N200" s="3" t="s">
        <v>49</v>
      </c>
      <c r="O200" s="34">
        <v>29</v>
      </c>
      <c r="P200" s="3">
        <v>2020</v>
      </c>
      <c r="Q200" s="3">
        <f>VLOOKUP(C200,layoffs_location!A:F,6,FALSE)</f>
        <v>37.779258800000001</v>
      </c>
      <c r="R200" s="3">
        <f>VLOOKUP(C200,layoffs_location!A:G,7,FALSE)</f>
        <v>-122.4193286</v>
      </c>
    </row>
    <row r="201" spans="1:18" x14ac:dyDescent="0.2">
      <c r="A201" s="3">
        <v>200</v>
      </c>
      <c r="B201" s="3" t="s">
        <v>1166</v>
      </c>
      <c r="C201" s="3" t="s">
        <v>1167</v>
      </c>
      <c r="D201" s="3" t="str">
        <f>VLOOKUP(C201,layoffs_location!A:B,2,FALSE)</f>
        <v>other</v>
      </c>
      <c r="E201" s="3" t="str">
        <f>VLOOKUP(C201,layoffs_location!A:C,3,FALSE)</f>
        <v>Montana</v>
      </c>
      <c r="F201" s="3" t="str">
        <f>VLOOKUP(C201,layoffs_location!A:D,4,FALSE)</f>
        <v>USA</v>
      </c>
      <c r="G201" s="3" t="str">
        <f>VLOOKUP(C201,layoffs_location!A:E,5,FALSE)</f>
        <v>North America</v>
      </c>
      <c r="H201" s="3">
        <v>30</v>
      </c>
      <c r="I201" s="8">
        <v>43946</v>
      </c>
      <c r="J201" s="9">
        <v>20</v>
      </c>
      <c r="K201" s="10">
        <v>150</v>
      </c>
      <c r="L201" s="10">
        <v>120</v>
      </c>
      <c r="M201" s="3" t="s">
        <v>60</v>
      </c>
      <c r="N201" s="3" t="s">
        <v>49</v>
      </c>
      <c r="O201" s="34">
        <v>17</v>
      </c>
      <c r="P201" s="3">
        <v>2020</v>
      </c>
      <c r="Q201" s="3">
        <f>VLOOKUP(C201,layoffs_location!A:F,6,FALSE)</f>
        <v>46.870104900000001</v>
      </c>
      <c r="R201" s="3">
        <f>VLOOKUP(C201,layoffs_location!A:G,7,FALSE)</f>
        <v>-113.995267</v>
      </c>
    </row>
    <row r="202" spans="1:18" x14ac:dyDescent="0.2">
      <c r="A202" s="3">
        <v>201</v>
      </c>
      <c r="B202" s="3" t="s">
        <v>1164</v>
      </c>
      <c r="C202" s="3" t="s">
        <v>1694</v>
      </c>
      <c r="D202" s="3" t="str">
        <f>VLOOKUP(C202,layoffs_location!A:B,2,FALSE)</f>
        <v>San Francisco Bay Area</v>
      </c>
      <c r="E202" s="3" t="str">
        <f>VLOOKUP(C202,layoffs_location!A:C,3,FALSE)</f>
        <v>California</v>
      </c>
      <c r="F202" s="3" t="str">
        <f>VLOOKUP(C202,layoffs_location!A:D,4,FALSE)</f>
        <v>USA</v>
      </c>
      <c r="G202" s="3" t="str">
        <f>VLOOKUP(C202,layoffs_location!A:E,5,FALSE)</f>
        <v>North America</v>
      </c>
      <c r="H202" s="3">
        <v>260</v>
      </c>
      <c r="I202" s="8">
        <v>43948</v>
      </c>
      <c r="J202" s="9">
        <v>10</v>
      </c>
      <c r="K202" s="10">
        <v>2600</v>
      </c>
      <c r="L202" s="10">
        <v>2340</v>
      </c>
      <c r="M202" s="3" t="s">
        <v>60</v>
      </c>
      <c r="N202" s="3" t="s">
        <v>49</v>
      </c>
      <c r="O202" s="34">
        <v>840</v>
      </c>
      <c r="P202" s="3">
        <v>2020</v>
      </c>
      <c r="Q202" s="3">
        <f>VLOOKUP(C202,layoffs_location!A:F,6,FALSE)</f>
        <v>37.336166300000002</v>
      </c>
      <c r="R202" s="3">
        <f>VLOOKUP(C202,layoffs_location!A:G,7,FALSE)</f>
        <v>-121.890591</v>
      </c>
    </row>
    <row r="203" spans="1:18" x14ac:dyDescent="0.2">
      <c r="A203" s="3">
        <v>202</v>
      </c>
      <c r="B203" s="3" t="s">
        <v>1165</v>
      </c>
      <c r="C203" s="3" t="s">
        <v>43</v>
      </c>
      <c r="D203" s="3" t="str">
        <f>VLOOKUP(C203,layoffs_location!A:B,2,FALSE)</f>
        <v>Cascadia</v>
      </c>
      <c r="E203" s="3" t="str">
        <f>VLOOKUP(C203,layoffs_location!A:C,3,FALSE)</f>
        <v>Washington</v>
      </c>
      <c r="F203" s="3" t="str">
        <f>VLOOKUP(C203,layoffs_location!A:D,4,FALSE)</f>
        <v>USA</v>
      </c>
      <c r="G203" s="3" t="str">
        <f>VLOOKUP(C203,layoffs_location!A:E,5,FALSE)</f>
        <v>North America</v>
      </c>
      <c r="H203" s="3">
        <v>20</v>
      </c>
      <c r="I203" s="8">
        <v>43948</v>
      </c>
      <c r="J203" s="9">
        <v>20</v>
      </c>
      <c r="K203" s="10">
        <v>100</v>
      </c>
      <c r="L203" s="10">
        <v>80</v>
      </c>
      <c r="M203" s="3" t="s">
        <v>137</v>
      </c>
      <c r="N203" s="3" t="s">
        <v>69</v>
      </c>
      <c r="O203" s="34">
        <v>24</v>
      </c>
      <c r="P203" s="3">
        <v>2020</v>
      </c>
      <c r="Q203" s="3">
        <f>VLOOKUP(C203,layoffs_location!A:F,6,FALSE)</f>
        <v>47.603832099999998</v>
      </c>
      <c r="R203" s="3">
        <f>VLOOKUP(C203,layoffs_location!A:G,7,FALSE)</f>
        <v>-122.330062</v>
      </c>
    </row>
    <row r="204" spans="1:18" x14ac:dyDescent="0.2">
      <c r="A204" s="3">
        <v>203</v>
      </c>
      <c r="B204" s="3" t="s">
        <v>1160</v>
      </c>
      <c r="C204" s="3" t="s">
        <v>1370</v>
      </c>
      <c r="D204" s="3" t="str">
        <f>VLOOKUP(C204,layoffs_location!A:B,2,FALSE)</f>
        <v>San Francisco Bay Area</v>
      </c>
      <c r="E204" s="3" t="str">
        <f>VLOOKUP(C204,layoffs_location!A:C,3,FALSE)</f>
        <v>California</v>
      </c>
      <c r="F204" s="3" t="str">
        <f>VLOOKUP(C204,layoffs_location!A:D,4,FALSE)</f>
        <v>USA</v>
      </c>
      <c r="G204" s="3" t="str">
        <f>VLOOKUP(C204,layoffs_location!A:E,5,FALSE)</f>
        <v>North America</v>
      </c>
      <c r="H204" s="3">
        <v>80</v>
      </c>
      <c r="I204" s="8">
        <v>43949</v>
      </c>
      <c r="J204" s="9">
        <v>18</v>
      </c>
      <c r="K204" s="10">
        <v>444</v>
      </c>
      <c r="L204" s="10">
        <v>364</v>
      </c>
      <c r="M204" s="3" t="s">
        <v>79</v>
      </c>
      <c r="N204" s="3" t="s">
        <v>22</v>
      </c>
      <c r="O204" s="34">
        <v>156</v>
      </c>
      <c r="P204" s="3">
        <v>2020</v>
      </c>
      <c r="Q204" s="3">
        <f>VLOOKUP(C204,layoffs_location!A:F,6,FALSE)</f>
        <v>37.779258800000001</v>
      </c>
      <c r="R204" s="3">
        <f>VLOOKUP(C204,layoffs_location!A:G,7,FALSE)</f>
        <v>-122.4193286</v>
      </c>
    </row>
    <row r="205" spans="1:18" x14ac:dyDescent="0.2">
      <c r="A205" s="3">
        <v>204</v>
      </c>
      <c r="B205" s="3" t="s">
        <v>450</v>
      </c>
      <c r="C205" s="3" t="s">
        <v>58</v>
      </c>
      <c r="D205" s="3" t="str">
        <f>VLOOKUP(C205,layoffs_location!A:B,2,FALSE)</f>
        <v>other</v>
      </c>
      <c r="E205" s="3" t="str">
        <f>VLOOKUP(C205,layoffs_location!A:C,3,FALSE)</f>
        <v>England</v>
      </c>
      <c r="F205" s="3" t="str">
        <f>VLOOKUP(C205,layoffs_location!A:D,4,FALSE)</f>
        <v>UK</v>
      </c>
      <c r="G205" s="3" t="str">
        <f>VLOOKUP(C205,layoffs_location!A:E,5,FALSE)</f>
        <v>Europe</v>
      </c>
      <c r="H205" s="3">
        <v>367</v>
      </c>
      <c r="I205" s="8">
        <v>43949</v>
      </c>
      <c r="J205" s="9">
        <v>15</v>
      </c>
      <c r="K205" s="10">
        <v>2447</v>
      </c>
      <c r="L205" s="10">
        <v>2080</v>
      </c>
      <c r="M205" s="3" t="s">
        <v>77</v>
      </c>
      <c r="N205" s="3" t="s">
        <v>81</v>
      </c>
      <c r="O205" s="34">
        <v>1500</v>
      </c>
      <c r="P205" s="3">
        <v>2020</v>
      </c>
      <c r="Q205" s="3">
        <f>VLOOKUP(C205,layoffs_location!A:F,6,FALSE)</f>
        <v>51.489333500000001</v>
      </c>
      <c r="R205" s="3">
        <f>VLOOKUP(C205,layoffs_location!A:G,7,FALSE)</f>
        <v>-0.14405508452768701</v>
      </c>
    </row>
    <row r="206" spans="1:18" x14ac:dyDescent="0.2">
      <c r="A206" s="3">
        <v>205</v>
      </c>
      <c r="B206" s="3" t="s">
        <v>1161</v>
      </c>
      <c r="C206" s="3" t="s">
        <v>76</v>
      </c>
      <c r="D206" s="3" t="str">
        <f>VLOOKUP(C206,layoffs_location!A:B,2,FALSE)</f>
        <v>other</v>
      </c>
      <c r="E206" s="3" t="str">
        <f>VLOOKUP(C206,layoffs_location!A:C,3,FALSE)</f>
        <v>California</v>
      </c>
      <c r="F206" s="3" t="str">
        <f>VLOOKUP(C206,layoffs_location!A:D,4,FALSE)</f>
        <v>USA</v>
      </c>
      <c r="G206" s="3" t="str">
        <f>VLOOKUP(C206,layoffs_location!A:E,5,FALSE)</f>
        <v>North America</v>
      </c>
      <c r="H206" s="3">
        <v>35</v>
      </c>
      <c r="I206" s="8">
        <v>43949</v>
      </c>
      <c r="J206" s="9">
        <v>15</v>
      </c>
      <c r="K206" s="10">
        <v>233</v>
      </c>
      <c r="L206" s="10">
        <v>198</v>
      </c>
      <c r="M206" s="3" t="s">
        <v>130</v>
      </c>
      <c r="N206" s="3" t="s">
        <v>22</v>
      </c>
      <c r="O206" s="34">
        <v>70</v>
      </c>
      <c r="P206" s="3">
        <v>2020</v>
      </c>
      <c r="Q206" s="3">
        <f>VLOOKUP(C206,layoffs_location!A:F,6,FALSE)</f>
        <v>34.053690899999999</v>
      </c>
      <c r="R206" s="3">
        <f>VLOOKUP(C206,layoffs_location!A:G,7,FALSE)</f>
        <v>-118.242766</v>
      </c>
    </row>
    <row r="207" spans="1:18" ht="16" x14ac:dyDescent="0.2">
      <c r="A207" s="3">
        <v>206</v>
      </c>
      <c r="B207" s="3" t="s">
        <v>1162</v>
      </c>
      <c r="C207" s="11" t="s">
        <v>1370</v>
      </c>
      <c r="D207" s="3" t="str">
        <f>VLOOKUP(C207,layoffs_location!A:B,2,FALSE)</f>
        <v>San Francisco Bay Area</v>
      </c>
      <c r="E207" s="3" t="str">
        <f>VLOOKUP(C207,layoffs_location!A:C,3,FALSE)</f>
        <v>California</v>
      </c>
      <c r="F207" s="3" t="str">
        <f>VLOOKUP(C207,layoffs_location!A:D,4,FALSE)</f>
        <v>USA</v>
      </c>
      <c r="G207" s="3" t="str">
        <f>VLOOKUP(C207,layoffs_location!A:E,5,FALSE)</f>
        <v>North America</v>
      </c>
      <c r="H207" s="3">
        <v>27</v>
      </c>
      <c r="I207" s="8">
        <v>43949</v>
      </c>
      <c r="J207" s="9">
        <v>25</v>
      </c>
      <c r="K207" s="10">
        <v>108</v>
      </c>
      <c r="L207" s="10">
        <v>81</v>
      </c>
      <c r="M207" s="3" t="s">
        <v>35</v>
      </c>
      <c r="N207" s="3" t="s">
        <v>49</v>
      </c>
      <c r="O207" s="34">
        <v>71</v>
      </c>
      <c r="P207" s="3">
        <v>2020</v>
      </c>
      <c r="Q207" s="3">
        <f>VLOOKUP(C207,layoffs_location!A:F,6,FALSE)</f>
        <v>37.779258800000001</v>
      </c>
      <c r="R207" s="3">
        <f>VLOOKUP(C207,layoffs_location!A:G,7,FALSE)</f>
        <v>-122.4193286</v>
      </c>
    </row>
    <row r="208" spans="1:18" x14ac:dyDescent="0.2">
      <c r="A208" s="3">
        <v>207</v>
      </c>
      <c r="B208" s="3" t="s">
        <v>1163</v>
      </c>
      <c r="C208" s="3" t="s">
        <v>76</v>
      </c>
      <c r="D208" s="3" t="str">
        <f>VLOOKUP(C208,layoffs_location!A:B,2,FALSE)</f>
        <v>other</v>
      </c>
      <c r="E208" s="3" t="str">
        <f>VLOOKUP(C208,layoffs_location!A:C,3,FALSE)</f>
        <v>California</v>
      </c>
      <c r="F208" s="3" t="str">
        <f>VLOOKUP(C208,layoffs_location!A:D,4,FALSE)</f>
        <v>USA</v>
      </c>
      <c r="G208" s="3" t="str">
        <f>VLOOKUP(C208,layoffs_location!A:E,5,FALSE)</f>
        <v>North America</v>
      </c>
      <c r="H208" s="3">
        <v>20</v>
      </c>
      <c r="I208" s="8">
        <v>43949</v>
      </c>
      <c r="J208" s="9">
        <v>50</v>
      </c>
      <c r="K208" s="10">
        <v>40</v>
      </c>
      <c r="L208" s="10">
        <v>20</v>
      </c>
      <c r="M208" s="3" t="s">
        <v>30</v>
      </c>
      <c r="N208" s="3" t="s">
        <v>147</v>
      </c>
      <c r="O208" s="34">
        <v>2</v>
      </c>
      <c r="P208" s="3">
        <v>2020</v>
      </c>
      <c r="Q208" s="3">
        <f>VLOOKUP(C208,layoffs_location!A:F,6,FALSE)</f>
        <v>34.053690899999999</v>
      </c>
      <c r="R208" s="3">
        <f>VLOOKUP(C208,layoffs_location!A:G,7,FALSE)</f>
        <v>-118.242766</v>
      </c>
    </row>
    <row r="209" spans="1:18" x14ac:dyDescent="0.2">
      <c r="A209" s="3">
        <v>208</v>
      </c>
      <c r="B209" s="3" t="s">
        <v>70</v>
      </c>
      <c r="C209" s="3" t="s">
        <v>71</v>
      </c>
      <c r="D209" s="3" t="str">
        <f>VLOOKUP(C209,layoffs_location!A:B,2,FALSE)</f>
        <v>other</v>
      </c>
      <c r="E209" s="3" t="str">
        <f>VLOOKUP(C209,layoffs_location!A:C,3,FALSE)</f>
        <v>Massachusetts</v>
      </c>
      <c r="F209" s="3" t="str">
        <f>VLOOKUP(C209,layoffs_location!A:D,4,FALSE)</f>
        <v>USA</v>
      </c>
      <c r="G209" s="3" t="str">
        <f>VLOOKUP(C209,layoffs_location!A:E,5,FALSE)</f>
        <v>North America</v>
      </c>
      <c r="H209" s="3">
        <v>900</v>
      </c>
      <c r="I209" s="8">
        <v>43949</v>
      </c>
      <c r="J209" s="9">
        <v>25</v>
      </c>
      <c r="K209" s="10">
        <v>3600</v>
      </c>
      <c r="L209" s="10">
        <v>2700</v>
      </c>
      <c r="M209" s="3" t="s">
        <v>72</v>
      </c>
      <c r="N209" s="3" t="s">
        <v>28</v>
      </c>
      <c r="O209" s="34">
        <v>3</v>
      </c>
      <c r="P209" s="3">
        <v>2020</v>
      </c>
      <c r="Q209" s="3">
        <f>VLOOKUP(C209,layoffs_location!A:F,6,FALSE)</f>
        <v>42.355433400000003</v>
      </c>
      <c r="R209" s="3">
        <f>VLOOKUP(C209,layoffs_location!A:G,7,FALSE)</f>
        <v>-71.060511000000005</v>
      </c>
    </row>
    <row r="210" spans="1:18" x14ac:dyDescent="0.2">
      <c r="A210" s="3">
        <v>209</v>
      </c>
      <c r="B210" s="3" t="s">
        <v>1158</v>
      </c>
      <c r="C210" s="3" t="s">
        <v>826</v>
      </c>
      <c r="D210" s="3" t="str">
        <f>VLOOKUP(C210,layoffs_location!A:B,2,FALSE)</f>
        <v>other</v>
      </c>
      <c r="E210" s="3" t="str">
        <f>VLOOKUP(C210,layoffs_location!A:C,3,FALSE)</f>
        <v>Connecticut</v>
      </c>
      <c r="F210" s="3" t="str">
        <f>VLOOKUP(C210,layoffs_location!A:D,4,FALSE)</f>
        <v>USA</v>
      </c>
      <c r="G210" s="3" t="str">
        <f>VLOOKUP(C210,layoffs_location!A:E,5,FALSE)</f>
        <v>North America</v>
      </c>
      <c r="H210" s="3">
        <v>160</v>
      </c>
      <c r="I210" s="8">
        <v>43950</v>
      </c>
      <c r="J210" s="9">
        <v>8</v>
      </c>
      <c r="K210" s="10">
        <v>2000</v>
      </c>
      <c r="L210" s="10">
        <v>1840</v>
      </c>
      <c r="M210" s="3" t="s">
        <v>72</v>
      </c>
      <c r="N210" s="3" t="s">
        <v>33</v>
      </c>
      <c r="O210" s="34">
        <v>229</v>
      </c>
      <c r="P210" s="3">
        <v>2020</v>
      </c>
      <c r="Q210" s="3">
        <f>VLOOKUP(C210,layoffs_location!A:F,6,FALSE)</f>
        <v>41.053430200000001</v>
      </c>
      <c r="R210" s="3">
        <f>VLOOKUP(C210,layoffs_location!A:G,7,FALSE)</f>
        <v>-73.538734099999999</v>
      </c>
    </row>
    <row r="211" spans="1:18" ht="16" x14ac:dyDescent="0.2">
      <c r="A211" s="3">
        <v>210</v>
      </c>
      <c r="B211" s="3" t="s">
        <v>1159</v>
      </c>
      <c r="C211" s="11" t="s">
        <v>1370</v>
      </c>
      <c r="D211" s="3" t="str">
        <f>VLOOKUP(C211,layoffs_location!A:B,2,FALSE)</f>
        <v>San Francisco Bay Area</v>
      </c>
      <c r="E211" s="3" t="str">
        <f>VLOOKUP(C211,layoffs_location!A:C,3,FALSE)</f>
        <v>California</v>
      </c>
      <c r="F211" s="3" t="str">
        <f>VLOOKUP(C211,layoffs_location!A:D,4,FALSE)</f>
        <v>USA</v>
      </c>
      <c r="G211" s="3" t="str">
        <f>VLOOKUP(C211,layoffs_location!A:E,5,FALSE)</f>
        <v>North America</v>
      </c>
      <c r="H211" s="3">
        <v>80</v>
      </c>
      <c r="I211" s="8">
        <v>43950</v>
      </c>
      <c r="J211" s="9">
        <v>13</v>
      </c>
      <c r="K211" s="10">
        <v>615</v>
      </c>
      <c r="L211" s="10">
        <v>535</v>
      </c>
      <c r="M211" s="3" t="s">
        <v>32</v>
      </c>
      <c r="N211" s="3" t="s">
        <v>108</v>
      </c>
      <c r="O211" s="34">
        <v>765</v>
      </c>
      <c r="P211" s="3">
        <v>2020</v>
      </c>
      <c r="Q211" s="3">
        <f>VLOOKUP(C211,layoffs_location!A:F,6,FALSE)</f>
        <v>37.779258800000001</v>
      </c>
      <c r="R211" s="3">
        <f>VLOOKUP(C211,layoffs_location!A:G,7,FALSE)</f>
        <v>-122.4193286</v>
      </c>
    </row>
    <row r="212" spans="1:18" ht="16" x14ac:dyDescent="0.2">
      <c r="A212" s="3">
        <v>211</v>
      </c>
      <c r="B212" s="3" t="s">
        <v>328</v>
      </c>
      <c r="C212" s="11" t="s">
        <v>1370</v>
      </c>
      <c r="D212" s="3" t="str">
        <f>VLOOKUP(C212,layoffs_location!A:B,2,FALSE)</f>
        <v>San Francisco Bay Area</v>
      </c>
      <c r="E212" s="3" t="str">
        <f>VLOOKUP(C212,layoffs_location!A:C,3,FALSE)</f>
        <v>California</v>
      </c>
      <c r="F212" s="3" t="str">
        <f>VLOOKUP(C212,layoffs_location!A:D,4,FALSE)</f>
        <v>USA</v>
      </c>
      <c r="G212" s="3" t="str">
        <f>VLOOKUP(C212,layoffs_location!A:E,5,FALSE)</f>
        <v>North America</v>
      </c>
      <c r="H212" s="3">
        <v>982</v>
      </c>
      <c r="I212" s="8">
        <v>43950</v>
      </c>
      <c r="J212" s="9">
        <v>17</v>
      </c>
      <c r="K212" s="10">
        <v>5776</v>
      </c>
      <c r="L212" s="10">
        <v>4794</v>
      </c>
      <c r="M212" s="3" t="s">
        <v>32</v>
      </c>
      <c r="N212" s="3" t="s">
        <v>28</v>
      </c>
      <c r="O212" s="34">
        <v>4900</v>
      </c>
      <c r="P212" s="3">
        <v>2020</v>
      </c>
      <c r="Q212" s="3">
        <f>VLOOKUP(C212,layoffs_location!A:F,6,FALSE)</f>
        <v>37.779258800000001</v>
      </c>
      <c r="R212" s="3">
        <f>VLOOKUP(C212,layoffs_location!A:G,7,FALSE)</f>
        <v>-122.4193286</v>
      </c>
    </row>
    <row r="213" spans="1:18" x14ac:dyDescent="0.2">
      <c r="A213" s="3">
        <v>212</v>
      </c>
      <c r="B213" s="3" t="s">
        <v>1687</v>
      </c>
      <c r="C213" s="3" t="s">
        <v>39</v>
      </c>
      <c r="D213" s="3" t="str">
        <f>VLOOKUP(C213,layoffs_location!A:B,2,FALSE)</f>
        <v>New York</v>
      </c>
      <c r="E213" s="3" t="str">
        <f>VLOOKUP(C213,layoffs_location!A:C,3,FALSE)</f>
        <v>New York</v>
      </c>
      <c r="F213" s="3" t="str">
        <f>VLOOKUP(C213,layoffs_location!A:D,4,FALSE)</f>
        <v>USA</v>
      </c>
      <c r="G213" s="3" t="str">
        <f>VLOOKUP(C213,layoffs_location!A:E,5,FALSE)</f>
        <v>North America</v>
      </c>
      <c r="H213" s="3">
        <v>24</v>
      </c>
      <c r="I213" s="8">
        <v>43950</v>
      </c>
      <c r="J213" s="9">
        <v>10</v>
      </c>
      <c r="K213" s="10">
        <v>240</v>
      </c>
      <c r="L213" s="10">
        <v>216</v>
      </c>
      <c r="M213" s="3" t="s">
        <v>90</v>
      </c>
      <c r="N213" s="3" t="s">
        <v>108</v>
      </c>
      <c r="O213" s="34">
        <v>128</v>
      </c>
      <c r="P213" s="3">
        <v>2020</v>
      </c>
      <c r="Q213" s="3">
        <f>VLOOKUP(C213,layoffs_location!A:F,6,FALSE)</f>
        <v>40.7127281</v>
      </c>
      <c r="R213" s="3">
        <f>VLOOKUP(C213,layoffs_location!A:G,7,FALSE)</f>
        <v>-74.006015199999993</v>
      </c>
    </row>
    <row r="214" spans="1:18" x14ac:dyDescent="0.2">
      <c r="A214" s="3">
        <v>213</v>
      </c>
      <c r="B214" s="3" t="s">
        <v>1156</v>
      </c>
      <c r="C214" s="3" t="s">
        <v>58</v>
      </c>
      <c r="D214" s="3" t="str">
        <f>VLOOKUP(C214,layoffs_location!A:B,2,FALSE)</f>
        <v>other</v>
      </c>
      <c r="E214" s="3" t="str">
        <f>VLOOKUP(C214,layoffs_location!A:C,3,FALSE)</f>
        <v>England</v>
      </c>
      <c r="F214" s="3" t="str">
        <f>VLOOKUP(C214,layoffs_location!A:D,4,FALSE)</f>
        <v>UK</v>
      </c>
      <c r="G214" s="3" t="str">
        <f>VLOOKUP(C214,layoffs_location!A:E,5,FALSE)</f>
        <v>Europe</v>
      </c>
      <c r="H214" s="3">
        <v>95</v>
      </c>
      <c r="I214" s="8">
        <v>43952</v>
      </c>
      <c r="J214" s="9">
        <v>32</v>
      </c>
      <c r="K214" s="10">
        <v>297</v>
      </c>
      <c r="L214" s="10">
        <v>202</v>
      </c>
      <c r="M214" s="3" t="s">
        <v>54</v>
      </c>
      <c r="N214" s="3" t="s">
        <v>49</v>
      </c>
      <c r="O214" s="34">
        <v>102</v>
      </c>
      <c r="P214" s="3">
        <v>2020</v>
      </c>
      <c r="Q214" s="3">
        <f>VLOOKUP(C214,layoffs_location!A:F,6,FALSE)</f>
        <v>51.489333500000001</v>
      </c>
      <c r="R214" s="3">
        <f>VLOOKUP(C214,layoffs_location!A:G,7,FALSE)</f>
        <v>-0.14405508452768701</v>
      </c>
    </row>
    <row r="215" spans="1:18" x14ac:dyDescent="0.2">
      <c r="A215" s="3">
        <v>214</v>
      </c>
      <c r="B215" s="3" t="s">
        <v>1155</v>
      </c>
      <c r="C215" s="3" t="s">
        <v>39</v>
      </c>
      <c r="D215" s="3" t="str">
        <f>VLOOKUP(C215,layoffs_location!A:B,2,FALSE)</f>
        <v>New York</v>
      </c>
      <c r="E215" s="3" t="str">
        <f>VLOOKUP(C215,layoffs_location!A:C,3,FALSE)</f>
        <v>New York</v>
      </c>
      <c r="F215" s="3" t="str">
        <f>VLOOKUP(C215,layoffs_location!A:D,4,FALSE)</f>
        <v>USA</v>
      </c>
      <c r="G215" s="3" t="str">
        <f>VLOOKUP(C215,layoffs_location!A:E,5,FALSE)</f>
        <v>North America</v>
      </c>
      <c r="H215" s="3">
        <v>110</v>
      </c>
      <c r="I215" s="8">
        <v>43952</v>
      </c>
      <c r="J215" s="9">
        <v>40</v>
      </c>
      <c r="K215" s="10">
        <v>275</v>
      </c>
      <c r="L215" s="10">
        <v>165</v>
      </c>
      <c r="M215" s="3" t="s">
        <v>84</v>
      </c>
      <c r="N215" s="3" t="s">
        <v>36</v>
      </c>
      <c r="O215" s="34">
        <v>217</v>
      </c>
      <c r="P215" s="3">
        <v>2020</v>
      </c>
      <c r="Q215" s="3">
        <f>VLOOKUP(C215,layoffs_location!A:F,6,FALSE)</f>
        <v>40.7127281</v>
      </c>
      <c r="R215" s="3">
        <f>VLOOKUP(C215,layoffs_location!A:G,7,FALSE)</f>
        <v>-74.006015199999993</v>
      </c>
    </row>
    <row r="216" spans="1:18" ht="16" x14ac:dyDescent="0.2">
      <c r="A216" s="3">
        <v>215</v>
      </c>
      <c r="B216" s="3" t="s">
        <v>1157</v>
      </c>
      <c r="C216" s="11" t="s">
        <v>1370</v>
      </c>
      <c r="D216" s="3" t="str">
        <f>VLOOKUP(C216,layoffs_location!A:B,2,FALSE)</f>
        <v>San Francisco Bay Area</v>
      </c>
      <c r="E216" s="3" t="str">
        <f>VLOOKUP(C216,layoffs_location!A:C,3,FALSE)</f>
        <v>California</v>
      </c>
      <c r="F216" s="3" t="str">
        <f>VLOOKUP(C216,layoffs_location!A:D,4,FALSE)</f>
        <v>USA</v>
      </c>
      <c r="G216" s="3" t="str">
        <f>VLOOKUP(C216,layoffs_location!A:E,5,FALSE)</f>
        <v>North America</v>
      </c>
      <c r="H216" s="3">
        <v>80</v>
      </c>
      <c r="I216" s="8">
        <v>43952</v>
      </c>
      <c r="J216" s="9">
        <v>80</v>
      </c>
      <c r="K216" s="10">
        <v>100</v>
      </c>
      <c r="L216" s="10">
        <v>20</v>
      </c>
      <c r="M216" s="3" t="s">
        <v>16</v>
      </c>
      <c r="N216" s="3" t="s">
        <v>69</v>
      </c>
      <c r="O216" s="34">
        <v>82</v>
      </c>
      <c r="P216" s="3">
        <v>2020</v>
      </c>
      <c r="Q216" s="3">
        <f>VLOOKUP(C216,layoffs_location!A:F,6,FALSE)</f>
        <v>37.779258800000001</v>
      </c>
      <c r="R216" s="3">
        <f>VLOOKUP(C216,layoffs_location!A:G,7,FALSE)</f>
        <v>-122.4193286</v>
      </c>
    </row>
    <row r="217" spans="1:18" x14ac:dyDescent="0.2">
      <c r="A217" s="3">
        <v>216</v>
      </c>
      <c r="B217" s="3" t="s">
        <v>311</v>
      </c>
      <c r="C217" s="3" t="s">
        <v>39</v>
      </c>
      <c r="D217" s="3" t="str">
        <f>VLOOKUP(C217,layoffs_location!A:B,2,FALSE)</f>
        <v>New York</v>
      </c>
      <c r="E217" s="3" t="str">
        <f>VLOOKUP(C217,layoffs_location!A:C,3,FALSE)</f>
        <v>New York</v>
      </c>
      <c r="F217" s="3" t="str">
        <f>VLOOKUP(C217,layoffs_location!A:D,4,FALSE)</f>
        <v>USA</v>
      </c>
      <c r="G217" s="3" t="str">
        <f>VLOOKUP(C217,layoffs_location!A:E,5,FALSE)</f>
        <v>North America</v>
      </c>
      <c r="H217" s="3">
        <v>26</v>
      </c>
      <c r="I217" s="8">
        <v>43952</v>
      </c>
      <c r="J217" s="9">
        <v>20</v>
      </c>
      <c r="K217" s="10">
        <v>130</v>
      </c>
      <c r="L217" s="10">
        <v>104</v>
      </c>
      <c r="M217" s="3" t="s">
        <v>54</v>
      </c>
      <c r="N217" s="3" t="s">
        <v>41</v>
      </c>
      <c r="O217" s="34">
        <v>28</v>
      </c>
      <c r="P217" s="3">
        <v>2020</v>
      </c>
      <c r="Q217" s="3">
        <f>VLOOKUP(C217,layoffs_location!A:F,6,FALSE)</f>
        <v>40.7127281</v>
      </c>
      <c r="R217" s="3">
        <f>VLOOKUP(C217,layoffs_location!A:G,7,FALSE)</f>
        <v>-74.006015199999993</v>
      </c>
    </row>
    <row r="218" spans="1:18" x14ac:dyDescent="0.2">
      <c r="A218" s="3">
        <v>217</v>
      </c>
      <c r="B218" s="3" t="s">
        <v>660</v>
      </c>
      <c r="C218" s="3" t="s">
        <v>47</v>
      </c>
      <c r="D218" s="3" t="str">
        <f>VLOOKUP(C218,layoffs_location!A:B,2,FALSE)</f>
        <v>other</v>
      </c>
      <c r="E218" s="3" t="str">
        <f>VLOOKUP(C218,layoffs_location!A:C,3,FALSE)</f>
        <v>non</v>
      </c>
      <c r="F218" s="3" t="str">
        <f>VLOOKUP(C218,layoffs_location!A:D,4,FALSE)</f>
        <v>Israel</v>
      </c>
      <c r="G218" s="3" t="str">
        <f>VLOOKUP(C218,layoffs_location!A:E,5,FALSE)</f>
        <v>Asia</v>
      </c>
      <c r="H218" s="3">
        <v>120</v>
      </c>
      <c r="I218" s="8">
        <v>43954</v>
      </c>
      <c r="J218" s="9">
        <v>10</v>
      </c>
      <c r="K218" s="10">
        <v>1200</v>
      </c>
      <c r="L218" s="10">
        <v>1080</v>
      </c>
      <c r="M218" s="3" t="s">
        <v>30</v>
      </c>
      <c r="N218" s="3" t="s">
        <v>108</v>
      </c>
      <c r="O218" s="34">
        <v>386</v>
      </c>
      <c r="P218" s="3">
        <v>2020</v>
      </c>
      <c r="Q218" s="3">
        <f>VLOOKUP(C218,layoffs_location!A:F,6,FALSE)</f>
        <v>32.0852997</v>
      </c>
      <c r="R218" s="3">
        <f>VLOOKUP(C218,layoffs_location!A:G,7,FALSE)</f>
        <v>34.781806400000001</v>
      </c>
    </row>
    <row r="219" spans="1:18" x14ac:dyDescent="0.2">
      <c r="A219" s="3">
        <v>218</v>
      </c>
      <c r="B219" s="3" t="s">
        <v>1150</v>
      </c>
      <c r="C219" s="3" t="s">
        <v>663</v>
      </c>
      <c r="D219" s="3" t="str">
        <f>VLOOKUP(C219,layoffs_location!A:B,2,FALSE)</f>
        <v>other</v>
      </c>
      <c r="E219" s="3" t="str">
        <f>VLOOKUP(C219,layoffs_location!A:C,3,FALSE)</f>
        <v>non</v>
      </c>
      <c r="F219" s="3" t="str">
        <f>VLOOKUP(C219,layoffs_location!A:D,4,FALSE)</f>
        <v>United Arabian Emirates</v>
      </c>
      <c r="G219" s="3" t="str">
        <f>VLOOKUP(C219,layoffs_location!A:E,5,FALSE)</f>
        <v>Asia</v>
      </c>
      <c r="H219" s="3">
        <v>536</v>
      </c>
      <c r="I219" s="8">
        <v>43955</v>
      </c>
      <c r="J219" s="9">
        <v>31</v>
      </c>
      <c r="K219" s="10">
        <v>1729</v>
      </c>
      <c r="L219" s="10">
        <v>1193</v>
      </c>
      <c r="M219" s="3" t="s">
        <v>32</v>
      </c>
      <c r="N219" s="3" t="s">
        <v>33</v>
      </c>
      <c r="O219" s="34">
        <v>771</v>
      </c>
      <c r="P219" s="3">
        <v>2020</v>
      </c>
      <c r="Q219" s="3">
        <f>VLOOKUP(C219,layoffs_location!A:F,6,FALSE)</f>
        <v>25.276986999999998</v>
      </c>
      <c r="R219" s="3">
        <f>VLOOKUP(C219,layoffs_location!A:G,7,FALSE)</f>
        <v>55.296249000000003</v>
      </c>
    </row>
    <row r="220" spans="1:18" x14ac:dyDescent="0.2">
      <c r="A220" s="3">
        <v>219</v>
      </c>
      <c r="B220" s="3" t="s">
        <v>1149</v>
      </c>
      <c r="C220" s="3" t="s">
        <v>13</v>
      </c>
      <c r="D220" s="3" t="str">
        <f>VLOOKUP(C220,layoffs_location!A:B,2,FALSE)</f>
        <v>other</v>
      </c>
      <c r="E220" s="3" t="str">
        <f>VLOOKUP(C220,layoffs_location!A:C,3,FALSE)</f>
        <v>Karnataka</v>
      </c>
      <c r="F220" s="3" t="str">
        <f>VLOOKUP(C220,layoffs_location!A:D,4,FALSE)</f>
        <v>India</v>
      </c>
      <c r="G220" s="3" t="str">
        <f>VLOOKUP(C220,layoffs_location!A:E,5,FALSE)</f>
        <v>Asia</v>
      </c>
      <c r="H220" s="3">
        <v>800</v>
      </c>
      <c r="I220" s="8">
        <v>43955</v>
      </c>
      <c r="J220" s="9">
        <v>16</v>
      </c>
      <c r="K220" s="10">
        <v>5000</v>
      </c>
      <c r="L220" s="10">
        <v>4200</v>
      </c>
      <c r="M220" s="3" t="s">
        <v>399</v>
      </c>
      <c r="N220" s="3" t="s">
        <v>108</v>
      </c>
      <c r="O220" s="34">
        <v>404</v>
      </c>
      <c r="P220" s="3">
        <v>2020</v>
      </c>
      <c r="Q220" s="3">
        <f>VLOOKUP(C220,layoffs_location!A:F,6,FALSE)</f>
        <v>12.98815675</v>
      </c>
      <c r="R220" s="3">
        <f>VLOOKUP(C220,layoffs_location!A:G,7,FALSE)</f>
        <v>77.622600037959998</v>
      </c>
    </row>
    <row r="221" spans="1:18" x14ac:dyDescent="0.2">
      <c r="A221" s="3">
        <v>220</v>
      </c>
      <c r="B221" s="3" t="s">
        <v>1153</v>
      </c>
      <c r="C221" s="3" t="s">
        <v>231</v>
      </c>
      <c r="D221" s="3" t="str">
        <f>VLOOKUP(C221,layoffs_location!A:B,2,FALSE)</f>
        <v>other</v>
      </c>
      <c r="E221" s="3" t="str">
        <f>VLOOKUP(C221,layoffs_location!A:C,3,FALSE)</f>
        <v>New South Wales</v>
      </c>
      <c r="F221" s="3" t="str">
        <f>VLOOKUP(C221,layoffs_location!A:D,4,FALSE)</f>
        <v>Australia</v>
      </c>
      <c r="G221" s="3" t="str">
        <f>VLOOKUP(C221,layoffs_location!A:E,5,FALSE)</f>
        <v>Oceana</v>
      </c>
      <c r="H221" s="3">
        <v>60</v>
      </c>
      <c r="I221" s="8">
        <v>43955</v>
      </c>
      <c r="J221" s="9">
        <v>30</v>
      </c>
      <c r="K221" s="10">
        <v>200</v>
      </c>
      <c r="L221" s="10">
        <v>140</v>
      </c>
      <c r="M221" s="3" t="s">
        <v>84</v>
      </c>
      <c r="N221" s="3" t="s">
        <v>49</v>
      </c>
      <c r="O221" s="34">
        <v>106</v>
      </c>
      <c r="P221" s="3">
        <v>2020</v>
      </c>
      <c r="Q221" s="3">
        <f>VLOOKUP(C221,layoffs_location!A:F,6,FALSE)</f>
        <v>-33.869843899999999</v>
      </c>
      <c r="R221" s="3">
        <f>VLOOKUP(C221,layoffs_location!A:G,7,FALSE)</f>
        <v>151.2082848</v>
      </c>
    </row>
    <row r="222" spans="1:18" x14ac:dyDescent="0.2">
      <c r="A222" s="3">
        <v>221</v>
      </c>
      <c r="B222" s="3" t="s">
        <v>1152</v>
      </c>
      <c r="C222" s="3" t="s">
        <v>115</v>
      </c>
      <c r="D222" s="3" t="str">
        <f>VLOOKUP(C222,layoffs_location!A:B,2,FALSE)</f>
        <v>other</v>
      </c>
      <c r="E222" s="3" t="str">
        <f>VLOOKUP(C222,layoffs_location!A:C,3,FALSE)</f>
        <v>Quebec</v>
      </c>
      <c r="F222" s="3" t="str">
        <f>VLOOKUP(C222,layoffs_location!A:D,4,FALSE)</f>
        <v>Canada</v>
      </c>
      <c r="G222" s="3" t="str">
        <f>VLOOKUP(C222,layoffs_location!A:E,5,FALSE)</f>
        <v>North America</v>
      </c>
      <c r="H222" s="3">
        <v>62</v>
      </c>
      <c r="I222" s="8">
        <v>43955</v>
      </c>
      <c r="J222" s="9">
        <v>15</v>
      </c>
      <c r="K222" s="10">
        <v>413</v>
      </c>
      <c r="L222" s="10">
        <v>351</v>
      </c>
      <c r="M222" s="3" t="s">
        <v>60</v>
      </c>
      <c r="N222" s="3" t="s">
        <v>49</v>
      </c>
      <c r="O222" s="34">
        <v>257</v>
      </c>
      <c r="P222" s="3">
        <v>2020</v>
      </c>
      <c r="Q222" s="3">
        <f>VLOOKUP(C222,layoffs_location!A:F,6,FALSE)</f>
        <v>45.5031824</v>
      </c>
      <c r="R222" s="3">
        <f>VLOOKUP(C222,layoffs_location!A:G,7,FALSE)</f>
        <v>-73.569806499999999</v>
      </c>
    </row>
    <row r="223" spans="1:18" x14ac:dyDescent="0.2">
      <c r="A223" s="3">
        <v>222</v>
      </c>
      <c r="B223" s="3" t="s">
        <v>1154</v>
      </c>
      <c r="C223" s="3" t="s">
        <v>179</v>
      </c>
      <c r="D223" s="3" t="str">
        <f>VLOOKUP(C223,layoffs_location!A:B,2,FALSE)</f>
        <v>other</v>
      </c>
      <c r="E223" s="3" t="str">
        <f>VLOOKUP(C223,layoffs_location!A:C,3,FALSE)</f>
        <v>Ontario</v>
      </c>
      <c r="F223" s="3" t="str">
        <f>VLOOKUP(C223,layoffs_location!A:D,4,FALSE)</f>
        <v>Canada</v>
      </c>
      <c r="G223" s="3" t="str">
        <f>VLOOKUP(C223,layoffs_location!A:E,5,FALSE)</f>
        <v>North America</v>
      </c>
      <c r="H223" s="3">
        <v>11</v>
      </c>
      <c r="I223" s="8">
        <v>43955</v>
      </c>
      <c r="J223" s="9">
        <v>8</v>
      </c>
      <c r="K223" s="10">
        <v>138</v>
      </c>
      <c r="L223" s="10">
        <v>127</v>
      </c>
      <c r="M223" s="3" t="s">
        <v>92</v>
      </c>
      <c r="N223" s="3" t="s">
        <v>69</v>
      </c>
      <c r="O223" s="34">
        <v>11</v>
      </c>
      <c r="P223" s="3">
        <v>2020</v>
      </c>
      <c r="Q223" s="3">
        <f>VLOOKUP(C223,layoffs_location!A:F,6,FALSE)</f>
        <v>43.6534817</v>
      </c>
      <c r="R223" s="3">
        <f>VLOOKUP(C223,layoffs_location!A:G,7,FALSE)</f>
        <v>-79.383934699999998</v>
      </c>
    </row>
    <row r="224" spans="1:18" x14ac:dyDescent="0.2">
      <c r="A224" s="3">
        <v>223</v>
      </c>
      <c r="B224" s="3" t="s">
        <v>1151</v>
      </c>
      <c r="C224" s="3" t="s">
        <v>903</v>
      </c>
      <c r="D224" s="3" t="str">
        <f>VLOOKUP(C224,layoffs_location!A:B,2,FALSE)</f>
        <v>other</v>
      </c>
      <c r="E224" s="3" t="str">
        <f>VLOOKUP(C224,layoffs_location!A:C,3,FALSE)</f>
        <v>non</v>
      </c>
      <c r="F224" s="3" t="str">
        <f>VLOOKUP(C224,layoffs_location!A:D,4,FALSE)</f>
        <v>Hong Kong</v>
      </c>
      <c r="G224" s="3" t="str">
        <f>VLOOKUP(C224,layoffs_location!A:E,5,FALSE)</f>
        <v>Asia</v>
      </c>
      <c r="H224" s="3">
        <v>400</v>
      </c>
      <c r="I224" s="8">
        <v>43955</v>
      </c>
      <c r="J224" s="9">
        <v>20</v>
      </c>
      <c r="K224" s="10">
        <v>2000</v>
      </c>
      <c r="L224" s="10">
        <v>1600</v>
      </c>
      <c r="M224" s="3" t="s">
        <v>35</v>
      </c>
      <c r="N224" s="3" t="s">
        <v>49</v>
      </c>
      <c r="O224" s="34">
        <v>175</v>
      </c>
      <c r="P224" s="3">
        <v>2020</v>
      </c>
      <c r="Q224" s="3">
        <f>VLOOKUP(C224,layoffs_location!A:F,6,FALSE)</f>
        <v>22.279327800000001</v>
      </c>
      <c r="R224" s="3">
        <f>VLOOKUP(C224,layoffs_location!A:G,7,FALSE)</f>
        <v>114.16281309999999</v>
      </c>
    </row>
    <row r="225" spans="1:18" x14ac:dyDescent="0.2">
      <c r="A225" s="3">
        <v>224</v>
      </c>
      <c r="B225" s="3" t="s">
        <v>158</v>
      </c>
      <c r="C225" s="3" t="s">
        <v>159</v>
      </c>
      <c r="D225" s="3" t="str">
        <f>VLOOKUP(C225,layoffs_location!A:B,2,FALSE)</f>
        <v>other</v>
      </c>
      <c r="E225" s="3" t="str">
        <f>VLOOKUP(C225,layoffs_location!A:C,3,FALSE)</f>
        <v>non</v>
      </c>
      <c r="F225" s="3" t="str">
        <f>VLOOKUP(C225,layoffs_location!A:D,4,FALSE)</f>
        <v>Estonia</v>
      </c>
      <c r="G225" s="3" t="str">
        <f>VLOOKUP(C225,layoffs_location!A:E,5,FALSE)</f>
        <v>Europe</v>
      </c>
      <c r="H225" s="3">
        <v>63</v>
      </c>
      <c r="I225" s="8">
        <v>43955</v>
      </c>
      <c r="J225" s="9">
        <v>21</v>
      </c>
      <c r="K225" s="10">
        <v>300</v>
      </c>
      <c r="L225" s="10">
        <v>237</v>
      </c>
      <c r="M225" s="3" t="s">
        <v>139</v>
      </c>
      <c r="N225" s="3" t="s">
        <v>69</v>
      </c>
      <c r="O225" s="34">
        <v>7</v>
      </c>
      <c r="P225" s="3">
        <v>2020</v>
      </c>
      <c r="Q225" s="3">
        <f>VLOOKUP(C225,layoffs_location!A:F,6,FALSE)</f>
        <v>59.437215500000001</v>
      </c>
      <c r="R225" s="3">
        <f>VLOOKUP(C225,layoffs_location!A:G,7,FALSE)</f>
        <v>24.745368800000001</v>
      </c>
    </row>
    <row r="226" spans="1:18" x14ac:dyDescent="0.2">
      <c r="A226" s="3">
        <v>225</v>
      </c>
      <c r="B226" s="3" t="s">
        <v>1146</v>
      </c>
      <c r="C226" s="3" t="s">
        <v>1370</v>
      </c>
      <c r="D226" s="3" t="str">
        <f>VLOOKUP(C226,layoffs_location!A:B,2,FALSE)</f>
        <v>San Francisco Bay Area</v>
      </c>
      <c r="E226" s="3" t="str">
        <f>VLOOKUP(C226,layoffs_location!A:C,3,FALSE)</f>
        <v>California</v>
      </c>
      <c r="F226" s="3" t="str">
        <f>VLOOKUP(C226,layoffs_location!A:D,4,FALSE)</f>
        <v>USA</v>
      </c>
      <c r="G226" s="3" t="str">
        <f>VLOOKUP(C226,layoffs_location!A:E,5,FALSE)</f>
        <v>North America</v>
      </c>
      <c r="H226" s="3">
        <v>1900</v>
      </c>
      <c r="I226" s="8">
        <v>43956</v>
      </c>
      <c r="J226" s="9">
        <v>25</v>
      </c>
      <c r="K226" s="10">
        <v>7600</v>
      </c>
      <c r="L226" s="10">
        <v>5700</v>
      </c>
      <c r="M226" s="3" t="s">
        <v>72</v>
      </c>
      <c r="N226" s="3" t="s">
        <v>1696</v>
      </c>
      <c r="O226" s="34">
        <v>5400</v>
      </c>
      <c r="P226" s="3">
        <v>2020</v>
      </c>
      <c r="Q226" s="3">
        <f>VLOOKUP(C226,layoffs_location!A:F,6,FALSE)</f>
        <v>37.779258800000001</v>
      </c>
      <c r="R226" s="3">
        <f>VLOOKUP(C226,layoffs_location!A:G,7,FALSE)</f>
        <v>-122.4193286</v>
      </c>
    </row>
    <row r="227" spans="1:18" x14ac:dyDescent="0.2">
      <c r="A227" s="3">
        <v>226</v>
      </c>
      <c r="B227" s="3" t="s">
        <v>1147</v>
      </c>
      <c r="C227" s="3" t="s">
        <v>39</v>
      </c>
      <c r="D227" s="3" t="str">
        <f>VLOOKUP(C227,layoffs_location!A:B,2,FALSE)</f>
        <v>New York</v>
      </c>
      <c r="E227" s="3" t="str">
        <f>VLOOKUP(C227,layoffs_location!A:C,3,FALSE)</f>
        <v>New York</v>
      </c>
      <c r="F227" s="3" t="str">
        <f>VLOOKUP(C227,layoffs_location!A:D,4,FALSE)</f>
        <v>USA</v>
      </c>
      <c r="G227" s="3" t="str">
        <f>VLOOKUP(C227,layoffs_location!A:E,5,FALSE)</f>
        <v>North America</v>
      </c>
      <c r="H227" s="3">
        <v>135</v>
      </c>
      <c r="I227" s="8">
        <v>43956</v>
      </c>
      <c r="J227" s="9">
        <v>10</v>
      </c>
      <c r="K227" s="10">
        <v>1350</v>
      </c>
      <c r="L227" s="10">
        <v>1215</v>
      </c>
      <c r="M227" s="3" t="s">
        <v>84</v>
      </c>
      <c r="N227" s="3" t="s">
        <v>108</v>
      </c>
      <c r="O227" s="34">
        <v>181</v>
      </c>
      <c r="P227" s="3">
        <v>2020</v>
      </c>
      <c r="Q227" s="3">
        <f>VLOOKUP(C227,layoffs_location!A:F,6,FALSE)</f>
        <v>40.7127281</v>
      </c>
      <c r="R227" s="3">
        <f>VLOOKUP(C227,layoffs_location!A:G,7,FALSE)</f>
        <v>-74.006015199999993</v>
      </c>
    </row>
    <row r="228" spans="1:18" ht="16" x14ac:dyDescent="0.2">
      <c r="A228" s="3">
        <v>227</v>
      </c>
      <c r="B228" s="3" t="s">
        <v>696</v>
      </c>
      <c r="C228" s="11" t="s">
        <v>1370</v>
      </c>
      <c r="D228" s="3" t="str">
        <f>VLOOKUP(C228,layoffs_location!A:B,2,FALSE)</f>
        <v>San Francisco Bay Area</v>
      </c>
      <c r="E228" s="3" t="str">
        <f>VLOOKUP(C228,layoffs_location!A:C,3,FALSE)</f>
        <v>California</v>
      </c>
      <c r="F228" s="3" t="str">
        <f>VLOOKUP(C228,layoffs_location!A:D,4,FALSE)</f>
        <v>USA</v>
      </c>
      <c r="G228" s="3" t="str">
        <f>VLOOKUP(C228,layoffs_location!A:E,5,FALSE)</f>
        <v>North America</v>
      </c>
      <c r="H228" s="3">
        <v>900</v>
      </c>
      <c r="I228" s="8">
        <v>43956</v>
      </c>
      <c r="J228" s="9">
        <v>30</v>
      </c>
      <c r="K228" s="10">
        <v>3000</v>
      </c>
      <c r="L228" s="10">
        <v>2100</v>
      </c>
      <c r="M228" s="3" t="s">
        <v>16</v>
      </c>
      <c r="N228" s="3" t="s">
        <v>22</v>
      </c>
      <c r="O228" s="34">
        <v>1500</v>
      </c>
      <c r="P228" s="3">
        <v>2020</v>
      </c>
      <c r="Q228" s="3">
        <f>VLOOKUP(C228,layoffs_location!A:F,6,FALSE)</f>
        <v>37.779258800000001</v>
      </c>
      <c r="R228" s="3">
        <f>VLOOKUP(C228,layoffs_location!A:G,7,FALSE)</f>
        <v>-122.4193286</v>
      </c>
    </row>
    <row r="229" spans="1:18" x14ac:dyDescent="0.2">
      <c r="A229" s="3">
        <v>228</v>
      </c>
      <c r="B229" s="3" t="s">
        <v>296</v>
      </c>
      <c r="C229" s="3" t="s">
        <v>39</v>
      </c>
      <c r="D229" s="3" t="str">
        <f>VLOOKUP(C229,layoffs_location!A:B,2,FALSE)</f>
        <v>New York</v>
      </c>
      <c r="E229" s="3" t="str">
        <f>VLOOKUP(C229,layoffs_location!A:C,3,FALSE)</f>
        <v>New York</v>
      </c>
      <c r="F229" s="3" t="str">
        <f>VLOOKUP(C229,layoffs_location!A:D,4,FALSE)</f>
        <v>USA</v>
      </c>
      <c r="G229" s="3" t="str">
        <f>VLOOKUP(C229,layoffs_location!A:E,5,FALSE)</f>
        <v>North America</v>
      </c>
      <c r="H229" s="3">
        <v>40</v>
      </c>
      <c r="I229" s="8">
        <v>43956</v>
      </c>
      <c r="J229" s="9">
        <v>15</v>
      </c>
      <c r="K229" s="10">
        <v>267</v>
      </c>
      <c r="L229" s="10">
        <v>227</v>
      </c>
      <c r="M229" s="3" t="s">
        <v>84</v>
      </c>
      <c r="N229" s="3" t="s">
        <v>108</v>
      </c>
      <c r="O229" s="34">
        <v>68</v>
      </c>
      <c r="P229" s="3">
        <v>2020</v>
      </c>
      <c r="Q229" s="3">
        <f>VLOOKUP(C229,layoffs_location!A:F,6,FALSE)</f>
        <v>40.7127281</v>
      </c>
      <c r="R229" s="3">
        <f>VLOOKUP(C229,layoffs_location!A:G,7,FALSE)</f>
        <v>-74.006015199999993</v>
      </c>
    </row>
    <row r="230" spans="1:18" x14ac:dyDescent="0.2">
      <c r="A230" s="3">
        <v>229</v>
      </c>
      <c r="B230" s="3" t="s">
        <v>1148</v>
      </c>
      <c r="C230" s="3" t="s">
        <v>71</v>
      </c>
      <c r="D230" s="3" t="str">
        <f>VLOOKUP(C230,layoffs_location!A:B,2,FALSE)</f>
        <v>other</v>
      </c>
      <c r="E230" s="3" t="str">
        <f>VLOOKUP(C230,layoffs_location!A:C,3,FALSE)</f>
        <v>Massachusetts</v>
      </c>
      <c r="F230" s="3" t="str">
        <f>VLOOKUP(C230,layoffs_location!A:D,4,FALSE)</f>
        <v>USA</v>
      </c>
      <c r="G230" s="3" t="str">
        <f>VLOOKUP(C230,layoffs_location!A:E,5,FALSE)</f>
        <v>North America</v>
      </c>
      <c r="H230" s="3">
        <v>25</v>
      </c>
      <c r="I230" s="8">
        <v>43956</v>
      </c>
      <c r="J230" s="9">
        <v>10</v>
      </c>
      <c r="K230" s="10">
        <v>250</v>
      </c>
      <c r="L230" s="10">
        <v>225</v>
      </c>
      <c r="M230" s="3" t="s">
        <v>84</v>
      </c>
      <c r="N230" s="3" t="s">
        <v>41</v>
      </c>
      <c r="O230" s="34">
        <v>84</v>
      </c>
      <c r="P230" s="3">
        <v>2020</v>
      </c>
      <c r="Q230" s="3">
        <f>VLOOKUP(C230,layoffs_location!A:F,6,FALSE)</f>
        <v>42.355433400000003</v>
      </c>
      <c r="R230" s="3">
        <f>VLOOKUP(C230,layoffs_location!A:G,7,FALSE)</f>
        <v>-71.060511000000005</v>
      </c>
    </row>
    <row r="231" spans="1:18" x14ac:dyDescent="0.2">
      <c r="A231" s="3">
        <v>230</v>
      </c>
      <c r="B231" s="3" t="s">
        <v>1144</v>
      </c>
      <c r="C231" s="3" t="s">
        <v>76</v>
      </c>
      <c r="D231" s="3" t="str">
        <f>VLOOKUP(C231,layoffs_location!A:B,2,FALSE)</f>
        <v>other</v>
      </c>
      <c r="E231" s="3" t="str">
        <f>VLOOKUP(C231,layoffs_location!A:C,3,FALSE)</f>
        <v>California</v>
      </c>
      <c r="F231" s="3" t="str">
        <f>VLOOKUP(C231,layoffs_location!A:D,4,FALSE)</f>
        <v>USA</v>
      </c>
      <c r="G231" s="3" t="str">
        <f>VLOOKUP(C231,layoffs_location!A:E,5,FALSE)</f>
        <v>North America</v>
      </c>
      <c r="H231" s="3">
        <v>50</v>
      </c>
      <c r="I231" s="8">
        <v>43957</v>
      </c>
      <c r="J231" s="9">
        <v>8</v>
      </c>
      <c r="K231" s="10">
        <v>625</v>
      </c>
      <c r="L231" s="10">
        <v>575</v>
      </c>
      <c r="M231" s="3" t="s">
        <v>130</v>
      </c>
      <c r="N231" s="3" t="s">
        <v>28</v>
      </c>
      <c r="O231" s="34">
        <v>60</v>
      </c>
      <c r="P231" s="3">
        <v>2020</v>
      </c>
      <c r="Q231" s="3">
        <f>VLOOKUP(C231,layoffs_location!A:F,6,FALSE)</f>
        <v>34.053690899999999</v>
      </c>
      <c r="R231" s="3">
        <f>VLOOKUP(C231,layoffs_location!A:G,7,FALSE)</f>
        <v>-118.242766</v>
      </c>
    </row>
    <row r="232" spans="1:18" ht="16" x14ac:dyDescent="0.2">
      <c r="A232" s="3">
        <v>231</v>
      </c>
      <c r="B232" s="3" t="s">
        <v>1145</v>
      </c>
      <c r="C232" s="11" t="s">
        <v>1370</v>
      </c>
      <c r="D232" s="3" t="str">
        <f>VLOOKUP(C232,layoffs_location!A:B,2,FALSE)</f>
        <v>San Francisco Bay Area</v>
      </c>
      <c r="E232" s="3" t="str">
        <f>VLOOKUP(C232,layoffs_location!A:C,3,FALSE)</f>
        <v>California</v>
      </c>
      <c r="F232" s="3" t="str">
        <f>VLOOKUP(C232,layoffs_location!A:D,4,FALSE)</f>
        <v>USA</v>
      </c>
      <c r="G232" s="3" t="str">
        <f>VLOOKUP(C232,layoffs_location!A:E,5,FALSE)</f>
        <v>North America</v>
      </c>
      <c r="H232" s="3">
        <v>50</v>
      </c>
      <c r="I232" s="8">
        <v>43957</v>
      </c>
      <c r="J232" s="9">
        <v>10</v>
      </c>
      <c r="K232" s="10">
        <v>500</v>
      </c>
      <c r="L232" s="10">
        <v>450</v>
      </c>
      <c r="M232" s="3" t="s">
        <v>79</v>
      </c>
      <c r="N232" s="3" t="s">
        <v>108</v>
      </c>
      <c r="O232" s="34">
        <v>283</v>
      </c>
      <c r="P232" s="3">
        <v>2020</v>
      </c>
      <c r="Q232" s="3">
        <f>VLOOKUP(C232,layoffs_location!A:F,6,FALSE)</f>
        <v>37.779258800000001</v>
      </c>
      <c r="R232" s="3">
        <f>VLOOKUP(C232,layoffs_location!A:G,7,FALSE)</f>
        <v>-122.4193286</v>
      </c>
    </row>
    <row r="233" spans="1:18" ht="16" x14ac:dyDescent="0.2">
      <c r="A233" s="3">
        <v>232</v>
      </c>
      <c r="B233" s="3" t="s">
        <v>241</v>
      </c>
      <c r="C233" s="11" t="s">
        <v>1370</v>
      </c>
      <c r="D233" s="3" t="str">
        <f>VLOOKUP(C233,layoffs_location!A:B,2,FALSE)</f>
        <v>San Francisco Bay Area</v>
      </c>
      <c r="E233" s="3" t="str">
        <f>VLOOKUP(C233,layoffs_location!A:C,3,FALSE)</f>
        <v>California</v>
      </c>
      <c r="F233" s="3" t="str">
        <f>VLOOKUP(C233,layoffs_location!A:D,4,FALSE)</f>
        <v>USA</v>
      </c>
      <c r="G233" s="3" t="str">
        <f>VLOOKUP(C233,layoffs_location!A:E,5,FALSE)</f>
        <v>North America</v>
      </c>
      <c r="H233" s="3">
        <v>3700</v>
      </c>
      <c r="I233" s="8">
        <v>43957</v>
      </c>
      <c r="J233" s="9">
        <v>14</v>
      </c>
      <c r="K233" s="10">
        <v>26429</v>
      </c>
      <c r="L233" s="10">
        <v>22729</v>
      </c>
      <c r="M233" s="3" t="s">
        <v>32</v>
      </c>
      <c r="N233" s="3" t="s">
        <v>28</v>
      </c>
      <c r="O233" s="34">
        <v>24700</v>
      </c>
      <c r="P233" s="3">
        <v>2020</v>
      </c>
      <c r="Q233" s="3">
        <f>VLOOKUP(C233,layoffs_location!A:F,6,FALSE)</f>
        <v>37.779258800000001</v>
      </c>
      <c r="R233" s="3">
        <f>VLOOKUP(C233,layoffs_location!A:G,7,FALSE)</f>
        <v>-122.4193286</v>
      </c>
    </row>
    <row r="234" spans="1:18" x14ac:dyDescent="0.2">
      <c r="A234" s="3">
        <v>233</v>
      </c>
      <c r="B234" s="3" t="s">
        <v>1142</v>
      </c>
      <c r="C234" s="3" t="s">
        <v>71</v>
      </c>
      <c r="D234" s="3" t="str">
        <f>VLOOKUP(C234,layoffs_location!A:B,2,FALSE)</f>
        <v>other</v>
      </c>
      <c r="E234" s="3" t="str">
        <f>VLOOKUP(C234,layoffs_location!A:C,3,FALSE)</f>
        <v>Massachusetts</v>
      </c>
      <c r="F234" s="3" t="str">
        <f>VLOOKUP(C234,layoffs_location!A:D,4,FALSE)</f>
        <v>USA</v>
      </c>
      <c r="G234" s="3" t="str">
        <f>VLOOKUP(C234,layoffs_location!A:E,5,FALSE)</f>
        <v>North America</v>
      </c>
      <c r="H234" s="3">
        <v>60</v>
      </c>
      <c r="I234" s="8">
        <v>43958</v>
      </c>
      <c r="J234" s="9">
        <v>12</v>
      </c>
      <c r="K234" s="10">
        <v>500</v>
      </c>
      <c r="L234" s="10">
        <v>440</v>
      </c>
      <c r="M234" s="3" t="s">
        <v>35</v>
      </c>
      <c r="N234" s="3" t="s">
        <v>36</v>
      </c>
      <c r="O234" s="34">
        <v>263</v>
      </c>
      <c r="P234" s="3">
        <v>2020</v>
      </c>
      <c r="Q234" s="3">
        <f>VLOOKUP(C234,layoffs_location!A:F,6,FALSE)</f>
        <v>42.355433400000003</v>
      </c>
      <c r="R234" s="3">
        <f>VLOOKUP(C234,layoffs_location!A:G,7,FALSE)</f>
        <v>-71.060511000000005</v>
      </c>
    </row>
    <row r="235" spans="1:18" x14ac:dyDescent="0.2">
      <c r="A235" s="3">
        <v>234</v>
      </c>
      <c r="B235" s="3" t="s">
        <v>370</v>
      </c>
      <c r="C235" s="3" t="s">
        <v>1370</v>
      </c>
      <c r="D235" s="3" t="str">
        <f>VLOOKUP(C235,layoffs_location!A:B,2,FALSE)</f>
        <v>San Francisco Bay Area</v>
      </c>
      <c r="E235" s="3" t="str">
        <f>VLOOKUP(C235,layoffs_location!A:C,3,FALSE)</f>
        <v>California</v>
      </c>
      <c r="F235" s="3" t="str">
        <f>VLOOKUP(C235,layoffs_location!A:D,4,FALSE)</f>
        <v>USA</v>
      </c>
      <c r="G235" s="3" t="str">
        <f>VLOOKUP(C235,layoffs_location!A:E,5,FALSE)</f>
        <v>North America</v>
      </c>
      <c r="H235" s="3">
        <v>300</v>
      </c>
      <c r="I235" s="8">
        <v>43958</v>
      </c>
      <c r="J235" s="9">
        <v>30</v>
      </c>
      <c r="K235" s="10">
        <v>1000</v>
      </c>
      <c r="L235" s="10">
        <v>700</v>
      </c>
      <c r="M235" s="3" t="s">
        <v>84</v>
      </c>
      <c r="N235" s="3" t="s">
        <v>33</v>
      </c>
      <c r="O235" s="34">
        <v>204</v>
      </c>
      <c r="P235" s="3">
        <v>2020</v>
      </c>
      <c r="Q235" s="3">
        <f>VLOOKUP(C235,layoffs_location!A:F,6,FALSE)</f>
        <v>37.779258800000001</v>
      </c>
      <c r="R235" s="3">
        <f>VLOOKUP(C235,layoffs_location!A:G,7,FALSE)</f>
        <v>-122.4193286</v>
      </c>
    </row>
    <row r="236" spans="1:18" x14ac:dyDescent="0.2">
      <c r="A236" s="3">
        <v>235</v>
      </c>
      <c r="B236" s="3" t="s">
        <v>1138</v>
      </c>
      <c r="C236" s="3" t="s">
        <v>39</v>
      </c>
      <c r="D236" s="3" t="str">
        <f>VLOOKUP(C236,layoffs_location!A:B,2,FALSE)</f>
        <v>New York</v>
      </c>
      <c r="E236" s="3" t="str">
        <f>VLOOKUP(C236,layoffs_location!A:C,3,FALSE)</f>
        <v>New York</v>
      </c>
      <c r="F236" s="3" t="str">
        <f>VLOOKUP(C236,layoffs_location!A:D,4,FALSE)</f>
        <v>USA</v>
      </c>
      <c r="G236" s="3" t="str">
        <f>VLOOKUP(C236,layoffs_location!A:E,5,FALSE)</f>
        <v>North America</v>
      </c>
      <c r="H236" s="3">
        <v>500</v>
      </c>
      <c r="I236" s="8">
        <v>43958</v>
      </c>
      <c r="J236" s="9">
        <v>100</v>
      </c>
      <c r="K236" s="10">
        <v>500</v>
      </c>
      <c r="L236" s="10">
        <v>0</v>
      </c>
      <c r="M236" s="3" t="s">
        <v>32</v>
      </c>
      <c r="N236" s="3" t="s">
        <v>33</v>
      </c>
      <c r="O236" s="34">
        <v>11</v>
      </c>
      <c r="P236" s="3">
        <v>2020</v>
      </c>
      <c r="Q236" s="3">
        <f>VLOOKUP(C236,layoffs_location!A:F,6,FALSE)</f>
        <v>40.7127281</v>
      </c>
      <c r="R236" s="3">
        <f>VLOOKUP(C236,layoffs_location!A:G,7,FALSE)</f>
        <v>-74.006015199999993</v>
      </c>
    </row>
    <row r="237" spans="1:18" x14ac:dyDescent="0.2">
      <c r="A237" s="3">
        <v>236</v>
      </c>
      <c r="B237" s="3" t="s">
        <v>1139</v>
      </c>
      <c r="C237" s="3" t="s">
        <v>1140</v>
      </c>
      <c r="D237" s="3" t="str">
        <f>VLOOKUP(C237,layoffs_location!A:B,2,FALSE)</f>
        <v>other</v>
      </c>
      <c r="E237" s="3" t="str">
        <f>VLOOKUP(C237,layoffs_location!A:C,3,FALSE)</f>
        <v>non</v>
      </c>
      <c r="F237" s="3" t="str">
        <f>VLOOKUP(C237,layoffs_location!A:D,4,FALSE)</f>
        <v>Switzerland</v>
      </c>
      <c r="G237" s="3" t="str">
        <f>VLOOKUP(C237,layoffs_location!A:E,5,FALSE)</f>
        <v>Europe</v>
      </c>
      <c r="H237" s="3">
        <v>62</v>
      </c>
      <c r="I237" s="8">
        <v>43958</v>
      </c>
      <c r="J237" s="9">
        <v>50</v>
      </c>
      <c r="K237" s="10">
        <v>124</v>
      </c>
      <c r="L237" s="10">
        <v>62</v>
      </c>
      <c r="M237" s="3" t="s">
        <v>35</v>
      </c>
      <c r="N237" s="3" t="s">
        <v>49</v>
      </c>
      <c r="O237" s="34">
        <v>78</v>
      </c>
      <c r="P237" s="3">
        <v>2020</v>
      </c>
      <c r="Q237" s="3">
        <f>VLOOKUP(C237,layoffs_location!A:F,6,FALSE)</f>
        <v>47.374448899999997</v>
      </c>
      <c r="R237" s="3">
        <f>VLOOKUP(C237,layoffs_location!A:G,7,FALSE)</f>
        <v>8.5410421999999997</v>
      </c>
    </row>
    <row r="238" spans="1:18" ht="16" x14ac:dyDescent="0.2">
      <c r="A238" s="3">
        <v>237</v>
      </c>
      <c r="B238" s="3" t="s">
        <v>1143</v>
      </c>
      <c r="C238" s="11" t="s">
        <v>1370</v>
      </c>
      <c r="D238" s="3" t="str">
        <f>VLOOKUP(C238,layoffs_location!A:B,2,FALSE)</f>
        <v>San Francisco Bay Area</v>
      </c>
      <c r="E238" s="3" t="str">
        <f>VLOOKUP(C238,layoffs_location!A:C,3,FALSE)</f>
        <v>California</v>
      </c>
      <c r="F238" s="3" t="str">
        <f>VLOOKUP(C238,layoffs_location!A:D,4,FALSE)</f>
        <v>USA</v>
      </c>
      <c r="G238" s="3" t="str">
        <f>VLOOKUP(C238,layoffs_location!A:E,5,FALSE)</f>
        <v>North America</v>
      </c>
      <c r="H238" s="3">
        <v>28</v>
      </c>
      <c r="I238" s="8">
        <v>43958</v>
      </c>
      <c r="J238" s="9">
        <v>23</v>
      </c>
      <c r="K238" s="10">
        <v>122</v>
      </c>
      <c r="L238" s="10">
        <v>94</v>
      </c>
      <c r="M238" s="3" t="s">
        <v>35</v>
      </c>
      <c r="N238" s="3" t="s">
        <v>41</v>
      </c>
      <c r="O238" s="34">
        <v>92</v>
      </c>
      <c r="P238" s="3">
        <v>2020</v>
      </c>
      <c r="Q238" s="3">
        <f>VLOOKUP(C238,layoffs_location!A:F,6,FALSE)</f>
        <v>37.779258800000001</v>
      </c>
      <c r="R238" s="3">
        <f>VLOOKUP(C238,layoffs_location!A:G,7,FALSE)</f>
        <v>-122.4193286</v>
      </c>
    </row>
    <row r="239" spans="1:18" x14ac:dyDescent="0.2">
      <c r="A239" s="3">
        <v>238</v>
      </c>
      <c r="B239" s="3" t="s">
        <v>315</v>
      </c>
      <c r="C239" s="3" t="s">
        <v>39</v>
      </c>
      <c r="D239" s="3" t="str">
        <f>VLOOKUP(C239,layoffs_location!A:B,2,FALSE)</f>
        <v>New York</v>
      </c>
      <c r="E239" s="3" t="str">
        <f>VLOOKUP(C239,layoffs_location!A:C,3,FALSE)</f>
        <v>New York</v>
      </c>
      <c r="F239" s="3" t="str">
        <f>VLOOKUP(C239,layoffs_location!A:D,4,FALSE)</f>
        <v>USA</v>
      </c>
      <c r="G239" s="3" t="str">
        <f>VLOOKUP(C239,layoffs_location!A:E,5,FALSE)</f>
        <v>North America</v>
      </c>
      <c r="H239" s="3">
        <v>9</v>
      </c>
      <c r="I239" s="8">
        <v>43959</v>
      </c>
      <c r="J239" s="9">
        <v>1</v>
      </c>
      <c r="K239" s="10">
        <v>900</v>
      </c>
      <c r="L239" s="10">
        <v>891</v>
      </c>
      <c r="M239" s="3" t="s">
        <v>35</v>
      </c>
      <c r="N239" s="3" t="s">
        <v>108</v>
      </c>
      <c r="O239" s="34">
        <v>782</v>
      </c>
      <c r="P239" s="3">
        <v>2020</v>
      </c>
      <c r="Q239" s="3">
        <f>VLOOKUP(C239,layoffs_location!A:F,6,FALSE)</f>
        <v>40.7127281</v>
      </c>
      <c r="R239" s="3">
        <f>VLOOKUP(C239,layoffs_location!A:G,7,FALSE)</f>
        <v>-74.006015199999993</v>
      </c>
    </row>
    <row r="240" spans="1:18" ht="17" customHeight="1" x14ac:dyDescent="0.2">
      <c r="A240" s="3">
        <v>239</v>
      </c>
      <c r="B240" s="3" t="s">
        <v>1137</v>
      </c>
      <c r="C240" s="3" t="s">
        <v>39</v>
      </c>
      <c r="D240" s="3" t="str">
        <f>VLOOKUP(C240,layoffs_location!A:B,2,FALSE)</f>
        <v>New York</v>
      </c>
      <c r="E240" s="3" t="str">
        <f>VLOOKUP(C240,layoffs_location!A:C,3,FALSE)</f>
        <v>New York</v>
      </c>
      <c r="F240" s="3" t="str">
        <f>VLOOKUP(C240,layoffs_location!A:D,4,FALSE)</f>
        <v>USA</v>
      </c>
      <c r="G240" s="3" t="str">
        <f>VLOOKUP(C240,layoffs_location!A:E,5,FALSE)</f>
        <v>North America</v>
      </c>
      <c r="H240" s="3">
        <v>28</v>
      </c>
      <c r="I240" s="8">
        <v>43962</v>
      </c>
      <c r="J240" s="9">
        <v>25</v>
      </c>
      <c r="K240" s="10">
        <v>112</v>
      </c>
      <c r="L240" s="10">
        <v>84</v>
      </c>
      <c r="M240" s="3" t="s">
        <v>137</v>
      </c>
      <c r="N240" s="3" t="s">
        <v>41</v>
      </c>
      <c r="O240" s="34">
        <v>133</v>
      </c>
      <c r="P240" s="3">
        <v>2020</v>
      </c>
      <c r="Q240" s="3">
        <f>VLOOKUP(C240,layoffs_location!A:F,6,FALSE)</f>
        <v>40.7127281</v>
      </c>
      <c r="R240" s="3">
        <f>VLOOKUP(C240,layoffs_location!A:G,7,FALSE)</f>
        <v>-74.006015199999993</v>
      </c>
    </row>
    <row r="241" spans="1:18" x14ac:dyDescent="0.2">
      <c r="A241" s="3">
        <v>240</v>
      </c>
      <c r="B241" s="3" t="s">
        <v>1136</v>
      </c>
      <c r="C241" s="3" t="s">
        <v>58</v>
      </c>
      <c r="D241" s="3" t="str">
        <f>VLOOKUP(C241,layoffs_location!A:B,2,FALSE)</f>
        <v>other</v>
      </c>
      <c r="E241" s="3" t="str">
        <f>VLOOKUP(C241,layoffs_location!A:C,3,FALSE)</f>
        <v>England</v>
      </c>
      <c r="F241" s="3" t="str">
        <f>VLOOKUP(C241,layoffs_location!A:D,4,FALSE)</f>
        <v>UK</v>
      </c>
      <c r="G241" s="3" t="str">
        <f>VLOOKUP(C241,layoffs_location!A:E,5,FALSE)</f>
        <v>Europe</v>
      </c>
      <c r="H241" s="3">
        <v>60</v>
      </c>
      <c r="I241" s="8">
        <v>43962</v>
      </c>
      <c r="J241" s="9">
        <v>3</v>
      </c>
      <c r="K241" s="10">
        <v>2000</v>
      </c>
      <c r="L241" s="10">
        <v>1940</v>
      </c>
      <c r="M241" s="3" t="s">
        <v>35</v>
      </c>
      <c r="N241" s="3" t="s">
        <v>108</v>
      </c>
      <c r="O241" s="34">
        <v>837</v>
      </c>
      <c r="P241" s="3">
        <v>2020</v>
      </c>
      <c r="Q241" s="3">
        <f>VLOOKUP(C241,layoffs_location!A:F,6,FALSE)</f>
        <v>51.489333500000001</v>
      </c>
      <c r="R241" s="3">
        <f>VLOOKUP(C241,layoffs_location!A:G,7,FALSE)</f>
        <v>-0.14405508452768701</v>
      </c>
    </row>
    <row r="242" spans="1:18" x14ac:dyDescent="0.2">
      <c r="A242" s="3">
        <v>241</v>
      </c>
      <c r="B242" s="3" t="s">
        <v>1135</v>
      </c>
      <c r="C242" s="3" t="s">
        <v>154</v>
      </c>
      <c r="D242" s="3" t="str">
        <f>VLOOKUP(C242,layoffs_location!A:B,2,FALSE)</f>
        <v>other</v>
      </c>
      <c r="E242" s="3" t="str">
        <f>VLOOKUP(C242,layoffs_location!A:C,3,FALSE)</f>
        <v>Illinois</v>
      </c>
      <c r="F242" s="3" t="str">
        <f>VLOOKUP(C242,layoffs_location!A:D,4,FALSE)</f>
        <v>USA</v>
      </c>
      <c r="G242" s="3" t="str">
        <f>VLOOKUP(C242,layoffs_location!A:E,5,FALSE)</f>
        <v>North America</v>
      </c>
      <c r="H242" s="3">
        <v>36</v>
      </c>
      <c r="I242" s="8">
        <v>43963</v>
      </c>
      <c r="J242" s="9">
        <v>17</v>
      </c>
      <c r="K242" s="10">
        <v>212</v>
      </c>
      <c r="L242" s="10">
        <v>176</v>
      </c>
      <c r="M242" s="3" t="s">
        <v>84</v>
      </c>
      <c r="N242" s="3" t="s">
        <v>108</v>
      </c>
      <c r="O242" s="34">
        <v>52</v>
      </c>
      <c r="P242" s="3">
        <v>2020</v>
      </c>
      <c r="Q242" s="3">
        <f>VLOOKUP(C242,layoffs_location!A:F,6,FALSE)</f>
        <v>41.875561599999997</v>
      </c>
      <c r="R242" s="3">
        <f>VLOOKUP(C242,layoffs_location!A:G,7,FALSE)</f>
        <v>-87.6244212</v>
      </c>
    </row>
    <row r="243" spans="1:18" ht="16" x14ac:dyDescent="0.2">
      <c r="A243" s="3">
        <v>242</v>
      </c>
      <c r="B243" s="3" t="s">
        <v>1134</v>
      </c>
      <c r="C243" s="11" t="s">
        <v>1370</v>
      </c>
      <c r="D243" s="3" t="str">
        <f>VLOOKUP(C243,layoffs_location!A:B,2,FALSE)</f>
        <v>San Francisco Bay Area</v>
      </c>
      <c r="E243" s="3" t="str">
        <f>VLOOKUP(C243,layoffs_location!A:C,3,FALSE)</f>
        <v>California</v>
      </c>
      <c r="F243" s="3" t="str">
        <f>VLOOKUP(C243,layoffs_location!A:D,4,FALSE)</f>
        <v>USA</v>
      </c>
      <c r="G243" s="3" t="str">
        <f>VLOOKUP(C243,layoffs_location!A:E,5,FALSE)</f>
        <v>North America</v>
      </c>
      <c r="H243" s="3">
        <v>65</v>
      </c>
      <c r="I243" s="8">
        <v>43963</v>
      </c>
      <c r="J243" s="9">
        <v>19</v>
      </c>
      <c r="K243" s="10">
        <v>342</v>
      </c>
      <c r="L243" s="10">
        <v>277</v>
      </c>
      <c r="M243" s="3" t="s">
        <v>79</v>
      </c>
      <c r="N243" s="3" t="s">
        <v>49</v>
      </c>
      <c r="O243" s="34">
        <v>77</v>
      </c>
      <c r="P243" s="3">
        <v>2020</v>
      </c>
      <c r="Q243" s="3">
        <f>VLOOKUP(C243,layoffs_location!A:F,6,FALSE)</f>
        <v>37.779258800000001</v>
      </c>
      <c r="R243" s="3">
        <f>VLOOKUP(C243,layoffs_location!A:G,7,FALSE)</f>
        <v>-122.4193286</v>
      </c>
    </row>
    <row r="244" spans="1:18" x14ac:dyDescent="0.2">
      <c r="A244" s="3">
        <v>243</v>
      </c>
      <c r="B244" s="3" t="s">
        <v>178</v>
      </c>
      <c r="C244" s="3" t="s">
        <v>179</v>
      </c>
      <c r="D244" s="3" t="str">
        <f>VLOOKUP(C244,layoffs_location!A:B,2,FALSE)</f>
        <v>other</v>
      </c>
      <c r="E244" s="3" t="str">
        <f>VLOOKUP(C244,layoffs_location!A:C,3,FALSE)</f>
        <v>Ontario</v>
      </c>
      <c r="F244" s="3" t="str">
        <f>VLOOKUP(C244,layoffs_location!A:D,4,FALSE)</f>
        <v>Canada</v>
      </c>
      <c r="G244" s="3" t="str">
        <f>VLOOKUP(C244,layoffs_location!A:E,5,FALSE)</f>
        <v>North America</v>
      </c>
      <c r="H244" s="3">
        <v>16</v>
      </c>
      <c r="I244" s="8">
        <v>43963</v>
      </c>
      <c r="J244" s="9">
        <v>3</v>
      </c>
      <c r="K244" s="10">
        <v>533</v>
      </c>
      <c r="L244" s="10">
        <v>517</v>
      </c>
      <c r="M244" s="3" t="s">
        <v>68</v>
      </c>
      <c r="N244" s="3" t="s">
        <v>108</v>
      </c>
      <c r="O244" s="34">
        <v>104</v>
      </c>
      <c r="P244" s="3">
        <v>2020</v>
      </c>
      <c r="Q244" s="3">
        <f>VLOOKUP(C244,layoffs_location!A:F,6,FALSE)</f>
        <v>43.6534817</v>
      </c>
      <c r="R244" s="3">
        <f>VLOOKUP(C244,layoffs_location!A:G,7,FALSE)</f>
        <v>-79.383934699999998</v>
      </c>
    </row>
    <row r="245" spans="1:18" ht="16" customHeight="1" x14ac:dyDescent="0.2">
      <c r="A245" s="3">
        <v>244</v>
      </c>
      <c r="B245" s="3" t="s">
        <v>751</v>
      </c>
      <c r="C245" s="3" t="s">
        <v>1370</v>
      </c>
      <c r="D245" s="3" t="str">
        <f>VLOOKUP(C245,layoffs_location!A:B,2,FALSE)</f>
        <v>San Francisco Bay Area</v>
      </c>
      <c r="E245" s="3" t="str">
        <f>VLOOKUP(C245,layoffs_location!A:C,3,FALSE)</f>
        <v>California</v>
      </c>
      <c r="F245" s="3" t="str">
        <f>VLOOKUP(C245,layoffs_location!A:D,4,FALSE)</f>
        <v>USA</v>
      </c>
      <c r="G245" s="3" t="str">
        <f>VLOOKUP(C245,layoffs_location!A:E,5,FALSE)</f>
        <v>North America</v>
      </c>
      <c r="H245" s="3">
        <v>73</v>
      </c>
      <c r="I245" s="8">
        <v>43963</v>
      </c>
      <c r="J245" s="9">
        <v>50</v>
      </c>
      <c r="K245" s="10">
        <v>146</v>
      </c>
      <c r="L245" s="10">
        <v>73</v>
      </c>
      <c r="M245" s="3" t="s">
        <v>137</v>
      </c>
      <c r="N245" s="3" t="s">
        <v>49</v>
      </c>
      <c r="O245" s="34">
        <v>79</v>
      </c>
      <c r="P245" s="3">
        <v>2020</v>
      </c>
      <c r="Q245" s="3">
        <f>VLOOKUP(C245,layoffs_location!A:F,6,FALSE)</f>
        <v>37.779258800000001</v>
      </c>
      <c r="R245" s="3">
        <f>VLOOKUP(C245,layoffs_location!A:G,7,FALSE)</f>
        <v>-122.4193286</v>
      </c>
    </row>
    <row r="246" spans="1:18" x14ac:dyDescent="0.2">
      <c r="A246" s="3">
        <v>245</v>
      </c>
      <c r="B246" s="3" t="s">
        <v>1130</v>
      </c>
      <c r="C246" s="3" t="s">
        <v>1443</v>
      </c>
      <c r="D246" s="3" t="str">
        <f>VLOOKUP(C246,layoffs_location!A:B,2,FALSE)</f>
        <v>San Francisco Bay Area</v>
      </c>
      <c r="E246" s="3" t="str">
        <f>VLOOKUP(C246,layoffs_location!A:C,3,FALSE)</f>
        <v>California</v>
      </c>
      <c r="F246" s="3" t="str">
        <f>VLOOKUP(C246,layoffs_location!A:D,4,FALSE)</f>
        <v>USA</v>
      </c>
      <c r="G246" s="3" t="str">
        <f>VLOOKUP(C246,layoffs_location!A:E,5,FALSE)</f>
        <v>North America</v>
      </c>
      <c r="H246" s="3">
        <v>669</v>
      </c>
      <c r="I246" s="8">
        <v>43964</v>
      </c>
      <c r="J246" s="9">
        <v>100</v>
      </c>
      <c r="K246" s="10">
        <v>669</v>
      </c>
      <c r="L246" s="10">
        <v>0</v>
      </c>
      <c r="M246" s="3" t="s">
        <v>30</v>
      </c>
      <c r="N246" s="3" t="s">
        <v>41</v>
      </c>
      <c r="O246" s="34">
        <v>80</v>
      </c>
      <c r="P246" s="3">
        <v>2020</v>
      </c>
      <c r="Q246" s="3">
        <f>VLOOKUP(C246,layoffs_location!A:F,6,FALSE)</f>
        <v>37.451967099999997</v>
      </c>
      <c r="R246" s="3">
        <f>VLOOKUP(C246,layoffs_location!A:G,7,FALSE)</f>
        <v>-122.177992</v>
      </c>
    </row>
    <row r="247" spans="1:18" x14ac:dyDescent="0.2">
      <c r="A247" s="3">
        <v>246</v>
      </c>
      <c r="B247" s="3" t="s">
        <v>1133</v>
      </c>
      <c r="C247" s="3" t="s">
        <v>39</v>
      </c>
      <c r="D247" s="3" t="str">
        <f>VLOOKUP(C247,layoffs_location!A:B,2,FALSE)</f>
        <v>New York</v>
      </c>
      <c r="E247" s="3" t="str">
        <f>VLOOKUP(C247,layoffs_location!A:C,3,FALSE)</f>
        <v>New York</v>
      </c>
      <c r="F247" s="3" t="str">
        <f>VLOOKUP(C247,layoffs_location!A:D,4,FALSE)</f>
        <v>USA</v>
      </c>
      <c r="G247" s="3" t="str">
        <f>VLOOKUP(C247,layoffs_location!A:E,5,FALSE)</f>
        <v>North America</v>
      </c>
      <c r="H247" s="3">
        <v>25</v>
      </c>
      <c r="I247" s="8">
        <v>43964</v>
      </c>
      <c r="J247" s="9">
        <v>18</v>
      </c>
      <c r="K247" s="10">
        <v>139</v>
      </c>
      <c r="L247" s="10">
        <v>114</v>
      </c>
      <c r="M247" s="3" t="s">
        <v>35</v>
      </c>
      <c r="N247" s="3" t="s">
        <v>22</v>
      </c>
      <c r="O247" s="34">
        <v>10</v>
      </c>
      <c r="P247" s="3">
        <v>2020</v>
      </c>
      <c r="Q247" s="3">
        <f>VLOOKUP(C247,layoffs_location!A:F,6,FALSE)</f>
        <v>40.7127281</v>
      </c>
      <c r="R247" s="3">
        <f>VLOOKUP(C247,layoffs_location!A:G,7,FALSE)</f>
        <v>-74.006015199999993</v>
      </c>
    </row>
    <row r="248" spans="1:18" x14ac:dyDescent="0.2">
      <c r="A248" s="3">
        <v>247</v>
      </c>
      <c r="B248" s="3" t="s">
        <v>1131</v>
      </c>
      <c r="C248" s="3" t="s">
        <v>1132</v>
      </c>
      <c r="D248" s="3" t="str">
        <f>VLOOKUP(C248,layoffs_location!A:B,2,FALSE)</f>
        <v>other</v>
      </c>
      <c r="E248" s="3" t="str">
        <f>VLOOKUP(C248,layoffs_location!A:C,3,FALSE)</f>
        <v>State of Santa Catarina</v>
      </c>
      <c r="F248" s="3" t="str">
        <f>VLOOKUP(C248,layoffs_location!A:D,4,FALSE)</f>
        <v>Brazil</v>
      </c>
      <c r="G248" s="3" t="str">
        <f>VLOOKUP(C248,layoffs_location!A:E,5,FALSE)</f>
        <v>South America</v>
      </c>
      <c r="H248" s="3">
        <v>51</v>
      </c>
      <c r="I248" s="8">
        <v>43964</v>
      </c>
      <c r="J248" s="9">
        <v>40</v>
      </c>
      <c r="K248" s="10">
        <v>128</v>
      </c>
      <c r="L248" s="10">
        <v>77</v>
      </c>
      <c r="M248" s="3" t="s">
        <v>92</v>
      </c>
      <c r="N248" s="3" t="s">
        <v>22</v>
      </c>
      <c r="O248" s="34">
        <v>2</v>
      </c>
      <c r="P248" s="3">
        <v>2020</v>
      </c>
      <c r="Q248" s="3">
        <f>VLOOKUP(C248,layoffs_location!A:F,6,FALSE)</f>
        <v>-26.304489799999999</v>
      </c>
      <c r="R248" s="3">
        <f>VLOOKUP(C248,layoffs_location!A:G,7,FALSE)</f>
        <v>-48.8486726</v>
      </c>
    </row>
    <row r="249" spans="1:18" x14ac:dyDescent="0.2">
      <c r="A249" s="3">
        <v>248</v>
      </c>
      <c r="B249" s="3" t="s">
        <v>31</v>
      </c>
      <c r="C249" s="3" t="s">
        <v>1370</v>
      </c>
      <c r="D249" s="3" t="str">
        <f>VLOOKUP(C249,layoffs_location!A:B,2,FALSE)</f>
        <v>San Francisco Bay Area</v>
      </c>
      <c r="E249" s="3" t="str">
        <f>VLOOKUP(C249,layoffs_location!A:C,3,FALSE)</f>
        <v>California</v>
      </c>
      <c r="F249" s="3" t="str">
        <f>VLOOKUP(C249,layoffs_location!A:D,4,FALSE)</f>
        <v>USA</v>
      </c>
      <c r="G249" s="3" t="str">
        <f>VLOOKUP(C249,layoffs_location!A:E,5,FALSE)</f>
        <v>North America</v>
      </c>
      <c r="H249" s="3">
        <v>150</v>
      </c>
      <c r="I249" s="8">
        <v>43965</v>
      </c>
      <c r="J249" s="9">
        <v>8</v>
      </c>
      <c r="K249" s="10">
        <v>1875</v>
      </c>
      <c r="L249" s="10">
        <v>1725</v>
      </c>
      <c r="M249" s="3" t="s">
        <v>32</v>
      </c>
      <c r="N249" s="3" t="s">
        <v>33</v>
      </c>
      <c r="O249" s="34">
        <v>5300</v>
      </c>
      <c r="P249" s="3">
        <v>2020</v>
      </c>
      <c r="Q249" s="3">
        <f>VLOOKUP(C249,layoffs_location!A:F,6,FALSE)</f>
        <v>37.779258800000001</v>
      </c>
      <c r="R249" s="3">
        <f>VLOOKUP(C249,layoffs_location!A:G,7,FALSE)</f>
        <v>-122.4193286</v>
      </c>
    </row>
    <row r="250" spans="1:18" x14ac:dyDescent="0.2">
      <c r="A250" s="3">
        <v>249</v>
      </c>
      <c r="B250" s="3" t="s">
        <v>613</v>
      </c>
      <c r="C250" s="3" t="s">
        <v>39</v>
      </c>
      <c r="D250" s="3" t="str">
        <f>VLOOKUP(C250,layoffs_location!A:B,2,FALSE)</f>
        <v>New York</v>
      </c>
      <c r="E250" s="3" t="str">
        <f>VLOOKUP(C250,layoffs_location!A:C,3,FALSE)</f>
        <v>New York</v>
      </c>
      <c r="F250" s="3" t="str">
        <f>VLOOKUP(C250,layoffs_location!A:D,4,FALSE)</f>
        <v>USA</v>
      </c>
      <c r="G250" s="3" t="str">
        <f>VLOOKUP(C250,layoffs_location!A:E,5,FALSE)</f>
        <v>North America</v>
      </c>
      <c r="H250" s="3">
        <v>70</v>
      </c>
      <c r="I250" s="8">
        <v>43965</v>
      </c>
      <c r="J250" s="9">
        <v>10</v>
      </c>
      <c r="K250" s="10">
        <v>700</v>
      </c>
      <c r="L250" s="10">
        <v>630</v>
      </c>
      <c r="M250" s="3" t="s">
        <v>130</v>
      </c>
      <c r="N250" s="3" t="s">
        <v>33</v>
      </c>
      <c r="O250" s="34">
        <v>116</v>
      </c>
      <c r="P250" s="3">
        <v>2020</v>
      </c>
      <c r="Q250" s="3">
        <f>VLOOKUP(C250,layoffs_location!A:F,6,FALSE)</f>
        <v>40.7127281</v>
      </c>
      <c r="R250" s="3">
        <f>VLOOKUP(C250,layoffs_location!A:G,7,FALSE)</f>
        <v>-74.006015199999993</v>
      </c>
    </row>
    <row r="251" spans="1:18" ht="16" x14ac:dyDescent="0.2">
      <c r="A251" s="3">
        <v>250</v>
      </c>
      <c r="B251" s="3" t="s">
        <v>1129</v>
      </c>
      <c r="C251" s="11" t="s">
        <v>1370</v>
      </c>
      <c r="D251" s="3" t="str">
        <f>VLOOKUP(C251,layoffs_location!A:B,2,FALSE)</f>
        <v>San Francisco Bay Area</v>
      </c>
      <c r="E251" s="3" t="str">
        <f>VLOOKUP(C251,layoffs_location!A:C,3,FALSE)</f>
        <v>California</v>
      </c>
      <c r="F251" s="3" t="str">
        <f>VLOOKUP(C251,layoffs_location!A:D,4,FALSE)</f>
        <v>USA</v>
      </c>
      <c r="G251" s="3" t="str">
        <f>VLOOKUP(C251,layoffs_location!A:E,5,FALSE)</f>
        <v>North America</v>
      </c>
      <c r="H251" s="3">
        <v>35</v>
      </c>
      <c r="I251" s="8">
        <v>43965</v>
      </c>
      <c r="J251" s="9">
        <v>15</v>
      </c>
      <c r="K251" s="10">
        <v>233</v>
      </c>
      <c r="L251" s="10">
        <v>198</v>
      </c>
      <c r="M251" s="3" t="s">
        <v>32</v>
      </c>
      <c r="N251" s="3" t="s">
        <v>49</v>
      </c>
      <c r="O251" s="34">
        <v>73</v>
      </c>
      <c r="P251" s="3">
        <v>2020</v>
      </c>
      <c r="Q251" s="3">
        <f>VLOOKUP(C251,layoffs_location!A:F,6,FALSE)</f>
        <v>37.779258800000001</v>
      </c>
      <c r="R251" s="3">
        <f>VLOOKUP(C251,layoffs_location!A:G,7,FALSE)</f>
        <v>-122.4193286</v>
      </c>
    </row>
    <row r="252" spans="1:18" ht="16" x14ac:dyDescent="0.2">
      <c r="A252" s="3">
        <v>251</v>
      </c>
      <c r="B252" s="3" t="s">
        <v>551</v>
      </c>
      <c r="C252" s="11" t="s">
        <v>1370</v>
      </c>
      <c r="D252" s="3" t="str">
        <f>VLOOKUP(C252,layoffs_location!A:B,2,FALSE)</f>
        <v>San Francisco Bay Area</v>
      </c>
      <c r="E252" s="3" t="str">
        <f>VLOOKUP(C252,layoffs_location!A:C,3,FALSE)</f>
        <v>California</v>
      </c>
      <c r="F252" s="3" t="str">
        <f>VLOOKUP(C252,layoffs_location!A:D,4,FALSE)</f>
        <v>USA</v>
      </c>
      <c r="G252" s="3" t="str">
        <f>VLOOKUP(C252,layoffs_location!A:E,5,FALSE)</f>
        <v>North America</v>
      </c>
      <c r="H252" s="3">
        <v>16</v>
      </c>
      <c r="I252" s="8">
        <v>43966</v>
      </c>
      <c r="J252" s="9">
        <v>10</v>
      </c>
      <c r="K252" s="10">
        <v>160</v>
      </c>
      <c r="L252" s="10">
        <v>144</v>
      </c>
      <c r="M252" s="3" t="s">
        <v>84</v>
      </c>
      <c r="N252" s="3" t="s">
        <v>41</v>
      </c>
      <c r="O252" s="34">
        <v>49</v>
      </c>
      <c r="P252" s="3">
        <v>2020</v>
      </c>
      <c r="Q252" s="3">
        <f>VLOOKUP(C252,layoffs_location!A:F,6,FALSE)</f>
        <v>37.779258800000001</v>
      </c>
      <c r="R252" s="3">
        <f>VLOOKUP(C252,layoffs_location!A:G,7,FALSE)</f>
        <v>-122.4193286</v>
      </c>
    </row>
    <row r="253" spans="1:18" x14ac:dyDescent="0.2">
      <c r="A253" s="3">
        <v>252</v>
      </c>
      <c r="B253" s="3" t="s">
        <v>1127</v>
      </c>
      <c r="C253" s="3" t="s">
        <v>1128</v>
      </c>
      <c r="D253" s="3" t="str">
        <f>VLOOKUP(C253,layoffs_location!A:B,2,FALSE)</f>
        <v>other</v>
      </c>
      <c r="E253" s="3" t="str">
        <f>VLOOKUP(C253,layoffs_location!A:C,3,FALSE)</f>
        <v>Gujarat</v>
      </c>
      <c r="F253" s="3" t="str">
        <f>VLOOKUP(C253,layoffs_location!A:D,4,FALSE)</f>
        <v>India</v>
      </c>
      <c r="G253" s="3" t="str">
        <f>VLOOKUP(C253,layoffs_location!A:E,5,FALSE)</f>
        <v>Asia</v>
      </c>
      <c r="H253" s="3">
        <v>500</v>
      </c>
      <c r="I253" s="8">
        <v>43966</v>
      </c>
      <c r="J253" s="9">
        <v>50</v>
      </c>
      <c r="K253" s="10">
        <v>1000</v>
      </c>
      <c r="L253" s="10">
        <v>500</v>
      </c>
      <c r="M253" s="3" t="s">
        <v>35</v>
      </c>
      <c r="N253" s="3" t="s">
        <v>22</v>
      </c>
      <c r="O253" s="34">
        <v>200</v>
      </c>
      <c r="P253" s="3">
        <v>2020</v>
      </c>
      <c r="Q253" s="3">
        <f>VLOOKUP(C253,layoffs_location!A:F,6,FALSE)</f>
        <v>23.0216238</v>
      </c>
      <c r="R253" s="3">
        <f>VLOOKUP(C253,layoffs_location!A:G,7,FALSE)</f>
        <v>72.579706799999997</v>
      </c>
    </row>
    <row r="254" spans="1:18" x14ac:dyDescent="0.2">
      <c r="A254" s="3">
        <v>253</v>
      </c>
      <c r="B254" s="3" t="s">
        <v>665</v>
      </c>
      <c r="C254" s="3" t="s">
        <v>182</v>
      </c>
      <c r="D254" s="3" t="str">
        <f>VLOOKUP(C254,layoffs_location!A:B,2,FALSE)</f>
        <v>other</v>
      </c>
      <c r="E254" s="3" t="str">
        <f>VLOOKUP(C254,layoffs_location!A:C,3,FALSE)</f>
        <v>Haryana</v>
      </c>
      <c r="F254" s="3" t="str">
        <f>VLOOKUP(C254,layoffs_location!A:D,4,FALSE)</f>
        <v>India</v>
      </c>
      <c r="G254" s="3" t="str">
        <f>VLOOKUP(C254,layoffs_location!A:E,5,FALSE)</f>
        <v>Asia</v>
      </c>
      <c r="H254" s="3">
        <v>520</v>
      </c>
      <c r="I254" s="8">
        <v>43966</v>
      </c>
      <c r="J254" s="9">
        <v>13</v>
      </c>
      <c r="K254" s="10">
        <v>4000</v>
      </c>
      <c r="L254" s="10">
        <v>3480</v>
      </c>
      <c r="M254" s="3" t="s">
        <v>77</v>
      </c>
      <c r="N254" s="3" t="s">
        <v>652</v>
      </c>
      <c r="O254" s="34">
        <v>914</v>
      </c>
      <c r="P254" s="3">
        <v>2020</v>
      </c>
      <c r="Q254" s="3">
        <f>VLOOKUP(C254,layoffs_location!A:F,6,FALSE)</f>
        <v>28.4646148</v>
      </c>
      <c r="R254" s="3">
        <f>VLOOKUP(C254,layoffs_location!A:G,7,FALSE)</f>
        <v>77.029919399999997</v>
      </c>
    </row>
    <row r="255" spans="1:18" x14ac:dyDescent="0.2">
      <c r="A255" s="3">
        <v>254</v>
      </c>
      <c r="B255" s="3" t="s">
        <v>515</v>
      </c>
      <c r="C255" s="3" t="s">
        <v>13</v>
      </c>
      <c r="D255" s="3" t="str">
        <f>VLOOKUP(C255,layoffs_location!A:B,2,FALSE)</f>
        <v>other</v>
      </c>
      <c r="E255" s="3" t="str">
        <f>VLOOKUP(C255,layoffs_location!A:C,3,FALSE)</f>
        <v>Karnataka</v>
      </c>
      <c r="F255" s="3" t="str">
        <f>VLOOKUP(C255,layoffs_location!A:D,4,FALSE)</f>
        <v>India</v>
      </c>
      <c r="G255" s="3" t="str">
        <f>VLOOKUP(C255,layoffs_location!A:E,5,FALSE)</f>
        <v>Asia</v>
      </c>
      <c r="H255" s="3">
        <v>1100</v>
      </c>
      <c r="I255" s="8">
        <v>43969</v>
      </c>
      <c r="J255" s="9">
        <v>14</v>
      </c>
      <c r="K255" s="10">
        <v>7857</v>
      </c>
      <c r="L255" s="10">
        <v>6757</v>
      </c>
      <c r="M255" s="3" t="s">
        <v>77</v>
      </c>
      <c r="N255" s="3" t="s">
        <v>567</v>
      </c>
      <c r="O255" s="34">
        <v>1600</v>
      </c>
      <c r="P255" s="3">
        <v>2020</v>
      </c>
      <c r="Q255" s="3">
        <f>VLOOKUP(C255,layoffs_location!A:F,6,FALSE)</f>
        <v>12.98815675</v>
      </c>
      <c r="R255" s="3">
        <f>VLOOKUP(C255,layoffs_location!A:G,7,FALSE)</f>
        <v>77.622600037959998</v>
      </c>
    </row>
    <row r="256" spans="1:18" ht="16" x14ac:dyDescent="0.2">
      <c r="A256" s="3">
        <v>255</v>
      </c>
      <c r="B256" s="3" t="s">
        <v>241</v>
      </c>
      <c r="C256" s="11" t="s">
        <v>1370</v>
      </c>
      <c r="D256" s="3" t="str">
        <f>VLOOKUP(C256,layoffs_location!A:B,2,FALSE)</f>
        <v>San Francisco Bay Area</v>
      </c>
      <c r="E256" s="3" t="str">
        <f>VLOOKUP(C256,layoffs_location!A:C,3,FALSE)</f>
        <v>California</v>
      </c>
      <c r="F256" s="3" t="str">
        <f>VLOOKUP(C256,layoffs_location!A:D,4,FALSE)</f>
        <v>USA</v>
      </c>
      <c r="G256" s="3" t="str">
        <f>VLOOKUP(C256,layoffs_location!A:E,5,FALSE)</f>
        <v>North America</v>
      </c>
      <c r="H256" s="3">
        <v>3000</v>
      </c>
      <c r="I256" s="8">
        <v>43969</v>
      </c>
      <c r="J256" s="9">
        <v>13</v>
      </c>
      <c r="K256" s="10">
        <v>23077</v>
      </c>
      <c r="L256" s="10">
        <v>20077</v>
      </c>
      <c r="M256" s="3" t="s">
        <v>32</v>
      </c>
      <c r="N256" s="3" t="s">
        <v>28</v>
      </c>
      <c r="O256" s="34">
        <v>24700</v>
      </c>
      <c r="P256" s="3">
        <v>2020</v>
      </c>
      <c r="Q256" s="3">
        <f>VLOOKUP(C256,layoffs_location!A:F,6,FALSE)</f>
        <v>37.779258800000001</v>
      </c>
      <c r="R256" s="3">
        <f>VLOOKUP(C256,layoffs_location!A:G,7,FALSE)</f>
        <v>-122.4193286</v>
      </c>
    </row>
    <row r="257" spans="1:18" x14ac:dyDescent="0.2">
      <c r="A257" s="3">
        <v>256</v>
      </c>
      <c r="B257" s="3" t="s">
        <v>1126</v>
      </c>
      <c r="C257" s="3" t="s">
        <v>748</v>
      </c>
      <c r="D257" s="3" t="str">
        <f>VLOOKUP(C257,layoffs_location!A:B,2,FALSE)</f>
        <v>other</v>
      </c>
      <c r="E257" s="3" t="str">
        <f>VLOOKUP(C257,layoffs_location!A:C,3,FALSE)</f>
        <v>Delhi</v>
      </c>
      <c r="F257" s="3" t="str">
        <f>VLOOKUP(C257,layoffs_location!A:D,4,FALSE)</f>
        <v>India</v>
      </c>
      <c r="G257" s="3" t="str">
        <f>VLOOKUP(C257,layoffs_location!A:E,5,FALSE)</f>
        <v>Asia</v>
      </c>
      <c r="H257" s="3">
        <v>100</v>
      </c>
      <c r="I257" s="8">
        <v>43969</v>
      </c>
      <c r="J257" s="9">
        <v>20</v>
      </c>
      <c r="K257" s="10">
        <v>500</v>
      </c>
      <c r="L257" s="10">
        <v>400</v>
      </c>
      <c r="M257" s="3" t="s">
        <v>137</v>
      </c>
      <c r="N257" s="3" t="s">
        <v>17</v>
      </c>
      <c r="O257" s="34">
        <v>19500</v>
      </c>
      <c r="P257" s="3">
        <v>2020</v>
      </c>
      <c r="Q257" s="3">
        <f>VLOOKUP(C257,layoffs_location!A:F,6,FALSE)</f>
        <v>28.613895400000001</v>
      </c>
      <c r="R257" s="3">
        <f>VLOOKUP(C257,layoffs_location!A:G,7,FALSE)</f>
        <v>77.209005700000006</v>
      </c>
    </row>
    <row r="258" spans="1:18" x14ac:dyDescent="0.2">
      <c r="A258" s="3">
        <v>257</v>
      </c>
      <c r="B258" s="3" t="s">
        <v>377</v>
      </c>
      <c r="C258" s="3" t="s">
        <v>13</v>
      </c>
      <c r="D258" s="3" t="str">
        <f>VLOOKUP(C258,layoffs_location!A:B,2,FALSE)</f>
        <v>other</v>
      </c>
      <c r="E258" s="3" t="str">
        <f>VLOOKUP(C258,layoffs_location!A:C,3,FALSE)</f>
        <v>Karnataka</v>
      </c>
      <c r="F258" s="3" t="str">
        <f>VLOOKUP(C258,layoffs_location!A:D,4,FALSE)</f>
        <v>India</v>
      </c>
      <c r="G258" s="3" t="str">
        <f>VLOOKUP(C258,layoffs_location!A:E,5,FALSE)</f>
        <v>Asia</v>
      </c>
      <c r="H258" s="3">
        <v>450</v>
      </c>
      <c r="I258" s="8">
        <v>43970</v>
      </c>
      <c r="J258" s="9">
        <v>15</v>
      </c>
      <c r="K258" s="10">
        <v>3000</v>
      </c>
      <c r="L258" s="10">
        <v>2550</v>
      </c>
      <c r="M258" s="3" t="s">
        <v>30</v>
      </c>
      <c r="N258" s="3" t="s">
        <v>108</v>
      </c>
      <c r="O258" s="34">
        <v>157</v>
      </c>
      <c r="P258" s="3">
        <v>2020</v>
      </c>
      <c r="Q258" s="3">
        <f>VLOOKUP(C258,layoffs_location!A:F,6,FALSE)</f>
        <v>12.98815675</v>
      </c>
      <c r="R258" s="3">
        <f>VLOOKUP(C258,layoffs_location!A:G,7,FALSE)</f>
        <v>77.622600037959998</v>
      </c>
    </row>
    <row r="259" spans="1:18" x14ac:dyDescent="0.2">
      <c r="A259" s="3">
        <v>258</v>
      </c>
      <c r="B259" s="3" t="s">
        <v>1038</v>
      </c>
      <c r="C259" s="3" t="s">
        <v>58</v>
      </c>
      <c r="D259" s="3" t="str">
        <f>VLOOKUP(C259,layoffs_location!A:B,2,FALSE)</f>
        <v>other</v>
      </c>
      <c r="E259" s="3" t="str">
        <f>VLOOKUP(C259,layoffs_location!A:C,3,FALSE)</f>
        <v>England</v>
      </c>
      <c r="F259" s="3" t="str">
        <f>VLOOKUP(C259,layoffs_location!A:D,4,FALSE)</f>
        <v>UK</v>
      </c>
      <c r="G259" s="3" t="str">
        <f>VLOOKUP(C259,layoffs_location!A:E,5,FALSE)</f>
        <v>Europe</v>
      </c>
      <c r="H259" s="3">
        <v>69</v>
      </c>
      <c r="I259" s="8">
        <v>43970</v>
      </c>
      <c r="J259" s="9">
        <v>31</v>
      </c>
      <c r="K259" s="10">
        <v>223</v>
      </c>
      <c r="L259" s="10">
        <v>154</v>
      </c>
      <c r="M259" s="3" t="s">
        <v>72</v>
      </c>
      <c r="N259" s="3" t="s">
        <v>49</v>
      </c>
      <c r="O259" s="34">
        <v>88</v>
      </c>
      <c r="P259" s="3">
        <v>2020</v>
      </c>
      <c r="Q259" s="3">
        <f>VLOOKUP(C259,layoffs_location!A:F,6,FALSE)</f>
        <v>51.489333500000001</v>
      </c>
      <c r="R259" s="3">
        <f>VLOOKUP(C259,layoffs_location!A:G,7,FALSE)</f>
        <v>-0.14405508452768701</v>
      </c>
    </row>
    <row r="260" spans="1:18" ht="16" x14ac:dyDescent="0.2">
      <c r="A260" s="3">
        <v>259</v>
      </c>
      <c r="B260" s="3" t="s">
        <v>691</v>
      </c>
      <c r="C260" s="11" t="s">
        <v>1370</v>
      </c>
      <c r="D260" s="3" t="str">
        <f>VLOOKUP(C260,layoffs_location!A:B,2,FALSE)</f>
        <v>San Francisco Bay Area</v>
      </c>
      <c r="E260" s="3" t="str">
        <f>VLOOKUP(C260,layoffs_location!A:C,3,FALSE)</f>
        <v>California</v>
      </c>
      <c r="F260" s="3" t="str">
        <f>VLOOKUP(C260,layoffs_location!A:D,4,FALSE)</f>
        <v>USA</v>
      </c>
      <c r="G260" s="3" t="str">
        <f>VLOOKUP(C260,layoffs_location!A:E,5,FALSE)</f>
        <v>North America</v>
      </c>
      <c r="H260" s="3">
        <v>39</v>
      </c>
      <c r="I260" s="8">
        <v>43971</v>
      </c>
      <c r="J260" s="9">
        <v>6</v>
      </c>
      <c r="K260" s="10">
        <v>650</v>
      </c>
      <c r="L260" s="10">
        <v>611</v>
      </c>
      <c r="M260" s="3" t="s">
        <v>274</v>
      </c>
      <c r="N260" s="3" t="s">
        <v>108</v>
      </c>
      <c r="O260" s="34">
        <v>240</v>
      </c>
      <c r="P260" s="3">
        <v>2020</v>
      </c>
      <c r="Q260" s="3">
        <f>VLOOKUP(C260,layoffs_location!A:F,6,FALSE)</f>
        <v>37.779258800000001</v>
      </c>
      <c r="R260" s="3">
        <f>VLOOKUP(C260,layoffs_location!A:G,7,FALSE)</f>
        <v>-122.4193286</v>
      </c>
    </row>
    <row r="261" spans="1:18" x14ac:dyDescent="0.2">
      <c r="A261" s="3">
        <v>260</v>
      </c>
      <c r="B261" s="3" t="s">
        <v>1122</v>
      </c>
      <c r="C261" s="3" t="s">
        <v>13</v>
      </c>
      <c r="D261" s="3" t="str">
        <f>VLOOKUP(C261,layoffs_location!A:B,2,FALSE)</f>
        <v>other</v>
      </c>
      <c r="E261" s="3" t="str">
        <f>VLOOKUP(C261,layoffs_location!A:C,3,FALSE)</f>
        <v>Karnataka</v>
      </c>
      <c r="F261" s="3" t="str">
        <f>VLOOKUP(C261,layoffs_location!A:D,4,FALSE)</f>
        <v>India</v>
      </c>
      <c r="G261" s="3" t="str">
        <f>VLOOKUP(C261,layoffs_location!A:E,5,FALSE)</f>
        <v>Asia</v>
      </c>
      <c r="H261" s="3">
        <v>1400</v>
      </c>
      <c r="I261" s="8">
        <v>43971</v>
      </c>
      <c r="J261" s="9">
        <v>35</v>
      </c>
      <c r="K261" s="10">
        <v>4000</v>
      </c>
      <c r="L261" s="10">
        <v>2600</v>
      </c>
      <c r="M261" s="3" t="s">
        <v>32</v>
      </c>
      <c r="N261" s="3" t="s">
        <v>652</v>
      </c>
      <c r="O261" s="34">
        <v>3800</v>
      </c>
      <c r="P261" s="3">
        <v>2020</v>
      </c>
      <c r="Q261" s="3">
        <f>VLOOKUP(C261,layoffs_location!A:F,6,FALSE)</f>
        <v>12.98815675</v>
      </c>
      <c r="R261" s="3">
        <f>VLOOKUP(C261,layoffs_location!A:G,7,FALSE)</f>
        <v>77.622600037959998</v>
      </c>
    </row>
    <row r="262" spans="1:18" ht="16" x14ac:dyDescent="0.2">
      <c r="A262" s="3">
        <v>261</v>
      </c>
      <c r="B262" s="3" t="s">
        <v>1123</v>
      </c>
      <c r="C262" s="11" t="s">
        <v>1370</v>
      </c>
      <c r="D262" s="3" t="str">
        <f>VLOOKUP(C262,layoffs_location!A:B,2,FALSE)</f>
        <v>San Francisco Bay Area</v>
      </c>
      <c r="E262" s="3" t="str">
        <f>VLOOKUP(C262,layoffs_location!A:C,3,FALSE)</f>
        <v>California</v>
      </c>
      <c r="F262" s="3" t="str">
        <f>VLOOKUP(C262,layoffs_location!A:D,4,FALSE)</f>
        <v>USA</v>
      </c>
      <c r="G262" s="3" t="str">
        <f>VLOOKUP(C262,layoffs_location!A:E,5,FALSE)</f>
        <v>North America</v>
      </c>
      <c r="H262" s="3">
        <v>300</v>
      </c>
      <c r="I262" s="8">
        <v>43971</v>
      </c>
      <c r="J262" s="9">
        <v>18</v>
      </c>
      <c r="K262" s="10">
        <v>1667</v>
      </c>
      <c r="L262" s="10">
        <v>1367</v>
      </c>
      <c r="M262" s="3" t="s">
        <v>90</v>
      </c>
      <c r="N262" s="3" t="s">
        <v>63</v>
      </c>
      <c r="O262" s="34">
        <v>530</v>
      </c>
      <c r="P262" s="3">
        <v>2020</v>
      </c>
      <c r="Q262" s="3">
        <f>VLOOKUP(C262,layoffs_location!A:F,6,FALSE)</f>
        <v>37.779258800000001</v>
      </c>
      <c r="R262" s="3">
        <f>VLOOKUP(C262,layoffs_location!A:G,7,FALSE)</f>
        <v>-122.4193286</v>
      </c>
    </row>
    <row r="263" spans="1:18" x14ac:dyDescent="0.2">
      <c r="A263" s="3">
        <v>262</v>
      </c>
      <c r="B263" s="3" t="s">
        <v>12</v>
      </c>
      <c r="C263" s="3" t="s">
        <v>13</v>
      </c>
      <c r="D263" s="3" t="str">
        <f>VLOOKUP(C263,layoffs_location!A:B,2,FALSE)</f>
        <v>other</v>
      </c>
      <c r="E263" s="3" t="str">
        <f>VLOOKUP(C263,layoffs_location!A:C,3,FALSE)</f>
        <v>Karnataka</v>
      </c>
      <c r="F263" s="3" t="str">
        <f>VLOOKUP(C263,layoffs_location!A:D,4,FALSE)</f>
        <v>India</v>
      </c>
      <c r="G263" s="3" t="str">
        <f>VLOOKUP(C263,layoffs_location!A:E,5,FALSE)</f>
        <v>Asia</v>
      </c>
      <c r="H263" s="3">
        <v>101</v>
      </c>
      <c r="I263" s="8">
        <v>43971</v>
      </c>
      <c r="J263" s="9">
        <v>25</v>
      </c>
      <c r="K263" s="10">
        <v>404</v>
      </c>
      <c r="L263" s="10">
        <v>303</v>
      </c>
      <c r="M263" s="3" t="s">
        <v>130</v>
      </c>
      <c r="N263" s="3" t="s">
        <v>108</v>
      </c>
      <c r="O263" s="34">
        <v>222</v>
      </c>
      <c r="P263" s="3">
        <v>2020</v>
      </c>
      <c r="Q263" s="3">
        <f>VLOOKUP(C263,layoffs_location!A:F,6,FALSE)</f>
        <v>12.98815675</v>
      </c>
      <c r="R263" s="3">
        <f>VLOOKUP(C263,layoffs_location!A:G,7,FALSE)</f>
        <v>77.622600037959998</v>
      </c>
    </row>
    <row r="264" spans="1:18" ht="16" x14ac:dyDescent="0.2">
      <c r="A264" s="3">
        <v>263</v>
      </c>
      <c r="B264" s="3" t="s">
        <v>1125</v>
      </c>
      <c r="C264" s="11" t="s">
        <v>1370</v>
      </c>
      <c r="D264" s="3" t="str">
        <f>VLOOKUP(C264,layoffs_location!A:B,2,FALSE)</f>
        <v>San Francisco Bay Area</v>
      </c>
      <c r="E264" s="3" t="str">
        <f>VLOOKUP(C264,layoffs_location!A:C,3,FALSE)</f>
        <v>California</v>
      </c>
      <c r="F264" s="3" t="str">
        <f>VLOOKUP(C264,layoffs_location!A:D,4,FALSE)</f>
        <v>USA</v>
      </c>
      <c r="G264" s="3" t="str">
        <f>VLOOKUP(C264,layoffs_location!A:E,5,FALSE)</f>
        <v>North America</v>
      </c>
      <c r="H264" s="3">
        <v>112</v>
      </c>
      <c r="I264" s="8">
        <v>43971</v>
      </c>
      <c r="J264" s="9">
        <v>7</v>
      </c>
      <c r="K264" s="10">
        <v>1600</v>
      </c>
      <c r="L264" s="10">
        <v>1488</v>
      </c>
      <c r="M264" s="3" t="s">
        <v>35</v>
      </c>
      <c r="N264" s="3" t="s">
        <v>1696</v>
      </c>
      <c r="O264" s="34">
        <v>2500</v>
      </c>
      <c r="P264" s="3">
        <v>2020</v>
      </c>
      <c r="Q264" s="3">
        <f>VLOOKUP(C264,layoffs_location!A:F,6,FALSE)</f>
        <v>37.779258800000001</v>
      </c>
      <c r="R264" s="3">
        <f>VLOOKUP(C264,layoffs_location!A:G,7,FALSE)</f>
        <v>-122.4193286</v>
      </c>
    </row>
    <row r="265" spans="1:18" x14ac:dyDescent="0.2">
      <c r="A265" s="3">
        <v>264</v>
      </c>
      <c r="B265" s="3" t="s">
        <v>1124</v>
      </c>
      <c r="C265" s="3" t="s">
        <v>945</v>
      </c>
      <c r="D265" s="3" t="str">
        <f>VLOOKUP(C265,layoffs_location!A:B,2,FALSE)</f>
        <v>other</v>
      </c>
      <c r="E265" s="3" t="str">
        <f>VLOOKUP(C265,layoffs_location!A:C,3,FALSE)</f>
        <v>Washington</v>
      </c>
      <c r="F265" s="3" t="str">
        <f>VLOOKUP(C265,layoffs_location!A:D,4,FALSE)</f>
        <v>USA</v>
      </c>
      <c r="G265" s="3" t="str">
        <f>VLOOKUP(C265,layoffs_location!A:E,5,FALSE)</f>
        <v>North America</v>
      </c>
      <c r="H265" s="3">
        <v>221</v>
      </c>
      <c r="I265" s="8">
        <v>43971</v>
      </c>
      <c r="J265" s="9">
        <v>100</v>
      </c>
      <c r="K265" s="10">
        <v>221</v>
      </c>
      <c r="L265" s="10">
        <v>0</v>
      </c>
      <c r="M265" s="3" t="s">
        <v>72</v>
      </c>
      <c r="N265" s="3" t="s">
        <v>49</v>
      </c>
      <c r="O265" s="34">
        <v>62</v>
      </c>
      <c r="P265" s="3">
        <v>2020</v>
      </c>
      <c r="Q265" s="3">
        <f>VLOOKUP(C265,layoffs_location!A:F,6,FALSE)</f>
        <v>47.657193399999997</v>
      </c>
      <c r="R265" s="3">
        <f>VLOOKUP(C265,layoffs_location!A:G,7,FALSE)</f>
        <v>-117.42350999999999</v>
      </c>
    </row>
    <row r="266" spans="1:18" x14ac:dyDescent="0.2">
      <c r="A266" s="3">
        <v>265</v>
      </c>
      <c r="B266" s="3" t="s">
        <v>1119</v>
      </c>
      <c r="C266" s="3" t="s">
        <v>260</v>
      </c>
      <c r="D266" s="3" t="str">
        <f>VLOOKUP(C266,layoffs_location!A:B,2,FALSE)</f>
        <v>other</v>
      </c>
      <c r="E266" s="3" t="str">
        <f>VLOOKUP(C266,layoffs_location!A:C,3,FALSE)</f>
        <v>District of Columbia</v>
      </c>
      <c r="F266" s="3" t="str">
        <f>VLOOKUP(C266,layoffs_location!A:D,4,FALSE)</f>
        <v>USA</v>
      </c>
      <c r="G266" s="3" t="str">
        <f>VLOOKUP(C266,layoffs_location!A:E,5,FALSE)</f>
        <v>North America</v>
      </c>
      <c r="H266" s="3">
        <v>400</v>
      </c>
      <c r="I266" s="8">
        <v>43972</v>
      </c>
      <c r="J266" s="9">
        <v>10</v>
      </c>
      <c r="K266" s="10">
        <v>4000</v>
      </c>
      <c r="L266" s="10">
        <v>3600</v>
      </c>
      <c r="M266" s="3" t="s">
        <v>130</v>
      </c>
      <c r="N266" s="3" t="s">
        <v>33</v>
      </c>
      <c r="O266" s="34">
        <v>146</v>
      </c>
      <c r="P266" s="3">
        <v>2020</v>
      </c>
      <c r="Q266" s="3">
        <f>VLOOKUP(C266,layoffs_location!A:F,6,FALSE)</f>
        <v>38.8950368</v>
      </c>
      <c r="R266" s="3">
        <f>VLOOKUP(C266,layoffs_location!A:G,7,FALSE)</f>
        <v>-77.036542699999998</v>
      </c>
    </row>
    <row r="267" spans="1:18" x14ac:dyDescent="0.2">
      <c r="A267" s="3">
        <v>266</v>
      </c>
      <c r="B267" s="3" t="s">
        <v>1121</v>
      </c>
      <c r="C267" s="3" t="s">
        <v>39</v>
      </c>
      <c r="D267" s="3" t="str">
        <f>VLOOKUP(C267,layoffs_location!A:B,2,FALSE)</f>
        <v>New York</v>
      </c>
      <c r="E267" s="3" t="str">
        <f>VLOOKUP(C267,layoffs_location!A:C,3,FALSE)</f>
        <v>New York</v>
      </c>
      <c r="F267" s="3" t="str">
        <f>VLOOKUP(C267,layoffs_location!A:D,4,FALSE)</f>
        <v>USA</v>
      </c>
      <c r="G267" s="3" t="str">
        <f>VLOOKUP(C267,layoffs_location!A:E,5,FALSE)</f>
        <v>North America</v>
      </c>
      <c r="H267" s="3">
        <v>18</v>
      </c>
      <c r="I267" s="8">
        <v>43972</v>
      </c>
      <c r="J267" s="9">
        <v>36</v>
      </c>
      <c r="K267" s="10">
        <v>50</v>
      </c>
      <c r="L267" s="10">
        <v>32</v>
      </c>
      <c r="M267" s="3" t="s">
        <v>48</v>
      </c>
      <c r="N267" s="3" t="s">
        <v>69</v>
      </c>
      <c r="O267" s="34">
        <v>30</v>
      </c>
      <c r="P267" s="3">
        <v>2020</v>
      </c>
      <c r="Q267" s="3">
        <f>VLOOKUP(C267,layoffs_location!A:F,6,FALSE)</f>
        <v>40.7127281</v>
      </c>
      <c r="R267" s="3">
        <f>VLOOKUP(C267,layoffs_location!A:G,7,FALSE)</f>
        <v>-74.006015199999993</v>
      </c>
    </row>
    <row r="268" spans="1:18" x14ac:dyDescent="0.2">
      <c r="A268" s="3">
        <v>267</v>
      </c>
      <c r="B268" s="3" t="s">
        <v>1120</v>
      </c>
      <c r="C268" s="3" t="s">
        <v>222</v>
      </c>
      <c r="D268" s="3" t="str">
        <f>VLOOKUP(C268,layoffs_location!A:B,2,FALSE)</f>
        <v>other</v>
      </c>
      <c r="E268" s="3" t="str">
        <f>VLOOKUP(C268,layoffs_location!A:C,3,FALSE)</f>
        <v>Tamil Nadu</v>
      </c>
      <c r="F268" s="3" t="str">
        <f>VLOOKUP(C268,layoffs_location!A:D,4,FALSE)</f>
        <v>India</v>
      </c>
      <c r="G268" s="3" t="str">
        <f>VLOOKUP(C268,layoffs_location!A:E,5,FALSE)</f>
        <v>Asia</v>
      </c>
      <c r="H268" s="3">
        <v>70</v>
      </c>
      <c r="I268" s="8">
        <v>43972</v>
      </c>
      <c r="J268" s="9">
        <v>35</v>
      </c>
      <c r="K268" s="10">
        <v>200</v>
      </c>
      <c r="L268" s="10">
        <v>130</v>
      </c>
      <c r="M268" s="3" t="s">
        <v>72</v>
      </c>
      <c r="N268" s="3" t="s">
        <v>69</v>
      </c>
      <c r="O268" s="34">
        <v>3</v>
      </c>
      <c r="P268" s="3">
        <v>2020</v>
      </c>
      <c r="Q268" s="3">
        <f>VLOOKUP(C268,layoffs_location!A:F,6,FALSE)</f>
        <v>13.0836939</v>
      </c>
      <c r="R268" s="3">
        <f>VLOOKUP(C268,layoffs_location!A:G,7,FALSE)</f>
        <v>80.270185999999995</v>
      </c>
    </row>
    <row r="269" spans="1:18" x14ac:dyDescent="0.2">
      <c r="A269" s="3">
        <v>268</v>
      </c>
      <c r="B269" s="3" t="s">
        <v>1118</v>
      </c>
      <c r="C269" s="3" t="s">
        <v>132</v>
      </c>
      <c r="D269" s="3" t="str">
        <f>VLOOKUP(C269,layoffs_location!A:B,2,FALSE)</f>
        <v>other</v>
      </c>
      <c r="E269" s="3" t="str">
        <f>VLOOKUP(C269,layoffs_location!A:C,3,FALSE)</f>
        <v>Colorado</v>
      </c>
      <c r="F269" s="3" t="str">
        <f>VLOOKUP(C269,layoffs_location!A:D,4,FALSE)</f>
        <v>USA</v>
      </c>
      <c r="G269" s="3" t="str">
        <f>VLOOKUP(C269,layoffs_location!A:E,5,FALSE)</f>
        <v>North America</v>
      </c>
      <c r="H269" s="3">
        <v>137</v>
      </c>
      <c r="I269" s="8">
        <v>43977</v>
      </c>
      <c r="J269" s="9">
        <v>100</v>
      </c>
      <c r="K269" s="10">
        <v>137</v>
      </c>
      <c r="L269" s="10">
        <v>0</v>
      </c>
      <c r="M269" s="3" t="s">
        <v>68</v>
      </c>
      <c r="N269" s="3" t="s">
        <v>33</v>
      </c>
      <c r="O269" s="34">
        <v>108</v>
      </c>
      <c r="P269" s="3">
        <v>2020</v>
      </c>
      <c r="Q269" s="3">
        <f>VLOOKUP(C269,layoffs_location!A:F,6,FALSE)</f>
        <v>39.739236400000003</v>
      </c>
      <c r="R269" s="3">
        <f>VLOOKUP(C269,layoffs_location!A:G,7,FALSE)</f>
        <v>-104.98486200000001</v>
      </c>
    </row>
    <row r="270" spans="1:18" x14ac:dyDescent="0.2">
      <c r="A270" s="3">
        <v>269</v>
      </c>
      <c r="B270" s="3" t="s">
        <v>241</v>
      </c>
      <c r="C270" s="3" t="s">
        <v>13</v>
      </c>
      <c r="D270" s="3" t="str">
        <f>VLOOKUP(C270,layoffs_location!A:B,2,FALSE)</f>
        <v>other</v>
      </c>
      <c r="E270" s="3" t="str">
        <f>VLOOKUP(C270,layoffs_location!A:C,3,FALSE)</f>
        <v>Karnataka</v>
      </c>
      <c r="F270" s="3" t="str">
        <f>VLOOKUP(C270,layoffs_location!A:D,4,FALSE)</f>
        <v>India</v>
      </c>
      <c r="G270" s="3" t="str">
        <f>VLOOKUP(C270,layoffs_location!A:E,5,FALSE)</f>
        <v>Asia</v>
      </c>
      <c r="H270" s="3">
        <v>600</v>
      </c>
      <c r="I270" s="8">
        <v>43977</v>
      </c>
      <c r="J270" s="9">
        <v>23</v>
      </c>
      <c r="K270" s="10">
        <v>2609</v>
      </c>
      <c r="L270" s="10">
        <v>2009</v>
      </c>
      <c r="M270" s="3" t="s">
        <v>32</v>
      </c>
      <c r="N270" s="3" t="s">
        <v>28</v>
      </c>
      <c r="O270" s="34">
        <v>24700</v>
      </c>
      <c r="P270" s="3">
        <v>2020</v>
      </c>
      <c r="Q270" s="3">
        <f>VLOOKUP(C270,layoffs_location!A:F,6,FALSE)</f>
        <v>12.98815675</v>
      </c>
      <c r="R270" s="3">
        <f>VLOOKUP(C270,layoffs_location!A:G,7,FALSE)</f>
        <v>77.622600037959998</v>
      </c>
    </row>
    <row r="271" spans="1:18" x14ac:dyDescent="0.2">
      <c r="A271" s="3">
        <v>270</v>
      </c>
      <c r="B271" s="3" t="s">
        <v>951</v>
      </c>
      <c r="C271" s="3" t="s">
        <v>836</v>
      </c>
      <c r="D271" s="3" t="str">
        <f>VLOOKUP(C271,layoffs_location!A:B,2,FALSE)</f>
        <v>other</v>
      </c>
      <c r="E271" s="3" t="str">
        <f>VLOOKUP(C271,layoffs_location!A:C,3,FALSE)</f>
        <v>State of Paraná</v>
      </c>
      <c r="F271" s="3" t="str">
        <f>VLOOKUP(C271,layoffs_location!A:D,4,FALSE)</f>
        <v>Brazil</v>
      </c>
      <c r="G271" s="3" t="str">
        <f>VLOOKUP(C271,layoffs_location!A:E,5,FALSE)</f>
        <v>South America</v>
      </c>
      <c r="H271" s="3">
        <v>62</v>
      </c>
      <c r="I271" s="8">
        <v>43978</v>
      </c>
      <c r="J271" s="9">
        <v>8</v>
      </c>
      <c r="K271" s="10">
        <v>775</v>
      </c>
      <c r="L271" s="10">
        <v>713</v>
      </c>
      <c r="M271" s="3" t="s">
        <v>35</v>
      </c>
      <c r="N271" s="3" t="s">
        <v>22</v>
      </c>
      <c r="O271" s="34">
        <v>30</v>
      </c>
      <c r="P271" s="3">
        <v>2020</v>
      </c>
      <c r="Q271" s="3">
        <f>VLOOKUP(C271,layoffs_location!A:F,6,FALSE)</f>
        <v>-25.4295963</v>
      </c>
      <c r="R271" s="3">
        <f>VLOOKUP(C271,layoffs_location!A:G,7,FALSE)</f>
        <v>-49.271272400000001</v>
      </c>
    </row>
    <row r="272" spans="1:18" x14ac:dyDescent="0.2">
      <c r="A272" s="3">
        <v>271</v>
      </c>
      <c r="B272" s="3" t="s">
        <v>1117</v>
      </c>
      <c r="C272" s="3" t="s">
        <v>113</v>
      </c>
      <c r="D272" s="3" t="str">
        <f>VLOOKUP(C272,layoffs_location!A:B,2,FALSE)</f>
        <v>other</v>
      </c>
      <c r="E272" s="3" t="str">
        <f>VLOOKUP(C272,layoffs_location!A:C,3,FALSE)</f>
        <v>Utah</v>
      </c>
      <c r="F272" s="3" t="str">
        <f>VLOOKUP(C272,layoffs_location!A:D,4,FALSE)</f>
        <v>USA</v>
      </c>
      <c r="G272" s="3" t="str">
        <f>VLOOKUP(C272,layoffs_location!A:E,5,FALSE)</f>
        <v>North America</v>
      </c>
      <c r="H272" s="3">
        <v>150</v>
      </c>
      <c r="I272" s="8">
        <v>43978</v>
      </c>
      <c r="J272" s="9">
        <v>12</v>
      </c>
      <c r="K272" s="10">
        <v>1250</v>
      </c>
      <c r="L272" s="10">
        <v>1100</v>
      </c>
      <c r="M272" s="3" t="s">
        <v>68</v>
      </c>
      <c r="N272" s="3" t="s">
        <v>33</v>
      </c>
      <c r="O272" s="34">
        <v>89</v>
      </c>
      <c r="P272" s="3">
        <v>2020</v>
      </c>
      <c r="Q272" s="3">
        <f>VLOOKUP(C272,layoffs_location!A:F,6,FALSE)</f>
        <v>40.759619800000003</v>
      </c>
      <c r="R272" s="3">
        <f>VLOOKUP(C272,layoffs_location!A:G,7,FALSE)</f>
        <v>-111.886797</v>
      </c>
    </row>
    <row r="273" spans="1:18" x14ac:dyDescent="0.2">
      <c r="A273" s="3">
        <v>272</v>
      </c>
      <c r="B273" s="3" t="s">
        <v>1115</v>
      </c>
      <c r="C273" s="3" t="s">
        <v>56</v>
      </c>
      <c r="D273" s="3" t="str">
        <f>VLOOKUP(C273,layoffs_location!A:B,2,FALSE)</f>
        <v>other</v>
      </c>
      <c r="E273" s="3" t="str">
        <f>VLOOKUP(C273,layoffs_location!A:C,3,FALSE)</f>
        <v>Maharashtra</v>
      </c>
      <c r="F273" s="3" t="str">
        <f>VLOOKUP(C273,layoffs_location!A:D,4,FALSE)</f>
        <v>India</v>
      </c>
      <c r="G273" s="3" t="str">
        <f>VLOOKUP(C273,layoffs_location!A:E,5,FALSE)</f>
        <v>Asia</v>
      </c>
      <c r="H273" s="3">
        <v>270</v>
      </c>
      <c r="I273" s="8">
        <v>43979</v>
      </c>
      <c r="J273" s="9">
        <v>18</v>
      </c>
      <c r="K273" s="10">
        <v>1500</v>
      </c>
      <c r="L273" s="10">
        <v>1230</v>
      </c>
      <c r="M273" s="3" t="s">
        <v>16</v>
      </c>
      <c r="N273" s="3" t="s">
        <v>22</v>
      </c>
      <c r="O273" s="34">
        <v>224</v>
      </c>
      <c r="P273" s="3">
        <v>2020</v>
      </c>
      <c r="Q273" s="3">
        <f>VLOOKUP(C273,layoffs_location!A:F,6,FALSE)</f>
        <v>19.078545099999999</v>
      </c>
      <c r="R273" s="3">
        <f>VLOOKUP(C273,layoffs_location!A:G,7,FALSE)</f>
        <v>72.878175999999996</v>
      </c>
    </row>
    <row r="274" spans="1:18" x14ac:dyDescent="0.2">
      <c r="A274" s="3">
        <v>273</v>
      </c>
      <c r="B274" s="3" t="s">
        <v>335</v>
      </c>
      <c r="C274" s="3" t="s">
        <v>267</v>
      </c>
      <c r="D274" s="3" t="str">
        <f>VLOOKUP(C274,layoffs_location!A:B,2,FALSE)</f>
        <v>other</v>
      </c>
      <c r="E274" s="3" t="str">
        <f>VLOOKUP(C274,layoffs_location!A:C,3,FALSE)</f>
        <v>Victoria</v>
      </c>
      <c r="F274" s="3" t="str">
        <f>VLOOKUP(C274,layoffs_location!A:D,4,FALSE)</f>
        <v>Australia</v>
      </c>
      <c r="G274" s="3" t="str">
        <f>VLOOKUP(C274,layoffs_location!A:E,5,FALSE)</f>
        <v>Oceana</v>
      </c>
      <c r="H274" s="3">
        <v>36</v>
      </c>
      <c r="I274" s="8">
        <v>43979</v>
      </c>
      <c r="J274" s="9">
        <v>8</v>
      </c>
      <c r="K274" s="10">
        <v>450</v>
      </c>
      <c r="L274" s="10">
        <v>414</v>
      </c>
      <c r="M274" s="3" t="s">
        <v>84</v>
      </c>
      <c r="N274" s="3" t="s">
        <v>36</v>
      </c>
      <c r="O274" s="34">
        <v>157</v>
      </c>
      <c r="P274" s="3">
        <v>2020</v>
      </c>
      <c r="Q274" s="3">
        <f>VLOOKUP(C274,layoffs_location!A:F,6,FALSE)</f>
        <v>-37.814245399999997</v>
      </c>
      <c r="R274" s="3">
        <f>VLOOKUP(C274,layoffs_location!A:G,7,FALSE)</f>
        <v>144.9631732</v>
      </c>
    </row>
    <row r="275" spans="1:18" x14ac:dyDescent="0.2">
      <c r="A275" s="3">
        <v>274</v>
      </c>
      <c r="B275" s="3" t="s">
        <v>1116</v>
      </c>
      <c r="C275" s="3" t="s">
        <v>39</v>
      </c>
      <c r="D275" s="3" t="str">
        <f>VLOOKUP(C275,layoffs_location!A:B,2,FALSE)</f>
        <v>New York</v>
      </c>
      <c r="E275" s="3" t="str">
        <f>VLOOKUP(C275,layoffs_location!A:C,3,FALSE)</f>
        <v>New York</v>
      </c>
      <c r="F275" s="3" t="str">
        <f>VLOOKUP(C275,layoffs_location!A:D,4,FALSE)</f>
        <v>USA</v>
      </c>
      <c r="G275" s="3" t="str">
        <f>VLOOKUP(C275,layoffs_location!A:E,5,FALSE)</f>
        <v>North America</v>
      </c>
      <c r="H275" s="3">
        <v>20</v>
      </c>
      <c r="I275" s="8">
        <v>43979</v>
      </c>
      <c r="J275" s="9">
        <v>25</v>
      </c>
      <c r="K275" s="10">
        <v>80</v>
      </c>
      <c r="L275" s="10">
        <v>60</v>
      </c>
      <c r="M275" s="3" t="s">
        <v>30</v>
      </c>
      <c r="N275" s="3" t="s">
        <v>69</v>
      </c>
      <c r="O275" s="34">
        <v>7</v>
      </c>
      <c r="P275" s="3">
        <v>2020</v>
      </c>
      <c r="Q275" s="3">
        <f>VLOOKUP(C275,layoffs_location!A:F,6,FALSE)</f>
        <v>40.7127281</v>
      </c>
      <c r="R275" s="3">
        <f>VLOOKUP(C275,layoffs_location!A:G,7,FALSE)</f>
        <v>-74.006015199999993</v>
      </c>
    </row>
    <row r="276" spans="1:18" x14ac:dyDescent="0.2">
      <c r="A276" s="3">
        <v>275</v>
      </c>
      <c r="B276" s="3" t="s">
        <v>251</v>
      </c>
      <c r="C276" s="3" t="s">
        <v>76</v>
      </c>
      <c r="D276" s="3" t="str">
        <f>VLOOKUP(C276,layoffs_location!A:B,2,FALSE)</f>
        <v>other</v>
      </c>
      <c r="E276" s="3" t="str">
        <f>VLOOKUP(C276,layoffs_location!A:C,3,FALSE)</f>
        <v>California</v>
      </c>
      <c r="F276" s="3" t="str">
        <f>VLOOKUP(C276,layoffs_location!A:D,4,FALSE)</f>
        <v>USA</v>
      </c>
      <c r="G276" s="3" t="str">
        <f>VLOOKUP(C276,layoffs_location!A:E,5,FALSE)</f>
        <v>North America</v>
      </c>
      <c r="H276" s="3">
        <v>219</v>
      </c>
      <c r="I276" s="8">
        <v>43979</v>
      </c>
      <c r="J276" s="9">
        <v>30</v>
      </c>
      <c r="K276" s="10">
        <v>730</v>
      </c>
      <c r="L276" s="10">
        <v>511</v>
      </c>
      <c r="M276" s="3" t="s">
        <v>32</v>
      </c>
      <c r="N276" s="3" t="s">
        <v>28</v>
      </c>
      <c r="O276" s="34">
        <v>340</v>
      </c>
      <c r="P276" s="3">
        <v>2020</v>
      </c>
      <c r="Q276" s="3">
        <f>VLOOKUP(C276,layoffs_location!A:F,6,FALSE)</f>
        <v>34.053690899999999</v>
      </c>
      <c r="R276" s="3">
        <f>VLOOKUP(C276,layoffs_location!A:G,7,FALSE)</f>
        <v>-118.242766</v>
      </c>
    </row>
    <row r="277" spans="1:18" ht="16" x14ac:dyDescent="0.2">
      <c r="A277" s="3">
        <v>276</v>
      </c>
      <c r="B277" s="3" t="s">
        <v>760</v>
      </c>
      <c r="C277" s="11" t="s">
        <v>1370</v>
      </c>
      <c r="D277" s="3" t="str">
        <f>VLOOKUP(C277,layoffs_location!A:B,2,FALSE)</f>
        <v>San Francisco Bay Area</v>
      </c>
      <c r="E277" s="3" t="str">
        <f>VLOOKUP(C277,layoffs_location!A:C,3,FALSE)</f>
        <v>California</v>
      </c>
      <c r="F277" s="3" t="str">
        <f>VLOOKUP(C277,layoffs_location!A:D,4,FALSE)</f>
        <v>USA</v>
      </c>
      <c r="G277" s="3" t="str">
        <f>VLOOKUP(C277,layoffs_location!A:E,5,FALSE)</f>
        <v>North America</v>
      </c>
      <c r="H277" s="3">
        <v>62</v>
      </c>
      <c r="I277" s="8">
        <v>43980</v>
      </c>
      <c r="J277" s="9">
        <v>15</v>
      </c>
      <c r="K277" s="10">
        <v>413</v>
      </c>
      <c r="L277" s="10">
        <v>351</v>
      </c>
      <c r="M277" s="3" t="s">
        <v>35</v>
      </c>
      <c r="N277" s="3" t="s">
        <v>41</v>
      </c>
      <c r="O277" s="34">
        <v>732</v>
      </c>
      <c r="P277" s="3">
        <v>2020</v>
      </c>
      <c r="Q277" s="3">
        <f>VLOOKUP(C277,layoffs_location!A:F,6,FALSE)</f>
        <v>37.779258800000001</v>
      </c>
      <c r="R277" s="3">
        <f>VLOOKUP(C277,layoffs_location!A:G,7,FALSE)</f>
        <v>-122.4193286</v>
      </c>
    </row>
    <row r="278" spans="1:18" x14ac:dyDescent="0.2">
      <c r="A278" s="3">
        <v>277</v>
      </c>
      <c r="B278" s="3" t="s">
        <v>1114</v>
      </c>
      <c r="C278" s="3" t="s">
        <v>43</v>
      </c>
      <c r="D278" s="3" t="str">
        <f>VLOOKUP(C278,layoffs_location!A:B,2,FALSE)</f>
        <v>Cascadia</v>
      </c>
      <c r="E278" s="3" t="str">
        <f>VLOOKUP(C278,layoffs_location!A:C,3,FALSE)</f>
        <v>Washington</v>
      </c>
      <c r="F278" s="3" t="str">
        <f>VLOOKUP(C278,layoffs_location!A:D,4,FALSE)</f>
        <v>USA</v>
      </c>
      <c r="G278" s="3" t="str">
        <f>VLOOKUP(C278,layoffs_location!A:E,5,FALSE)</f>
        <v>North America</v>
      </c>
      <c r="H278" s="3">
        <v>32</v>
      </c>
      <c r="I278" s="8">
        <v>43980</v>
      </c>
      <c r="J278" s="9">
        <v>60</v>
      </c>
      <c r="K278" s="10">
        <v>53</v>
      </c>
      <c r="L278" s="10">
        <v>21</v>
      </c>
      <c r="M278" s="3" t="s">
        <v>137</v>
      </c>
      <c r="N278" s="3" t="s">
        <v>69</v>
      </c>
      <c r="O278" s="34">
        <v>17</v>
      </c>
      <c r="P278" s="3">
        <v>2020</v>
      </c>
      <c r="Q278" s="3">
        <f>VLOOKUP(C278,layoffs_location!A:F,6,FALSE)</f>
        <v>47.603832099999998</v>
      </c>
      <c r="R278" s="3">
        <f>VLOOKUP(C278,layoffs_location!A:G,7,FALSE)</f>
        <v>-122.330062</v>
      </c>
    </row>
    <row r="279" spans="1:18" x14ac:dyDescent="0.2">
      <c r="A279" s="3">
        <v>278</v>
      </c>
      <c r="B279" s="3" t="s">
        <v>1113</v>
      </c>
      <c r="C279" s="3" t="s">
        <v>145</v>
      </c>
      <c r="D279" s="3" t="str">
        <f>VLOOKUP(C279,layoffs_location!A:B,2,FALSE)</f>
        <v>Cascadia</v>
      </c>
      <c r="E279" s="3" t="str">
        <f>VLOOKUP(C279,layoffs_location!A:C,3,FALSE)</f>
        <v>Oregon</v>
      </c>
      <c r="F279" s="3" t="str">
        <f>VLOOKUP(C279,layoffs_location!A:D,4,FALSE)</f>
        <v>USA</v>
      </c>
      <c r="G279" s="3" t="str">
        <f>VLOOKUP(C279,layoffs_location!A:E,5,FALSE)</f>
        <v>North America</v>
      </c>
      <c r="H279" s="3">
        <v>24</v>
      </c>
      <c r="I279" s="8">
        <v>43983</v>
      </c>
      <c r="J279" s="9">
        <v>22</v>
      </c>
      <c r="K279" s="10">
        <v>109</v>
      </c>
      <c r="L279" s="10">
        <v>85</v>
      </c>
      <c r="M279" s="3" t="s">
        <v>137</v>
      </c>
      <c r="N279" s="3" t="s">
        <v>41</v>
      </c>
      <c r="O279" s="34">
        <v>24</v>
      </c>
      <c r="P279" s="3">
        <v>2020</v>
      </c>
      <c r="Q279" s="3">
        <f>VLOOKUP(C279,layoffs_location!A:F,6,FALSE)</f>
        <v>45.520247099999999</v>
      </c>
      <c r="R279" s="3">
        <f>VLOOKUP(C279,layoffs_location!A:G,7,FALSE)</f>
        <v>-122.674194</v>
      </c>
    </row>
    <row r="280" spans="1:18" ht="16" x14ac:dyDescent="0.2">
      <c r="A280" s="3">
        <v>279</v>
      </c>
      <c r="B280" s="3" t="s">
        <v>984</v>
      </c>
      <c r="C280" s="11" t="s">
        <v>1370</v>
      </c>
      <c r="D280" s="3" t="str">
        <f>VLOOKUP(C280,layoffs_location!A:B,2,FALSE)</f>
        <v>San Francisco Bay Area</v>
      </c>
      <c r="E280" s="3" t="str">
        <f>VLOOKUP(C280,layoffs_location!A:C,3,FALSE)</f>
        <v>California</v>
      </c>
      <c r="F280" s="3" t="str">
        <f>VLOOKUP(C280,layoffs_location!A:D,4,FALSE)</f>
        <v>USA</v>
      </c>
      <c r="G280" s="3" t="str">
        <f>VLOOKUP(C280,layoffs_location!A:E,5,FALSE)</f>
        <v>North America</v>
      </c>
      <c r="H280" s="3">
        <v>1400</v>
      </c>
      <c r="I280" s="8">
        <v>43983</v>
      </c>
      <c r="J280" s="9">
        <v>18</v>
      </c>
      <c r="K280" s="10">
        <v>7778</v>
      </c>
      <c r="L280" s="10">
        <v>6378</v>
      </c>
      <c r="M280" s="3" t="s">
        <v>30</v>
      </c>
      <c r="N280" s="3" t="s">
        <v>28</v>
      </c>
      <c r="O280" s="34">
        <v>79</v>
      </c>
      <c r="P280" s="3">
        <v>2020</v>
      </c>
      <c r="Q280" s="3">
        <f>VLOOKUP(C280,layoffs_location!A:F,6,FALSE)</f>
        <v>37.779258800000001</v>
      </c>
      <c r="R280" s="3">
        <f>VLOOKUP(C280,layoffs_location!A:G,7,FALSE)</f>
        <v>-122.4193286</v>
      </c>
    </row>
    <row r="281" spans="1:18" x14ac:dyDescent="0.2">
      <c r="A281" s="3">
        <v>280</v>
      </c>
      <c r="B281" s="3" t="s">
        <v>1111</v>
      </c>
      <c r="C281" s="3" t="s">
        <v>1112</v>
      </c>
      <c r="D281" s="3" t="str">
        <f>VLOOKUP(C281,layoffs_location!A:B,2,FALSE)</f>
        <v>other</v>
      </c>
      <c r="E281" s="3" t="str">
        <f>VLOOKUP(C281,layoffs_location!A:C,3,FALSE)</f>
        <v>New Mexico</v>
      </c>
      <c r="F281" s="3" t="str">
        <f>VLOOKUP(C281,layoffs_location!A:D,4,FALSE)</f>
        <v>USA</v>
      </c>
      <c r="G281" s="3" t="str">
        <f>VLOOKUP(C281,layoffs_location!A:E,5,FALSE)</f>
        <v>North America</v>
      </c>
      <c r="H281" s="3">
        <v>12</v>
      </c>
      <c r="I281" s="8">
        <v>43984</v>
      </c>
      <c r="J281" s="9">
        <v>16</v>
      </c>
      <c r="K281" s="10">
        <v>75</v>
      </c>
      <c r="L281" s="10">
        <v>63</v>
      </c>
      <c r="M281" s="3" t="s">
        <v>79</v>
      </c>
      <c r="N281" s="3" t="s">
        <v>49</v>
      </c>
      <c r="O281" s="34">
        <v>58</v>
      </c>
      <c r="P281" s="3">
        <v>2020</v>
      </c>
      <c r="Q281" s="3">
        <f>VLOOKUP(C281,layoffs_location!A:F,6,FALSE)</f>
        <v>35.687609600000002</v>
      </c>
      <c r="R281" s="3">
        <f>VLOOKUP(C281,layoffs_location!A:G,7,FALSE)</f>
        <v>-105.938456</v>
      </c>
    </row>
    <row r="282" spans="1:18" x14ac:dyDescent="0.2">
      <c r="A282" s="3">
        <v>281</v>
      </c>
      <c r="B282" s="3" t="s">
        <v>738</v>
      </c>
      <c r="C282" s="63" t="s">
        <v>1370</v>
      </c>
      <c r="D282" s="3" t="str">
        <f>VLOOKUP(C282,layoffs_location!A:B,2,FALSE)</f>
        <v>San Francisco Bay Area</v>
      </c>
      <c r="E282" s="3" t="str">
        <f>VLOOKUP(C282,layoffs_location!A:C,3,FALSE)</f>
        <v>California</v>
      </c>
      <c r="F282" s="3" t="str">
        <f>VLOOKUP(C282,layoffs_location!A:D,4,FALSE)</f>
        <v>USA</v>
      </c>
      <c r="G282" s="3" t="str">
        <f>VLOOKUP(C282,layoffs_location!A:E,5,FALSE)</f>
        <v>North America</v>
      </c>
      <c r="H282" s="3">
        <v>14</v>
      </c>
      <c r="I282" s="8">
        <v>43984</v>
      </c>
      <c r="J282" s="9">
        <v>15</v>
      </c>
      <c r="K282" s="10">
        <v>93</v>
      </c>
      <c r="L282" s="10">
        <v>79</v>
      </c>
      <c r="M282" s="3" t="s">
        <v>35</v>
      </c>
      <c r="N282" s="3" t="s">
        <v>41</v>
      </c>
      <c r="O282" s="34">
        <v>453</v>
      </c>
      <c r="P282" s="3">
        <v>2020</v>
      </c>
      <c r="Q282" s="3">
        <f>VLOOKUP(C282,layoffs_location!A:F,6,FALSE)</f>
        <v>37.779258800000001</v>
      </c>
      <c r="R282" s="3">
        <f>VLOOKUP(C282,layoffs_location!A:G,7,FALSE)</f>
        <v>-122.4193286</v>
      </c>
    </row>
    <row r="283" spans="1:18" x14ac:dyDescent="0.2">
      <c r="A283" s="3">
        <v>282</v>
      </c>
      <c r="B283" s="3" t="s">
        <v>858</v>
      </c>
      <c r="C283" s="3" t="s">
        <v>65</v>
      </c>
      <c r="D283" s="3" t="str">
        <f>VLOOKUP(C283,layoffs_location!A:B,2,FALSE)</f>
        <v>other</v>
      </c>
      <c r="E283" s="3" t="str">
        <f>VLOOKUP(C283,layoffs_location!A:C,3,FALSE)</f>
        <v>Michigan</v>
      </c>
      <c r="F283" s="3" t="str">
        <f>VLOOKUP(C283,layoffs_location!A:D,4,FALSE)</f>
        <v>USA</v>
      </c>
      <c r="G283" s="3" t="str">
        <f>VLOOKUP(C283,layoffs_location!A:E,5,FALSE)</f>
        <v>North America</v>
      </c>
      <c r="H283" s="3">
        <v>40</v>
      </c>
      <c r="I283" s="8">
        <v>43984</v>
      </c>
      <c r="J283" s="9">
        <v>2</v>
      </c>
      <c r="K283" s="10">
        <v>2000</v>
      </c>
      <c r="L283" s="10">
        <v>1960</v>
      </c>
      <c r="M283" s="3" t="s">
        <v>32</v>
      </c>
      <c r="N283" s="3" t="s">
        <v>28</v>
      </c>
      <c r="O283" s="34">
        <v>10700</v>
      </c>
      <c r="P283" s="3">
        <v>2020</v>
      </c>
      <c r="Q283" s="3">
        <f>VLOOKUP(C283,layoffs_location!A:F,6,FALSE)</f>
        <v>42.331550900000003</v>
      </c>
      <c r="R283" s="3">
        <f>VLOOKUP(C283,layoffs_location!A:G,7,FALSE)</f>
        <v>-83.046640300000007</v>
      </c>
    </row>
    <row r="284" spans="1:18" x14ac:dyDescent="0.2">
      <c r="A284" s="3">
        <v>283</v>
      </c>
      <c r="B284" s="3" t="s">
        <v>1110</v>
      </c>
      <c r="C284" s="3" t="s">
        <v>1408</v>
      </c>
      <c r="D284" s="3" t="str">
        <f>VLOOKUP(C284,layoffs_location!A:B,2,FALSE)</f>
        <v>San Francisco Bay Area</v>
      </c>
      <c r="E284" s="3" t="str">
        <f>VLOOKUP(C284,layoffs_location!A:C,3,FALSE)</f>
        <v>California</v>
      </c>
      <c r="F284" s="3" t="str">
        <f>VLOOKUP(C284,layoffs_location!A:D,4,FALSE)</f>
        <v>USA</v>
      </c>
      <c r="G284" s="3" t="str">
        <f>VLOOKUP(C284,layoffs_location!A:E,5,FALSE)</f>
        <v>North America</v>
      </c>
      <c r="H284" s="3">
        <v>22</v>
      </c>
      <c r="I284" s="8">
        <v>43985</v>
      </c>
      <c r="J284" s="9">
        <v>14</v>
      </c>
      <c r="K284" s="10">
        <v>157</v>
      </c>
      <c r="L284" s="10">
        <v>135</v>
      </c>
      <c r="M284" s="3" t="s">
        <v>35</v>
      </c>
      <c r="N284" s="3" t="s">
        <v>63</v>
      </c>
      <c r="O284" s="34">
        <v>120</v>
      </c>
      <c r="P284" s="3">
        <v>2020</v>
      </c>
      <c r="Q284" s="3">
        <f>VLOOKUP(C284,layoffs_location!A:F,6,FALSE)</f>
        <v>37.3893889</v>
      </c>
      <c r="R284" s="3">
        <f>VLOOKUP(C284,layoffs_location!A:G,7,FALSE)</f>
        <v>-122.0832101</v>
      </c>
    </row>
    <row r="285" spans="1:18" x14ac:dyDescent="0.2">
      <c r="A285" s="3">
        <v>284</v>
      </c>
      <c r="B285" s="3" t="s">
        <v>1108</v>
      </c>
      <c r="C285" s="3" t="s">
        <v>58</v>
      </c>
      <c r="D285" s="3" t="str">
        <f>VLOOKUP(C285,layoffs_location!A:B,2,FALSE)</f>
        <v>other</v>
      </c>
      <c r="E285" s="3" t="str">
        <f>VLOOKUP(C285,layoffs_location!A:C,3,FALSE)</f>
        <v>England</v>
      </c>
      <c r="F285" s="3" t="str">
        <f>VLOOKUP(C285,layoffs_location!A:D,4,FALSE)</f>
        <v>UK</v>
      </c>
      <c r="G285" s="3" t="str">
        <f>VLOOKUP(C285,layoffs_location!A:E,5,FALSE)</f>
        <v>Europe</v>
      </c>
      <c r="H285" s="3">
        <v>120</v>
      </c>
      <c r="I285" s="8">
        <v>43985</v>
      </c>
      <c r="J285" s="9">
        <v>8</v>
      </c>
      <c r="K285" s="10">
        <v>1500</v>
      </c>
      <c r="L285" s="10">
        <v>1380</v>
      </c>
      <c r="M285" s="3" t="s">
        <v>35</v>
      </c>
      <c r="N285" s="3" t="s">
        <v>63</v>
      </c>
      <c r="O285" s="34">
        <v>324</v>
      </c>
      <c r="P285" s="3">
        <v>2020</v>
      </c>
      <c r="Q285" s="3">
        <f>VLOOKUP(C285,layoffs_location!A:F,6,FALSE)</f>
        <v>51.489333500000001</v>
      </c>
      <c r="R285" s="3">
        <f>VLOOKUP(C285,layoffs_location!A:G,7,FALSE)</f>
        <v>-0.14405508452768701</v>
      </c>
    </row>
    <row r="286" spans="1:18" x14ac:dyDescent="0.2">
      <c r="A286" s="3">
        <v>285</v>
      </c>
      <c r="B286" s="3" t="s">
        <v>1109</v>
      </c>
      <c r="C286" s="3" t="s">
        <v>154</v>
      </c>
      <c r="D286" s="3" t="str">
        <f>VLOOKUP(C286,layoffs_location!A:B,2,FALSE)</f>
        <v>other</v>
      </c>
      <c r="E286" s="3" t="str">
        <f>VLOOKUP(C286,layoffs_location!A:C,3,FALSE)</f>
        <v>Illinois</v>
      </c>
      <c r="F286" s="3" t="str">
        <f>VLOOKUP(C286,layoffs_location!A:D,4,FALSE)</f>
        <v>USA</v>
      </c>
      <c r="G286" s="3" t="str">
        <f>VLOOKUP(C286,layoffs_location!A:E,5,FALSE)</f>
        <v>North America</v>
      </c>
      <c r="H286" s="3">
        <v>40</v>
      </c>
      <c r="I286" s="8">
        <v>43985</v>
      </c>
      <c r="J286" s="9">
        <v>21</v>
      </c>
      <c r="K286" s="10">
        <v>190</v>
      </c>
      <c r="L286" s="10">
        <v>150</v>
      </c>
      <c r="M286" s="3" t="s">
        <v>32</v>
      </c>
      <c r="N286" s="3" t="s">
        <v>108</v>
      </c>
      <c r="O286" s="34">
        <v>117</v>
      </c>
      <c r="P286" s="3">
        <v>2020</v>
      </c>
      <c r="Q286" s="3">
        <f>VLOOKUP(C286,layoffs_location!A:F,6,FALSE)</f>
        <v>41.875561599999997</v>
      </c>
      <c r="R286" s="3">
        <f>VLOOKUP(C286,layoffs_location!A:G,7,FALSE)</f>
        <v>-87.6244212</v>
      </c>
    </row>
    <row r="287" spans="1:18" x14ac:dyDescent="0.2">
      <c r="A287" s="3">
        <v>286</v>
      </c>
      <c r="B287" s="3" t="s">
        <v>1107</v>
      </c>
      <c r="C287" s="3" t="s">
        <v>76</v>
      </c>
      <c r="D287" s="3" t="str">
        <f>VLOOKUP(C287,layoffs_location!A:B,2,FALSE)</f>
        <v>other</v>
      </c>
      <c r="E287" s="3" t="str">
        <f>VLOOKUP(C287,layoffs_location!A:C,3,FALSE)</f>
        <v>California</v>
      </c>
      <c r="F287" s="3" t="str">
        <f>VLOOKUP(C287,layoffs_location!A:D,4,FALSE)</f>
        <v>USA</v>
      </c>
      <c r="G287" s="3" t="str">
        <f>VLOOKUP(C287,layoffs_location!A:E,5,FALSE)</f>
        <v>North America</v>
      </c>
      <c r="H287" s="3">
        <v>39</v>
      </c>
      <c r="I287" s="8">
        <v>43986</v>
      </c>
      <c r="J287" s="9">
        <v>14</v>
      </c>
      <c r="K287" s="10">
        <v>279</v>
      </c>
      <c r="L287" s="10">
        <v>240</v>
      </c>
      <c r="M287" s="3" t="s">
        <v>48</v>
      </c>
      <c r="N287" s="3" t="s">
        <v>69</v>
      </c>
      <c r="O287" s="34">
        <v>29</v>
      </c>
      <c r="P287" s="3">
        <v>2020</v>
      </c>
      <c r="Q287" s="3">
        <f>VLOOKUP(C287,layoffs_location!A:F,6,FALSE)</f>
        <v>34.053690899999999</v>
      </c>
      <c r="R287" s="3">
        <f>VLOOKUP(C287,layoffs_location!A:G,7,FALSE)</f>
        <v>-118.242766</v>
      </c>
    </row>
    <row r="288" spans="1:18" x14ac:dyDescent="0.2">
      <c r="A288" s="3">
        <v>287</v>
      </c>
      <c r="B288" s="3" t="s">
        <v>1106</v>
      </c>
      <c r="C288" s="3" t="s">
        <v>1710</v>
      </c>
      <c r="D288" s="3" t="str">
        <f>VLOOKUP(C288,layoffs_location!A:B,2,FALSE)</f>
        <v>San Francisco Bay Area</v>
      </c>
      <c r="E288" s="3" t="str">
        <f>VLOOKUP(C288,layoffs_location!A:C,3,FALSE)</f>
        <v>California</v>
      </c>
      <c r="F288" s="3" t="str">
        <f>VLOOKUP(C288,layoffs_location!A:D,4,FALSE)</f>
        <v>USA</v>
      </c>
      <c r="G288" s="3" t="str">
        <f>VLOOKUP(C288,layoffs_location!A:E,5,FALSE)</f>
        <v>North America</v>
      </c>
      <c r="H288" s="3">
        <v>50</v>
      </c>
      <c r="I288" s="8">
        <v>43986</v>
      </c>
      <c r="J288" s="9">
        <v>40</v>
      </c>
      <c r="K288" s="10">
        <v>125</v>
      </c>
      <c r="L288" s="10">
        <v>75</v>
      </c>
      <c r="M288" s="3" t="s">
        <v>139</v>
      </c>
      <c r="N288" s="3" t="s">
        <v>41</v>
      </c>
      <c r="O288" s="34">
        <v>52</v>
      </c>
      <c r="P288" s="3">
        <v>2020</v>
      </c>
      <c r="Q288" s="3">
        <f>VLOOKUP(C288,layoffs_location!A:F,6,FALSE)</f>
        <v>37.486323900000002</v>
      </c>
      <c r="R288" s="3">
        <f>VLOOKUP(C288,layoffs_location!A:G,7,FALSE)</f>
        <v>-122.232523</v>
      </c>
    </row>
    <row r="289" spans="1:18" x14ac:dyDescent="0.2">
      <c r="A289" s="3">
        <v>288</v>
      </c>
      <c r="B289" s="3" t="s">
        <v>941</v>
      </c>
      <c r="C289" s="3" t="s">
        <v>1370</v>
      </c>
      <c r="D289" s="3" t="str">
        <f>VLOOKUP(C289,layoffs_location!A:B,2,FALSE)</f>
        <v>San Francisco Bay Area</v>
      </c>
      <c r="E289" s="3" t="str">
        <f>VLOOKUP(C289,layoffs_location!A:C,3,FALSE)</f>
        <v>California</v>
      </c>
      <c r="F289" s="3" t="str">
        <f>VLOOKUP(C289,layoffs_location!A:D,4,FALSE)</f>
        <v>USA</v>
      </c>
      <c r="G289" s="3" t="str">
        <f>VLOOKUP(C289,layoffs_location!A:E,5,FALSE)</f>
        <v>North America</v>
      </c>
      <c r="H289" s="3">
        <v>18</v>
      </c>
      <c r="I289" s="8">
        <v>43987</v>
      </c>
      <c r="J289" s="9">
        <v>14</v>
      </c>
      <c r="K289" s="10">
        <v>129</v>
      </c>
      <c r="L289" s="10">
        <v>111</v>
      </c>
      <c r="M289" s="3" t="s">
        <v>35</v>
      </c>
      <c r="N289" s="3" t="s">
        <v>41</v>
      </c>
      <c r="O289" s="34">
        <v>106</v>
      </c>
      <c r="P289" s="3">
        <v>2020</v>
      </c>
      <c r="Q289" s="3">
        <f>VLOOKUP(C289,layoffs_location!A:F,6,FALSE)</f>
        <v>37.779258800000001</v>
      </c>
      <c r="R289" s="3">
        <f>VLOOKUP(C289,layoffs_location!A:G,7,FALSE)</f>
        <v>-122.4193286</v>
      </c>
    </row>
    <row r="290" spans="1:18" ht="16" x14ac:dyDescent="0.2">
      <c r="A290" s="3">
        <v>289</v>
      </c>
      <c r="B290" s="3" t="s">
        <v>1105</v>
      </c>
      <c r="C290" s="11" t="s">
        <v>1370</v>
      </c>
      <c r="D290" s="3" t="str">
        <f>VLOOKUP(C290,layoffs_location!A:B,2,FALSE)</f>
        <v>San Francisco Bay Area</v>
      </c>
      <c r="E290" s="3" t="str">
        <f>VLOOKUP(C290,layoffs_location!A:C,3,FALSE)</f>
        <v>California</v>
      </c>
      <c r="F290" s="3" t="str">
        <f>VLOOKUP(C290,layoffs_location!A:D,4,FALSE)</f>
        <v>USA</v>
      </c>
      <c r="G290" s="3" t="str">
        <f>VLOOKUP(C290,layoffs_location!A:E,5,FALSE)</f>
        <v>North America</v>
      </c>
      <c r="H290" s="3">
        <v>46</v>
      </c>
      <c r="I290" s="8">
        <v>43987</v>
      </c>
      <c r="J290" s="9">
        <v>8</v>
      </c>
      <c r="K290" s="10">
        <v>575</v>
      </c>
      <c r="L290" s="10">
        <v>529</v>
      </c>
      <c r="M290" s="3" t="s">
        <v>54</v>
      </c>
      <c r="N290" s="3" t="s">
        <v>108</v>
      </c>
      <c r="O290" s="34">
        <v>139</v>
      </c>
      <c r="P290" s="3">
        <v>2020</v>
      </c>
      <c r="Q290" s="3">
        <f>VLOOKUP(C290,layoffs_location!A:F,6,FALSE)</f>
        <v>37.779258800000001</v>
      </c>
      <c r="R290" s="3">
        <f>VLOOKUP(C290,layoffs_location!A:G,7,FALSE)</f>
        <v>-122.4193286</v>
      </c>
    </row>
    <row r="291" spans="1:18" x14ac:dyDescent="0.2">
      <c r="A291" s="3">
        <v>290</v>
      </c>
      <c r="B291" s="3" t="s">
        <v>1104</v>
      </c>
      <c r="C291" s="3" t="s">
        <v>39</v>
      </c>
      <c r="D291" s="3" t="str">
        <f>VLOOKUP(C291,layoffs_location!A:B,2,FALSE)</f>
        <v>New York</v>
      </c>
      <c r="E291" s="3" t="str">
        <f>VLOOKUP(C291,layoffs_location!A:C,3,FALSE)</f>
        <v>New York</v>
      </c>
      <c r="F291" s="3" t="str">
        <f>VLOOKUP(C291,layoffs_location!A:D,4,FALSE)</f>
        <v>USA</v>
      </c>
      <c r="G291" s="3" t="str">
        <f>VLOOKUP(C291,layoffs_location!A:E,5,FALSE)</f>
        <v>North America</v>
      </c>
      <c r="H291" s="3">
        <v>3</v>
      </c>
      <c r="I291" s="8">
        <v>43993</v>
      </c>
      <c r="J291" s="9">
        <v>27</v>
      </c>
      <c r="K291" s="10">
        <v>11</v>
      </c>
      <c r="L291" s="10">
        <v>8</v>
      </c>
      <c r="M291" s="3" t="s">
        <v>30</v>
      </c>
      <c r="N291" s="3" t="s">
        <v>147</v>
      </c>
      <c r="O291" s="34">
        <v>2</v>
      </c>
      <c r="P291" s="3">
        <v>2020</v>
      </c>
      <c r="Q291" s="3">
        <f>VLOOKUP(C291,layoffs_location!A:F,6,FALSE)</f>
        <v>40.7127281</v>
      </c>
      <c r="R291" s="3">
        <f>VLOOKUP(C291,layoffs_location!A:G,7,FALSE)</f>
        <v>-74.006015199999993</v>
      </c>
    </row>
    <row r="292" spans="1:18" ht="16" x14ac:dyDescent="0.2">
      <c r="A292" s="3">
        <v>291</v>
      </c>
      <c r="B292" s="3" t="s">
        <v>1103</v>
      </c>
      <c r="C292" s="11" t="s">
        <v>1370</v>
      </c>
      <c r="D292" s="3" t="str">
        <f>VLOOKUP(C292,layoffs_location!A:B,2,FALSE)</f>
        <v>San Francisco Bay Area</v>
      </c>
      <c r="E292" s="3" t="str">
        <f>VLOOKUP(C292,layoffs_location!A:C,3,FALSE)</f>
        <v>California</v>
      </c>
      <c r="F292" s="3" t="str">
        <f>VLOOKUP(C292,layoffs_location!A:D,4,FALSE)</f>
        <v>USA</v>
      </c>
      <c r="G292" s="3" t="str">
        <f>VLOOKUP(C292,layoffs_location!A:E,5,FALSE)</f>
        <v>North America</v>
      </c>
      <c r="H292" s="3">
        <v>63</v>
      </c>
      <c r="I292" s="8">
        <v>43994</v>
      </c>
      <c r="J292" s="9">
        <v>48</v>
      </c>
      <c r="K292" s="10">
        <v>131</v>
      </c>
      <c r="L292" s="10">
        <v>68</v>
      </c>
      <c r="M292" s="3" t="s">
        <v>35</v>
      </c>
      <c r="N292" s="3" t="s">
        <v>49</v>
      </c>
      <c r="O292" s="34">
        <v>50</v>
      </c>
      <c r="P292" s="3">
        <v>2020</v>
      </c>
      <c r="Q292" s="3">
        <f>VLOOKUP(C292,layoffs_location!A:F,6,FALSE)</f>
        <v>37.779258800000001</v>
      </c>
      <c r="R292" s="3">
        <f>VLOOKUP(C292,layoffs_location!A:G,7,FALSE)</f>
        <v>-122.4193286</v>
      </c>
    </row>
    <row r="293" spans="1:18" x14ac:dyDescent="0.2">
      <c r="A293" s="3">
        <v>292</v>
      </c>
      <c r="B293" s="3" t="s">
        <v>241</v>
      </c>
      <c r="C293" s="3" t="s">
        <v>99</v>
      </c>
      <c r="D293" s="3" t="str">
        <f>VLOOKUP(C293,layoffs_location!A:B,2,FALSE)</f>
        <v>other</v>
      </c>
      <c r="E293" s="3" t="str">
        <f>VLOOKUP(C293,layoffs_location!A:C,3,FALSE)</f>
        <v>non</v>
      </c>
      <c r="F293" s="3" t="str">
        <f>VLOOKUP(C293,layoffs_location!A:D,4,FALSE)</f>
        <v>Netherlands</v>
      </c>
      <c r="G293" s="3" t="str">
        <f>VLOOKUP(C293,layoffs_location!A:E,5,FALSE)</f>
        <v>Europe</v>
      </c>
      <c r="H293" s="3">
        <v>225</v>
      </c>
      <c r="I293" s="8">
        <v>43994</v>
      </c>
      <c r="J293" s="9">
        <v>25</v>
      </c>
      <c r="K293" s="10">
        <v>900</v>
      </c>
      <c r="L293" s="10">
        <v>675</v>
      </c>
      <c r="M293" s="3" t="s">
        <v>32</v>
      </c>
      <c r="N293" s="3" t="s">
        <v>28</v>
      </c>
      <c r="P293" s="3">
        <v>2020</v>
      </c>
      <c r="Q293" s="3">
        <f>VLOOKUP(C293,layoffs_location!A:F,6,FALSE)</f>
        <v>52.373079599999997</v>
      </c>
      <c r="R293" s="3">
        <f>VLOOKUP(C293,layoffs_location!A:G,7,FALSE)</f>
        <v>4.8924534</v>
      </c>
    </row>
    <row r="294" spans="1:18" x14ac:dyDescent="0.2">
      <c r="A294" s="3">
        <v>293</v>
      </c>
      <c r="B294" s="3" t="s">
        <v>243</v>
      </c>
      <c r="C294" s="3" t="s">
        <v>244</v>
      </c>
      <c r="D294" s="3" t="str">
        <f>VLOOKUP(C294,layoffs_location!A:B,2,FALSE)</f>
        <v>other</v>
      </c>
      <c r="E294" s="3" t="str">
        <f>VLOOKUP(C294,layoffs_location!A:C,3,FALSE)</f>
        <v>non</v>
      </c>
      <c r="F294" s="3" t="str">
        <f>VLOOKUP(C294,layoffs_location!A:D,4,FALSE)</f>
        <v>Singapore</v>
      </c>
      <c r="G294" s="3" t="str">
        <f>VLOOKUP(C294,layoffs_location!A:E,5,FALSE)</f>
        <v>Asia</v>
      </c>
      <c r="H294" s="3">
        <v>360</v>
      </c>
      <c r="I294" s="8">
        <v>43998</v>
      </c>
      <c r="J294" s="9">
        <v>5</v>
      </c>
      <c r="K294" s="10">
        <v>7200</v>
      </c>
      <c r="L294" s="10">
        <v>6840</v>
      </c>
      <c r="M294" s="3" t="s">
        <v>32</v>
      </c>
      <c r="N294" s="3" t="s">
        <v>567</v>
      </c>
      <c r="P294" s="3">
        <v>2020</v>
      </c>
      <c r="Q294" s="3">
        <f>VLOOKUP(C294,layoffs_location!A:F,6,FALSE)</f>
        <v>1.2899175000000001</v>
      </c>
      <c r="R294" s="3">
        <f>VLOOKUP(C294,layoffs_location!A:G,7,FALSE)</f>
        <v>103.8519072</v>
      </c>
    </row>
    <row r="295" spans="1:18" x14ac:dyDescent="0.2">
      <c r="A295" s="3">
        <v>294</v>
      </c>
      <c r="B295" s="3" t="s">
        <v>1101</v>
      </c>
      <c r="C295" s="3" t="s">
        <v>182</v>
      </c>
      <c r="D295" s="3" t="str">
        <f>VLOOKUP(C295,layoffs_location!A:B,2,FALSE)</f>
        <v>other</v>
      </c>
      <c r="E295" s="3" t="str">
        <f>VLOOKUP(C295,layoffs_location!A:C,3,FALSE)</f>
        <v>Haryana</v>
      </c>
      <c r="F295" s="3" t="str">
        <f>VLOOKUP(C295,layoffs_location!A:D,4,FALSE)</f>
        <v>India</v>
      </c>
      <c r="G295" s="3" t="str">
        <f>VLOOKUP(C295,layoffs_location!A:E,5,FALSE)</f>
        <v>Asia</v>
      </c>
      <c r="H295" s="3">
        <v>1500</v>
      </c>
      <c r="I295" s="8">
        <v>43998</v>
      </c>
      <c r="J295" s="9">
        <v>50</v>
      </c>
      <c r="K295" s="10">
        <v>3000</v>
      </c>
      <c r="L295" s="10">
        <v>1500</v>
      </c>
      <c r="M295" s="3" t="s">
        <v>35</v>
      </c>
      <c r="N295" s="3" t="s">
        <v>81</v>
      </c>
      <c r="O295" s="34">
        <v>496</v>
      </c>
      <c r="P295" s="3">
        <v>2020</v>
      </c>
      <c r="Q295" s="3">
        <f>VLOOKUP(C295,layoffs_location!A:F,6,FALSE)</f>
        <v>28.4646148</v>
      </c>
      <c r="R295" s="3">
        <f>VLOOKUP(C295,layoffs_location!A:G,7,FALSE)</f>
        <v>77.029919399999997</v>
      </c>
    </row>
    <row r="296" spans="1:18" x14ac:dyDescent="0.2">
      <c r="A296" s="3">
        <v>295</v>
      </c>
      <c r="B296" s="3" t="s">
        <v>1102</v>
      </c>
      <c r="C296" s="3" t="s">
        <v>387</v>
      </c>
      <c r="D296" s="3" t="str">
        <f>VLOOKUP(C296,layoffs_location!A:B,2,FALSE)</f>
        <v>other</v>
      </c>
      <c r="E296" s="3" t="str">
        <f>VLOOKUP(C296,layoffs_location!A:C,3,FALSE)</f>
        <v>Wisconsin</v>
      </c>
      <c r="F296" s="3" t="str">
        <f>VLOOKUP(C296,layoffs_location!A:D,4,FALSE)</f>
        <v>USA</v>
      </c>
      <c r="G296" s="3" t="str">
        <f>VLOOKUP(C296,layoffs_location!A:E,5,FALSE)</f>
        <v>North America</v>
      </c>
      <c r="H296" s="3">
        <v>44</v>
      </c>
      <c r="I296" s="8">
        <v>43998</v>
      </c>
      <c r="J296" s="9">
        <v>25</v>
      </c>
      <c r="K296" s="10">
        <v>176</v>
      </c>
      <c r="L296" s="10">
        <v>132</v>
      </c>
      <c r="M296" s="3" t="s">
        <v>21</v>
      </c>
      <c r="N296" s="3" t="s">
        <v>41</v>
      </c>
      <c r="O296" s="34">
        <v>50</v>
      </c>
      <c r="P296" s="3">
        <v>2020</v>
      </c>
      <c r="Q296" s="3">
        <f>VLOOKUP(C296,layoffs_location!A:F,6,FALSE)</f>
        <v>43.074761000000002</v>
      </c>
      <c r="R296" s="3">
        <f>VLOOKUP(C296,layoffs_location!A:G,7,FALSE)</f>
        <v>-89.383761300000003</v>
      </c>
    </row>
    <row r="297" spans="1:18" x14ac:dyDescent="0.2">
      <c r="A297" s="3">
        <v>296</v>
      </c>
      <c r="B297" s="3" t="s">
        <v>78</v>
      </c>
      <c r="C297" s="3" t="s">
        <v>1694</v>
      </c>
      <c r="D297" s="3" t="str">
        <f>VLOOKUP(C297,layoffs_location!A:B,2,FALSE)</f>
        <v>San Francisco Bay Area</v>
      </c>
      <c r="E297" s="3" t="str">
        <f>VLOOKUP(C297,layoffs_location!A:C,3,FALSE)</f>
        <v>California</v>
      </c>
      <c r="F297" s="3" t="str">
        <f>VLOOKUP(C297,layoffs_location!A:D,4,FALSE)</f>
        <v>USA</v>
      </c>
      <c r="G297" s="3" t="str">
        <f>VLOOKUP(C297,layoffs_location!A:E,5,FALSE)</f>
        <v>North America</v>
      </c>
      <c r="H297" s="3">
        <v>70</v>
      </c>
      <c r="I297" s="8">
        <v>43998</v>
      </c>
      <c r="J297" s="9">
        <v>1</v>
      </c>
      <c r="K297" s="10">
        <v>7000</v>
      </c>
      <c r="L297" s="10">
        <v>6930</v>
      </c>
      <c r="M297" s="3" t="s">
        <v>79</v>
      </c>
      <c r="N297" s="3" t="s">
        <v>28</v>
      </c>
      <c r="O297" s="34">
        <v>40</v>
      </c>
      <c r="P297" s="3">
        <v>2020</v>
      </c>
      <c r="Q297" s="3">
        <f>VLOOKUP(C297,layoffs_location!A:F,6,FALSE)</f>
        <v>37.336166300000002</v>
      </c>
      <c r="R297" s="3">
        <f>VLOOKUP(C297,layoffs_location!A:G,7,FALSE)</f>
        <v>-121.890591</v>
      </c>
    </row>
    <row r="298" spans="1:18" x14ac:dyDescent="0.2">
      <c r="A298" s="3">
        <v>297</v>
      </c>
      <c r="B298" s="3" t="s">
        <v>1100</v>
      </c>
      <c r="C298" s="3" t="s">
        <v>13</v>
      </c>
      <c r="D298" s="3" t="str">
        <f>VLOOKUP(C298,layoffs_location!A:B,2,FALSE)</f>
        <v>other</v>
      </c>
      <c r="E298" s="3" t="str">
        <f>VLOOKUP(C298,layoffs_location!A:C,3,FALSE)</f>
        <v>Karnataka</v>
      </c>
      <c r="F298" s="3" t="str">
        <f>VLOOKUP(C298,layoffs_location!A:D,4,FALSE)</f>
        <v>India</v>
      </c>
      <c r="G298" s="3" t="str">
        <f>VLOOKUP(C298,layoffs_location!A:E,5,FALSE)</f>
        <v>Asia</v>
      </c>
      <c r="H298" s="3">
        <v>40</v>
      </c>
      <c r="I298" s="8">
        <v>43999</v>
      </c>
      <c r="J298" s="9">
        <v>25</v>
      </c>
      <c r="K298" s="10">
        <v>160</v>
      </c>
      <c r="L298" s="10">
        <v>120</v>
      </c>
      <c r="M298" s="3" t="s">
        <v>35</v>
      </c>
      <c r="N298" s="3" t="s">
        <v>1696</v>
      </c>
      <c r="O298" s="34">
        <v>582</v>
      </c>
      <c r="P298" s="3">
        <v>2020</v>
      </c>
      <c r="Q298" s="3">
        <f>VLOOKUP(C298,layoffs_location!A:F,6,FALSE)</f>
        <v>12.98815675</v>
      </c>
      <c r="R298" s="3">
        <f>VLOOKUP(C298,layoffs_location!A:G,7,FALSE)</f>
        <v>77.622600037959998</v>
      </c>
    </row>
    <row r="299" spans="1:18" x14ac:dyDescent="0.2">
      <c r="A299" s="3">
        <v>298</v>
      </c>
      <c r="B299" s="3" t="s">
        <v>1099</v>
      </c>
      <c r="C299" s="3" t="s">
        <v>1408</v>
      </c>
      <c r="D299" s="3" t="str">
        <f>VLOOKUP(C299,layoffs_location!A:B,2,FALSE)</f>
        <v>San Francisco Bay Area</v>
      </c>
      <c r="E299" s="3" t="str">
        <f>VLOOKUP(C299,layoffs_location!A:C,3,FALSE)</f>
        <v>California</v>
      </c>
      <c r="F299" s="3" t="str">
        <f>VLOOKUP(C299,layoffs_location!A:D,4,FALSE)</f>
        <v>USA</v>
      </c>
      <c r="G299" s="3" t="str">
        <f>VLOOKUP(C299,layoffs_location!A:E,5,FALSE)</f>
        <v>North America</v>
      </c>
      <c r="H299" s="3">
        <v>715</v>
      </c>
      <c r="I299" s="8">
        <v>44004</v>
      </c>
      <c r="J299" s="9">
        <v>7</v>
      </c>
      <c r="K299" s="10">
        <v>10214</v>
      </c>
      <c r="L299" s="10">
        <v>9499</v>
      </c>
      <c r="M299" s="3" t="s">
        <v>35</v>
      </c>
      <c r="N299" s="3" t="s">
        <v>28</v>
      </c>
      <c r="O299" s="34">
        <v>18</v>
      </c>
      <c r="P299" s="3">
        <v>2020</v>
      </c>
      <c r="Q299" s="3">
        <f>VLOOKUP(C299,layoffs_location!A:F,6,FALSE)</f>
        <v>37.3893889</v>
      </c>
      <c r="R299" s="3">
        <f>VLOOKUP(C299,layoffs_location!A:G,7,FALSE)</f>
        <v>-122.0832101</v>
      </c>
    </row>
    <row r="300" spans="1:18" x14ac:dyDescent="0.2">
      <c r="A300" s="3">
        <v>299</v>
      </c>
      <c r="B300" s="3" t="s">
        <v>1098</v>
      </c>
      <c r="C300" s="3" t="s">
        <v>1370</v>
      </c>
      <c r="D300" s="3" t="str">
        <f>VLOOKUP(C300,layoffs_location!A:B,2,FALSE)</f>
        <v>San Francisco Bay Area</v>
      </c>
      <c r="E300" s="3" t="str">
        <f>VLOOKUP(C300,layoffs_location!A:C,3,FALSE)</f>
        <v>California</v>
      </c>
      <c r="F300" s="3" t="str">
        <f>VLOOKUP(C300,layoffs_location!A:D,4,FALSE)</f>
        <v>USA</v>
      </c>
      <c r="G300" s="3" t="str">
        <f>VLOOKUP(C300,layoffs_location!A:E,5,FALSE)</f>
        <v>North America</v>
      </c>
      <c r="H300" s="3">
        <v>6</v>
      </c>
      <c r="I300" s="8">
        <v>44005</v>
      </c>
      <c r="J300" s="9">
        <v>100</v>
      </c>
      <c r="K300" s="10">
        <v>6</v>
      </c>
      <c r="L300" s="10">
        <v>0</v>
      </c>
      <c r="M300" s="3" t="s">
        <v>48</v>
      </c>
      <c r="N300" s="3" t="s">
        <v>147</v>
      </c>
      <c r="O300" s="34">
        <v>3</v>
      </c>
      <c r="P300" s="3">
        <v>2020</v>
      </c>
      <c r="Q300" s="3">
        <f>VLOOKUP(C300,layoffs_location!A:F,6,FALSE)</f>
        <v>37.779258800000001</v>
      </c>
      <c r="R300" s="3">
        <f>VLOOKUP(C300,layoffs_location!A:G,7,FALSE)</f>
        <v>-122.4193286</v>
      </c>
    </row>
    <row r="301" spans="1:18" x14ac:dyDescent="0.2">
      <c r="A301" s="3">
        <v>300</v>
      </c>
      <c r="B301" s="3" t="s">
        <v>1096</v>
      </c>
      <c r="C301" s="3" t="s">
        <v>445</v>
      </c>
      <c r="D301" s="3" t="str">
        <f>VLOOKUP(C301,layoffs_location!A:B,2,FALSE)</f>
        <v>other</v>
      </c>
      <c r="E301" s="3" t="str">
        <f>VLOOKUP(C301,layoffs_location!A:C,3,FALSE)</f>
        <v>non</v>
      </c>
      <c r="F301" s="3" t="str">
        <f>VLOOKUP(C301,layoffs_location!A:D,4,FALSE)</f>
        <v>Indonesia</v>
      </c>
      <c r="G301" s="3" t="str">
        <f>VLOOKUP(C301,layoffs_location!A:E,5,FALSE)</f>
        <v>Asia</v>
      </c>
      <c r="H301" s="3">
        <v>430</v>
      </c>
      <c r="I301" s="8">
        <v>44005</v>
      </c>
      <c r="J301" s="9">
        <v>9</v>
      </c>
      <c r="K301" s="10">
        <v>4778</v>
      </c>
      <c r="L301" s="10">
        <v>4348</v>
      </c>
      <c r="M301" s="3" t="s">
        <v>32</v>
      </c>
      <c r="N301" s="3" t="s">
        <v>63</v>
      </c>
      <c r="O301" s="34">
        <v>4800</v>
      </c>
      <c r="P301" s="3">
        <v>2020</v>
      </c>
      <c r="Q301" s="3">
        <f>VLOOKUP(C301,layoffs_location!A:F,6,FALSE)</f>
        <v>-6.1752469999999997</v>
      </c>
      <c r="R301" s="3">
        <f>VLOOKUP(C301,layoffs_location!A:G,7,FALSE)</f>
        <v>106.8270488</v>
      </c>
    </row>
    <row r="302" spans="1:18" x14ac:dyDescent="0.2">
      <c r="A302" s="3">
        <v>301</v>
      </c>
      <c r="B302" s="3" t="s">
        <v>1097</v>
      </c>
      <c r="C302" s="3" t="s">
        <v>83</v>
      </c>
      <c r="D302" s="3" t="str">
        <f>VLOOKUP(C302,layoffs_location!A:B,2,FALSE)</f>
        <v>other</v>
      </c>
      <c r="E302" s="3" t="str">
        <f>VLOOKUP(C302,layoffs_location!A:C,3,FALSE)</f>
        <v>Texas</v>
      </c>
      <c r="F302" s="3" t="str">
        <f>VLOOKUP(C302,layoffs_location!A:D,4,FALSE)</f>
        <v>USA</v>
      </c>
      <c r="G302" s="3" t="str">
        <f>VLOOKUP(C302,layoffs_location!A:E,5,FALSE)</f>
        <v>North America</v>
      </c>
      <c r="H302" s="3">
        <v>90</v>
      </c>
      <c r="I302" s="8">
        <v>44005</v>
      </c>
      <c r="J302" s="9">
        <v>90</v>
      </c>
      <c r="K302" s="10">
        <v>100</v>
      </c>
      <c r="L302" s="10">
        <v>10</v>
      </c>
      <c r="M302" s="3" t="s">
        <v>35</v>
      </c>
      <c r="N302" s="3" t="s">
        <v>41</v>
      </c>
      <c r="O302" s="34">
        <v>103</v>
      </c>
      <c r="P302" s="3">
        <v>2020</v>
      </c>
      <c r="Q302" s="3">
        <f>VLOOKUP(C302,layoffs_location!A:F,6,FALSE)</f>
        <v>30.271128600000001</v>
      </c>
      <c r="R302" s="3">
        <f>VLOOKUP(C302,layoffs_location!A:G,7,FALSE)</f>
        <v>-97.743699500000005</v>
      </c>
    </row>
    <row r="303" spans="1:18" x14ac:dyDescent="0.2">
      <c r="A303" s="3">
        <v>302</v>
      </c>
      <c r="B303" s="3" t="s">
        <v>250</v>
      </c>
      <c r="C303" s="3" t="s">
        <v>39</v>
      </c>
      <c r="D303" s="3" t="str">
        <f>VLOOKUP(C303,layoffs_location!A:B,2,FALSE)</f>
        <v>New York</v>
      </c>
      <c r="E303" s="3" t="str">
        <f>VLOOKUP(C303,layoffs_location!A:C,3,FALSE)</f>
        <v>New York</v>
      </c>
      <c r="F303" s="3" t="str">
        <f>VLOOKUP(C303,layoffs_location!A:D,4,FALSE)</f>
        <v>USA</v>
      </c>
      <c r="G303" s="3" t="str">
        <f>VLOOKUP(C303,layoffs_location!A:E,5,FALSE)</f>
        <v>North America</v>
      </c>
      <c r="H303" s="3">
        <v>174</v>
      </c>
      <c r="I303" s="8">
        <v>44006</v>
      </c>
      <c r="J303" s="9">
        <v>12</v>
      </c>
      <c r="K303" s="10">
        <v>1450</v>
      </c>
      <c r="L303" s="10">
        <v>1276</v>
      </c>
      <c r="M303" s="3" t="s">
        <v>16</v>
      </c>
      <c r="N303" s="3" t="s">
        <v>28</v>
      </c>
      <c r="O303" s="34">
        <v>455</v>
      </c>
      <c r="P303" s="3">
        <v>2020</v>
      </c>
      <c r="Q303" s="3">
        <f>VLOOKUP(C303,layoffs_location!A:F,6,FALSE)</f>
        <v>40.7127281</v>
      </c>
      <c r="R303" s="3">
        <f>VLOOKUP(C303,layoffs_location!A:G,7,FALSE)</f>
        <v>-74.006015199999993</v>
      </c>
    </row>
    <row r="304" spans="1:18" x14ac:dyDescent="0.2">
      <c r="A304" s="3">
        <v>303</v>
      </c>
      <c r="B304" s="3" t="s">
        <v>570</v>
      </c>
      <c r="C304" s="3" t="s">
        <v>13</v>
      </c>
      <c r="D304" s="3" t="str">
        <f>VLOOKUP(C304,layoffs_location!A:B,2,FALSE)</f>
        <v>other</v>
      </c>
      <c r="E304" s="3" t="str">
        <f>VLOOKUP(C304,layoffs_location!A:C,3,FALSE)</f>
        <v>Karnataka</v>
      </c>
      <c r="F304" s="3" t="str">
        <f>VLOOKUP(C304,layoffs_location!A:D,4,FALSE)</f>
        <v>India</v>
      </c>
      <c r="G304" s="3" t="str">
        <f>VLOOKUP(C304,layoffs_location!A:E,5,FALSE)</f>
        <v>Asia</v>
      </c>
      <c r="H304" s="3">
        <v>130</v>
      </c>
      <c r="I304" s="8">
        <v>44011</v>
      </c>
      <c r="J304" s="9">
        <v>22</v>
      </c>
      <c r="K304" s="10">
        <v>591</v>
      </c>
      <c r="L304" s="10">
        <v>461</v>
      </c>
      <c r="M304" s="3" t="s">
        <v>32</v>
      </c>
      <c r="N304" s="3" t="s">
        <v>108</v>
      </c>
      <c r="O304" s="34">
        <v>214</v>
      </c>
      <c r="P304" s="3">
        <v>2020</v>
      </c>
      <c r="Q304" s="3">
        <f>VLOOKUP(C304,layoffs_location!A:F,6,FALSE)</f>
        <v>12.98815675</v>
      </c>
      <c r="R304" s="3">
        <f>VLOOKUP(C304,layoffs_location!A:G,7,FALSE)</f>
        <v>77.622600037959998</v>
      </c>
    </row>
    <row r="305" spans="1:18" x14ac:dyDescent="0.2">
      <c r="A305" s="3">
        <v>304</v>
      </c>
      <c r="B305" s="3" t="s">
        <v>1066</v>
      </c>
      <c r="C305" s="3" t="s">
        <v>1443</v>
      </c>
      <c r="D305" s="3" t="str">
        <f>VLOOKUP(C305,layoffs_location!A:B,2,FALSE)</f>
        <v>San Francisco Bay Area</v>
      </c>
      <c r="E305" s="3" t="str">
        <f>VLOOKUP(C305,layoffs_location!A:C,3,FALSE)</f>
        <v>California</v>
      </c>
      <c r="F305" s="3" t="str">
        <f>VLOOKUP(C305,layoffs_location!A:D,4,FALSE)</f>
        <v>USA</v>
      </c>
      <c r="G305" s="3" t="str">
        <f>VLOOKUP(C305,layoffs_location!A:E,5,FALSE)</f>
        <v>North America</v>
      </c>
      <c r="H305" s="3">
        <v>400</v>
      </c>
      <c r="I305" s="8">
        <v>44011</v>
      </c>
      <c r="J305" s="9">
        <v>7</v>
      </c>
      <c r="K305" s="10">
        <v>5714</v>
      </c>
      <c r="L305" s="10">
        <v>5314</v>
      </c>
      <c r="M305" s="3" t="s">
        <v>622</v>
      </c>
      <c r="N305" s="3" t="s">
        <v>36</v>
      </c>
      <c r="O305" s="34">
        <v>1300</v>
      </c>
      <c r="P305" s="3">
        <v>2020</v>
      </c>
      <c r="Q305" s="3">
        <f>VLOOKUP(C305,layoffs_location!A:F,6,FALSE)</f>
        <v>37.451967099999997</v>
      </c>
      <c r="R305" s="3">
        <f>VLOOKUP(C305,layoffs_location!A:G,7,FALSE)</f>
        <v>-122.177992</v>
      </c>
    </row>
    <row r="306" spans="1:18" x14ac:dyDescent="0.2">
      <c r="A306" s="3">
        <v>305</v>
      </c>
      <c r="B306" s="3" t="s">
        <v>1095</v>
      </c>
      <c r="C306" s="3" t="s">
        <v>154</v>
      </c>
      <c r="D306" s="3" t="str">
        <f>VLOOKUP(C306,layoffs_location!A:B,2,FALSE)</f>
        <v>other</v>
      </c>
      <c r="E306" s="3" t="str">
        <f>VLOOKUP(C306,layoffs_location!A:C,3,FALSE)</f>
        <v>Illinois</v>
      </c>
      <c r="F306" s="3" t="str">
        <f>VLOOKUP(C306,layoffs_location!A:D,4,FALSE)</f>
        <v>USA</v>
      </c>
      <c r="G306" s="3" t="str">
        <f>VLOOKUP(C306,layoffs_location!A:E,5,FALSE)</f>
        <v>North America</v>
      </c>
      <c r="H306" s="3">
        <v>17</v>
      </c>
      <c r="I306" s="8">
        <v>44012</v>
      </c>
      <c r="J306" s="9">
        <v>5</v>
      </c>
      <c r="K306" s="10">
        <v>340</v>
      </c>
      <c r="L306" s="10">
        <v>323</v>
      </c>
      <c r="M306" s="3" t="s">
        <v>130</v>
      </c>
      <c r="N306" s="3" t="s">
        <v>41</v>
      </c>
      <c r="O306" s="34">
        <v>101</v>
      </c>
      <c r="P306" s="3">
        <v>2020</v>
      </c>
      <c r="Q306" s="3">
        <f>VLOOKUP(C306,layoffs_location!A:F,6,FALSE)</f>
        <v>41.875561599999997</v>
      </c>
      <c r="R306" s="3">
        <f>VLOOKUP(C306,layoffs_location!A:G,7,FALSE)</f>
        <v>-87.6244212</v>
      </c>
    </row>
    <row r="307" spans="1:18" x14ac:dyDescent="0.2">
      <c r="A307" s="3">
        <v>306</v>
      </c>
      <c r="B307" s="3" t="s">
        <v>1094</v>
      </c>
      <c r="C307" s="3" t="s">
        <v>244</v>
      </c>
      <c r="D307" s="3" t="str">
        <f>VLOOKUP(C307,layoffs_location!A:B,2,FALSE)</f>
        <v>other</v>
      </c>
      <c r="E307" s="3" t="str">
        <f>VLOOKUP(C307,layoffs_location!A:C,3,FALSE)</f>
        <v>non</v>
      </c>
      <c r="F307" s="3" t="str">
        <f>VLOOKUP(C307,layoffs_location!A:D,4,FALSE)</f>
        <v>Singapore</v>
      </c>
      <c r="G307" s="3" t="str">
        <f>VLOOKUP(C307,layoffs_location!A:E,5,FALSE)</f>
        <v>Asia</v>
      </c>
      <c r="H307" s="3">
        <v>100</v>
      </c>
      <c r="I307" s="8">
        <v>44021</v>
      </c>
      <c r="J307" s="9">
        <v>12</v>
      </c>
      <c r="K307" s="10">
        <v>833</v>
      </c>
      <c r="L307" s="10">
        <v>733</v>
      </c>
      <c r="M307" s="3" t="s">
        <v>30</v>
      </c>
      <c r="N307" s="3" t="s">
        <v>108</v>
      </c>
      <c r="O307" s="34">
        <v>307</v>
      </c>
      <c r="P307" s="3">
        <v>2020</v>
      </c>
      <c r="Q307" s="3">
        <f>VLOOKUP(C307,layoffs_location!A:F,6,FALSE)</f>
        <v>1.2899175000000001</v>
      </c>
      <c r="R307" s="3">
        <f>VLOOKUP(C307,layoffs_location!A:G,7,FALSE)</f>
        <v>103.8519072</v>
      </c>
    </row>
    <row r="308" spans="1:18" x14ac:dyDescent="0.2">
      <c r="A308" s="3">
        <v>307</v>
      </c>
      <c r="B308" s="3" t="s">
        <v>1092</v>
      </c>
      <c r="C308" s="3" t="s">
        <v>1093</v>
      </c>
      <c r="D308" s="3" t="str">
        <f>VLOOKUP(C308,layoffs_location!A:B,2,FALSE)</f>
        <v>other</v>
      </c>
      <c r="E308" s="3" t="str">
        <f>VLOOKUP(C308,layoffs_location!A:C,3,FALSE)</f>
        <v>Scotland</v>
      </c>
      <c r="F308" s="3" t="str">
        <f>VLOOKUP(C308,layoffs_location!A:D,4,FALSE)</f>
        <v>UK</v>
      </c>
      <c r="G308" s="3" t="str">
        <f>VLOOKUP(C308,layoffs_location!A:E,5,FALSE)</f>
        <v>Europe</v>
      </c>
      <c r="H308" s="3">
        <v>300</v>
      </c>
      <c r="I308" s="8">
        <v>44026</v>
      </c>
      <c r="J308" s="9">
        <v>20</v>
      </c>
      <c r="K308" s="10">
        <v>1500</v>
      </c>
      <c r="L308" s="10">
        <v>1200</v>
      </c>
      <c r="M308" s="3" t="s">
        <v>72</v>
      </c>
      <c r="N308" s="3" t="s">
        <v>33</v>
      </c>
      <c r="O308" s="34">
        <v>197</v>
      </c>
      <c r="P308" s="3">
        <v>2020</v>
      </c>
      <c r="Q308" s="3">
        <f>VLOOKUP(C308,layoffs_location!A:F,6,FALSE)</f>
        <v>55.953345599999999</v>
      </c>
      <c r="R308" s="3">
        <f>VLOOKUP(C308,layoffs_location!A:G,7,FALSE)</f>
        <v>-3.1883748999999999</v>
      </c>
    </row>
    <row r="309" spans="1:18" ht="16" x14ac:dyDescent="0.2">
      <c r="A309" s="3">
        <v>308</v>
      </c>
      <c r="B309" s="3" t="s">
        <v>1091</v>
      </c>
      <c r="C309" s="11" t="s">
        <v>1370</v>
      </c>
      <c r="D309" s="3" t="str">
        <f>VLOOKUP(C309,layoffs_location!A:B,2,FALSE)</f>
        <v>San Francisco Bay Area</v>
      </c>
      <c r="E309" s="3" t="str">
        <f>VLOOKUP(C309,layoffs_location!A:C,3,FALSE)</f>
        <v>California</v>
      </c>
      <c r="F309" s="3" t="str">
        <f>VLOOKUP(C309,layoffs_location!A:D,4,FALSE)</f>
        <v>USA</v>
      </c>
      <c r="G309" s="3" t="str">
        <f>VLOOKUP(C309,layoffs_location!A:E,5,FALSE)</f>
        <v>North America</v>
      </c>
      <c r="H309" s="3">
        <v>60</v>
      </c>
      <c r="I309" s="8">
        <v>44027</v>
      </c>
      <c r="J309" s="9">
        <v>15</v>
      </c>
      <c r="K309" s="10">
        <v>400</v>
      </c>
      <c r="L309" s="10">
        <v>340</v>
      </c>
      <c r="M309" s="3" t="s">
        <v>130</v>
      </c>
      <c r="N309" s="3" t="s">
        <v>108</v>
      </c>
      <c r="O309" s="34">
        <v>251</v>
      </c>
      <c r="P309" s="3">
        <v>2020</v>
      </c>
      <c r="Q309" s="3">
        <f>VLOOKUP(C309,layoffs_location!A:F,6,FALSE)</f>
        <v>37.779258800000001</v>
      </c>
      <c r="R309" s="3">
        <f>VLOOKUP(C309,layoffs_location!A:G,7,FALSE)</f>
        <v>-122.4193286</v>
      </c>
    </row>
    <row r="310" spans="1:18" x14ac:dyDescent="0.2">
      <c r="A310" s="3">
        <v>309</v>
      </c>
      <c r="B310" s="3" t="s">
        <v>1090</v>
      </c>
      <c r="C310" s="3" t="s">
        <v>43</v>
      </c>
      <c r="D310" s="3" t="str">
        <f>VLOOKUP(C310,layoffs_location!A:B,2,FALSE)</f>
        <v>Cascadia</v>
      </c>
      <c r="E310" s="3" t="str">
        <f>VLOOKUP(C310,layoffs_location!A:C,3,FALSE)</f>
        <v>Washington</v>
      </c>
      <c r="F310" s="3" t="str">
        <f>VLOOKUP(C310,layoffs_location!A:D,4,FALSE)</f>
        <v>USA</v>
      </c>
      <c r="G310" s="3" t="str">
        <f>VLOOKUP(C310,layoffs_location!A:E,5,FALSE)</f>
        <v>North America</v>
      </c>
      <c r="H310" s="3">
        <v>22</v>
      </c>
      <c r="I310" s="8">
        <v>44032</v>
      </c>
      <c r="J310" s="9">
        <v>49</v>
      </c>
      <c r="K310" s="10">
        <v>45</v>
      </c>
      <c r="L310" s="10">
        <v>23</v>
      </c>
      <c r="M310" s="3" t="s">
        <v>35</v>
      </c>
      <c r="N310" s="3" t="s">
        <v>49</v>
      </c>
      <c r="O310" s="34">
        <v>15</v>
      </c>
      <c r="P310" s="3">
        <v>2020</v>
      </c>
      <c r="Q310" s="3">
        <f>VLOOKUP(C310,layoffs_location!A:F,6,FALSE)</f>
        <v>47.603832099999998</v>
      </c>
      <c r="R310" s="3">
        <f>VLOOKUP(C310,layoffs_location!A:G,7,FALSE)</f>
        <v>-122.330062</v>
      </c>
    </row>
    <row r="311" spans="1:18" x14ac:dyDescent="0.2">
      <c r="A311" s="3">
        <v>310</v>
      </c>
      <c r="B311" s="3" t="s">
        <v>101</v>
      </c>
      <c r="C311" s="3" t="s">
        <v>1720</v>
      </c>
      <c r="D311" s="3" t="str">
        <f>VLOOKUP(C311,layoffs_location!A:B,2,FALSE)</f>
        <v>San Francisco Bay Area</v>
      </c>
      <c r="E311" s="3" t="str">
        <f>VLOOKUP(C311,layoffs_location!A:C,3,FALSE)</f>
        <v>California</v>
      </c>
      <c r="F311" s="3" t="str">
        <f>VLOOKUP(C311,layoffs_location!A:D,4,FALSE)</f>
        <v>USA</v>
      </c>
      <c r="G311" s="3" t="str">
        <f>VLOOKUP(C311,layoffs_location!A:E,5,FALSE)</f>
        <v>North America</v>
      </c>
      <c r="H311" s="3">
        <v>960</v>
      </c>
      <c r="I311" s="8">
        <v>44033</v>
      </c>
      <c r="J311" s="9">
        <v>6</v>
      </c>
      <c r="K311" s="10">
        <v>16000</v>
      </c>
      <c r="L311" s="10">
        <v>15040</v>
      </c>
      <c r="M311" s="3" t="s">
        <v>84</v>
      </c>
      <c r="N311" s="3" t="s">
        <v>33</v>
      </c>
      <c r="O311" s="34">
        <v>154</v>
      </c>
      <c r="P311" s="3">
        <v>2020</v>
      </c>
      <c r="Q311" s="3">
        <f>VLOOKUP(C311,layoffs_location!A:F,6,FALSE)</f>
        <v>37.368830099999997</v>
      </c>
      <c r="R311" s="3">
        <f>VLOOKUP(C311,layoffs_location!A:G,7,FALSE)</f>
        <v>-122.036349</v>
      </c>
    </row>
    <row r="312" spans="1:18" x14ac:dyDescent="0.2">
      <c r="A312" s="3">
        <v>311</v>
      </c>
      <c r="B312" s="3" t="s">
        <v>1089</v>
      </c>
      <c r="C312" s="3" t="s">
        <v>1370</v>
      </c>
      <c r="D312" s="3" t="str">
        <f>VLOOKUP(C312,layoffs_location!A:B,2,FALSE)</f>
        <v>San Francisco Bay Area</v>
      </c>
      <c r="E312" s="3" t="str">
        <f>VLOOKUP(C312,layoffs_location!A:C,3,FALSE)</f>
        <v>California</v>
      </c>
      <c r="F312" s="3" t="str">
        <f>VLOOKUP(C312,layoffs_location!A:D,4,FALSE)</f>
        <v>USA</v>
      </c>
      <c r="G312" s="3" t="str">
        <f>VLOOKUP(C312,layoffs_location!A:E,5,FALSE)</f>
        <v>North America</v>
      </c>
      <c r="H312" s="3">
        <v>64</v>
      </c>
      <c r="I312" s="8">
        <v>44035</v>
      </c>
      <c r="J312" s="9">
        <v>12</v>
      </c>
      <c r="K312" s="10">
        <v>533</v>
      </c>
      <c r="L312" s="10">
        <v>469</v>
      </c>
      <c r="M312" s="3" t="s">
        <v>84</v>
      </c>
      <c r="N312" s="3" t="s">
        <v>108</v>
      </c>
      <c r="O312" s="34">
        <v>309</v>
      </c>
      <c r="P312" s="3">
        <v>2020</v>
      </c>
      <c r="Q312" s="3">
        <f>VLOOKUP(C312,layoffs_location!A:F,6,FALSE)</f>
        <v>37.779258800000001</v>
      </c>
      <c r="R312" s="3">
        <f>VLOOKUP(C312,layoffs_location!A:G,7,FALSE)</f>
        <v>-122.4193286</v>
      </c>
    </row>
    <row r="313" spans="1:18" x14ac:dyDescent="0.2">
      <c r="A313" s="3">
        <v>312</v>
      </c>
      <c r="B313" s="3" t="s">
        <v>515</v>
      </c>
      <c r="C313" s="3" t="s">
        <v>13</v>
      </c>
      <c r="D313" s="3" t="str">
        <f>VLOOKUP(C313,layoffs_location!A:B,2,FALSE)</f>
        <v>other</v>
      </c>
      <c r="E313" s="3" t="str">
        <f>VLOOKUP(C313,layoffs_location!A:C,3,FALSE)</f>
        <v>Karnataka</v>
      </c>
      <c r="F313" s="3" t="str">
        <f>VLOOKUP(C313,layoffs_location!A:D,4,FALSE)</f>
        <v>India</v>
      </c>
      <c r="G313" s="3" t="str">
        <f>VLOOKUP(C313,layoffs_location!A:E,5,FALSE)</f>
        <v>Asia</v>
      </c>
      <c r="H313" s="3">
        <v>350</v>
      </c>
      <c r="I313" s="8">
        <v>44039</v>
      </c>
      <c r="J313" s="9">
        <v>5</v>
      </c>
      <c r="K313" s="10">
        <v>7000</v>
      </c>
      <c r="L313" s="10">
        <v>6650</v>
      </c>
      <c r="M313" s="3" t="s">
        <v>77</v>
      </c>
      <c r="N313" s="3" t="s">
        <v>567</v>
      </c>
      <c r="O313" s="34">
        <v>1600</v>
      </c>
      <c r="P313" s="3">
        <v>2020</v>
      </c>
      <c r="Q313" s="3">
        <f>VLOOKUP(C313,layoffs_location!A:F,6,FALSE)</f>
        <v>12.98815675</v>
      </c>
      <c r="R313" s="3">
        <f>VLOOKUP(C313,layoffs_location!A:G,7,FALSE)</f>
        <v>77.622600037959998</v>
      </c>
    </row>
    <row r="314" spans="1:18" x14ac:dyDescent="0.2">
      <c r="A314" s="3">
        <v>313</v>
      </c>
      <c r="B314" s="3" t="s">
        <v>1088</v>
      </c>
      <c r="C314" s="3" t="s">
        <v>135</v>
      </c>
      <c r="D314" s="3" t="str">
        <f>VLOOKUP(C314,layoffs_location!A:B,2,FALSE)</f>
        <v>other</v>
      </c>
      <c r="E314" s="3" t="str">
        <f>VLOOKUP(C314,layoffs_location!A:C,3,FALSE)</f>
        <v>Berlin</v>
      </c>
      <c r="F314" s="3" t="str">
        <f>VLOOKUP(C314,layoffs_location!A:D,4,FALSE)</f>
        <v>Germany</v>
      </c>
      <c r="G314" s="3" t="str">
        <f>VLOOKUP(C314,layoffs_location!A:E,5,FALSE)</f>
        <v>Europe</v>
      </c>
      <c r="H314" s="3">
        <v>75</v>
      </c>
      <c r="I314" s="8">
        <v>44039</v>
      </c>
      <c r="J314" s="9">
        <v>72</v>
      </c>
      <c r="K314" s="10">
        <v>104</v>
      </c>
      <c r="L314" s="10">
        <v>29</v>
      </c>
      <c r="M314" s="3" t="s">
        <v>35</v>
      </c>
      <c r="N314" s="3" t="s">
        <v>49</v>
      </c>
      <c r="O314" s="34">
        <v>60</v>
      </c>
      <c r="P314" s="3">
        <v>2020</v>
      </c>
      <c r="Q314" s="3">
        <f>VLOOKUP(C314,layoffs_location!A:F,6,FALSE)</f>
        <v>52.517036500000003</v>
      </c>
      <c r="R314" s="3">
        <f>VLOOKUP(C314,layoffs_location!A:G,7,FALSE)</f>
        <v>13.3888599</v>
      </c>
    </row>
    <row r="315" spans="1:18" x14ac:dyDescent="0.2">
      <c r="A315" s="3">
        <v>314</v>
      </c>
      <c r="B315" s="3" t="s">
        <v>1087</v>
      </c>
      <c r="C315" s="3" t="s">
        <v>76</v>
      </c>
      <c r="D315" s="3" t="str">
        <f>VLOOKUP(C315,layoffs_location!A:B,2,FALSE)</f>
        <v>other</v>
      </c>
      <c r="E315" s="3" t="str">
        <f>VLOOKUP(C315,layoffs_location!A:C,3,FALSE)</f>
        <v>California</v>
      </c>
      <c r="F315" s="3" t="str">
        <f>VLOOKUP(C315,layoffs_location!A:D,4,FALSE)</f>
        <v>USA</v>
      </c>
      <c r="G315" s="3" t="str">
        <f>VLOOKUP(C315,layoffs_location!A:E,5,FALSE)</f>
        <v>North America</v>
      </c>
      <c r="H315" s="3">
        <v>180</v>
      </c>
      <c r="I315" s="8">
        <v>44040</v>
      </c>
      <c r="J315" s="9">
        <v>9</v>
      </c>
      <c r="K315" s="10">
        <v>2000</v>
      </c>
      <c r="L315" s="10">
        <v>1820</v>
      </c>
      <c r="M315" s="3" t="s">
        <v>622</v>
      </c>
      <c r="N315" s="3" t="s">
        <v>22</v>
      </c>
      <c r="O315" s="34">
        <v>649</v>
      </c>
      <c r="P315" s="3">
        <v>2020</v>
      </c>
      <c r="Q315" s="3">
        <f>VLOOKUP(C315,layoffs_location!A:F,6,FALSE)</f>
        <v>34.053690899999999</v>
      </c>
      <c r="R315" s="3">
        <f>VLOOKUP(C315,layoffs_location!A:G,7,FALSE)</f>
        <v>-118.242766</v>
      </c>
    </row>
    <row r="316" spans="1:18" x14ac:dyDescent="0.2">
      <c r="A316" s="3">
        <v>315</v>
      </c>
      <c r="B316" s="3" t="s">
        <v>1712</v>
      </c>
      <c r="C316" s="3" t="s">
        <v>1713</v>
      </c>
      <c r="D316" s="3" t="str">
        <f>VLOOKUP(C316,layoffs_location!A:B,2,FALSE)</f>
        <v>San Francisco Bay Area</v>
      </c>
      <c r="E316" s="3" t="str">
        <f>VLOOKUP(C316,layoffs_location!A:C,3,FALSE)</f>
        <v>California</v>
      </c>
      <c r="F316" s="3" t="str">
        <f>VLOOKUP(C316,layoffs_location!A:D,4,FALSE)</f>
        <v>USA</v>
      </c>
      <c r="G316" s="3" t="str">
        <f>VLOOKUP(C316,layoffs_location!A:E,5,FALSE)</f>
        <v>North America</v>
      </c>
      <c r="H316" s="3">
        <v>87</v>
      </c>
      <c r="I316" s="8">
        <v>44042</v>
      </c>
      <c r="J316" s="9">
        <v>100</v>
      </c>
      <c r="K316" s="10">
        <v>87</v>
      </c>
      <c r="L316" s="10">
        <v>0</v>
      </c>
      <c r="M316" s="3" t="s">
        <v>30</v>
      </c>
      <c r="N316" s="3" t="s">
        <v>33</v>
      </c>
      <c r="O316" s="34">
        <v>42</v>
      </c>
      <c r="P316" s="3">
        <v>2020</v>
      </c>
      <c r="Q316" s="3">
        <f>VLOOKUP(C316,layoffs_location!A:F,6,FALSE)</f>
        <v>37.496904000000001</v>
      </c>
      <c r="R316" s="3">
        <f>VLOOKUP(C316,layoffs_location!A:G,7,FALSE)</f>
        <v>-122.33305729999999</v>
      </c>
    </row>
    <row r="317" spans="1:18" x14ac:dyDescent="0.2">
      <c r="A317" s="3">
        <v>316</v>
      </c>
      <c r="B317" s="3" t="s">
        <v>1086</v>
      </c>
      <c r="C317" s="3" t="s">
        <v>179</v>
      </c>
      <c r="D317" s="3" t="str">
        <f>VLOOKUP(C317,layoffs_location!A:B,2,FALSE)</f>
        <v>other</v>
      </c>
      <c r="E317" s="3" t="str">
        <f>VLOOKUP(C317,layoffs_location!A:C,3,FALSE)</f>
        <v>Ontario</v>
      </c>
      <c r="F317" s="3" t="str">
        <f>VLOOKUP(C317,layoffs_location!A:D,4,FALSE)</f>
        <v>Canada</v>
      </c>
      <c r="G317" s="3" t="str">
        <f>VLOOKUP(C317,layoffs_location!A:E,5,FALSE)</f>
        <v>North America</v>
      </c>
      <c r="H317" s="3">
        <v>75</v>
      </c>
      <c r="I317" s="8">
        <v>44049</v>
      </c>
      <c r="J317" s="9">
        <v>50</v>
      </c>
      <c r="K317" s="10">
        <v>150</v>
      </c>
      <c r="L317" s="10">
        <v>75</v>
      </c>
      <c r="M317" s="3" t="s">
        <v>77</v>
      </c>
      <c r="N317" s="3" t="s">
        <v>49</v>
      </c>
      <c r="O317" s="34">
        <v>53</v>
      </c>
      <c r="P317" s="3">
        <v>2020</v>
      </c>
      <c r="Q317" s="3">
        <f>VLOOKUP(C317,layoffs_location!A:F,6,FALSE)</f>
        <v>43.6534817</v>
      </c>
      <c r="R317" s="3">
        <f>VLOOKUP(C317,layoffs_location!A:G,7,FALSE)</f>
        <v>-79.383934699999998</v>
      </c>
    </row>
    <row r="318" spans="1:18" x14ac:dyDescent="0.2">
      <c r="A318" s="3">
        <v>317</v>
      </c>
      <c r="B318" s="3" t="s">
        <v>851</v>
      </c>
      <c r="C318" s="3" t="s">
        <v>39</v>
      </c>
      <c r="D318" s="3" t="str">
        <f>VLOOKUP(C318,layoffs_location!A:B,2,FALSE)</f>
        <v>New York</v>
      </c>
      <c r="E318" s="3" t="str">
        <f>VLOOKUP(C318,layoffs_location!A:C,3,FALSE)</f>
        <v>New York</v>
      </c>
      <c r="F318" s="3" t="str">
        <f>VLOOKUP(C318,layoffs_location!A:D,4,FALSE)</f>
        <v>USA</v>
      </c>
      <c r="G318" s="3" t="str">
        <f>VLOOKUP(C318,layoffs_location!A:E,5,FALSE)</f>
        <v>North America</v>
      </c>
      <c r="H318" s="3">
        <v>150</v>
      </c>
      <c r="I318" s="8">
        <v>44050</v>
      </c>
      <c r="J318" s="9">
        <v>38</v>
      </c>
      <c r="K318" s="10">
        <v>395</v>
      </c>
      <c r="L318" s="10">
        <v>245</v>
      </c>
      <c r="M318" s="3" t="s">
        <v>30</v>
      </c>
      <c r="N318" s="3" t="s">
        <v>108</v>
      </c>
      <c r="O318" s="34">
        <v>186</v>
      </c>
      <c r="P318" s="3">
        <v>2020</v>
      </c>
      <c r="Q318" s="3">
        <f>VLOOKUP(C318,layoffs_location!A:F,6,FALSE)</f>
        <v>40.7127281</v>
      </c>
      <c r="R318" s="3">
        <f>VLOOKUP(C318,layoffs_location!A:G,7,FALSE)</f>
        <v>-74.006015199999993</v>
      </c>
    </row>
    <row r="319" spans="1:18" x14ac:dyDescent="0.2">
      <c r="A319" s="3">
        <v>318</v>
      </c>
      <c r="B319" s="3" t="s">
        <v>1085</v>
      </c>
      <c r="C319" s="3" t="s">
        <v>244</v>
      </c>
      <c r="D319" s="3" t="str">
        <f>VLOOKUP(C319,layoffs_location!A:B,2,FALSE)</f>
        <v>other</v>
      </c>
      <c r="E319" s="3" t="str">
        <f>VLOOKUP(C319,layoffs_location!A:C,3,FALSE)</f>
        <v>non</v>
      </c>
      <c r="F319" s="3" t="str">
        <f>VLOOKUP(C319,layoffs_location!A:D,4,FALSE)</f>
        <v>Singapore</v>
      </c>
      <c r="G319" s="3" t="str">
        <f>VLOOKUP(C319,layoffs_location!A:E,5,FALSE)</f>
        <v>Asia</v>
      </c>
      <c r="H319" s="3">
        <v>20</v>
      </c>
      <c r="I319" s="8">
        <v>44051</v>
      </c>
      <c r="J319" s="9">
        <v>100</v>
      </c>
      <c r="K319" s="10">
        <v>20</v>
      </c>
      <c r="L319" s="10">
        <v>0</v>
      </c>
      <c r="M319" s="3" t="s">
        <v>77</v>
      </c>
      <c r="N319" s="3" t="s">
        <v>147</v>
      </c>
      <c r="O319" s="34">
        <v>1</v>
      </c>
      <c r="P319" s="3">
        <v>2020</v>
      </c>
      <c r="Q319" s="3">
        <f>VLOOKUP(C319,layoffs_location!A:F,6,FALSE)</f>
        <v>1.2899175000000001</v>
      </c>
      <c r="R319" s="3">
        <f>VLOOKUP(C319,layoffs_location!A:G,7,FALSE)</f>
        <v>103.8519072</v>
      </c>
    </row>
    <row r="320" spans="1:18" ht="16" x14ac:dyDescent="0.2">
      <c r="A320" s="3">
        <v>319</v>
      </c>
      <c r="B320" s="3" t="s">
        <v>1084</v>
      </c>
      <c r="C320" s="11" t="s">
        <v>1370</v>
      </c>
      <c r="D320" s="3" t="str">
        <f>VLOOKUP(C320,layoffs_location!A:B,2,FALSE)</f>
        <v>San Francisco Bay Area</v>
      </c>
      <c r="E320" s="3" t="str">
        <f>VLOOKUP(C320,layoffs_location!A:C,3,FALSE)</f>
        <v>California</v>
      </c>
      <c r="F320" s="3" t="str">
        <f>VLOOKUP(C320,layoffs_location!A:D,4,FALSE)</f>
        <v>USA</v>
      </c>
      <c r="G320" s="3" t="str">
        <f>VLOOKUP(C320,layoffs_location!A:E,5,FALSE)</f>
        <v>North America</v>
      </c>
      <c r="H320" s="3">
        <v>250</v>
      </c>
      <c r="I320" s="8">
        <v>44054</v>
      </c>
      <c r="J320" s="9">
        <v>25</v>
      </c>
      <c r="K320" s="10">
        <v>1000</v>
      </c>
      <c r="L320" s="10">
        <v>750</v>
      </c>
      <c r="M320" s="3" t="s">
        <v>16</v>
      </c>
      <c r="N320" s="3" t="s">
        <v>22</v>
      </c>
      <c r="O320" s="34">
        <v>2</v>
      </c>
      <c r="P320" s="3">
        <v>2020</v>
      </c>
      <c r="Q320" s="3">
        <f>VLOOKUP(C320,layoffs_location!A:F,6,FALSE)</f>
        <v>37.779258800000001</v>
      </c>
      <c r="R320" s="3">
        <f>VLOOKUP(C320,layoffs_location!A:G,7,FALSE)</f>
        <v>-122.4193286</v>
      </c>
    </row>
    <row r="321" spans="1:18" x14ac:dyDescent="0.2">
      <c r="A321" s="3">
        <v>320</v>
      </c>
      <c r="B321" s="3" t="s">
        <v>1083</v>
      </c>
      <c r="C321" s="3" t="s">
        <v>58</v>
      </c>
      <c r="D321" s="3" t="str">
        <f>VLOOKUP(C321,layoffs_location!A:B,2,FALSE)</f>
        <v>other</v>
      </c>
      <c r="E321" s="3" t="str">
        <f>VLOOKUP(C321,layoffs_location!A:C,3,FALSE)</f>
        <v>England</v>
      </c>
      <c r="F321" s="3" t="str">
        <f>VLOOKUP(C321,layoffs_location!A:D,4,FALSE)</f>
        <v>UK</v>
      </c>
      <c r="G321" s="3" t="str">
        <f>VLOOKUP(C321,layoffs_location!A:E,5,FALSE)</f>
        <v>Europe</v>
      </c>
      <c r="H321" s="3">
        <v>8</v>
      </c>
      <c r="I321" s="8">
        <v>44062</v>
      </c>
      <c r="J321" s="9">
        <v>80</v>
      </c>
      <c r="K321" s="10">
        <v>10</v>
      </c>
      <c r="L321" s="10">
        <v>2</v>
      </c>
      <c r="M321" s="3" t="s">
        <v>21</v>
      </c>
      <c r="N321" s="3" t="s">
        <v>147</v>
      </c>
      <c r="O321" s="34">
        <v>16</v>
      </c>
      <c r="P321" s="3">
        <v>2020</v>
      </c>
      <c r="Q321" s="3">
        <f>VLOOKUP(C321,layoffs_location!A:F,6,FALSE)</f>
        <v>51.489333500000001</v>
      </c>
      <c r="R321" s="3">
        <f>VLOOKUP(C321,layoffs_location!A:G,7,FALSE)</f>
        <v>-0.14405508452768701</v>
      </c>
    </row>
    <row r="322" spans="1:18" ht="16" x14ac:dyDescent="0.2">
      <c r="A322" s="3">
        <v>321</v>
      </c>
      <c r="B322" s="3" t="s">
        <v>1686</v>
      </c>
      <c r="C322" s="11" t="s">
        <v>1370</v>
      </c>
      <c r="D322" s="3" t="str">
        <f>VLOOKUP(C322,layoffs_location!A:B,2,FALSE)</f>
        <v>San Francisco Bay Area</v>
      </c>
      <c r="E322" s="3" t="str">
        <f>VLOOKUP(C322,layoffs_location!A:C,3,FALSE)</f>
        <v>California</v>
      </c>
      <c r="F322" s="3" t="str">
        <f>VLOOKUP(C322,layoffs_location!A:D,4,FALSE)</f>
        <v>USA</v>
      </c>
      <c r="G322" s="3" t="str">
        <f>VLOOKUP(C322,layoffs_location!A:E,5,FALSE)</f>
        <v>North America</v>
      </c>
      <c r="H322" s="3">
        <v>1000</v>
      </c>
      <c r="I322" s="8">
        <v>44069</v>
      </c>
      <c r="J322" s="9">
        <v>2</v>
      </c>
      <c r="K322" s="10">
        <v>50000</v>
      </c>
      <c r="L322" s="10">
        <v>49000</v>
      </c>
      <c r="M322" s="3" t="s">
        <v>92</v>
      </c>
      <c r="N322" s="3" t="s">
        <v>28</v>
      </c>
      <c r="O322" s="34">
        <v>65</v>
      </c>
      <c r="P322" s="3">
        <v>2020</v>
      </c>
      <c r="Q322" s="3">
        <f>VLOOKUP(C322,layoffs_location!A:F,6,FALSE)</f>
        <v>37.779258800000001</v>
      </c>
      <c r="R322" s="3">
        <f>VLOOKUP(C322,layoffs_location!A:G,7,FALSE)</f>
        <v>-122.4193286</v>
      </c>
    </row>
    <row r="323" spans="1:18" x14ac:dyDescent="0.2">
      <c r="A323" s="3">
        <v>322</v>
      </c>
      <c r="B323" s="3" t="s">
        <v>1082</v>
      </c>
      <c r="C323" s="3" t="s">
        <v>748</v>
      </c>
      <c r="D323" s="3" t="str">
        <f>VLOOKUP(C323,layoffs_location!A:B,2,FALSE)</f>
        <v>other</v>
      </c>
      <c r="E323" s="3" t="str">
        <f>VLOOKUP(C323,layoffs_location!A:C,3,FALSE)</f>
        <v>Delhi</v>
      </c>
      <c r="F323" s="3" t="str">
        <f>VLOOKUP(C323,layoffs_location!A:D,4,FALSE)</f>
        <v>India</v>
      </c>
      <c r="G323" s="3" t="str">
        <f>VLOOKUP(C323,layoffs_location!A:E,5,FALSE)</f>
        <v>Asia</v>
      </c>
      <c r="H323" s="3">
        <v>350</v>
      </c>
      <c r="I323" s="8">
        <v>44074</v>
      </c>
      <c r="J323" s="9">
        <v>10</v>
      </c>
      <c r="K323" s="10">
        <v>3500</v>
      </c>
      <c r="L323" s="10">
        <v>3150</v>
      </c>
      <c r="M323" s="3" t="s">
        <v>72</v>
      </c>
      <c r="N323" s="3" t="s">
        <v>28</v>
      </c>
      <c r="O323" s="34">
        <v>548</v>
      </c>
      <c r="P323" s="3">
        <v>2020</v>
      </c>
      <c r="Q323" s="3">
        <f>VLOOKUP(C323,layoffs_location!A:F,6,FALSE)</f>
        <v>28.613895400000001</v>
      </c>
      <c r="R323" s="3">
        <f>VLOOKUP(C323,layoffs_location!A:G,7,FALSE)</f>
        <v>77.209005700000006</v>
      </c>
    </row>
    <row r="324" spans="1:18" x14ac:dyDescent="0.2">
      <c r="A324" s="3">
        <v>323</v>
      </c>
      <c r="B324" s="3" t="s">
        <v>1081</v>
      </c>
      <c r="C324" s="3" t="s">
        <v>244</v>
      </c>
      <c r="D324" s="3" t="str">
        <f>VLOOKUP(C324,layoffs_location!A:B,2,FALSE)</f>
        <v>other</v>
      </c>
      <c r="E324" s="3" t="str">
        <f>VLOOKUP(C324,layoffs_location!A:C,3,FALSE)</f>
        <v>non</v>
      </c>
      <c r="F324" s="3" t="str">
        <f>VLOOKUP(C324,layoffs_location!A:D,4,FALSE)</f>
        <v>Singapore</v>
      </c>
      <c r="G324" s="3" t="str">
        <f>VLOOKUP(C324,layoffs_location!A:E,5,FALSE)</f>
        <v>Asia</v>
      </c>
      <c r="H324" s="3">
        <v>22</v>
      </c>
      <c r="I324" s="8">
        <v>44075</v>
      </c>
      <c r="J324" s="9">
        <v>11</v>
      </c>
      <c r="K324" s="10">
        <v>200</v>
      </c>
      <c r="L324" s="10">
        <v>178</v>
      </c>
      <c r="M324" s="3" t="s">
        <v>35</v>
      </c>
      <c r="N324" s="3" t="s">
        <v>22</v>
      </c>
      <c r="O324" s="34">
        <v>97</v>
      </c>
      <c r="P324" s="3">
        <v>2020</v>
      </c>
      <c r="Q324" s="3">
        <f>VLOOKUP(C324,layoffs_location!A:F,6,FALSE)</f>
        <v>1.2899175000000001</v>
      </c>
      <c r="R324" s="3">
        <f>VLOOKUP(C324,layoffs_location!A:G,7,FALSE)</f>
        <v>103.8519072</v>
      </c>
    </row>
    <row r="325" spans="1:18" x14ac:dyDescent="0.2">
      <c r="A325" s="3">
        <v>324</v>
      </c>
      <c r="B325" s="3" t="s">
        <v>1080</v>
      </c>
      <c r="C325" s="3" t="s">
        <v>1473</v>
      </c>
      <c r="D325" s="3" t="str">
        <f>VLOOKUP(C325,layoffs_location!A:B,2,FALSE)</f>
        <v>San Francisco Bay Area</v>
      </c>
      <c r="E325" s="3" t="str">
        <f>VLOOKUP(C325,layoffs_location!A:C,3,FALSE)</f>
        <v>California</v>
      </c>
      <c r="F325" s="3" t="str">
        <f>VLOOKUP(C325,layoffs_location!A:D,4,FALSE)</f>
        <v>USA</v>
      </c>
      <c r="G325" s="3" t="str">
        <f>VLOOKUP(C325,layoffs_location!A:E,5,FALSE)</f>
        <v>North America</v>
      </c>
      <c r="H325" s="3">
        <v>30</v>
      </c>
      <c r="I325" s="8">
        <v>44083</v>
      </c>
      <c r="J325" s="9">
        <v>5</v>
      </c>
      <c r="K325" s="10">
        <v>600</v>
      </c>
      <c r="L325" s="10">
        <v>570</v>
      </c>
      <c r="M325" s="3" t="s">
        <v>32</v>
      </c>
      <c r="N325" s="3" t="s">
        <v>33</v>
      </c>
      <c r="O325" s="34">
        <v>67</v>
      </c>
      <c r="P325" s="3">
        <v>2020</v>
      </c>
      <c r="Q325" s="3">
        <f>VLOOKUP(C325,layoffs_location!A:F,6,FALSE)</f>
        <v>37.4443293</v>
      </c>
      <c r="R325" s="3">
        <f>VLOOKUP(C325,layoffs_location!A:G,7,FALSE)</f>
        <v>-122.1598465</v>
      </c>
    </row>
    <row r="326" spans="1:18" x14ac:dyDescent="0.2">
      <c r="A326" s="3">
        <v>325</v>
      </c>
      <c r="B326" s="3" t="s">
        <v>1078</v>
      </c>
      <c r="C326" s="3" t="s">
        <v>1079</v>
      </c>
      <c r="D326" s="3" t="str">
        <f>VLOOKUP(C326,layoffs_location!A:B,2,FALSE)</f>
        <v>other</v>
      </c>
      <c r="E326" s="3" t="str">
        <f>VLOOKUP(C326,layoffs_location!A:C,3,FALSE)</f>
        <v>Nevada</v>
      </c>
      <c r="F326" s="3" t="str">
        <f>VLOOKUP(C326,layoffs_location!A:D,4,FALSE)</f>
        <v>USA</v>
      </c>
      <c r="G326" s="3" t="str">
        <f>VLOOKUP(C326,layoffs_location!A:E,5,FALSE)</f>
        <v>North America</v>
      </c>
      <c r="H326" s="3">
        <v>240</v>
      </c>
      <c r="I326" s="8">
        <v>44085</v>
      </c>
      <c r="J326" s="9">
        <v>95</v>
      </c>
      <c r="K326" s="10">
        <v>253</v>
      </c>
      <c r="L326" s="10">
        <v>13</v>
      </c>
      <c r="M326" s="3" t="s">
        <v>79</v>
      </c>
      <c r="N326" s="3" t="s">
        <v>69</v>
      </c>
      <c r="O326" s="34">
        <v>158</v>
      </c>
      <c r="P326" s="3">
        <v>2020</v>
      </c>
      <c r="Q326" s="3">
        <f>VLOOKUP(C326,layoffs_location!A:F,6,FALSE)</f>
        <v>36.167255900000001</v>
      </c>
      <c r="R326" s="3">
        <f>VLOOKUP(C326,layoffs_location!A:G,7,FALSE)</f>
        <v>-115.148516</v>
      </c>
    </row>
    <row r="327" spans="1:18" x14ac:dyDescent="0.2">
      <c r="A327" s="3">
        <v>326</v>
      </c>
      <c r="B327" s="3" t="s">
        <v>1077</v>
      </c>
      <c r="C327" s="3" t="s">
        <v>1370</v>
      </c>
      <c r="D327" s="3" t="str">
        <f>VLOOKUP(C327,layoffs_location!A:B,2,FALSE)</f>
        <v>San Francisco Bay Area</v>
      </c>
      <c r="E327" s="3" t="str">
        <f>VLOOKUP(C327,layoffs_location!A:C,3,FALSE)</f>
        <v>California</v>
      </c>
      <c r="F327" s="3" t="str">
        <f>VLOOKUP(C327,layoffs_location!A:D,4,FALSE)</f>
        <v>USA</v>
      </c>
      <c r="G327" s="3" t="str">
        <f>VLOOKUP(C327,layoffs_location!A:E,5,FALSE)</f>
        <v>North America</v>
      </c>
      <c r="H327" s="3">
        <v>47</v>
      </c>
      <c r="I327" s="8">
        <v>44103</v>
      </c>
      <c r="J327" s="9">
        <v>6</v>
      </c>
      <c r="K327" s="10">
        <v>783</v>
      </c>
      <c r="L327" s="10">
        <v>736</v>
      </c>
      <c r="M327" s="3" t="s">
        <v>21</v>
      </c>
      <c r="N327" s="3" t="s">
        <v>108</v>
      </c>
      <c r="O327" s="34">
        <v>356</v>
      </c>
      <c r="P327" s="3">
        <v>2020</v>
      </c>
      <c r="Q327" s="3">
        <f>VLOOKUP(C327,layoffs_location!A:F,6,FALSE)</f>
        <v>37.779258800000001</v>
      </c>
      <c r="R327" s="3">
        <f>VLOOKUP(C327,layoffs_location!A:G,7,FALSE)</f>
        <v>-122.4193286</v>
      </c>
    </row>
    <row r="328" spans="1:18" x14ac:dyDescent="0.2">
      <c r="A328" s="3">
        <v>327</v>
      </c>
      <c r="B328" s="3" t="s">
        <v>1076</v>
      </c>
      <c r="C328" s="3" t="s">
        <v>135</v>
      </c>
      <c r="D328" s="3" t="str">
        <f>VLOOKUP(C328,layoffs_location!A:B,2,FALSE)</f>
        <v>other</v>
      </c>
      <c r="E328" s="3" t="str">
        <f>VLOOKUP(C328,layoffs_location!A:C,3,FALSE)</f>
        <v>Berlin</v>
      </c>
      <c r="F328" s="3" t="str">
        <f>VLOOKUP(C328,layoffs_location!A:D,4,FALSE)</f>
        <v>Germany</v>
      </c>
      <c r="G328" s="3" t="str">
        <f>VLOOKUP(C328,layoffs_location!A:E,5,FALSE)</f>
        <v>Europe</v>
      </c>
      <c r="H328" s="3">
        <v>90</v>
      </c>
      <c r="I328" s="8">
        <v>44118</v>
      </c>
      <c r="J328" s="9">
        <v>17</v>
      </c>
      <c r="K328" s="10">
        <v>529</v>
      </c>
      <c r="L328" s="10">
        <v>439</v>
      </c>
      <c r="M328" s="3" t="s">
        <v>72</v>
      </c>
      <c r="N328" s="3" t="s">
        <v>36</v>
      </c>
      <c r="O328" s="34">
        <v>656</v>
      </c>
      <c r="P328" s="3">
        <v>2020</v>
      </c>
      <c r="Q328" s="3">
        <f>VLOOKUP(C328,layoffs_location!A:F,6,FALSE)</f>
        <v>52.517036500000003</v>
      </c>
      <c r="R328" s="3">
        <f>VLOOKUP(C328,layoffs_location!A:G,7,FALSE)</f>
        <v>13.3888599</v>
      </c>
    </row>
    <row r="329" spans="1:18" x14ac:dyDescent="0.2">
      <c r="A329" s="3">
        <v>328</v>
      </c>
      <c r="B329" s="3" t="s">
        <v>1075</v>
      </c>
      <c r="C329" s="3" t="s">
        <v>39</v>
      </c>
      <c r="D329" s="3" t="str">
        <f>VLOOKUP(C329,layoffs_location!A:B,2,FALSE)</f>
        <v>New York</v>
      </c>
      <c r="E329" s="3" t="str">
        <f>VLOOKUP(C329,layoffs_location!A:C,3,FALSE)</f>
        <v>New York</v>
      </c>
      <c r="F329" s="3" t="str">
        <f>VLOOKUP(C329,layoffs_location!A:D,4,FALSE)</f>
        <v>USA</v>
      </c>
      <c r="G329" s="3" t="str">
        <f>VLOOKUP(C329,layoffs_location!A:E,5,FALSE)</f>
        <v>North America</v>
      </c>
      <c r="H329" s="3">
        <v>20</v>
      </c>
      <c r="I329" s="8">
        <v>44133</v>
      </c>
      <c r="J329" s="9">
        <v>8</v>
      </c>
      <c r="K329" s="10">
        <v>250</v>
      </c>
      <c r="L329" s="10">
        <v>230</v>
      </c>
      <c r="M329" s="3" t="s">
        <v>137</v>
      </c>
      <c r="N329" s="3" t="s">
        <v>41</v>
      </c>
      <c r="O329" s="34">
        <v>560</v>
      </c>
      <c r="P329" s="3">
        <v>2020</v>
      </c>
      <c r="Q329" s="3">
        <f>VLOOKUP(C329,layoffs_location!A:F,6,FALSE)</f>
        <v>40.7127281</v>
      </c>
      <c r="R329" s="3">
        <f>VLOOKUP(C329,layoffs_location!A:G,7,FALSE)</f>
        <v>-74.006015199999993</v>
      </c>
    </row>
    <row r="330" spans="1:18" x14ac:dyDescent="0.2">
      <c r="A330" s="3">
        <v>329</v>
      </c>
      <c r="B330" s="3" t="s">
        <v>1074</v>
      </c>
      <c r="C330" s="3" t="s">
        <v>83</v>
      </c>
      <c r="D330" s="3" t="str">
        <f>VLOOKUP(C330,layoffs_location!A:B,2,FALSE)</f>
        <v>other</v>
      </c>
      <c r="E330" s="3" t="str">
        <f>VLOOKUP(C330,layoffs_location!A:C,3,FALSE)</f>
        <v>Texas</v>
      </c>
      <c r="F330" s="3" t="str">
        <f>VLOOKUP(C330,layoffs_location!A:D,4,FALSE)</f>
        <v>USA</v>
      </c>
      <c r="G330" s="3" t="str">
        <f>VLOOKUP(C330,layoffs_location!A:E,5,FALSE)</f>
        <v>North America</v>
      </c>
      <c r="H330" s="3">
        <v>30</v>
      </c>
      <c r="I330" s="8">
        <v>44144</v>
      </c>
      <c r="J330" s="9">
        <v>50</v>
      </c>
      <c r="K330" s="10">
        <v>60</v>
      </c>
      <c r="L330" s="10">
        <v>30</v>
      </c>
      <c r="M330" s="3" t="s">
        <v>30</v>
      </c>
      <c r="N330" s="3" t="s">
        <v>22</v>
      </c>
      <c r="O330" s="34">
        <v>4</v>
      </c>
      <c r="P330" s="3">
        <v>2020</v>
      </c>
      <c r="Q330" s="3">
        <f>VLOOKUP(C330,layoffs_location!A:F,6,FALSE)</f>
        <v>30.271128600000001</v>
      </c>
      <c r="R330" s="3">
        <f>VLOOKUP(C330,layoffs_location!A:G,7,FALSE)</f>
        <v>-97.743699500000005</v>
      </c>
    </row>
    <row r="331" spans="1:18" x14ac:dyDescent="0.2">
      <c r="A331" s="3">
        <v>330</v>
      </c>
      <c r="B331" s="3" t="s">
        <v>1073</v>
      </c>
      <c r="C331" s="3" t="s">
        <v>562</v>
      </c>
      <c r="D331" s="3" t="str">
        <f>VLOOKUP(C331,layoffs_location!A:B,2,FALSE)</f>
        <v>other</v>
      </c>
      <c r="E331" s="3" t="str">
        <f>VLOOKUP(C331,layoffs_location!A:C,3,FALSE)</f>
        <v>Tennessee</v>
      </c>
      <c r="F331" s="3" t="str">
        <f>VLOOKUP(C331,layoffs_location!A:D,4,FALSE)</f>
        <v>USA</v>
      </c>
      <c r="G331" s="3" t="str">
        <f>VLOOKUP(C331,layoffs_location!A:E,5,FALSE)</f>
        <v>North America</v>
      </c>
      <c r="H331" s="3">
        <v>154</v>
      </c>
      <c r="I331" s="8">
        <v>44152</v>
      </c>
      <c r="J331" s="9">
        <v>100</v>
      </c>
      <c r="K331" s="10">
        <v>154</v>
      </c>
      <c r="L331" s="10">
        <v>0</v>
      </c>
      <c r="M331" s="3" t="s">
        <v>21</v>
      </c>
      <c r="N331" s="3" t="s">
        <v>49</v>
      </c>
      <c r="O331" s="34">
        <v>45</v>
      </c>
      <c r="P331" s="3">
        <v>2020</v>
      </c>
      <c r="Q331" s="3">
        <f>VLOOKUP(C331,layoffs_location!A:F,6,FALSE)</f>
        <v>36.1622767</v>
      </c>
      <c r="R331" s="3">
        <f>VLOOKUP(C331,layoffs_location!A:G,7,FALSE)</f>
        <v>-86.774298400000006</v>
      </c>
    </row>
    <row r="332" spans="1:18" x14ac:dyDescent="0.2">
      <c r="A332" s="3">
        <v>331</v>
      </c>
      <c r="B332" s="3" t="s">
        <v>1072</v>
      </c>
      <c r="C332" s="3" t="s">
        <v>179</v>
      </c>
      <c r="D332" s="3" t="str">
        <f>VLOOKUP(C332,layoffs_location!A:B,2,FALSE)</f>
        <v>other</v>
      </c>
      <c r="E332" s="3" t="str">
        <f>VLOOKUP(C332,layoffs_location!A:C,3,FALSE)</f>
        <v>Ontario</v>
      </c>
      <c r="F332" s="3" t="str">
        <f>VLOOKUP(C332,layoffs_location!A:D,4,FALSE)</f>
        <v>Canada</v>
      </c>
      <c r="G332" s="3" t="str">
        <f>VLOOKUP(C332,layoffs_location!A:E,5,FALSE)</f>
        <v>North America</v>
      </c>
      <c r="H332" s="3">
        <v>5</v>
      </c>
      <c r="I332" s="8">
        <v>44154</v>
      </c>
      <c r="J332" s="9">
        <v>25</v>
      </c>
      <c r="K332" s="10">
        <v>20</v>
      </c>
      <c r="L332" s="10">
        <v>15</v>
      </c>
      <c r="M332" s="3" t="s">
        <v>35</v>
      </c>
      <c r="N332" s="3" t="s">
        <v>147</v>
      </c>
      <c r="O332" s="34">
        <v>3</v>
      </c>
      <c r="P332" s="3">
        <v>2020</v>
      </c>
      <c r="Q332" s="3">
        <f>VLOOKUP(C332,layoffs_location!A:F,6,FALSE)</f>
        <v>43.6534817</v>
      </c>
      <c r="R332" s="3">
        <f>VLOOKUP(C332,layoffs_location!A:G,7,FALSE)</f>
        <v>-79.383934699999998</v>
      </c>
    </row>
    <row r="333" spans="1:18" x14ac:dyDescent="0.2">
      <c r="A333" s="3">
        <v>332</v>
      </c>
      <c r="B333" s="3" t="s">
        <v>1071</v>
      </c>
      <c r="C333" s="3" t="s">
        <v>115</v>
      </c>
      <c r="D333" s="3" t="str">
        <f>VLOOKUP(C333,layoffs_location!A:B,2,FALSE)</f>
        <v>other</v>
      </c>
      <c r="E333" s="3" t="str">
        <f>VLOOKUP(C333,layoffs_location!A:C,3,FALSE)</f>
        <v>Quebec</v>
      </c>
      <c r="F333" s="3" t="str">
        <f>VLOOKUP(C333,layoffs_location!A:D,4,FALSE)</f>
        <v>Canada</v>
      </c>
      <c r="G333" s="3" t="str">
        <f>VLOOKUP(C333,layoffs_location!A:E,5,FALSE)</f>
        <v>North America</v>
      </c>
      <c r="H333" s="3">
        <v>120</v>
      </c>
      <c r="I333" s="8">
        <v>44181</v>
      </c>
      <c r="J333" s="9">
        <v>80</v>
      </c>
      <c r="K333" s="10">
        <v>150</v>
      </c>
      <c r="L333" s="10">
        <v>30</v>
      </c>
      <c r="M333" s="3" t="s">
        <v>137</v>
      </c>
      <c r="N333" s="3" t="s">
        <v>108</v>
      </c>
      <c r="O333" s="34">
        <v>131</v>
      </c>
      <c r="P333" s="3">
        <v>2020</v>
      </c>
      <c r="Q333" s="3">
        <f>VLOOKUP(C333,layoffs_location!A:F,6,FALSE)</f>
        <v>45.5031824</v>
      </c>
      <c r="R333" s="3">
        <f>VLOOKUP(C333,layoffs_location!A:G,7,FALSE)</f>
        <v>-73.569806499999999</v>
      </c>
    </row>
    <row r="334" spans="1:18" x14ac:dyDescent="0.2">
      <c r="A334" s="3">
        <v>333</v>
      </c>
      <c r="B334" s="3" t="s">
        <v>316</v>
      </c>
      <c r="C334" s="3" t="s">
        <v>1370</v>
      </c>
      <c r="D334" s="3" t="str">
        <f>VLOOKUP(C334,layoffs_location!A:B,2,FALSE)</f>
        <v>San Francisco Bay Area</v>
      </c>
      <c r="E334" s="3" t="str">
        <f>VLOOKUP(C334,layoffs_location!A:C,3,FALSE)</f>
        <v>California</v>
      </c>
      <c r="F334" s="3" t="str">
        <f>VLOOKUP(C334,layoffs_location!A:D,4,FALSE)</f>
        <v>USA</v>
      </c>
      <c r="G334" s="3" t="str">
        <f>VLOOKUP(C334,layoffs_location!A:E,5,FALSE)</f>
        <v>North America</v>
      </c>
      <c r="H334" s="3">
        <v>315</v>
      </c>
      <c r="I334" s="8">
        <v>44209</v>
      </c>
      <c r="J334" s="9">
        <v>15</v>
      </c>
      <c r="K334" s="10">
        <v>2100</v>
      </c>
      <c r="L334" s="10">
        <v>1785</v>
      </c>
      <c r="M334" s="3" t="s">
        <v>60</v>
      </c>
      <c r="N334" s="3" t="s">
        <v>28</v>
      </c>
      <c r="O334" s="34">
        <v>1700</v>
      </c>
      <c r="P334" s="3">
        <v>2021</v>
      </c>
      <c r="Q334" s="3">
        <f>VLOOKUP(C334,layoffs_location!A:F,6,FALSE)</f>
        <v>37.779258800000001</v>
      </c>
      <c r="R334" s="3">
        <f>VLOOKUP(C334,layoffs_location!A:G,7,FALSE)</f>
        <v>-122.4193286</v>
      </c>
    </row>
    <row r="335" spans="1:18" x14ac:dyDescent="0.2">
      <c r="A335" s="3">
        <v>334</v>
      </c>
      <c r="B335" s="3" t="s">
        <v>1070</v>
      </c>
      <c r="C335" s="3" t="s">
        <v>244</v>
      </c>
      <c r="D335" s="3" t="str">
        <f>VLOOKUP(C335,layoffs_location!A:B,2,FALSE)</f>
        <v>other</v>
      </c>
      <c r="E335" s="3" t="str">
        <f>VLOOKUP(C335,layoffs_location!A:C,3,FALSE)</f>
        <v>non</v>
      </c>
      <c r="F335" s="3" t="str">
        <f>VLOOKUP(C335,layoffs_location!A:D,4,FALSE)</f>
        <v>Singapore</v>
      </c>
      <c r="G335" s="3" t="str">
        <f>VLOOKUP(C335,layoffs_location!A:E,5,FALSE)</f>
        <v>Asia</v>
      </c>
      <c r="H335" s="3">
        <v>21</v>
      </c>
      <c r="I335" s="8">
        <v>44216</v>
      </c>
      <c r="J335" s="9">
        <v>100</v>
      </c>
      <c r="K335" s="10">
        <v>21</v>
      </c>
      <c r="L335" s="10">
        <v>0</v>
      </c>
      <c r="M335" s="3" t="s">
        <v>130</v>
      </c>
      <c r="N335" s="3" t="s">
        <v>22</v>
      </c>
      <c r="O335" s="34">
        <v>20</v>
      </c>
      <c r="P335" s="3">
        <v>2021</v>
      </c>
      <c r="Q335" s="3">
        <f>VLOOKUP(C335,layoffs_location!A:F,6,FALSE)</f>
        <v>1.2899175000000001</v>
      </c>
      <c r="R335" s="3">
        <f>VLOOKUP(C335,layoffs_location!A:G,7,FALSE)</f>
        <v>103.8519072</v>
      </c>
    </row>
    <row r="336" spans="1:18" ht="16" x14ac:dyDescent="0.2">
      <c r="A336" s="3">
        <v>335</v>
      </c>
      <c r="B336" s="3" t="s">
        <v>1069</v>
      </c>
      <c r="C336" s="11" t="s">
        <v>1370</v>
      </c>
      <c r="D336" s="3" t="str">
        <f>VLOOKUP(C336,layoffs_location!A:B,2,FALSE)</f>
        <v>San Francisco Bay Area</v>
      </c>
      <c r="E336" s="3" t="str">
        <f>VLOOKUP(C336,layoffs_location!A:C,3,FALSE)</f>
        <v>California</v>
      </c>
      <c r="F336" s="3" t="str">
        <f>VLOOKUP(C336,layoffs_location!A:D,4,FALSE)</f>
        <v>USA</v>
      </c>
      <c r="G336" s="3" t="str">
        <f>VLOOKUP(C336,layoffs_location!A:E,5,FALSE)</f>
        <v>North America</v>
      </c>
      <c r="H336" s="3">
        <v>180</v>
      </c>
      <c r="I336" s="8">
        <v>44219</v>
      </c>
      <c r="J336" s="9">
        <v>15</v>
      </c>
      <c r="K336" s="10">
        <v>1200</v>
      </c>
      <c r="L336" s="10">
        <v>1020</v>
      </c>
      <c r="M336" s="3" t="s">
        <v>77</v>
      </c>
      <c r="N336" s="3" t="s">
        <v>33</v>
      </c>
      <c r="O336" s="34">
        <v>763</v>
      </c>
      <c r="P336" s="3">
        <v>2021</v>
      </c>
      <c r="Q336" s="3">
        <f>VLOOKUP(C336,layoffs_location!A:F,6,FALSE)</f>
        <v>37.779258800000001</v>
      </c>
      <c r="R336" s="3">
        <f>VLOOKUP(C336,layoffs_location!A:G,7,FALSE)</f>
        <v>-122.4193286</v>
      </c>
    </row>
    <row r="337" spans="1:18" x14ac:dyDescent="0.2">
      <c r="A337" s="3">
        <v>336</v>
      </c>
      <c r="B337" s="3" t="s">
        <v>1068</v>
      </c>
      <c r="C337" s="3" t="s">
        <v>179</v>
      </c>
      <c r="D337" s="3" t="str">
        <f>VLOOKUP(C337,layoffs_location!A:B,2,FALSE)</f>
        <v>other</v>
      </c>
      <c r="E337" s="3" t="str">
        <f>VLOOKUP(C337,layoffs_location!A:C,3,FALSE)</f>
        <v>Ontario</v>
      </c>
      <c r="F337" s="3" t="str">
        <f>VLOOKUP(C337,layoffs_location!A:D,4,FALSE)</f>
        <v>Canada</v>
      </c>
      <c r="G337" s="3" t="str">
        <f>VLOOKUP(C337,layoffs_location!A:E,5,FALSE)</f>
        <v>North America</v>
      </c>
      <c r="H337" s="3">
        <v>45</v>
      </c>
      <c r="I337" s="8">
        <v>44228</v>
      </c>
      <c r="J337" s="9">
        <v>100</v>
      </c>
      <c r="K337" s="10">
        <v>45</v>
      </c>
      <c r="L337" s="10">
        <v>0</v>
      </c>
      <c r="M337" s="3" t="s">
        <v>30</v>
      </c>
      <c r="N337" s="3" t="s">
        <v>49</v>
      </c>
      <c r="O337" s="34">
        <v>61</v>
      </c>
      <c r="P337" s="3">
        <v>2021</v>
      </c>
      <c r="Q337" s="3">
        <f>VLOOKUP(C337,layoffs_location!A:F,6,FALSE)</f>
        <v>43.6534817</v>
      </c>
      <c r="R337" s="3">
        <f>VLOOKUP(C337,layoffs_location!A:G,7,FALSE)</f>
        <v>-79.383934699999998</v>
      </c>
    </row>
    <row r="338" spans="1:18" x14ac:dyDescent="0.2">
      <c r="A338" s="3">
        <v>337</v>
      </c>
      <c r="B338" s="3" t="s">
        <v>1067</v>
      </c>
      <c r="C338" s="3" t="s">
        <v>135</v>
      </c>
      <c r="D338" s="3" t="str">
        <f>VLOOKUP(C338,layoffs_location!A:B,2,FALSE)</f>
        <v>other</v>
      </c>
      <c r="E338" s="3" t="str">
        <f>VLOOKUP(C338,layoffs_location!A:C,3,FALSE)</f>
        <v>Berlin</v>
      </c>
      <c r="F338" s="3" t="str">
        <f>VLOOKUP(C338,layoffs_location!A:D,4,FALSE)</f>
        <v>Germany</v>
      </c>
      <c r="G338" s="3" t="str">
        <f>VLOOKUP(C338,layoffs_location!A:E,5,FALSE)</f>
        <v>Europe</v>
      </c>
      <c r="H338" s="3">
        <v>87</v>
      </c>
      <c r="I338" s="8">
        <v>44230</v>
      </c>
      <c r="J338" s="9">
        <v>20</v>
      </c>
      <c r="K338" s="10">
        <v>435</v>
      </c>
      <c r="L338" s="10">
        <v>348</v>
      </c>
      <c r="M338" s="3" t="s">
        <v>77</v>
      </c>
      <c r="N338" s="3" t="s">
        <v>33</v>
      </c>
      <c r="O338" s="34">
        <v>39</v>
      </c>
      <c r="P338" s="3">
        <v>2021</v>
      </c>
      <c r="Q338" s="3">
        <f>VLOOKUP(C338,layoffs_location!A:F,6,FALSE)</f>
        <v>52.517036500000003</v>
      </c>
      <c r="R338" s="3">
        <f>VLOOKUP(C338,layoffs_location!A:G,7,FALSE)</f>
        <v>13.3888599</v>
      </c>
    </row>
    <row r="339" spans="1:18" x14ac:dyDescent="0.2">
      <c r="A339" s="3">
        <v>338</v>
      </c>
      <c r="B339" s="3" t="s">
        <v>570</v>
      </c>
      <c r="C339" s="3" t="s">
        <v>13</v>
      </c>
      <c r="D339" s="3" t="str">
        <f>VLOOKUP(C339,layoffs_location!A:B,2,FALSE)</f>
        <v>other</v>
      </c>
      <c r="E339" s="3" t="str">
        <f>VLOOKUP(C339,layoffs_location!A:C,3,FALSE)</f>
        <v>Karnataka</v>
      </c>
      <c r="F339" s="3" t="str">
        <f>VLOOKUP(C339,layoffs_location!A:D,4,FALSE)</f>
        <v>India</v>
      </c>
      <c r="G339" s="3" t="str">
        <f>VLOOKUP(C339,layoffs_location!A:E,5,FALSE)</f>
        <v>Asia</v>
      </c>
      <c r="H339" s="3">
        <v>200</v>
      </c>
      <c r="I339" s="8">
        <v>44249</v>
      </c>
      <c r="J339" s="9">
        <v>40</v>
      </c>
      <c r="K339" s="10">
        <v>500</v>
      </c>
      <c r="L339" s="10">
        <v>300</v>
      </c>
      <c r="M339" s="3" t="s">
        <v>32</v>
      </c>
      <c r="N339" s="3" t="s">
        <v>108</v>
      </c>
      <c r="O339" s="34">
        <v>214</v>
      </c>
      <c r="P339" s="3">
        <v>2021</v>
      </c>
      <c r="Q339" s="3">
        <f>VLOOKUP(C339,layoffs_location!A:F,6,FALSE)</f>
        <v>12.98815675</v>
      </c>
      <c r="R339" s="3">
        <f>VLOOKUP(C339,layoffs_location!A:G,7,FALSE)</f>
        <v>77.622600037959998</v>
      </c>
    </row>
    <row r="340" spans="1:18" ht="16" x14ac:dyDescent="0.2">
      <c r="A340" s="3">
        <v>339</v>
      </c>
      <c r="B340" s="3" t="s">
        <v>238</v>
      </c>
      <c r="C340" s="11" t="s">
        <v>1370</v>
      </c>
      <c r="D340" s="3" t="str">
        <f>VLOOKUP(C340,layoffs_location!A:B,2,FALSE)</f>
        <v>San Francisco Bay Area</v>
      </c>
      <c r="E340" s="3" t="str">
        <f>VLOOKUP(C340,layoffs_location!A:C,3,FALSE)</f>
        <v>California</v>
      </c>
      <c r="F340" s="3" t="str">
        <f>VLOOKUP(C340,layoffs_location!A:D,4,FALSE)</f>
        <v>USA</v>
      </c>
      <c r="G340" s="3" t="str">
        <f>VLOOKUP(C340,layoffs_location!A:E,5,FALSE)</f>
        <v>North America</v>
      </c>
      <c r="H340" s="3">
        <v>160</v>
      </c>
      <c r="I340" s="8">
        <v>44292</v>
      </c>
      <c r="J340" s="9">
        <v>7</v>
      </c>
      <c r="K340" s="10">
        <v>2286</v>
      </c>
      <c r="L340" s="10">
        <v>2126</v>
      </c>
      <c r="M340" s="3" t="s">
        <v>239</v>
      </c>
      <c r="N340" s="3" t="s">
        <v>28</v>
      </c>
      <c r="O340" s="34">
        <v>215</v>
      </c>
      <c r="P340" s="3">
        <v>2021</v>
      </c>
      <c r="Q340" s="3">
        <f>VLOOKUP(C340,layoffs_location!A:F,6,FALSE)</f>
        <v>37.779258800000001</v>
      </c>
      <c r="R340" s="3">
        <f>VLOOKUP(C340,layoffs_location!A:G,7,FALSE)</f>
        <v>-122.4193286</v>
      </c>
    </row>
    <row r="341" spans="1:18" x14ac:dyDescent="0.2">
      <c r="A341" s="3">
        <v>340</v>
      </c>
      <c r="B341" s="3" t="s">
        <v>1066</v>
      </c>
      <c r="C341" s="3" t="s">
        <v>1443</v>
      </c>
      <c r="D341" s="3" t="str">
        <f>VLOOKUP(C341,layoffs_location!A:B,2,FALSE)</f>
        <v>San Francisco Bay Area</v>
      </c>
      <c r="E341" s="3" t="str">
        <f>VLOOKUP(C341,layoffs_location!A:C,3,FALSE)</f>
        <v>California</v>
      </c>
      <c r="F341" s="3" t="str">
        <f>VLOOKUP(C341,layoffs_location!A:D,4,FALSE)</f>
        <v>USA</v>
      </c>
      <c r="G341" s="3" t="str">
        <f>VLOOKUP(C341,layoffs_location!A:E,5,FALSE)</f>
        <v>North America</v>
      </c>
      <c r="H341" s="3">
        <v>2434</v>
      </c>
      <c r="I341" s="8">
        <v>44348</v>
      </c>
      <c r="J341" s="9">
        <v>100</v>
      </c>
      <c r="K341" s="10">
        <v>2434</v>
      </c>
      <c r="L341" s="10">
        <v>0</v>
      </c>
      <c r="M341" s="3" t="s">
        <v>622</v>
      </c>
      <c r="N341" s="3" t="s">
        <v>22</v>
      </c>
      <c r="O341" s="34">
        <v>1600</v>
      </c>
      <c r="P341" s="3">
        <v>2021</v>
      </c>
      <c r="Q341" s="3">
        <f>VLOOKUP(C341,layoffs_location!A:F,6,FALSE)</f>
        <v>37.451967099999997</v>
      </c>
      <c r="R341" s="3">
        <f>VLOOKUP(C341,layoffs_location!A:G,7,FALSE)</f>
        <v>-122.177992</v>
      </c>
    </row>
    <row r="342" spans="1:18" x14ac:dyDescent="0.2">
      <c r="A342" s="3">
        <v>341</v>
      </c>
      <c r="B342" s="3" t="s">
        <v>1065</v>
      </c>
      <c r="C342" s="63" t="s">
        <v>1370</v>
      </c>
      <c r="D342" s="3" t="str">
        <f>VLOOKUP(C342,layoffs_location!A:B,2,FALSE)</f>
        <v>San Francisco Bay Area</v>
      </c>
      <c r="E342" s="3" t="str">
        <f>VLOOKUP(C342,layoffs_location!A:C,3,FALSE)</f>
        <v>California</v>
      </c>
      <c r="F342" s="3" t="str">
        <f>VLOOKUP(C342,layoffs_location!A:D,4,FALSE)</f>
        <v>USA</v>
      </c>
      <c r="G342" s="3" t="str">
        <f>VLOOKUP(C342,layoffs_location!A:E,5,FALSE)</f>
        <v>North America</v>
      </c>
      <c r="H342" s="3">
        <v>37</v>
      </c>
      <c r="I342" s="8">
        <v>44432</v>
      </c>
      <c r="J342" s="9">
        <v>50</v>
      </c>
      <c r="K342" s="10">
        <v>74</v>
      </c>
      <c r="L342" s="10">
        <v>37</v>
      </c>
      <c r="M342" s="3" t="s">
        <v>68</v>
      </c>
      <c r="N342" s="3" t="s">
        <v>69</v>
      </c>
      <c r="O342" s="34">
        <v>14</v>
      </c>
      <c r="P342" s="3">
        <v>2021</v>
      </c>
      <c r="Q342" s="3">
        <f>VLOOKUP(C342,layoffs_location!A:F,6,FALSE)</f>
        <v>37.779258800000001</v>
      </c>
      <c r="R342" s="3">
        <f>VLOOKUP(C342,layoffs_location!A:G,7,FALSE)</f>
        <v>-122.4193286</v>
      </c>
    </row>
    <row r="343" spans="1:18" x14ac:dyDescent="0.2">
      <c r="A343" s="3">
        <v>342</v>
      </c>
      <c r="B343" s="3" t="s">
        <v>1064</v>
      </c>
      <c r="C343" s="3" t="s">
        <v>145</v>
      </c>
      <c r="D343" s="3" t="str">
        <f>VLOOKUP(C343,layoffs_location!A:B,2,FALSE)</f>
        <v>Cascadia</v>
      </c>
      <c r="E343" s="3" t="str">
        <f>VLOOKUP(C343,layoffs_location!A:C,3,FALSE)</f>
        <v>Oregon</v>
      </c>
      <c r="F343" s="3" t="str">
        <f>VLOOKUP(C343,layoffs_location!A:D,4,FALSE)</f>
        <v>USA</v>
      </c>
      <c r="G343" s="3" t="str">
        <f>VLOOKUP(C343,layoffs_location!A:E,5,FALSE)</f>
        <v>North America</v>
      </c>
      <c r="H343" s="3">
        <v>41</v>
      </c>
      <c r="I343" s="8">
        <v>44453</v>
      </c>
      <c r="J343" s="9">
        <v>90</v>
      </c>
      <c r="K343" s="10">
        <v>46</v>
      </c>
      <c r="L343" s="10">
        <v>5</v>
      </c>
      <c r="M343" s="3" t="s">
        <v>68</v>
      </c>
      <c r="N343" s="3" t="s">
        <v>49</v>
      </c>
      <c r="O343" s="34">
        <v>12</v>
      </c>
      <c r="P343" s="3">
        <v>2021</v>
      </c>
      <c r="Q343" s="3">
        <f>VLOOKUP(C343,layoffs_location!A:F,6,FALSE)</f>
        <v>45.520247099999999</v>
      </c>
      <c r="R343" s="3">
        <f>VLOOKUP(C343,layoffs_location!A:G,7,FALSE)</f>
        <v>-122.674194</v>
      </c>
    </row>
    <row r="344" spans="1:18" x14ac:dyDescent="0.2">
      <c r="A344" s="3">
        <v>343</v>
      </c>
      <c r="B344" s="3" t="s">
        <v>735</v>
      </c>
      <c r="C344" s="3" t="s">
        <v>43</v>
      </c>
      <c r="D344" s="3" t="str">
        <f>VLOOKUP(C344,layoffs_location!A:B,2,FALSE)</f>
        <v>Cascadia</v>
      </c>
      <c r="E344" s="3" t="str">
        <f>VLOOKUP(C344,layoffs_location!A:C,3,FALSE)</f>
        <v>Washington</v>
      </c>
      <c r="F344" s="3" t="str">
        <f>VLOOKUP(C344,layoffs_location!A:D,4,FALSE)</f>
        <v>USA</v>
      </c>
      <c r="G344" s="3" t="str">
        <f>VLOOKUP(C344,layoffs_location!A:E,5,FALSE)</f>
        <v>North America</v>
      </c>
      <c r="H344" s="3">
        <v>2000</v>
      </c>
      <c r="I344" s="8">
        <v>44502</v>
      </c>
      <c r="J344" s="9">
        <v>25</v>
      </c>
      <c r="K344" s="10">
        <v>8000</v>
      </c>
      <c r="L344" s="10">
        <v>6000</v>
      </c>
      <c r="M344" s="3" t="s">
        <v>137</v>
      </c>
      <c r="N344" s="3" t="s">
        <v>28</v>
      </c>
      <c r="O344" s="34">
        <v>97</v>
      </c>
      <c r="P344" s="3">
        <v>2021</v>
      </c>
      <c r="Q344" s="3">
        <f>VLOOKUP(C344,layoffs_location!A:F,6,FALSE)</f>
        <v>47.603832099999998</v>
      </c>
      <c r="R344" s="3">
        <f>VLOOKUP(C344,layoffs_location!A:G,7,FALSE)</f>
        <v>-122.330062</v>
      </c>
    </row>
    <row r="345" spans="1:18" x14ac:dyDescent="0.2">
      <c r="A345" s="3">
        <v>344</v>
      </c>
      <c r="B345" s="3" t="s">
        <v>1063</v>
      </c>
      <c r="C345" s="3" t="s">
        <v>43</v>
      </c>
      <c r="D345" s="3" t="str">
        <f>VLOOKUP(C345,layoffs_location!A:B,2,FALSE)</f>
        <v>Cascadia</v>
      </c>
      <c r="E345" s="3" t="str">
        <f>VLOOKUP(C345,layoffs_location!A:C,3,FALSE)</f>
        <v>Washington</v>
      </c>
      <c r="F345" s="3" t="str">
        <f>VLOOKUP(C345,layoffs_location!A:D,4,FALSE)</f>
        <v>USA</v>
      </c>
      <c r="G345" s="3" t="str">
        <f>VLOOKUP(C345,layoffs_location!A:E,5,FALSE)</f>
        <v>North America</v>
      </c>
      <c r="H345" s="3">
        <v>70</v>
      </c>
      <c r="I345" s="8">
        <v>44518</v>
      </c>
      <c r="J345" s="9">
        <v>27</v>
      </c>
      <c r="K345" s="10">
        <v>259</v>
      </c>
      <c r="L345" s="10">
        <v>189</v>
      </c>
      <c r="M345" s="3" t="s">
        <v>79</v>
      </c>
      <c r="N345" s="3" t="s">
        <v>33</v>
      </c>
      <c r="O345" s="34">
        <v>46</v>
      </c>
      <c r="P345" s="3">
        <v>2021</v>
      </c>
      <c r="Q345" s="3">
        <f>VLOOKUP(C345,layoffs_location!A:F,6,FALSE)</f>
        <v>47.603832099999998</v>
      </c>
      <c r="R345" s="3">
        <f>VLOOKUP(C345,layoffs_location!A:G,7,FALSE)</f>
        <v>-122.330062</v>
      </c>
    </row>
    <row r="346" spans="1:18" x14ac:dyDescent="0.2">
      <c r="A346" s="3">
        <v>345</v>
      </c>
      <c r="B346" s="3" t="s">
        <v>1056</v>
      </c>
      <c r="C346" s="3" t="s">
        <v>39</v>
      </c>
      <c r="D346" s="3" t="str">
        <f>VLOOKUP(C346,layoffs_location!A:B,2,FALSE)</f>
        <v>New York</v>
      </c>
      <c r="E346" s="3" t="str">
        <f>VLOOKUP(C346,layoffs_location!A:C,3,FALSE)</f>
        <v>New York</v>
      </c>
      <c r="F346" s="3" t="str">
        <f>VLOOKUP(C346,layoffs_location!A:D,4,FALSE)</f>
        <v>USA</v>
      </c>
      <c r="G346" s="3" t="str">
        <f>VLOOKUP(C346,layoffs_location!A:E,5,FALSE)</f>
        <v>North America</v>
      </c>
      <c r="H346" s="3">
        <v>900</v>
      </c>
      <c r="I346" s="8">
        <v>44531</v>
      </c>
      <c r="J346" s="9">
        <v>9</v>
      </c>
      <c r="K346" s="10">
        <v>10000</v>
      </c>
      <c r="L346" s="10">
        <v>9100</v>
      </c>
      <c r="M346" s="3" t="s">
        <v>137</v>
      </c>
      <c r="N346" s="3" t="s">
        <v>22</v>
      </c>
      <c r="O346" s="34">
        <v>905</v>
      </c>
      <c r="P346" s="3">
        <v>2021</v>
      </c>
      <c r="Q346" s="3">
        <f>VLOOKUP(C346,layoffs_location!A:F,6,FALSE)</f>
        <v>40.7127281</v>
      </c>
      <c r="R346" s="3">
        <f>VLOOKUP(C346,layoffs_location!A:G,7,FALSE)</f>
        <v>-74.006015199999993</v>
      </c>
    </row>
    <row r="347" spans="1:18" x14ac:dyDescent="0.2">
      <c r="A347" s="3">
        <v>346</v>
      </c>
      <c r="B347" s="3" t="s">
        <v>488</v>
      </c>
      <c r="C347" s="3" t="s">
        <v>135</v>
      </c>
      <c r="D347" s="3" t="str">
        <f>VLOOKUP(C347,layoffs_location!A:B,2,FALSE)</f>
        <v>other</v>
      </c>
      <c r="E347" s="3" t="str">
        <f>VLOOKUP(C347,layoffs_location!A:C,3,FALSE)</f>
        <v>Berlin</v>
      </c>
      <c r="F347" s="3" t="str">
        <f>VLOOKUP(C347,layoffs_location!A:D,4,FALSE)</f>
        <v>Germany</v>
      </c>
      <c r="G347" s="3" t="str">
        <f>VLOOKUP(C347,layoffs_location!A:E,5,FALSE)</f>
        <v>Europe</v>
      </c>
      <c r="H347" s="3">
        <v>300</v>
      </c>
      <c r="I347" s="8">
        <v>44552</v>
      </c>
      <c r="J347" s="9">
        <v>6.9767441860465116</v>
      </c>
      <c r="K347" s="10">
        <v>4300</v>
      </c>
      <c r="L347" s="10">
        <v>4000</v>
      </c>
      <c r="M347" s="3" t="s">
        <v>77</v>
      </c>
      <c r="N347" s="3" t="s">
        <v>28</v>
      </c>
      <c r="P347" s="3">
        <v>2021</v>
      </c>
      <c r="Q347" s="3">
        <f>VLOOKUP(C347,layoffs_location!A:F,6,FALSE)</f>
        <v>52.517036500000003</v>
      </c>
      <c r="R347" s="3">
        <f>VLOOKUP(C347,layoffs_location!A:G,7,FALSE)</f>
        <v>13.3888599</v>
      </c>
    </row>
    <row r="348" spans="1:18" x14ac:dyDescent="0.2">
      <c r="A348" s="3">
        <v>347</v>
      </c>
      <c r="B348" s="3" t="s">
        <v>851</v>
      </c>
      <c r="C348" s="3" t="s">
        <v>39</v>
      </c>
      <c r="D348" s="3" t="str">
        <f>VLOOKUP(C348,layoffs_location!A:B,2,FALSE)</f>
        <v>New York</v>
      </c>
      <c r="E348" s="3" t="str">
        <f>VLOOKUP(C348,layoffs_location!A:C,3,FALSE)</f>
        <v>New York</v>
      </c>
      <c r="F348" s="3" t="str">
        <f>VLOOKUP(C348,layoffs_location!A:D,4,FALSE)</f>
        <v>USA</v>
      </c>
      <c r="G348" s="3" t="str">
        <f>VLOOKUP(C348,layoffs_location!A:E,5,FALSE)</f>
        <v>North America</v>
      </c>
      <c r="H348" s="3">
        <v>80</v>
      </c>
      <c r="I348" s="8">
        <v>44587</v>
      </c>
      <c r="J348" s="9">
        <v>33</v>
      </c>
      <c r="K348" s="10">
        <v>242</v>
      </c>
      <c r="L348" s="10">
        <v>162</v>
      </c>
      <c r="M348" s="3" t="s">
        <v>16</v>
      </c>
      <c r="N348" s="3" t="s">
        <v>36</v>
      </c>
      <c r="O348" s="34">
        <v>266</v>
      </c>
      <c r="P348" s="3">
        <v>2022</v>
      </c>
      <c r="Q348" s="3">
        <f>VLOOKUP(C348,layoffs_location!A:F,6,FALSE)</f>
        <v>40.7127281</v>
      </c>
      <c r="R348" s="3">
        <f>VLOOKUP(C348,layoffs_location!A:G,7,FALSE)</f>
        <v>-74.006015199999993</v>
      </c>
    </row>
    <row r="349" spans="1:18" x14ac:dyDescent="0.2">
      <c r="A349" s="3">
        <v>348</v>
      </c>
      <c r="B349" s="3" t="s">
        <v>395</v>
      </c>
      <c r="C349" s="3" t="s">
        <v>362</v>
      </c>
      <c r="D349" s="3" t="str">
        <f>VLOOKUP(C349,layoffs_location!A:B,2,FALSE)</f>
        <v>other</v>
      </c>
      <c r="E349" s="3" t="str">
        <f>VLOOKUP(C349,layoffs_location!A:C,3,FALSE)</f>
        <v>Pennsylvania</v>
      </c>
      <c r="F349" s="3" t="str">
        <f>VLOOKUP(C349,layoffs_location!A:D,4,FALSE)</f>
        <v>USA</v>
      </c>
      <c r="G349" s="3" t="str">
        <f>VLOOKUP(C349,layoffs_location!A:E,5,FALSE)</f>
        <v>North America</v>
      </c>
      <c r="H349" s="3">
        <v>100</v>
      </c>
      <c r="I349" s="8">
        <v>44587</v>
      </c>
      <c r="J349" s="9">
        <v>0.66225165562913912</v>
      </c>
      <c r="K349" s="10">
        <v>15100</v>
      </c>
      <c r="L349" s="10">
        <v>15000</v>
      </c>
      <c r="M349" s="3" t="s">
        <v>77</v>
      </c>
      <c r="N349" s="3" t="s">
        <v>17</v>
      </c>
      <c r="O349" s="34">
        <v>3400</v>
      </c>
      <c r="P349" s="3">
        <v>2022</v>
      </c>
      <c r="Q349" s="3">
        <f>VLOOKUP(C349,layoffs_location!A:F,6,FALSE)</f>
        <v>39.9527237</v>
      </c>
      <c r="R349" s="3">
        <f>VLOOKUP(C349,layoffs_location!A:G,7,FALSE)</f>
        <v>-75.163526200000007</v>
      </c>
    </row>
    <row r="350" spans="1:18" x14ac:dyDescent="0.2">
      <c r="A350" s="3">
        <v>349</v>
      </c>
      <c r="B350" s="3" t="s">
        <v>1062</v>
      </c>
      <c r="C350" s="3" t="s">
        <v>39</v>
      </c>
      <c r="D350" s="3" t="str">
        <f>VLOOKUP(C350,layoffs_location!A:B,2,FALSE)</f>
        <v>New York</v>
      </c>
      <c r="E350" s="3" t="str">
        <f>VLOOKUP(C350,layoffs_location!A:C,3,FALSE)</f>
        <v>New York</v>
      </c>
      <c r="F350" s="3" t="str">
        <f>VLOOKUP(C350,layoffs_location!A:D,4,FALSE)</f>
        <v>USA</v>
      </c>
      <c r="G350" s="3" t="str">
        <f>VLOOKUP(C350,layoffs_location!A:E,5,FALSE)</f>
        <v>North America</v>
      </c>
      <c r="H350" s="3">
        <v>57</v>
      </c>
      <c r="I350" s="8">
        <v>44595</v>
      </c>
      <c r="J350" s="9">
        <v>20</v>
      </c>
      <c r="K350" s="10">
        <v>285</v>
      </c>
      <c r="L350" s="10">
        <v>228</v>
      </c>
      <c r="M350" s="3" t="s">
        <v>137</v>
      </c>
      <c r="N350" s="3" t="s">
        <v>22</v>
      </c>
      <c r="O350" s="34">
        <v>133</v>
      </c>
      <c r="P350" s="3">
        <v>2022</v>
      </c>
      <c r="Q350" s="3">
        <f>VLOOKUP(C350,layoffs_location!A:F,6,FALSE)</f>
        <v>40.7127281</v>
      </c>
      <c r="R350" s="3">
        <f>VLOOKUP(C350,layoffs_location!A:G,7,FALSE)</f>
        <v>-74.006015199999993</v>
      </c>
    </row>
    <row r="351" spans="1:18" x14ac:dyDescent="0.2">
      <c r="A351" s="3">
        <v>350</v>
      </c>
      <c r="B351" s="3" t="s">
        <v>769</v>
      </c>
      <c r="C351" s="3" t="s">
        <v>39</v>
      </c>
      <c r="D351" s="3" t="str">
        <f>VLOOKUP(C351,layoffs_location!A:B,2,FALSE)</f>
        <v>New York</v>
      </c>
      <c r="E351" s="3" t="str">
        <f>VLOOKUP(C351,layoffs_location!A:C,3,FALSE)</f>
        <v>New York</v>
      </c>
      <c r="F351" s="3" t="str">
        <f>VLOOKUP(C351,layoffs_location!A:D,4,FALSE)</f>
        <v>USA</v>
      </c>
      <c r="G351" s="3" t="str">
        <f>VLOOKUP(C351,layoffs_location!A:E,5,FALSE)</f>
        <v>North America</v>
      </c>
      <c r="H351" s="3">
        <v>2800</v>
      </c>
      <c r="I351" s="8">
        <v>44600</v>
      </c>
      <c r="J351" s="9">
        <v>20</v>
      </c>
      <c r="K351" s="10">
        <v>14000</v>
      </c>
      <c r="L351" s="10">
        <v>11200</v>
      </c>
      <c r="M351" s="3" t="s">
        <v>399</v>
      </c>
      <c r="N351" s="3" t="s">
        <v>28</v>
      </c>
      <c r="O351" s="34">
        <v>1900</v>
      </c>
      <c r="P351" s="3">
        <v>2022</v>
      </c>
      <c r="Q351" s="3">
        <f>VLOOKUP(C351,layoffs_location!A:F,6,FALSE)</f>
        <v>40.7127281</v>
      </c>
      <c r="R351" s="3">
        <f>VLOOKUP(C351,layoffs_location!A:G,7,FALSE)</f>
        <v>-74.006015199999993</v>
      </c>
    </row>
    <row r="352" spans="1:18" x14ac:dyDescent="0.2">
      <c r="A352" s="3">
        <v>351</v>
      </c>
      <c r="B352" s="3" t="s">
        <v>1061</v>
      </c>
      <c r="C352" s="3" t="s">
        <v>39</v>
      </c>
      <c r="D352" s="3" t="str">
        <f>VLOOKUP(C352,layoffs_location!A:B,2,FALSE)</f>
        <v>New York</v>
      </c>
      <c r="E352" s="3" t="str">
        <f>VLOOKUP(C352,layoffs_location!A:C,3,FALSE)</f>
        <v>New York</v>
      </c>
      <c r="F352" s="3" t="str">
        <f>VLOOKUP(C352,layoffs_location!A:D,4,FALSE)</f>
        <v>USA</v>
      </c>
      <c r="G352" s="3" t="str">
        <f>VLOOKUP(C352,layoffs_location!A:E,5,FALSE)</f>
        <v>North America</v>
      </c>
      <c r="H352" s="3">
        <v>60</v>
      </c>
      <c r="I352" s="8">
        <v>44602</v>
      </c>
      <c r="J352" s="9">
        <v>20</v>
      </c>
      <c r="K352" s="10">
        <v>300</v>
      </c>
      <c r="L352" s="10">
        <v>240</v>
      </c>
      <c r="M352" s="3" t="s">
        <v>77</v>
      </c>
      <c r="N352" s="3" t="s">
        <v>108</v>
      </c>
      <c r="O352" s="34">
        <v>120</v>
      </c>
      <c r="P352" s="3">
        <v>2022</v>
      </c>
      <c r="Q352" s="3">
        <f>VLOOKUP(C352,layoffs_location!A:F,6,FALSE)</f>
        <v>40.7127281</v>
      </c>
      <c r="R352" s="3">
        <f>VLOOKUP(C352,layoffs_location!A:G,7,FALSE)</f>
        <v>-74.006015199999993</v>
      </c>
    </row>
    <row r="353" spans="1:18" x14ac:dyDescent="0.2">
      <c r="A353" s="3">
        <v>352</v>
      </c>
      <c r="B353" s="3" t="s">
        <v>892</v>
      </c>
      <c r="C353" s="3" t="s">
        <v>58</v>
      </c>
      <c r="D353" s="3" t="str">
        <f>VLOOKUP(C353,layoffs_location!A:B,2,FALSE)</f>
        <v>other</v>
      </c>
      <c r="E353" s="3" t="str">
        <f>VLOOKUP(C353,layoffs_location!A:C,3,FALSE)</f>
        <v>England</v>
      </c>
      <c r="F353" s="3" t="str">
        <f>VLOOKUP(C353,layoffs_location!A:D,4,FALSE)</f>
        <v>UK</v>
      </c>
      <c r="G353" s="3" t="str">
        <f>VLOOKUP(C353,layoffs_location!A:E,5,FALSE)</f>
        <v>Europe</v>
      </c>
      <c r="H353" s="3">
        <v>138</v>
      </c>
      <c r="I353" s="8">
        <v>44602</v>
      </c>
      <c r="J353" s="9">
        <v>12</v>
      </c>
      <c r="K353" s="10">
        <v>1150</v>
      </c>
      <c r="L353" s="10">
        <v>1012</v>
      </c>
      <c r="M353" s="3" t="s">
        <v>60</v>
      </c>
      <c r="N353" s="3" t="s">
        <v>108</v>
      </c>
      <c r="O353" s="34">
        <v>1000</v>
      </c>
      <c r="P353" s="3">
        <v>2022</v>
      </c>
      <c r="Q353" s="3">
        <f>VLOOKUP(C353,layoffs_location!A:F,6,FALSE)</f>
        <v>51.489333500000001</v>
      </c>
      <c r="R353" s="3">
        <f>VLOOKUP(C353,layoffs_location!A:G,7,FALSE)</f>
        <v>-0.14405508452768701</v>
      </c>
    </row>
    <row r="354" spans="1:18" x14ac:dyDescent="0.2">
      <c r="A354" s="3">
        <v>353</v>
      </c>
      <c r="B354" s="3" t="s">
        <v>771</v>
      </c>
      <c r="C354" s="3" t="s">
        <v>113</v>
      </c>
      <c r="D354" s="3" t="str">
        <f>VLOOKUP(C354,layoffs_location!A:B,2,FALSE)</f>
        <v>other</v>
      </c>
      <c r="E354" s="3" t="str">
        <f>VLOOKUP(C354,layoffs_location!A:C,3,FALSE)</f>
        <v>Utah</v>
      </c>
      <c r="F354" s="3" t="str">
        <f>VLOOKUP(C354,layoffs_location!A:D,4,FALSE)</f>
        <v>USA</v>
      </c>
      <c r="G354" s="3" t="str">
        <f>VLOOKUP(C354,layoffs_location!A:E,5,FALSE)</f>
        <v>North America</v>
      </c>
      <c r="H354" s="3">
        <v>119</v>
      </c>
      <c r="I354" s="8">
        <v>44606</v>
      </c>
      <c r="J354" s="9">
        <v>29</v>
      </c>
      <c r="K354" s="10">
        <v>410</v>
      </c>
      <c r="L354" s="10">
        <v>291</v>
      </c>
      <c r="M354" s="3" t="s">
        <v>137</v>
      </c>
      <c r="N354" s="3" t="s">
        <v>49</v>
      </c>
      <c r="O354" s="34">
        <v>35</v>
      </c>
      <c r="P354" s="3">
        <v>2022</v>
      </c>
      <c r="Q354" s="3">
        <f>VLOOKUP(C354,layoffs_location!A:F,6,FALSE)</f>
        <v>40.759619800000003</v>
      </c>
      <c r="R354" s="3">
        <f>VLOOKUP(C354,layoffs_location!A:G,7,FALSE)</f>
        <v>-111.886797</v>
      </c>
    </row>
    <row r="355" spans="1:18" x14ac:dyDescent="0.2">
      <c r="A355" s="3">
        <v>354</v>
      </c>
      <c r="B355" s="3" t="s">
        <v>1060</v>
      </c>
      <c r="C355" s="3" t="s">
        <v>187</v>
      </c>
      <c r="D355" s="3" t="str">
        <f>VLOOKUP(C355,layoffs_location!A:B,2,FALSE)</f>
        <v>other</v>
      </c>
      <c r="E355" s="3" t="str">
        <f>VLOOKUP(C355,layoffs_location!A:C,3,FALSE)</f>
        <v>State of São Paulo</v>
      </c>
      <c r="F355" s="3" t="str">
        <f>VLOOKUP(C355,layoffs_location!A:D,4,FALSE)</f>
        <v>Brazil</v>
      </c>
      <c r="G355" s="3" t="str">
        <f>VLOOKUP(C355,layoffs_location!A:E,5,FALSE)</f>
        <v>South America</v>
      </c>
      <c r="H355" s="3">
        <v>100</v>
      </c>
      <c r="I355" s="8">
        <v>44608</v>
      </c>
      <c r="J355" s="9">
        <v>15</v>
      </c>
      <c r="K355" s="10">
        <v>667</v>
      </c>
      <c r="L355" s="10">
        <v>567</v>
      </c>
      <c r="M355" s="3" t="s">
        <v>77</v>
      </c>
      <c r="N355" s="3" t="s">
        <v>108</v>
      </c>
      <c r="O355" s="34">
        <v>118</v>
      </c>
      <c r="P355" s="3">
        <v>2022</v>
      </c>
      <c r="Q355" s="3">
        <f>VLOOKUP(C355,layoffs_location!A:F,6,FALSE)</f>
        <v>-23.550650699999998</v>
      </c>
      <c r="R355" s="3">
        <f>VLOOKUP(C355,layoffs_location!A:G,7,FALSE)</f>
        <v>-46.633382400000002</v>
      </c>
    </row>
    <row r="356" spans="1:18" x14ac:dyDescent="0.2">
      <c r="A356" s="3">
        <v>355</v>
      </c>
      <c r="B356" s="3" t="s">
        <v>1059</v>
      </c>
      <c r="C356" s="3" t="s">
        <v>76</v>
      </c>
      <c r="D356" s="3" t="str">
        <f>VLOOKUP(C356,layoffs_location!A:B,2,FALSE)</f>
        <v>other</v>
      </c>
      <c r="E356" s="3" t="str">
        <f>VLOOKUP(C356,layoffs_location!A:C,3,FALSE)</f>
        <v>California</v>
      </c>
      <c r="F356" s="3" t="str">
        <f>VLOOKUP(C356,layoffs_location!A:D,4,FALSE)</f>
        <v>USA</v>
      </c>
      <c r="G356" s="3" t="str">
        <f>VLOOKUP(C356,layoffs_location!A:E,5,FALSE)</f>
        <v>North America</v>
      </c>
      <c r="H356" s="3">
        <v>111</v>
      </c>
      <c r="I356" s="8">
        <v>44613</v>
      </c>
      <c r="J356" s="9">
        <v>50</v>
      </c>
      <c r="K356" s="10">
        <v>222</v>
      </c>
      <c r="L356" s="10">
        <v>111</v>
      </c>
      <c r="M356" s="3" t="s">
        <v>32</v>
      </c>
      <c r="N356" s="3" t="s">
        <v>22</v>
      </c>
      <c r="O356" s="34">
        <v>368</v>
      </c>
      <c r="P356" s="3">
        <v>2022</v>
      </c>
      <c r="Q356" s="3">
        <f>VLOOKUP(C356,layoffs_location!A:F,6,FALSE)</f>
        <v>34.053690899999999</v>
      </c>
      <c r="R356" s="3">
        <f>VLOOKUP(C356,layoffs_location!A:G,7,FALSE)</f>
        <v>-118.242766</v>
      </c>
    </row>
    <row r="357" spans="1:18" x14ac:dyDescent="0.2">
      <c r="A357" s="3">
        <v>356</v>
      </c>
      <c r="B357" s="3" t="s">
        <v>201</v>
      </c>
      <c r="C357" s="3" t="s">
        <v>1370</v>
      </c>
      <c r="D357" s="3" t="str">
        <f>VLOOKUP(C357,layoffs_location!A:B,2,FALSE)</f>
        <v>San Francisco Bay Area</v>
      </c>
      <c r="E357" s="3" t="str">
        <f>VLOOKUP(C357,layoffs_location!A:C,3,FALSE)</f>
        <v>California</v>
      </c>
      <c r="F357" s="3" t="str">
        <f>VLOOKUP(C357,layoffs_location!A:D,4,FALSE)</f>
        <v>USA</v>
      </c>
      <c r="G357" s="3" t="str">
        <f>VLOOKUP(C357,layoffs_location!A:E,5,FALSE)</f>
        <v>North America</v>
      </c>
      <c r="H357" s="3">
        <v>190</v>
      </c>
      <c r="I357" s="8">
        <v>44621</v>
      </c>
      <c r="J357" s="9">
        <v>15</v>
      </c>
      <c r="K357" s="10">
        <v>1267</v>
      </c>
      <c r="L357" s="10">
        <v>1077</v>
      </c>
      <c r="M357" s="3" t="s">
        <v>30</v>
      </c>
      <c r="N357" s="3" t="s">
        <v>28</v>
      </c>
      <c r="O357" s="34">
        <v>1600</v>
      </c>
      <c r="P357" s="3">
        <v>2022</v>
      </c>
      <c r="Q357" s="3">
        <f>VLOOKUP(C357,layoffs_location!A:F,6,FALSE)</f>
        <v>37.779258800000001</v>
      </c>
      <c r="R357" s="3">
        <f>VLOOKUP(C357,layoffs_location!A:G,7,FALSE)</f>
        <v>-122.4193286</v>
      </c>
    </row>
    <row r="358" spans="1:18" x14ac:dyDescent="0.2">
      <c r="A358" s="3">
        <v>357</v>
      </c>
      <c r="B358" s="3" t="s">
        <v>1058</v>
      </c>
      <c r="C358" s="3" t="s">
        <v>39</v>
      </c>
      <c r="D358" s="3" t="str">
        <f>VLOOKUP(C358,layoffs_location!A:B,2,FALSE)</f>
        <v>New York</v>
      </c>
      <c r="E358" s="3" t="str">
        <f>VLOOKUP(C358,layoffs_location!A:C,3,FALSE)</f>
        <v>New York</v>
      </c>
      <c r="F358" s="3" t="str">
        <f>VLOOKUP(C358,layoffs_location!A:D,4,FALSE)</f>
        <v>USA</v>
      </c>
      <c r="G358" s="3" t="str">
        <f>VLOOKUP(C358,layoffs_location!A:E,5,FALSE)</f>
        <v>North America</v>
      </c>
      <c r="H358" s="3">
        <v>100</v>
      </c>
      <c r="I358" s="8">
        <v>44623</v>
      </c>
      <c r="J358" s="9">
        <v>25</v>
      </c>
      <c r="K358" s="10">
        <v>400</v>
      </c>
      <c r="L358" s="10">
        <v>300</v>
      </c>
      <c r="M358" s="3" t="s">
        <v>79</v>
      </c>
      <c r="N358" s="3" t="s">
        <v>36</v>
      </c>
      <c r="O358" s="34">
        <v>289</v>
      </c>
      <c r="P358" s="3">
        <v>2022</v>
      </c>
      <c r="Q358" s="3">
        <f>VLOOKUP(C358,layoffs_location!A:F,6,FALSE)</f>
        <v>40.7127281</v>
      </c>
      <c r="R358" s="3">
        <f>VLOOKUP(C358,layoffs_location!A:G,7,FALSE)</f>
        <v>-74.006015199999993</v>
      </c>
    </row>
    <row r="359" spans="1:18" x14ac:dyDescent="0.2">
      <c r="A359" s="3">
        <v>358</v>
      </c>
      <c r="B359" s="3" t="s">
        <v>1057</v>
      </c>
      <c r="C359" s="3" t="s">
        <v>43</v>
      </c>
      <c r="D359" s="3" t="str">
        <f>VLOOKUP(C359,layoffs_location!A:B,2,FALSE)</f>
        <v>Cascadia</v>
      </c>
      <c r="E359" s="3" t="str">
        <f>VLOOKUP(C359,layoffs_location!A:C,3,FALSE)</f>
        <v>Washington</v>
      </c>
      <c r="F359" s="3" t="str">
        <f>VLOOKUP(C359,layoffs_location!A:D,4,FALSE)</f>
        <v>USA</v>
      </c>
      <c r="G359" s="3" t="str">
        <f>VLOOKUP(C359,layoffs_location!A:E,5,FALSE)</f>
        <v>North America</v>
      </c>
      <c r="H359" s="3">
        <v>100</v>
      </c>
      <c r="I359" s="8">
        <v>44628</v>
      </c>
      <c r="J359" s="9">
        <v>12</v>
      </c>
      <c r="K359" s="10">
        <v>833</v>
      </c>
      <c r="L359" s="10">
        <v>733</v>
      </c>
      <c r="M359" s="3" t="s">
        <v>21</v>
      </c>
      <c r="N359" s="3" t="s">
        <v>28</v>
      </c>
      <c r="O359" s="34">
        <v>406</v>
      </c>
      <c r="P359" s="3">
        <v>2022</v>
      </c>
      <c r="Q359" s="3">
        <f>VLOOKUP(C359,layoffs_location!A:F,6,FALSE)</f>
        <v>47.603832099999998</v>
      </c>
      <c r="R359" s="3">
        <f>VLOOKUP(C359,layoffs_location!A:G,7,FALSE)</f>
        <v>-122.330062</v>
      </c>
    </row>
    <row r="360" spans="1:18" x14ac:dyDescent="0.2">
      <c r="A360" s="3">
        <v>359</v>
      </c>
      <c r="B360" s="3" t="s">
        <v>1056</v>
      </c>
      <c r="C360" s="3" t="s">
        <v>39</v>
      </c>
      <c r="D360" s="3" t="str">
        <f>VLOOKUP(C360,layoffs_location!A:B,2,FALSE)</f>
        <v>New York</v>
      </c>
      <c r="E360" s="3" t="str">
        <f>VLOOKUP(C360,layoffs_location!A:C,3,FALSE)</f>
        <v>New York</v>
      </c>
      <c r="F360" s="3" t="str">
        <f>VLOOKUP(C360,layoffs_location!A:D,4,FALSE)</f>
        <v>USA</v>
      </c>
      <c r="G360" s="3" t="str">
        <f>VLOOKUP(C360,layoffs_location!A:E,5,FALSE)</f>
        <v>North America</v>
      </c>
      <c r="H360" s="3">
        <v>3000</v>
      </c>
      <c r="I360" s="8">
        <v>44628</v>
      </c>
      <c r="J360" s="9">
        <v>33</v>
      </c>
      <c r="K360" s="10">
        <v>9091</v>
      </c>
      <c r="L360" s="10">
        <v>6091</v>
      </c>
      <c r="M360" s="3" t="s">
        <v>137</v>
      </c>
      <c r="N360" s="3" t="s">
        <v>22</v>
      </c>
      <c r="O360" s="34">
        <v>905</v>
      </c>
      <c r="P360" s="3">
        <v>2022</v>
      </c>
      <c r="Q360" s="3">
        <f>VLOOKUP(C360,layoffs_location!A:F,6,FALSE)</f>
        <v>40.7127281</v>
      </c>
      <c r="R360" s="3">
        <f>VLOOKUP(C360,layoffs_location!A:G,7,FALSE)</f>
        <v>-74.006015199999993</v>
      </c>
    </row>
    <row r="361" spans="1:18" x14ac:dyDescent="0.2">
      <c r="A361" s="3">
        <v>360</v>
      </c>
      <c r="B361" s="3" t="s">
        <v>1055</v>
      </c>
      <c r="C361" s="3" t="s">
        <v>39</v>
      </c>
      <c r="D361" s="3" t="str">
        <f>VLOOKUP(C361,layoffs_location!A:B,2,FALSE)</f>
        <v>New York</v>
      </c>
      <c r="E361" s="3" t="str">
        <f>VLOOKUP(C361,layoffs_location!A:C,3,FALSE)</f>
        <v>New York</v>
      </c>
      <c r="F361" s="3" t="str">
        <f>VLOOKUP(C361,layoffs_location!A:D,4,FALSE)</f>
        <v>USA</v>
      </c>
      <c r="G361" s="3" t="str">
        <f>VLOOKUP(C361,layoffs_location!A:E,5,FALSE)</f>
        <v>North America</v>
      </c>
      <c r="H361" s="3">
        <v>115</v>
      </c>
      <c r="I361" s="8">
        <v>44635</v>
      </c>
      <c r="J361" s="9">
        <v>46</v>
      </c>
      <c r="K361" s="10">
        <v>250</v>
      </c>
      <c r="L361" s="10">
        <v>135</v>
      </c>
      <c r="M361" s="3" t="s">
        <v>137</v>
      </c>
      <c r="N361" s="3" t="s">
        <v>22</v>
      </c>
      <c r="O361" s="34">
        <v>654</v>
      </c>
      <c r="P361" s="3">
        <v>2022</v>
      </c>
      <c r="Q361" s="3">
        <f>VLOOKUP(C361,layoffs_location!A:F,6,FALSE)</f>
        <v>40.7127281</v>
      </c>
      <c r="R361" s="3">
        <f>VLOOKUP(C361,layoffs_location!A:G,7,FALSE)</f>
        <v>-74.006015199999993</v>
      </c>
    </row>
    <row r="362" spans="1:18" x14ac:dyDescent="0.2">
      <c r="A362" s="3">
        <v>361</v>
      </c>
      <c r="B362" s="3" t="s">
        <v>1054</v>
      </c>
      <c r="C362" s="3" t="s">
        <v>13</v>
      </c>
      <c r="D362" s="3" t="str">
        <f>VLOOKUP(C362,layoffs_location!A:B,2,FALSE)</f>
        <v>other</v>
      </c>
      <c r="E362" s="3" t="str">
        <f>VLOOKUP(C362,layoffs_location!A:C,3,FALSE)</f>
        <v>Karnataka</v>
      </c>
      <c r="F362" s="3" t="str">
        <f>VLOOKUP(C362,layoffs_location!A:D,4,FALSE)</f>
        <v>India</v>
      </c>
      <c r="G362" s="3" t="str">
        <f>VLOOKUP(C362,layoffs_location!A:E,5,FALSE)</f>
        <v>Asia</v>
      </c>
      <c r="H362" s="3">
        <v>300</v>
      </c>
      <c r="I362" s="8">
        <v>44635</v>
      </c>
      <c r="J362" s="9">
        <v>50</v>
      </c>
      <c r="K362" s="10">
        <v>600</v>
      </c>
      <c r="L362" s="10">
        <v>300</v>
      </c>
      <c r="M362" s="3" t="s">
        <v>30</v>
      </c>
      <c r="N362" s="3" t="s">
        <v>49</v>
      </c>
      <c r="O362" s="34">
        <v>62</v>
      </c>
      <c r="P362" s="3">
        <v>2022</v>
      </c>
      <c r="Q362" s="3">
        <f>VLOOKUP(C362,layoffs_location!A:F,6,FALSE)</f>
        <v>12.98815675</v>
      </c>
      <c r="R362" s="3">
        <f>VLOOKUP(C362,layoffs_location!A:G,7,FALSE)</f>
        <v>77.622600037959998</v>
      </c>
    </row>
    <row r="363" spans="1:18" x14ac:dyDescent="0.2">
      <c r="A363" s="3">
        <v>362</v>
      </c>
      <c r="B363" s="3" t="s">
        <v>1053</v>
      </c>
      <c r="C363" s="3" t="s">
        <v>51</v>
      </c>
      <c r="D363" s="3" t="str">
        <f>VLOOKUP(C363,layoffs_location!A:B,2,FALSE)</f>
        <v>other</v>
      </c>
      <c r="E363" s="3" t="str">
        <f>VLOOKUP(C363,layoffs_location!A:C,3,FALSE)</f>
        <v>non</v>
      </c>
      <c r="F363" s="3" t="str">
        <f>VLOOKUP(C363,layoffs_location!A:D,4,FALSE)</f>
        <v>Sweden</v>
      </c>
      <c r="G363" s="3" t="str">
        <f>VLOOKUP(C363,layoffs_location!A:E,5,FALSE)</f>
        <v>Europe</v>
      </c>
      <c r="H363" s="3">
        <v>100</v>
      </c>
      <c r="I363" s="8">
        <v>44637</v>
      </c>
      <c r="J363" s="9">
        <v>10</v>
      </c>
      <c r="K363" s="10">
        <v>1000</v>
      </c>
      <c r="L363" s="10">
        <v>900</v>
      </c>
      <c r="M363" s="3" t="s">
        <v>54</v>
      </c>
      <c r="N363" s="3" t="s">
        <v>28</v>
      </c>
      <c r="O363" s="34">
        <v>275</v>
      </c>
      <c r="P363" s="3">
        <v>2022</v>
      </c>
      <c r="Q363" s="3">
        <f>VLOOKUP(C363,layoffs_location!A:F,6,FALSE)</f>
        <v>59.325117200000001</v>
      </c>
      <c r="R363" s="3">
        <f>VLOOKUP(C363,layoffs_location!A:G,7,FALSE)</f>
        <v>18.0710935</v>
      </c>
    </row>
    <row r="364" spans="1:18" x14ac:dyDescent="0.2">
      <c r="A364" s="3">
        <v>363</v>
      </c>
      <c r="B364" s="3" t="s">
        <v>395</v>
      </c>
      <c r="C364" s="3" t="s">
        <v>362</v>
      </c>
      <c r="D364" s="3" t="str">
        <f>VLOOKUP(C364,layoffs_location!A:B,2,FALSE)</f>
        <v>other</v>
      </c>
      <c r="E364" s="3" t="str">
        <f>VLOOKUP(C364,layoffs_location!A:C,3,FALSE)</f>
        <v>Pennsylvania</v>
      </c>
      <c r="F364" s="3" t="str">
        <f>VLOOKUP(C364,layoffs_location!A:D,4,FALSE)</f>
        <v>USA</v>
      </c>
      <c r="G364" s="3" t="str">
        <f>VLOOKUP(C364,layoffs_location!A:E,5,FALSE)</f>
        <v>North America</v>
      </c>
      <c r="H364" s="3">
        <v>450</v>
      </c>
      <c r="I364" s="8">
        <v>44649</v>
      </c>
      <c r="J364" s="9">
        <v>3</v>
      </c>
      <c r="K364" s="10">
        <v>15000</v>
      </c>
      <c r="L364" s="10">
        <v>14550</v>
      </c>
      <c r="M364" s="3" t="s">
        <v>77</v>
      </c>
      <c r="N364" s="3" t="s">
        <v>17</v>
      </c>
      <c r="O364" s="34">
        <v>3400</v>
      </c>
      <c r="P364" s="3">
        <v>2022</v>
      </c>
      <c r="Q364" s="3">
        <f>VLOOKUP(C364,layoffs_location!A:F,6,FALSE)</f>
        <v>39.9527237</v>
      </c>
      <c r="R364" s="3">
        <f>VLOOKUP(C364,layoffs_location!A:G,7,FALSE)</f>
        <v>-75.163526200000007</v>
      </c>
    </row>
    <row r="365" spans="1:18" x14ac:dyDescent="0.2">
      <c r="A365" s="3">
        <v>364</v>
      </c>
      <c r="B365" s="3" t="s">
        <v>560</v>
      </c>
      <c r="C365" s="3" t="s">
        <v>271</v>
      </c>
      <c r="D365" s="3" t="str">
        <f>VLOOKUP(C365,layoffs_location!A:B,2,FALSE)</f>
        <v>Cascadia</v>
      </c>
      <c r="E365" s="3" t="str">
        <f>VLOOKUP(C365,layoffs_location!A:C,3,FALSE)</f>
        <v>British Columbia</v>
      </c>
      <c r="F365" s="3" t="str">
        <f>VLOOKUP(C365,layoffs_location!A:D,4,FALSE)</f>
        <v>Canada</v>
      </c>
      <c r="G365" s="3" t="str">
        <f>VLOOKUP(C365,layoffs_location!A:E,5,FALSE)</f>
        <v>North America</v>
      </c>
      <c r="H365" s="3">
        <v>100</v>
      </c>
      <c r="I365" s="8">
        <v>44649</v>
      </c>
      <c r="J365" s="9">
        <v>20</v>
      </c>
      <c r="K365" s="10">
        <v>500</v>
      </c>
      <c r="L365" s="10">
        <v>400</v>
      </c>
      <c r="M365" s="3" t="s">
        <v>68</v>
      </c>
      <c r="N365" s="3" t="s">
        <v>28</v>
      </c>
      <c r="O365" s="34">
        <v>22</v>
      </c>
      <c r="P365" s="3">
        <v>2022</v>
      </c>
      <c r="Q365" s="3">
        <f>VLOOKUP(C365,layoffs_location!A:F,6,FALSE)</f>
        <v>49.260872399999997</v>
      </c>
      <c r="R365" s="3">
        <f>VLOOKUP(C365,layoffs_location!A:G,7,FALSE)</f>
        <v>-123.113952</v>
      </c>
    </row>
    <row r="366" spans="1:18" x14ac:dyDescent="0.2">
      <c r="A366" s="3">
        <v>365</v>
      </c>
      <c r="B366" s="3" t="s">
        <v>1052</v>
      </c>
      <c r="C366" s="3" t="s">
        <v>135</v>
      </c>
      <c r="D366" s="3" t="str">
        <f>VLOOKUP(C366,layoffs_location!A:B,2,FALSE)</f>
        <v>other</v>
      </c>
      <c r="E366" s="3" t="str">
        <f>VLOOKUP(C366,layoffs_location!A:C,3,FALSE)</f>
        <v>Berlin</v>
      </c>
      <c r="F366" s="3" t="str">
        <f>VLOOKUP(C366,layoffs_location!A:D,4,FALSE)</f>
        <v>Germany</v>
      </c>
      <c r="G366" s="3" t="str">
        <f>VLOOKUP(C366,layoffs_location!A:E,5,FALSE)</f>
        <v>Europe</v>
      </c>
      <c r="H366" s="3">
        <v>59</v>
      </c>
      <c r="I366" s="8">
        <v>44650</v>
      </c>
      <c r="J366" s="9">
        <v>40</v>
      </c>
      <c r="K366" s="10">
        <v>148</v>
      </c>
      <c r="L366" s="10">
        <v>89</v>
      </c>
      <c r="M366" s="3" t="s">
        <v>79</v>
      </c>
      <c r="N366" s="3" t="s">
        <v>49</v>
      </c>
      <c r="O366" s="34">
        <v>40</v>
      </c>
      <c r="P366" s="3">
        <v>2022</v>
      </c>
      <c r="Q366" s="3">
        <f>VLOOKUP(C366,layoffs_location!A:F,6,FALSE)</f>
        <v>52.517036500000003</v>
      </c>
      <c r="R366" s="3">
        <f>VLOOKUP(C366,layoffs_location!A:G,7,FALSE)</f>
        <v>13.3888599</v>
      </c>
    </row>
    <row r="367" spans="1:18" x14ac:dyDescent="0.2">
      <c r="A367" s="3">
        <v>366</v>
      </c>
      <c r="B367" s="3" t="s">
        <v>1051</v>
      </c>
      <c r="C367" s="3" t="s">
        <v>271</v>
      </c>
      <c r="D367" s="3" t="str">
        <f>VLOOKUP(C367,layoffs_location!A:B,2,FALSE)</f>
        <v>Cascadia</v>
      </c>
      <c r="E367" s="3" t="str">
        <f>VLOOKUP(C367,layoffs_location!A:C,3,FALSE)</f>
        <v>British Columbia</v>
      </c>
      <c r="F367" s="3" t="str">
        <f>VLOOKUP(C367,layoffs_location!A:D,4,FALSE)</f>
        <v>Canada</v>
      </c>
      <c r="G367" s="3" t="str">
        <f>VLOOKUP(C367,layoffs_location!A:E,5,FALSE)</f>
        <v>North America</v>
      </c>
      <c r="H367" s="3">
        <v>23</v>
      </c>
      <c r="I367" s="8">
        <v>44655</v>
      </c>
      <c r="J367" s="9">
        <v>38</v>
      </c>
      <c r="K367" s="10">
        <v>61</v>
      </c>
      <c r="L367" s="10">
        <v>38</v>
      </c>
      <c r="M367" s="3" t="s">
        <v>54</v>
      </c>
      <c r="N367" s="3" t="s">
        <v>28</v>
      </c>
      <c r="O367" s="34">
        <v>3</v>
      </c>
      <c r="P367" s="3">
        <v>2022</v>
      </c>
      <c r="Q367" s="3">
        <f>VLOOKUP(C367,layoffs_location!A:F,6,FALSE)</f>
        <v>49.260872399999997</v>
      </c>
      <c r="R367" s="3">
        <f>VLOOKUP(C367,layoffs_location!A:G,7,FALSE)</f>
        <v>-123.113952</v>
      </c>
    </row>
    <row r="368" spans="1:18" x14ac:dyDescent="0.2">
      <c r="A368" s="3">
        <v>367</v>
      </c>
      <c r="B368" s="3" t="s">
        <v>706</v>
      </c>
      <c r="C368" s="3" t="s">
        <v>13</v>
      </c>
      <c r="D368" s="3" t="str">
        <f>VLOOKUP(C368,layoffs_location!A:B,2,FALSE)</f>
        <v>other</v>
      </c>
      <c r="E368" s="3" t="str">
        <f>VLOOKUP(C368,layoffs_location!A:C,3,FALSE)</f>
        <v>Karnataka</v>
      </c>
      <c r="F368" s="3" t="str">
        <f>VLOOKUP(C368,layoffs_location!A:D,4,FALSE)</f>
        <v>India</v>
      </c>
      <c r="G368" s="3" t="str">
        <f>VLOOKUP(C368,layoffs_location!A:E,5,FALSE)</f>
        <v>Asia</v>
      </c>
      <c r="H368" s="3">
        <v>1000</v>
      </c>
      <c r="I368" s="8">
        <v>44658</v>
      </c>
      <c r="J368" s="9">
        <v>17</v>
      </c>
      <c r="K368" s="10">
        <v>5882</v>
      </c>
      <c r="L368" s="10">
        <v>4882</v>
      </c>
      <c r="M368" s="3" t="s">
        <v>68</v>
      </c>
      <c r="N368" s="3" t="s">
        <v>17</v>
      </c>
      <c r="O368" s="34">
        <v>838</v>
      </c>
      <c r="P368" s="3">
        <v>2022</v>
      </c>
      <c r="Q368" s="3">
        <f>VLOOKUP(C368,layoffs_location!A:F,6,FALSE)</f>
        <v>12.98815675</v>
      </c>
      <c r="R368" s="3">
        <f>VLOOKUP(C368,layoffs_location!A:G,7,FALSE)</f>
        <v>77.622600037959998</v>
      </c>
    </row>
    <row r="369" spans="1:18" x14ac:dyDescent="0.2">
      <c r="A369" s="3">
        <v>368</v>
      </c>
      <c r="B369" s="3" t="s">
        <v>1000</v>
      </c>
      <c r="C369" s="3" t="s">
        <v>39</v>
      </c>
      <c r="D369" s="3" t="str">
        <f>VLOOKUP(C369,layoffs_location!A:B,2,FALSE)</f>
        <v>New York</v>
      </c>
      <c r="E369" s="3" t="str">
        <f>VLOOKUP(C369,layoffs_location!A:C,3,FALSE)</f>
        <v>New York</v>
      </c>
      <c r="F369" s="3" t="str">
        <f>VLOOKUP(C369,layoffs_location!A:D,4,FALSE)</f>
        <v>USA</v>
      </c>
      <c r="G369" s="3" t="str">
        <f>VLOOKUP(C369,layoffs_location!A:E,5,FALSE)</f>
        <v>North America</v>
      </c>
      <c r="H369" s="3">
        <v>20</v>
      </c>
      <c r="I369" s="8">
        <v>44659</v>
      </c>
      <c r="J369" s="9">
        <v>10</v>
      </c>
      <c r="K369" s="10">
        <v>200</v>
      </c>
      <c r="L369" s="10">
        <v>180</v>
      </c>
      <c r="M369" s="3" t="s">
        <v>77</v>
      </c>
      <c r="N369" s="3" t="s">
        <v>33</v>
      </c>
      <c r="O369" s="34">
        <v>176</v>
      </c>
      <c r="P369" s="3">
        <v>2022</v>
      </c>
      <c r="Q369" s="3">
        <f>VLOOKUP(C369,layoffs_location!A:F,6,FALSE)</f>
        <v>40.7127281</v>
      </c>
      <c r="R369" s="3">
        <f>VLOOKUP(C369,layoffs_location!A:G,7,FALSE)</f>
        <v>-74.006015199999993</v>
      </c>
    </row>
    <row r="370" spans="1:18" x14ac:dyDescent="0.2">
      <c r="A370" s="3">
        <v>369</v>
      </c>
      <c r="B370" s="3" t="s">
        <v>869</v>
      </c>
      <c r="C370" s="3" t="s">
        <v>43</v>
      </c>
      <c r="D370" s="3" t="str">
        <f>VLOOKUP(C370,layoffs_location!A:B,2,FALSE)</f>
        <v>Cascadia</v>
      </c>
      <c r="E370" s="3" t="str">
        <f>VLOOKUP(C370,layoffs_location!A:C,3,FALSE)</f>
        <v>Washington</v>
      </c>
      <c r="F370" s="3" t="str">
        <f>VLOOKUP(C370,layoffs_location!A:D,4,FALSE)</f>
        <v>USA</v>
      </c>
      <c r="G370" s="3" t="str">
        <f>VLOOKUP(C370,layoffs_location!A:E,5,FALSE)</f>
        <v>North America</v>
      </c>
      <c r="H370" s="3">
        <v>100</v>
      </c>
      <c r="I370" s="8">
        <v>44663</v>
      </c>
      <c r="J370" s="9">
        <v>14</v>
      </c>
      <c r="K370" s="10">
        <v>714</v>
      </c>
      <c r="L370" s="10">
        <v>614</v>
      </c>
      <c r="M370" s="3" t="s">
        <v>32</v>
      </c>
      <c r="N370" s="3" t="s">
        <v>108</v>
      </c>
      <c r="O370" s="34">
        <v>329</v>
      </c>
      <c r="P370" s="3">
        <v>2022</v>
      </c>
      <c r="Q370" s="3">
        <f>VLOOKUP(C370,layoffs_location!A:F,6,FALSE)</f>
        <v>47.603832099999998</v>
      </c>
      <c r="R370" s="3">
        <f>VLOOKUP(C370,layoffs_location!A:G,7,FALSE)</f>
        <v>-122.330062</v>
      </c>
    </row>
    <row r="371" spans="1:18" x14ac:dyDescent="0.2">
      <c r="A371" s="3">
        <v>370</v>
      </c>
      <c r="B371" s="3" t="s">
        <v>1050</v>
      </c>
      <c r="C371" s="3" t="s">
        <v>1370</v>
      </c>
      <c r="D371" s="3" t="str">
        <f>VLOOKUP(C371,layoffs_location!A:B,2,FALSE)</f>
        <v>San Francisco Bay Area</v>
      </c>
      <c r="E371" s="3" t="str">
        <f>VLOOKUP(C371,layoffs_location!A:C,3,FALSE)</f>
        <v>California</v>
      </c>
      <c r="F371" s="3" t="str">
        <f>VLOOKUP(C371,layoffs_location!A:D,4,FALSE)</f>
        <v>USA</v>
      </c>
      <c r="G371" s="3" t="str">
        <f>VLOOKUP(C371,layoffs_location!A:E,5,FALSE)</f>
        <v>North America</v>
      </c>
      <c r="H371" s="3">
        <v>44</v>
      </c>
      <c r="I371" s="8">
        <v>44665</v>
      </c>
      <c r="J371" s="9">
        <v>100</v>
      </c>
      <c r="K371" s="10">
        <v>44</v>
      </c>
      <c r="L371" s="10">
        <v>0</v>
      </c>
      <c r="M371" s="3" t="s">
        <v>21</v>
      </c>
      <c r="N371" s="3" t="s">
        <v>22</v>
      </c>
      <c r="O371" s="34">
        <v>9</v>
      </c>
      <c r="P371" s="3">
        <v>2022</v>
      </c>
      <c r="Q371" s="3">
        <f>VLOOKUP(C371,layoffs_location!A:F,6,FALSE)</f>
        <v>37.779258800000001</v>
      </c>
      <c r="R371" s="3">
        <f>VLOOKUP(C371,layoffs_location!A:G,7,FALSE)</f>
        <v>-122.4193286</v>
      </c>
    </row>
    <row r="372" spans="1:18" x14ac:dyDescent="0.2">
      <c r="A372" s="3">
        <v>371</v>
      </c>
      <c r="B372" s="3" t="s">
        <v>172</v>
      </c>
      <c r="C372" s="3" t="s">
        <v>1370</v>
      </c>
      <c r="D372" s="3" t="str">
        <f>VLOOKUP(C372,layoffs_location!A:B,2,FALSE)</f>
        <v>San Francisco Bay Area</v>
      </c>
      <c r="E372" s="3" t="str">
        <f>VLOOKUP(C372,layoffs_location!A:C,3,FALSE)</f>
        <v>California</v>
      </c>
      <c r="F372" s="3" t="str">
        <f>VLOOKUP(C372,layoffs_location!A:D,4,FALSE)</f>
        <v>USA</v>
      </c>
      <c r="G372" s="3" t="str">
        <f>VLOOKUP(C372,layoffs_location!A:E,5,FALSE)</f>
        <v>North America</v>
      </c>
      <c r="H372" s="3">
        <v>200</v>
      </c>
      <c r="I372" s="8">
        <v>44670</v>
      </c>
      <c r="J372" s="9">
        <v>10</v>
      </c>
      <c r="K372" s="10">
        <v>2000</v>
      </c>
      <c r="L372" s="10">
        <v>1800</v>
      </c>
      <c r="M372" s="3" t="s">
        <v>35</v>
      </c>
      <c r="N372" s="3" t="s">
        <v>28</v>
      </c>
      <c r="O372" s="34">
        <v>665</v>
      </c>
      <c r="P372" s="3">
        <v>2022</v>
      </c>
      <c r="Q372" s="3">
        <f>VLOOKUP(C372,layoffs_location!A:F,6,FALSE)</f>
        <v>37.779258800000001</v>
      </c>
      <c r="R372" s="3">
        <f>VLOOKUP(C372,layoffs_location!A:G,7,FALSE)</f>
        <v>-122.4193286</v>
      </c>
    </row>
    <row r="373" spans="1:18" x14ac:dyDescent="0.2">
      <c r="A373" s="3">
        <v>372</v>
      </c>
      <c r="B373" s="3" t="s">
        <v>1049</v>
      </c>
      <c r="C373" s="3" t="s">
        <v>187</v>
      </c>
      <c r="D373" s="3" t="str">
        <f>VLOOKUP(C373,layoffs_location!A:B,2,FALSE)</f>
        <v>other</v>
      </c>
      <c r="E373" s="3" t="str">
        <f>VLOOKUP(C373,layoffs_location!A:C,3,FALSE)</f>
        <v>State of São Paulo</v>
      </c>
      <c r="F373" s="3" t="str">
        <f>VLOOKUP(C373,layoffs_location!A:D,4,FALSE)</f>
        <v>Brazil</v>
      </c>
      <c r="G373" s="3" t="str">
        <f>VLOOKUP(C373,layoffs_location!A:E,5,FALSE)</f>
        <v>South America</v>
      </c>
      <c r="H373" s="3">
        <v>160</v>
      </c>
      <c r="I373" s="8">
        <v>44670</v>
      </c>
      <c r="J373" s="9">
        <v>4</v>
      </c>
      <c r="K373" s="10">
        <v>4000</v>
      </c>
      <c r="L373" s="10">
        <v>3840</v>
      </c>
      <c r="M373" s="3" t="s">
        <v>137</v>
      </c>
      <c r="N373" s="3" t="s">
        <v>36</v>
      </c>
      <c r="O373" s="34">
        <v>755</v>
      </c>
      <c r="P373" s="3">
        <v>2022</v>
      </c>
      <c r="Q373" s="3">
        <f>VLOOKUP(C373,layoffs_location!A:F,6,FALSE)</f>
        <v>-23.550650699999998</v>
      </c>
      <c r="R373" s="3">
        <f>VLOOKUP(C373,layoffs_location!A:G,7,FALSE)</f>
        <v>-46.633382400000002</v>
      </c>
    </row>
    <row r="374" spans="1:18" x14ac:dyDescent="0.2">
      <c r="A374" s="3">
        <v>373</v>
      </c>
      <c r="B374" s="3" t="s">
        <v>1048</v>
      </c>
      <c r="C374" s="3" t="s">
        <v>187</v>
      </c>
      <c r="D374" s="3" t="str">
        <f>VLOOKUP(C374,layoffs_location!A:B,2,FALSE)</f>
        <v>other</v>
      </c>
      <c r="E374" s="3" t="str">
        <f>VLOOKUP(C374,layoffs_location!A:C,3,FALSE)</f>
        <v>State of São Paulo</v>
      </c>
      <c r="F374" s="3" t="str">
        <f>VLOOKUP(C374,layoffs_location!A:D,4,FALSE)</f>
        <v>Brazil</v>
      </c>
      <c r="G374" s="3" t="str">
        <f>VLOOKUP(C374,layoffs_location!A:E,5,FALSE)</f>
        <v>South America</v>
      </c>
      <c r="H374" s="3">
        <v>260</v>
      </c>
      <c r="I374" s="8">
        <v>44671</v>
      </c>
      <c r="J374" s="9">
        <v>30</v>
      </c>
      <c r="K374" s="10">
        <v>867</v>
      </c>
      <c r="L374" s="10">
        <v>607</v>
      </c>
      <c r="M374" s="3" t="s">
        <v>30</v>
      </c>
      <c r="N374" s="3" t="s">
        <v>108</v>
      </c>
      <c r="O374" s="34">
        <v>502</v>
      </c>
      <c r="P374" s="3">
        <v>2022</v>
      </c>
      <c r="Q374" s="3">
        <f>VLOOKUP(C374,layoffs_location!A:F,6,FALSE)</f>
        <v>-23.550650699999998</v>
      </c>
      <c r="R374" s="3">
        <f>VLOOKUP(C374,layoffs_location!A:G,7,FALSE)</f>
        <v>-46.633382400000002</v>
      </c>
    </row>
    <row r="375" spans="1:18" x14ac:dyDescent="0.2">
      <c r="A375" s="3">
        <v>374</v>
      </c>
      <c r="B375" s="3" t="s">
        <v>1046</v>
      </c>
      <c r="C375" s="3" t="s">
        <v>1047</v>
      </c>
      <c r="D375" s="3" t="str">
        <f>VLOOKUP(C375,layoffs_location!A:B,2,FALSE)</f>
        <v>other</v>
      </c>
      <c r="E375" s="3" t="str">
        <f>VLOOKUP(C375,layoffs_location!A:C,3,FALSE)</f>
        <v>non</v>
      </c>
      <c r="F375" s="3" t="str">
        <f>VLOOKUP(C375,layoffs_location!A:D,4,FALSE)</f>
        <v>China</v>
      </c>
      <c r="G375" s="3" t="str">
        <f>VLOOKUP(C375,layoffs_location!A:E,5,FALSE)</f>
        <v>Asia</v>
      </c>
      <c r="H375" s="3">
        <v>180</v>
      </c>
      <c r="I375" s="8">
        <v>44672</v>
      </c>
      <c r="J375" s="9">
        <v>9</v>
      </c>
      <c r="K375" s="10">
        <v>2000</v>
      </c>
      <c r="L375" s="10">
        <v>1820</v>
      </c>
      <c r="M375" s="3" t="s">
        <v>16</v>
      </c>
      <c r="N375" s="3" t="s">
        <v>36</v>
      </c>
      <c r="O375" s="34">
        <v>917</v>
      </c>
      <c r="P375" s="3">
        <v>2022</v>
      </c>
      <c r="Q375" s="3">
        <f>VLOOKUP(C375,layoffs_location!A:F,6,FALSE)</f>
        <v>31.2312707</v>
      </c>
      <c r="R375" s="3">
        <f>VLOOKUP(C375,layoffs_location!A:G,7,FALSE)</f>
        <v>121.47001520000001</v>
      </c>
    </row>
    <row r="376" spans="1:18" x14ac:dyDescent="0.2">
      <c r="A376" s="3">
        <v>375</v>
      </c>
      <c r="B376" s="3" t="s">
        <v>956</v>
      </c>
      <c r="C376" s="3" t="s">
        <v>179</v>
      </c>
      <c r="D376" s="3" t="str">
        <f>VLOOKUP(C376,layoffs_location!A:B,2,FALSE)</f>
        <v>other</v>
      </c>
      <c r="E376" s="3" t="str">
        <f>VLOOKUP(C376,layoffs_location!A:C,3,FALSE)</f>
        <v>Ontario</v>
      </c>
      <c r="F376" s="3" t="str">
        <f>VLOOKUP(C376,layoffs_location!A:D,4,FALSE)</f>
        <v>Canada</v>
      </c>
      <c r="G376" s="3" t="str">
        <f>VLOOKUP(C376,layoffs_location!A:E,5,FALSE)</f>
        <v>North America</v>
      </c>
      <c r="H376" s="3">
        <v>29</v>
      </c>
      <c r="I376" s="8">
        <v>44677</v>
      </c>
      <c r="J376" s="9">
        <v>34</v>
      </c>
      <c r="K376" s="10">
        <v>85</v>
      </c>
      <c r="L376" s="10">
        <v>56</v>
      </c>
      <c r="M376" s="3" t="s">
        <v>30</v>
      </c>
      <c r="N376" s="3" t="s">
        <v>69</v>
      </c>
      <c r="O376" s="34">
        <v>27</v>
      </c>
      <c r="P376" s="3">
        <v>2022</v>
      </c>
      <c r="Q376" s="3">
        <f>VLOOKUP(C376,layoffs_location!A:F,6,FALSE)</f>
        <v>43.6534817</v>
      </c>
      <c r="R376" s="3">
        <f>VLOOKUP(C376,layoffs_location!A:G,7,FALSE)</f>
        <v>-79.383934699999998</v>
      </c>
    </row>
    <row r="377" spans="1:18" x14ac:dyDescent="0.2">
      <c r="A377" s="3">
        <v>376</v>
      </c>
      <c r="B377" s="3" t="s">
        <v>240</v>
      </c>
      <c r="C377" s="3" t="s">
        <v>1443</v>
      </c>
      <c r="D377" s="3" t="str">
        <f>VLOOKUP(C377,layoffs_location!A:B,2,FALSE)</f>
        <v>San Francisco Bay Area</v>
      </c>
      <c r="E377" s="3" t="str">
        <f>VLOOKUP(C377,layoffs_location!A:C,3,FALSE)</f>
        <v>California</v>
      </c>
      <c r="F377" s="3" t="str">
        <f>VLOOKUP(C377,layoffs_location!A:D,4,FALSE)</f>
        <v>USA</v>
      </c>
      <c r="G377" s="3" t="str">
        <f>VLOOKUP(C377,layoffs_location!A:E,5,FALSE)</f>
        <v>North America</v>
      </c>
      <c r="H377" s="3">
        <v>340</v>
      </c>
      <c r="I377" s="8">
        <v>44677</v>
      </c>
      <c r="J377" s="9">
        <v>9</v>
      </c>
      <c r="K377" s="10">
        <v>3778</v>
      </c>
      <c r="L377" s="10">
        <v>3438</v>
      </c>
      <c r="M377" s="3" t="s">
        <v>35</v>
      </c>
      <c r="N377" s="3" t="s">
        <v>28</v>
      </c>
      <c r="O377" s="34">
        <v>5600</v>
      </c>
      <c r="P377" s="3">
        <v>2022</v>
      </c>
      <c r="Q377" s="3">
        <f>VLOOKUP(C377,layoffs_location!A:F,6,FALSE)</f>
        <v>37.451967099999997</v>
      </c>
      <c r="R377" s="3">
        <f>VLOOKUP(C377,layoffs_location!A:G,7,FALSE)</f>
        <v>-122.177992</v>
      </c>
    </row>
    <row r="378" spans="1:18" x14ac:dyDescent="0.2">
      <c r="A378" s="3">
        <v>377</v>
      </c>
      <c r="B378" s="3" t="s">
        <v>356</v>
      </c>
      <c r="C378" s="3" t="s">
        <v>1716</v>
      </c>
      <c r="D378" s="3" t="str">
        <f>VLOOKUP(C378,layoffs_location!A:B,2,FALSE)</f>
        <v>San Francisco Bay Area</v>
      </c>
      <c r="E378" s="3" t="str">
        <f>VLOOKUP(C378,layoffs_location!A:C,3,FALSE)</f>
        <v>California</v>
      </c>
      <c r="F378" s="3" t="str">
        <f>VLOOKUP(C378,layoffs_location!A:D,4,FALSE)</f>
        <v>USA</v>
      </c>
      <c r="G378" s="3" t="str">
        <f>VLOOKUP(C378,layoffs_location!A:E,5,FALSE)</f>
        <v>North America</v>
      </c>
      <c r="H378" s="3">
        <v>150</v>
      </c>
      <c r="I378" s="8">
        <v>44679</v>
      </c>
      <c r="J378" s="9">
        <v>19</v>
      </c>
      <c r="K378" s="10">
        <v>789</v>
      </c>
      <c r="L378" s="10">
        <v>639</v>
      </c>
      <c r="M378" s="3" t="s">
        <v>68</v>
      </c>
      <c r="N378" s="3" t="s">
        <v>108</v>
      </c>
      <c r="O378" s="34">
        <v>130</v>
      </c>
      <c r="P378" s="3">
        <v>2022</v>
      </c>
      <c r="Q378" s="3">
        <f>VLOOKUP(C378,layoffs_location!A:F,6,FALSE)</f>
        <v>37.8708393</v>
      </c>
      <c r="R378" s="3">
        <f>VLOOKUP(C378,layoffs_location!A:G,7,FALSE)</f>
        <v>-122.272863</v>
      </c>
    </row>
    <row r="379" spans="1:18" x14ac:dyDescent="0.2">
      <c r="A379" s="3">
        <v>378</v>
      </c>
      <c r="B379" s="3" t="s">
        <v>1045</v>
      </c>
      <c r="C379" s="3" t="s">
        <v>47</v>
      </c>
      <c r="D379" s="3" t="str">
        <f>VLOOKUP(C379,layoffs_location!A:B,2,FALSE)</f>
        <v>other</v>
      </c>
      <c r="E379" s="3" t="str">
        <f>VLOOKUP(C379,layoffs_location!A:C,3,FALSE)</f>
        <v>non</v>
      </c>
      <c r="F379" s="3" t="str">
        <f>VLOOKUP(C379,layoffs_location!A:D,4,FALSE)</f>
        <v>Israel</v>
      </c>
      <c r="G379" s="3" t="str">
        <f>VLOOKUP(C379,layoffs_location!A:E,5,FALSE)</f>
        <v>Asia</v>
      </c>
      <c r="H379" s="3">
        <v>500</v>
      </c>
      <c r="I379" s="8">
        <v>44682</v>
      </c>
      <c r="J379" s="9">
        <v>67</v>
      </c>
      <c r="K379" s="10">
        <v>746</v>
      </c>
      <c r="L379" s="10">
        <v>246</v>
      </c>
      <c r="M379" s="3" t="s">
        <v>77</v>
      </c>
      <c r="N379" s="3" t="s">
        <v>49</v>
      </c>
      <c r="O379" s="34">
        <v>45</v>
      </c>
      <c r="P379" s="3">
        <v>2022</v>
      </c>
      <c r="Q379" s="3">
        <f>VLOOKUP(C379,layoffs_location!A:F,6,FALSE)</f>
        <v>32.0852997</v>
      </c>
      <c r="R379" s="3">
        <f>VLOOKUP(C379,layoffs_location!A:G,7,FALSE)</f>
        <v>34.781806400000001</v>
      </c>
    </row>
    <row r="380" spans="1:18" x14ac:dyDescent="0.2">
      <c r="A380" s="3">
        <v>379</v>
      </c>
      <c r="B380" s="3" t="s">
        <v>1043</v>
      </c>
      <c r="C380" s="3" t="s">
        <v>154</v>
      </c>
      <c r="D380" s="3" t="str">
        <f>VLOOKUP(C380,layoffs_location!A:B,2,FALSE)</f>
        <v>other</v>
      </c>
      <c r="E380" s="3" t="str">
        <f>VLOOKUP(C380,layoffs_location!A:C,3,FALSE)</f>
        <v>Illinois</v>
      </c>
      <c r="F380" s="3" t="str">
        <f>VLOOKUP(C380,layoffs_location!A:D,4,FALSE)</f>
        <v>USA</v>
      </c>
      <c r="G380" s="3" t="str">
        <f>VLOOKUP(C380,layoffs_location!A:E,5,FALSE)</f>
        <v>North America</v>
      </c>
      <c r="H380" s="3">
        <v>87</v>
      </c>
      <c r="I380" s="8">
        <v>44685</v>
      </c>
      <c r="J380" s="9">
        <v>25</v>
      </c>
      <c r="K380" s="10">
        <v>348</v>
      </c>
      <c r="L380" s="10">
        <v>261</v>
      </c>
      <c r="M380" s="3" t="s">
        <v>16</v>
      </c>
      <c r="N380" s="3" t="s">
        <v>22</v>
      </c>
      <c r="O380" s="34">
        <v>165</v>
      </c>
      <c r="P380" s="3">
        <v>2022</v>
      </c>
      <c r="Q380" s="3">
        <f>VLOOKUP(C380,layoffs_location!A:F,6,FALSE)</f>
        <v>41.875561599999997</v>
      </c>
      <c r="R380" s="3">
        <f>VLOOKUP(C380,layoffs_location!A:G,7,FALSE)</f>
        <v>-87.6244212</v>
      </c>
    </row>
    <row r="381" spans="1:18" ht="16" x14ac:dyDescent="0.2">
      <c r="A381" s="3">
        <v>380</v>
      </c>
      <c r="B381" s="3" t="s">
        <v>1044</v>
      </c>
      <c r="C381" s="11" t="s">
        <v>1370</v>
      </c>
      <c r="D381" s="3" t="str">
        <f>VLOOKUP(C381,layoffs_location!A:B,2,FALSE)</f>
        <v>San Francisco Bay Area</v>
      </c>
      <c r="E381" s="3" t="str">
        <f>VLOOKUP(C381,layoffs_location!A:C,3,FALSE)</f>
        <v>California</v>
      </c>
      <c r="F381" s="3" t="str">
        <f>VLOOKUP(C381,layoffs_location!A:D,4,FALSE)</f>
        <v>USA</v>
      </c>
      <c r="G381" s="3" t="str">
        <f>VLOOKUP(C381,layoffs_location!A:E,5,FALSE)</f>
        <v>North America</v>
      </c>
      <c r="H381" s="3">
        <v>45</v>
      </c>
      <c r="I381" s="8">
        <v>44685</v>
      </c>
      <c r="J381" s="9">
        <v>30</v>
      </c>
      <c r="K381" s="10">
        <v>150</v>
      </c>
      <c r="L381" s="10">
        <v>105</v>
      </c>
      <c r="M381" s="3" t="s">
        <v>35</v>
      </c>
      <c r="N381" s="3" t="s">
        <v>69</v>
      </c>
      <c r="O381" s="34">
        <v>64</v>
      </c>
      <c r="P381" s="3">
        <v>2022</v>
      </c>
      <c r="Q381" s="3">
        <f>VLOOKUP(C381,layoffs_location!A:F,6,FALSE)</f>
        <v>37.779258800000001</v>
      </c>
      <c r="R381" s="3">
        <f>VLOOKUP(C381,layoffs_location!A:G,7,FALSE)</f>
        <v>-122.4193286</v>
      </c>
    </row>
    <row r="382" spans="1:18" x14ac:dyDescent="0.2">
      <c r="A382" s="3">
        <v>381</v>
      </c>
      <c r="B382" s="3" t="s">
        <v>1042</v>
      </c>
      <c r="C382" s="3" t="s">
        <v>231</v>
      </c>
      <c r="D382" s="3" t="str">
        <f>VLOOKUP(C382,layoffs_location!A:B,2,FALSE)</f>
        <v>other</v>
      </c>
      <c r="E382" s="3" t="str">
        <f>VLOOKUP(C382,layoffs_location!A:C,3,FALSE)</f>
        <v>New South Wales</v>
      </c>
      <c r="F382" s="3" t="str">
        <f>VLOOKUP(C382,layoffs_location!A:D,4,FALSE)</f>
        <v>Australia</v>
      </c>
      <c r="G382" s="3" t="str">
        <f>VLOOKUP(C382,layoffs_location!A:E,5,FALSE)</f>
        <v>Oceana</v>
      </c>
      <c r="H382" s="3">
        <v>300</v>
      </c>
      <c r="I382" s="8">
        <v>44685</v>
      </c>
      <c r="J382" s="9">
        <v>100</v>
      </c>
      <c r="K382" s="10">
        <v>300</v>
      </c>
      <c r="L382" s="10">
        <v>0</v>
      </c>
      <c r="M382" s="3" t="s">
        <v>77</v>
      </c>
      <c r="N382" s="3" t="s">
        <v>147</v>
      </c>
      <c r="O382" s="34">
        <v>3</v>
      </c>
      <c r="P382" s="3">
        <v>2022</v>
      </c>
      <c r="Q382" s="3">
        <f>VLOOKUP(C382,layoffs_location!A:F,6,FALSE)</f>
        <v>-33.869843899999999</v>
      </c>
      <c r="R382" s="3">
        <f>VLOOKUP(C382,layoffs_location!A:G,7,FALSE)</f>
        <v>151.2082848</v>
      </c>
    </row>
    <row r="383" spans="1:18" ht="16" x14ac:dyDescent="0.2">
      <c r="A383" s="3">
        <v>382</v>
      </c>
      <c r="B383" s="3" t="s">
        <v>1041</v>
      </c>
      <c r="C383" s="11" t="s">
        <v>1370</v>
      </c>
      <c r="D383" s="3" t="str">
        <f>VLOOKUP(C383,layoffs_location!A:B,2,FALSE)</f>
        <v>San Francisco Bay Area</v>
      </c>
      <c r="E383" s="3" t="str">
        <f>VLOOKUP(C383,layoffs_location!A:C,3,FALSE)</f>
        <v>California</v>
      </c>
      <c r="F383" s="3" t="str">
        <f>VLOOKUP(C383,layoffs_location!A:D,4,FALSE)</f>
        <v>USA</v>
      </c>
      <c r="G383" s="3" t="str">
        <f>VLOOKUP(C383,layoffs_location!A:E,5,FALSE)</f>
        <v>North America</v>
      </c>
      <c r="H383" s="3">
        <v>90</v>
      </c>
      <c r="I383" s="8">
        <v>44686</v>
      </c>
      <c r="J383" s="9">
        <v>10</v>
      </c>
      <c r="K383" s="10">
        <v>900</v>
      </c>
      <c r="L383" s="10">
        <v>810</v>
      </c>
      <c r="M383" s="3" t="s">
        <v>48</v>
      </c>
      <c r="N383" s="3" t="s">
        <v>41</v>
      </c>
      <c r="O383" s="34">
        <v>192</v>
      </c>
      <c r="P383" s="3">
        <v>2022</v>
      </c>
      <c r="Q383" s="3">
        <f>VLOOKUP(C383,layoffs_location!A:F,6,FALSE)</f>
        <v>37.779258800000001</v>
      </c>
      <c r="R383" s="3">
        <f>VLOOKUP(C383,layoffs_location!A:G,7,FALSE)</f>
        <v>-122.4193286</v>
      </c>
    </row>
    <row r="384" spans="1:18" ht="16" x14ac:dyDescent="0.2">
      <c r="A384" s="3">
        <v>383</v>
      </c>
      <c r="B384" s="3" t="s">
        <v>845</v>
      </c>
      <c r="C384" s="11" t="s">
        <v>1370</v>
      </c>
      <c r="D384" s="3" t="str">
        <f>VLOOKUP(C384,layoffs_location!A:B,2,FALSE)</f>
        <v>San Francisco Bay Area</v>
      </c>
      <c r="E384" s="3" t="str">
        <f>VLOOKUP(C384,layoffs_location!A:C,3,FALSE)</f>
        <v>California</v>
      </c>
      <c r="F384" s="3" t="str">
        <f>VLOOKUP(C384,layoffs_location!A:D,4,FALSE)</f>
        <v>USA</v>
      </c>
      <c r="G384" s="3" t="str">
        <f>VLOOKUP(C384,layoffs_location!A:E,5,FALSE)</f>
        <v>North America</v>
      </c>
      <c r="H384" s="3">
        <v>72</v>
      </c>
      <c r="I384" s="8">
        <v>44686</v>
      </c>
      <c r="J384" s="9">
        <v>25</v>
      </c>
      <c r="K384" s="10">
        <v>288</v>
      </c>
      <c r="L384" s="10">
        <v>216</v>
      </c>
      <c r="M384" s="3" t="s">
        <v>68</v>
      </c>
      <c r="N384" s="3" t="s">
        <v>69</v>
      </c>
      <c r="O384" s="34">
        <v>20</v>
      </c>
      <c r="P384" s="3">
        <v>2022</v>
      </c>
      <c r="Q384" s="3">
        <f>VLOOKUP(C384,layoffs_location!A:F,6,FALSE)</f>
        <v>37.779258800000001</v>
      </c>
      <c r="R384" s="3">
        <f>VLOOKUP(C384,layoffs_location!A:G,7,FALSE)</f>
        <v>-122.4193286</v>
      </c>
    </row>
    <row r="385" spans="1:18" x14ac:dyDescent="0.2">
      <c r="A385" s="3">
        <v>384</v>
      </c>
      <c r="B385" s="3" t="s">
        <v>1032</v>
      </c>
      <c r="C385" s="3" t="s">
        <v>13</v>
      </c>
      <c r="D385" s="3" t="str">
        <f>VLOOKUP(C385,layoffs_location!A:B,2,FALSE)</f>
        <v>other</v>
      </c>
      <c r="E385" s="3" t="str">
        <f>VLOOKUP(C385,layoffs_location!A:C,3,FALSE)</f>
        <v>Karnataka</v>
      </c>
      <c r="F385" s="3" t="str">
        <f>VLOOKUP(C385,layoffs_location!A:D,4,FALSE)</f>
        <v>India</v>
      </c>
      <c r="G385" s="3" t="str">
        <f>VLOOKUP(C385,layoffs_location!A:E,5,FALSE)</f>
        <v>Asia</v>
      </c>
      <c r="H385" s="3">
        <v>200</v>
      </c>
      <c r="I385" s="8">
        <v>44686</v>
      </c>
      <c r="J385" s="9">
        <v>3</v>
      </c>
      <c r="K385" s="10">
        <v>6667</v>
      </c>
      <c r="L385" s="10">
        <v>6467</v>
      </c>
      <c r="M385" s="3" t="s">
        <v>68</v>
      </c>
      <c r="N385" s="3" t="s">
        <v>36</v>
      </c>
      <c r="O385" s="34">
        <v>292</v>
      </c>
      <c r="P385" s="3">
        <v>2022</v>
      </c>
      <c r="Q385" s="3">
        <f>VLOOKUP(C385,layoffs_location!A:F,6,FALSE)</f>
        <v>12.98815675</v>
      </c>
      <c r="R385" s="3">
        <f>VLOOKUP(C385,layoffs_location!A:G,7,FALSE)</f>
        <v>77.622600037959998</v>
      </c>
    </row>
    <row r="386" spans="1:18" x14ac:dyDescent="0.2">
      <c r="A386" s="3">
        <v>385</v>
      </c>
      <c r="B386" s="3" t="s">
        <v>1040</v>
      </c>
      <c r="C386" s="3" t="s">
        <v>220</v>
      </c>
      <c r="D386" s="3" t="str">
        <f>VLOOKUP(C386,layoffs_location!A:B,2,FALSE)</f>
        <v>other</v>
      </c>
      <c r="E386" s="3" t="str">
        <f>VLOOKUP(C386,layoffs_location!A:C,3,FALSE)</f>
        <v>Florida</v>
      </c>
      <c r="F386" s="3" t="str">
        <f>VLOOKUP(C386,layoffs_location!A:D,4,FALSE)</f>
        <v>USA</v>
      </c>
      <c r="G386" s="3" t="str">
        <f>VLOOKUP(C386,layoffs_location!A:E,5,FALSE)</f>
        <v>North America</v>
      </c>
      <c r="H386" s="3">
        <v>750</v>
      </c>
      <c r="I386" s="8">
        <v>44687</v>
      </c>
      <c r="J386" s="9">
        <v>5</v>
      </c>
      <c r="K386" s="10">
        <v>15000</v>
      </c>
      <c r="L386" s="10">
        <v>14250</v>
      </c>
      <c r="M386" s="3" t="s">
        <v>32</v>
      </c>
      <c r="N386" s="3" t="s">
        <v>22</v>
      </c>
      <c r="P386" s="3">
        <v>2022</v>
      </c>
      <c r="Q386" s="3">
        <f>VLOOKUP(C386,layoffs_location!A:F,6,FALSE)</f>
        <v>25.774172799999999</v>
      </c>
      <c r="R386" s="3">
        <f>VLOOKUP(C386,layoffs_location!A:G,7,FALSE)</f>
        <v>-80.193619999999996</v>
      </c>
    </row>
    <row r="387" spans="1:18" x14ac:dyDescent="0.2">
      <c r="A387" s="3">
        <v>386</v>
      </c>
      <c r="B387" s="3" t="s">
        <v>1039</v>
      </c>
      <c r="C387" s="3" t="s">
        <v>97</v>
      </c>
      <c r="D387" s="3" t="str">
        <f>VLOOKUP(C387,layoffs_location!A:B,2,FALSE)</f>
        <v>other</v>
      </c>
      <c r="E387" s="3" t="str">
        <f>VLOOKUP(C387,layoffs_location!A:C,3,FALSE)</f>
        <v>non</v>
      </c>
      <c r="F387" s="3" t="str">
        <f>VLOOKUP(C387,layoffs_location!A:D,4,FALSE)</f>
        <v>France</v>
      </c>
      <c r="G387" s="3" t="str">
        <f>VLOOKUP(C387,layoffs_location!A:E,5,FALSE)</f>
        <v>Europe</v>
      </c>
      <c r="H387" s="3">
        <v>350</v>
      </c>
      <c r="I387" s="8">
        <v>44690</v>
      </c>
      <c r="J387" s="9">
        <v>50</v>
      </c>
      <c r="K387" s="10">
        <v>700</v>
      </c>
      <c r="L387" s="10">
        <v>350</v>
      </c>
      <c r="M387" s="3" t="s">
        <v>60</v>
      </c>
      <c r="N387" s="3" t="s">
        <v>41</v>
      </c>
      <c r="O387" s="34">
        <v>293</v>
      </c>
      <c r="P387" s="3">
        <v>2022</v>
      </c>
      <c r="Q387" s="3">
        <f>VLOOKUP(C387,layoffs_location!A:F,6,FALSE)</f>
        <v>48.858889699999999</v>
      </c>
      <c r="R387" s="3">
        <f>VLOOKUP(C387,layoffs_location!A:G,7,FALSE)</f>
        <v>2.32004102172007</v>
      </c>
    </row>
    <row r="388" spans="1:18" x14ac:dyDescent="0.2">
      <c r="A388" s="3">
        <v>387</v>
      </c>
      <c r="B388" s="3" t="s">
        <v>318</v>
      </c>
      <c r="C388" s="3" t="s">
        <v>39</v>
      </c>
      <c r="D388" s="3" t="str">
        <f>VLOOKUP(C388,layoffs_location!A:B,2,FALSE)</f>
        <v>New York</v>
      </c>
      <c r="E388" s="3" t="str">
        <f>VLOOKUP(C388,layoffs_location!A:C,3,FALSE)</f>
        <v>New York</v>
      </c>
      <c r="F388" s="3" t="str">
        <f>VLOOKUP(C388,layoffs_location!A:D,4,FALSE)</f>
        <v>USA</v>
      </c>
      <c r="G388" s="3" t="str">
        <f>VLOOKUP(C388,layoffs_location!A:E,5,FALSE)</f>
        <v>North America</v>
      </c>
      <c r="H388" s="3">
        <v>270</v>
      </c>
      <c r="I388" s="8">
        <v>44690</v>
      </c>
      <c r="J388" s="9">
        <v>14</v>
      </c>
      <c r="K388" s="10">
        <v>1929</v>
      </c>
      <c r="L388" s="10">
        <v>1659</v>
      </c>
      <c r="M388" s="3" t="s">
        <v>32</v>
      </c>
      <c r="N388" s="3" t="s">
        <v>28</v>
      </c>
      <c r="P388" s="3">
        <v>2022</v>
      </c>
      <c r="Q388" s="3">
        <f>VLOOKUP(C388,layoffs_location!A:F,6,FALSE)</f>
        <v>40.7127281</v>
      </c>
      <c r="R388" s="3">
        <f>VLOOKUP(C388,layoffs_location!A:G,7,FALSE)</f>
        <v>-74.006015199999993</v>
      </c>
    </row>
    <row r="389" spans="1:18" x14ac:dyDescent="0.2">
      <c r="A389" s="3">
        <v>388</v>
      </c>
      <c r="B389" s="3" t="s">
        <v>666</v>
      </c>
      <c r="C389" s="3" t="s">
        <v>264</v>
      </c>
      <c r="D389" s="3" t="str">
        <f>VLOOKUP(C389,layoffs_location!A:B,2,FALSE)</f>
        <v>other</v>
      </c>
      <c r="E389" s="3" t="str">
        <f>VLOOKUP(C389,layoffs_location!A:C,3,FALSE)</f>
        <v>Arizona</v>
      </c>
      <c r="F389" s="3" t="str">
        <f>VLOOKUP(C389,layoffs_location!A:D,4,FALSE)</f>
        <v>USA</v>
      </c>
      <c r="G389" s="3" t="str">
        <f>VLOOKUP(C389,layoffs_location!A:E,5,FALSE)</f>
        <v>North America</v>
      </c>
      <c r="H389" s="3">
        <v>2500</v>
      </c>
      <c r="I389" s="8">
        <v>44691</v>
      </c>
      <c r="J389" s="9">
        <v>12</v>
      </c>
      <c r="K389" s="10">
        <v>20833</v>
      </c>
      <c r="L389" s="10">
        <v>18333</v>
      </c>
      <c r="M389" s="3" t="s">
        <v>32</v>
      </c>
      <c r="N389" s="3" t="s">
        <v>28</v>
      </c>
      <c r="P389" s="3">
        <v>2022</v>
      </c>
      <c r="Q389" s="3">
        <f>VLOOKUP(C389,layoffs_location!A:F,6,FALSE)</f>
        <v>33.448436700000002</v>
      </c>
      <c r="R389" s="3">
        <f>VLOOKUP(C389,layoffs_location!A:G,7,FALSE)</f>
        <v>-112.074141</v>
      </c>
    </row>
    <row r="390" spans="1:18" x14ac:dyDescent="0.2">
      <c r="A390" s="3">
        <v>389</v>
      </c>
      <c r="B390" s="3" t="s">
        <v>618</v>
      </c>
      <c r="C390" s="3" t="s">
        <v>1715</v>
      </c>
      <c r="D390" s="3" t="str">
        <f>VLOOKUP(C390,layoffs_location!A:B,2,FALSE)</f>
        <v>other</v>
      </c>
      <c r="E390" s="3" t="str">
        <f>VLOOKUP(C390,layoffs_location!A:C,3,FALSE)</f>
        <v>California</v>
      </c>
      <c r="F390" s="3" t="str">
        <f>VLOOKUP(C390,layoffs_location!A:D,4,FALSE)</f>
        <v>USA</v>
      </c>
      <c r="G390" s="3" t="str">
        <f>VLOOKUP(C390,layoffs_location!A:E,5,FALSE)</f>
        <v>North America</v>
      </c>
      <c r="H390" s="3">
        <v>310</v>
      </c>
      <c r="I390" s="8">
        <v>44691</v>
      </c>
      <c r="J390" s="9">
        <v>15</v>
      </c>
      <c r="K390" s="10">
        <v>2067</v>
      </c>
      <c r="L390" s="10">
        <v>1757</v>
      </c>
      <c r="M390" s="3" t="s">
        <v>35</v>
      </c>
      <c r="N390" s="3" t="s">
        <v>28</v>
      </c>
      <c r="O390" s="34">
        <v>679</v>
      </c>
      <c r="P390" s="3">
        <v>2022</v>
      </c>
      <c r="Q390" s="3">
        <f>VLOOKUP(C390,layoffs_location!A:F,6,FALSE)</f>
        <v>33.678333600000002</v>
      </c>
      <c r="R390" s="3">
        <f>VLOOKUP(C390,layoffs_location!A:G,7,FALSE)</f>
        <v>-118.000016</v>
      </c>
    </row>
    <row r="391" spans="1:18" x14ac:dyDescent="0.2">
      <c r="A391" s="3">
        <v>390</v>
      </c>
      <c r="B391" s="3" t="s">
        <v>847</v>
      </c>
      <c r="C391" s="3" t="s">
        <v>39</v>
      </c>
      <c r="D391" s="3" t="str">
        <f>VLOOKUP(C391,layoffs_location!A:B,2,FALSE)</f>
        <v>New York</v>
      </c>
      <c r="E391" s="3" t="str">
        <f>VLOOKUP(C391,layoffs_location!A:C,3,FALSE)</f>
        <v>New York</v>
      </c>
      <c r="F391" s="3" t="str">
        <f>VLOOKUP(C391,layoffs_location!A:D,4,FALSE)</f>
        <v>USA</v>
      </c>
      <c r="G391" s="3" t="str">
        <f>VLOOKUP(C391,layoffs_location!A:E,5,FALSE)</f>
        <v>North America</v>
      </c>
      <c r="H391" s="3">
        <v>30</v>
      </c>
      <c r="I391" s="8">
        <v>44691</v>
      </c>
      <c r="J391" s="9">
        <v>6</v>
      </c>
      <c r="K391" s="10">
        <v>500</v>
      </c>
      <c r="L391" s="10">
        <v>470</v>
      </c>
      <c r="M391" s="3" t="s">
        <v>139</v>
      </c>
      <c r="N391" s="3" t="s">
        <v>28</v>
      </c>
      <c r="O391" s="34">
        <v>342</v>
      </c>
      <c r="P391" s="3">
        <v>2022</v>
      </c>
      <c r="Q391" s="3">
        <f>VLOOKUP(C391,layoffs_location!A:F,6,FALSE)</f>
        <v>40.7127281</v>
      </c>
      <c r="R391" s="3">
        <f>VLOOKUP(C391,layoffs_location!A:G,7,FALSE)</f>
        <v>-74.006015199999993</v>
      </c>
    </row>
    <row r="392" spans="1:18" x14ac:dyDescent="0.2">
      <c r="A392" s="3">
        <v>391</v>
      </c>
      <c r="B392" s="3" t="s">
        <v>1038</v>
      </c>
      <c r="C392" s="3" t="s">
        <v>58</v>
      </c>
      <c r="D392" s="3" t="str">
        <f>VLOOKUP(C392,layoffs_location!A:B,2,FALSE)</f>
        <v>other</v>
      </c>
      <c r="E392" s="3" t="str">
        <f>VLOOKUP(C392,layoffs_location!A:C,3,FALSE)</f>
        <v>England</v>
      </c>
      <c r="F392" s="3" t="str">
        <f>VLOOKUP(C392,layoffs_location!A:D,4,FALSE)</f>
        <v>UK</v>
      </c>
      <c r="G392" s="3" t="str">
        <f>VLOOKUP(C392,layoffs_location!A:E,5,FALSE)</f>
        <v>Europe</v>
      </c>
      <c r="H392" s="3">
        <v>200</v>
      </c>
      <c r="I392" s="8">
        <v>44691</v>
      </c>
      <c r="J392" s="9">
        <v>33</v>
      </c>
      <c r="K392" s="10">
        <v>606</v>
      </c>
      <c r="L392" s="10">
        <v>406</v>
      </c>
      <c r="M392" s="3" t="s">
        <v>72</v>
      </c>
      <c r="N392" s="3" t="s">
        <v>41</v>
      </c>
      <c r="O392" s="34">
        <v>238</v>
      </c>
      <c r="P392" s="3">
        <v>2022</v>
      </c>
      <c r="Q392" s="3">
        <f>VLOOKUP(C392,layoffs_location!A:F,6,FALSE)</f>
        <v>51.489333500000001</v>
      </c>
      <c r="R392" s="3">
        <f>VLOOKUP(C392,layoffs_location!A:G,7,FALSE)</f>
        <v>-0.14405508452768701</v>
      </c>
    </row>
    <row r="393" spans="1:18" x14ac:dyDescent="0.2">
      <c r="A393" s="3">
        <v>392</v>
      </c>
      <c r="B393" s="3" t="s">
        <v>816</v>
      </c>
      <c r="C393" s="3" t="s">
        <v>71</v>
      </c>
      <c r="D393" s="3" t="str">
        <f>VLOOKUP(C393,layoffs_location!A:B,2,FALSE)</f>
        <v>other</v>
      </c>
      <c r="E393" s="3" t="str">
        <f>VLOOKUP(C393,layoffs_location!A:C,3,FALSE)</f>
        <v>Massachusetts</v>
      </c>
      <c r="F393" s="3" t="str">
        <f>VLOOKUP(C393,layoffs_location!A:D,4,FALSE)</f>
        <v>USA</v>
      </c>
      <c r="G393" s="3" t="str">
        <f>VLOOKUP(C393,layoffs_location!A:E,5,FALSE)</f>
        <v>North America</v>
      </c>
      <c r="H393" s="3">
        <v>70</v>
      </c>
      <c r="I393" s="8">
        <v>44692</v>
      </c>
      <c r="J393" s="9">
        <v>7</v>
      </c>
      <c r="K393" s="10">
        <v>1000</v>
      </c>
      <c r="L393" s="10">
        <v>930</v>
      </c>
      <c r="M393" s="3" t="s">
        <v>79</v>
      </c>
      <c r="N393" s="3" t="s">
        <v>81</v>
      </c>
      <c r="O393" s="34">
        <v>1000</v>
      </c>
      <c r="P393" s="3">
        <v>2022</v>
      </c>
      <c r="Q393" s="3">
        <f>VLOOKUP(C393,layoffs_location!A:F,6,FALSE)</f>
        <v>42.355433400000003</v>
      </c>
      <c r="R393" s="3">
        <f>VLOOKUP(C393,layoffs_location!A:G,7,FALSE)</f>
        <v>-71.060511000000005</v>
      </c>
    </row>
    <row r="394" spans="1:18" x14ac:dyDescent="0.2">
      <c r="A394" s="3">
        <v>393</v>
      </c>
      <c r="B394" s="3" t="s">
        <v>1035</v>
      </c>
      <c r="C394" s="3" t="s">
        <v>1036</v>
      </c>
      <c r="D394" s="3" t="str">
        <f>VLOOKUP(C394,layoffs_location!A:B,2,FALSE)</f>
        <v>other</v>
      </c>
      <c r="E394" s="3" t="str">
        <f>VLOOKUP(C394,layoffs_location!A:C,3,FALSE)</f>
        <v>non</v>
      </c>
      <c r="F394" s="3" t="str">
        <f>VLOOKUP(C394,layoffs_location!A:D,4,FALSE)</f>
        <v>Russia</v>
      </c>
      <c r="G394" s="3" t="str">
        <f>VLOOKUP(C394,layoffs_location!A:E,5,FALSE)</f>
        <v>Europe</v>
      </c>
      <c r="H394" s="3">
        <v>400</v>
      </c>
      <c r="I394" s="8">
        <v>44695</v>
      </c>
      <c r="J394" s="9">
        <v>40</v>
      </c>
      <c r="K394" s="10">
        <v>1000</v>
      </c>
      <c r="L394" s="10">
        <v>600</v>
      </c>
      <c r="M394" s="3" t="s">
        <v>30</v>
      </c>
      <c r="N394" s="3" t="s">
        <v>33</v>
      </c>
      <c r="O394" s="34">
        <v>60</v>
      </c>
      <c r="P394" s="3">
        <v>2022</v>
      </c>
      <c r="Q394" s="3">
        <f>VLOOKUP(C394,layoffs_location!A:F,6,FALSE)</f>
        <v>55.750541200000001</v>
      </c>
      <c r="R394" s="3">
        <f>VLOOKUP(C394,layoffs_location!A:G,7,FALSE)</f>
        <v>37.617478200000001</v>
      </c>
    </row>
    <row r="395" spans="1:18" x14ac:dyDescent="0.2">
      <c r="A395" s="3">
        <v>394</v>
      </c>
      <c r="B395" s="3" t="s">
        <v>1034</v>
      </c>
      <c r="C395" s="3" t="s">
        <v>187</v>
      </c>
      <c r="D395" s="3" t="str">
        <f>VLOOKUP(C395,layoffs_location!A:B,2,FALSE)</f>
        <v>other</v>
      </c>
      <c r="E395" s="3" t="str">
        <f>VLOOKUP(C395,layoffs_location!A:C,3,FALSE)</f>
        <v>State of São Paulo</v>
      </c>
      <c r="F395" s="3" t="str">
        <f>VLOOKUP(C395,layoffs_location!A:D,4,FALSE)</f>
        <v>Brazil</v>
      </c>
      <c r="G395" s="3" t="str">
        <f>VLOOKUP(C395,layoffs_location!A:E,5,FALSE)</f>
        <v>South America</v>
      </c>
      <c r="H395" s="3">
        <v>100</v>
      </c>
      <c r="I395" s="8">
        <v>44697</v>
      </c>
      <c r="J395" s="9">
        <v>40</v>
      </c>
      <c r="K395" s="10">
        <v>250</v>
      </c>
      <c r="L395" s="10">
        <v>150</v>
      </c>
      <c r="M395" s="3" t="s">
        <v>77</v>
      </c>
      <c r="N395" s="3" t="s">
        <v>69</v>
      </c>
      <c r="O395" s="34">
        <v>29</v>
      </c>
      <c r="P395" s="3">
        <v>2022</v>
      </c>
      <c r="Q395" s="3">
        <f>VLOOKUP(C395,layoffs_location!A:F,6,FALSE)</f>
        <v>-23.550650699999998</v>
      </c>
      <c r="R395" s="3">
        <f>VLOOKUP(C395,layoffs_location!A:G,7,FALSE)</f>
        <v>-46.633382400000002</v>
      </c>
    </row>
    <row r="396" spans="1:18" x14ac:dyDescent="0.2">
      <c r="A396" s="3">
        <v>395</v>
      </c>
      <c r="B396" s="3" t="s">
        <v>727</v>
      </c>
      <c r="C396" s="3" t="s">
        <v>51</v>
      </c>
      <c r="D396" s="3" t="str">
        <f>VLOOKUP(C396,layoffs_location!A:B,2,FALSE)</f>
        <v>other</v>
      </c>
      <c r="E396" s="3" t="str">
        <f>VLOOKUP(C396,layoffs_location!A:C,3,FALSE)</f>
        <v>non</v>
      </c>
      <c r="F396" s="3" t="str">
        <f>VLOOKUP(C396,layoffs_location!A:D,4,FALSE)</f>
        <v>Sweden</v>
      </c>
      <c r="G396" s="3" t="str">
        <f>VLOOKUP(C396,layoffs_location!A:E,5,FALSE)</f>
        <v>Europe</v>
      </c>
      <c r="H396" s="3">
        <v>100</v>
      </c>
      <c r="I396" s="8">
        <v>44698</v>
      </c>
      <c r="J396" s="9">
        <v>10</v>
      </c>
      <c r="K396" s="10">
        <v>1000</v>
      </c>
      <c r="L396" s="10">
        <v>900</v>
      </c>
      <c r="M396" s="3" t="s">
        <v>21</v>
      </c>
      <c r="N396" s="3" t="s">
        <v>108</v>
      </c>
      <c r="O396" s="34">
        <v>568</v>
      </c>
      <c r="P396" s="3">
        <v>2022</v>
      </c>
      <c r="Q396" s="3">
        <f>VLOOKUP(C396,layoffs_location!A:F,6,FALSE)</f>
        <v>59.325117200000001</v>
      </c>
      <c r="R396" s="3">
        <f>VLOOKUP(C396,layoffs_location!A:G,7,FALSE)</f>
        <v>18.0710935</v>
      </c>
    </row>
    <row r="397" spans="1:18" x14ac:dyDescent="0.2">
      <c r="A397" s="3">
        <v>396</v>
      </c>
      <c r="B397" s="3" t="s">
        <v>942</v>
      </c>
      <c r="C397" s="3" t="s">
        <v>1723</v>
      </c>
      <c r="D397" s="3" t="str">
        <f>VLOOKUP(C397,layoffs_location!A:B,2,FALSE)</f>
        <v>San Francisco Bay Area</v>
      </c>
      <c r="E397" s="3" t="str">
        <f>VLOOKUP(C397,layoffs_location!A:C,3,FALSE)</f>
        <v>California</v>
      </c>
      <c r="F397" s="3" t="str">
        <f>VLOOKUP(C397,layoffs_location!A:D,4,FALSE)</f>
        <v>USA</v>
      </c>
      <c r="G397" s="3" t="str">
        <f>VLOOKUP(C397,layoffs_location!A:E,5,FALSE)</f>
        <v>North America</v>
      </c>
      <c r="H397" s="3">
        <v>150</v>
      </c>
      <c r="I397" s="8">
        <v>44698</v>
      </c>
      <c r="J397" s="9">
        <v>1</v>
      </c>
      <c r="K397" s="10">
        <v>15000</v>
      </c>
      <c r="L397" s="10">
        <v>14850</v>
      </c>
      <c r="M397" s="3" t="s">
        <v>54</v>
      </c>
      <c r="N397" s="3" t="s">
        <v>28</v>
      </c>
      <c r="O397" s="34">
        <v>121900</v>
      </c>
      <c r="P397" s="3">
        <v>2022</v>
      </c>
      <c r="Q397" s="3">
        <f>VLOOKUP(C397,layoffs_location!A:F,6,FALSE)</f>
        <v>37.226610999999998</v>
      </c>
      <c r="R397" s="3">
        <f>VLOOKUP(C397,layoffs_location!A:G,7,FALSE)</f>
        <v>-121.9746797</v>
      </c>
    </row>
    <row r="398" spans="1:18" x14ac:dyDescent="0.2">
      <c r="A398" s="3">
        <v>397</v>
      </c>
      <c r="B398" s="3" t="s">
        <v>1033</v>
      </c>
      <c r="C398" s="3" t="s">
        <v>220</v>
      </c>
      <c r="D398" s="3" t="str">
        <f>VLOOKUP(C398,layoffs_location!A:B,2,FALSE)</f>
        <v>other</v>
      </c>
      <c r="E398" s="3" t="str">
        <f>VLOOKUP(C398,layoffs_location!A:C,3,FALSE)</f>
        <v>Florida</v>
      </c>
      <c r="F398" s="3" t="str">
        <f>VLOOKUP(C398,layoffs_location!A:D,4,FALSE)</f>
        <v>USA</v>
      </c>
      <c r="G398" s="3" t="str">
        <f>VLOOKUP(C398,layoffs_location!A:E,5,FALSE)</f>
        <v>North America</v>
      </c>
      <c r="H398" s="3">
        <v>90</v>
      </c>
      <c r="I398" s="8">
        <v>44698</v>
      </c>
      <c r="J398" s="9">
        <v>8</v>
      </c>
      <c r="K398" s="10">
        <v>1125</v>
      </c>
      <c r="L398" s="10">
        <v>1035</v>
      </c>
      <c r="M398" s="3" t="s">
        <v>16</v>
      </c>
      <c r="N398" s="3" t="s">
        <v>41</v>
      </c>
      <c r="O398" s="34">
        <v>195</v>
      </c>
      <c r="P398" s="3">
        <v>2022</v>
      </c>
      <c r="Q398" s="3">
        <f>VLOOKUP(C398,layoffs_location!A:F,6,FALSE)</f>
        <v>25.774172799999999</v>
      </c>
      <c r="R398" s="3">
        <f>VLOOKUP(C398,layoffs_location!A:G,7,FALSE)</f>
        <v>-80.193619999999996</v>
      </c>
    </row>
    <row r="399" spans="1:18" x14ac:dyDescent="0.2">
      <c r="A399" s="3">
        <v>398</v>
      </c>
      <c r="B399" s="3" t="s">
        <v>1032</v>
      </c>
      <c r="C399" s="3" t="s">
        <v>13</v>
      </c>
      <c r="D399" s="3" t="str">
        <f>VLOOKUP(C399,layoffs_location!A:B,2,FALSE)</f>
        <v>other</v>
      </c>
      <c r="E399" s="3" t="str">
        <f>VLOOKUP(C399,layoffs_location!A:C,3,FALSE)</f>
        <v>Karnataka</v>
      </c>
      <c r="F399" s="3" t="str">
        <f>VLOOKUP(C399,layoffs_location!A:D,4,FALSE)</f>
        <v>India</v>
      </c>
      <c r="G399" s="3" t="str">
        <f>VLOOKUP(C399,layoffs_location!A:E,5,FALSE)</f>
        <v>Asia</v>
      </c>
      <c r="H399" s="3">
        <v>424</v>
      </c>
      <c r="I399" s="8">
        <v>44699</v>
      </c>
      <c r="J399" s="9">
        <v>7</v>
      </c>
      <c r="K399" s="10">
        <v>6057</v>
      </c>
      <c r="L399" s="10">
        <v>5633</v>
      </c>
      <c r="M399" s="3" t="s">
        <v>68</v>
      </c>
      <c r="N399" s="3" t="s">
        <v>36</v>
      </c>
      <c r="O399" s="34">
        <v>292</v>
      </c>
      <c r="P399" s="3">
        <v>2022</v>
      </c>
      <c r="Q399" s="3">
        <f>VLOOKUP(C399,layoffs_location!A:F,6,FALSE)</f>
        <v>12.98815675</v>
      </c>
      <c r="R399" s="3">
        <f>VLOOKUP(C399,layoffs_location!A:G,7,FALSE)</f>
        <v>77.622600037959998</v>
      </c>
    </row>
    <row r="400" spans="1:18" x14ac:dyDescent="0.2">
      <c r="A400" s="3">
        <v>399</v>
      </c>
      <c r="B400" s="3" t="s">
        <v>1031</v>
      </c>
      <c r="C400" s="3" t="s">
        <v>182</v>
      </c>
      <c r="D400" s="3" t="str">
        <f>VLOOKUP(C400,layoffs_location!A:B,2,FALSE)</f>
        <v>other</v>
      </c>
      <c r="E400" s="3" t="str">
        <f>VLOOKUP(C400,layoffs_location!A:C,3,FALSE)</f>
        <v>Haryana</v>
      </c>
      <c r="F400" s="3" t="str">
        <f>VLOOKUP(C400,layoffs_location!A:D,4,FALSE)</f>
        <v>India</v>
      </c>
      <c r="G400" s="3" t="str">
        <f>VLOOKUP(C400,layoffs_location!A:E,5,FALSE)</f>
        <v>Asia</v>
      </c>
      <c r="H400" s="3">
        <v>600</v>
      </c>
      <c r="I400" s="8">
        <v>44700</v>
      </c>
      <c r="J400" s="9">
        <v>6</v>
      </c>
      <c r="K400" s="10">
        <v>10000</v>
      </c>
      <c r="L400" s="10">
        <v>9400</v>
      </c>
      <c r="M400" s="3" t="s">
        <v>32</v>
      </c>
      <c r="N400" s="3" t="s">
        <v>81</v>
      </c>
      <c r="O400" s="34">
        <v>1300</v>
      </c>
      <c r="P400" s="3">
        <v>2022</v>
      </c>
      <c r="Q400" s="3">
        <f>VLOOKUP(C400,layoffs_location!A:F,6,FALSE)</f>
        <v>28.4646148</v>
      </c>
      <c r="R400" s="3">
        <f>VLOOKUP(C400,layoffs_location!A:G,7,FALSE)</f>
        <v>77.029919399999997</v>
      </c>
    </row>
    <row r="401" spans="1:18" x14ac:dyDescent="0.2">
      <c r="A401" s="3">
        <v>400</v>
      </c>
      <c r="B401" s="3" t="s">
        <v>847</v>
      </c>
      <c r="C401" s="3" t="s">
        <v>39</v>
      </c>
      <c r="D401" s="3" t="str">
        <f>VLOOKUP(C401,layoffs_location!A:B,2,FALSE)</f>
        <v>New York</v>
      </c>
      <c r="E401" s="3" t="str">
        <f>VLOOKUP(C401,layoffs_location!A:C,3,FALSE)</f>
        <v>New York</v>
      </c>
      <c r="F401" s="3" t="str">
        <f>VLOOKUP(C401,layoffs_location!A:D,4,FALSE)</f>
        <v>USA</v>
      </c>
      <c r="G401" s="3" t="str">
        <f>VLOOKUP(C401,layoffs_location!A:E,5,FALSE)</f>
        <v>North America</v>
      </c>
      <c r="H401" s="3">
        <v>130</v>
      </c>
      <c r="I401" s="8">
        <v>44701</v>
      </c>
      <c r="J401" s="9">
        <v>28</v>
      </c>
      <c r="K401" s="10">
        <v>464</v>
      </c>
      <c r="L401" s="10">
        <v>334</v>
      </c>
      <c r="M401" s="3" t="s">
        <v>139</v>
      </c>
      <c r="N401" s="3" t="s">
        <v>28</v>
      </c>
      <c r="O401" s="34">
        <v>342</v>
      </c>
      <c r="P401" s="3">
        <v>2022</v>
      </c>
      <c r="Q401" s="3">
        <f>VLOOKUP(C401,layoffs_location!A:F,6,FALSE)</f>
        <v>40.7127281</v>
      </c>
      <c r="R401" s="3">
        <f>VLOOKUP(C401,layoffs_location!A:G,7,FALSE)</f>
        <v>-74.006015199999993</v>
      </c>
    </row>
    <row r="402" spans="1:18" x14ac:dyDescent="0.2">
      <c r="A402" s="3">
        <v>401</v>
      </c>
      <c r="B402" s="3" t="s">
        <v>1029</v>
      </c>
      <c r="C402" s="3" t="s">
        <v>531</v>
      </c>
      <c r="D402" s="3" t="str">
        <f>VLOOKUP(C402,layoffs_location!A:B,2,FALSE)</f>
        <v>other</v>
      </c>
      <c r="E402" s="3" t="str">
        <f>VLOOKUP(C402,layoffs_location!A:C,3,FALSE)</f>
        <v>Colorado</v>
      </c>
      <c r="F402" s="3" t="str">
        <f>VLOOKUP(C402,layoffs_location!A:D,4,FALSE)</f>
        <v>USA</v>
      </c>
      <c r="G402" s="3" t="str">
        <f>VLOOKUP(C402,layoffs_location!A:E,5,FALSE)</f>
        <v>North America</v>
      </c>
      <c r="H402" s="3">
        <v>87</v>
      </c>
      <c r="I402" s="8">
        <v>44701</v>
      </c>
      <c r="J402" s="9">
        <v>15</v>
      </c>
      <c r="K402" s="10">
        <v>580</v>
      </c>
      <c r="L402" s="10">
        <v>493</v>
      </c>
      <c r="M402" s="3" t="s">
        <v>54</v>
      </c>
      <c r="N402" s="3" t="s">
        <v>49</v>
      </c>
      <c r="O402" s="34">
        <v>174</v>
      </c>
      <c r="P402" s="3">
        <v>2022</v>
      </c>
      <c r="Q402" s="3">
        <f>VLOOKUP(C402,layoffs_location!A:F,6,FALSE)</f>
        <v>40.014985600000003</v>
      </c>
      <c r="R402" s="3">
        <f>VLOOKUP(C402,layoffs_location!A:G,7,FALSE)</f>
        <v>-105.270545</v>
      </c>
    </row>
    <row r="403" spans="1:18" ht="16" x14ac:dyDescent="0.2">
      <c r="A403" s="3">
        <v>402</v>
      </c>
      <c r="B403" s="3" t="s">
        <v>1030</v>
      </c>
      <c r="C403" s="11" t="s">
        <v>1370</v>
      </c>
      <c r="D403" s="3" t="str">
        <f>VLOOKUP(C403,layoffs_location!A:B,2,FALSE)</f>
        <v>San Francisco Bay Area</v>
      </c>
      <c r="E403" s="3" t="str">
        <f>VLOOKUP(C403,layoffs_location!A:C,3,FALSE)</f>
        <v>California</v>
      </c>
      <c r="F403" s="3" t="str">
        <f>VLOOKUP(C403,layoffs_location!A:D,4,FALSE)</f>
        <v>USA</v>
      </c>
      <c r="G403" s="3" t="str">
        <f>VLOOKUP(C403,layoffs_location!A:E,5,FALSE)</f>
        <v>North America</v>
      </c>
      <c r="H403" s="3">
        <v>70</v>
      </c>
      <c r="I403" s="8">
        <v>44701</v>
      </c>
      <c r="J403" s="9">
        <v>10</v>
      </c>
      <c r="K403" s="10">
        <v>700</v>
      </c>
      <c r="L403" s="10">
        <v>630</v>
      </c>
      <c r="M403" s="3" t="s">
        <v>16</v>
      </c>
      <c r="N403" s="3" t="s">
        <v>28</v>
      </c>
      <c r="O403" s="34">
        <v>287</v>
      </c>
      <c r="P403" s="3">
        <v>2022</v>
      </c>
      <c r="Q403" s="3">
        <f>VLOOKUP(C403,layoffs_location!A:F,6,FALSE)</f>
        <v>37.779258800000001</v>
      </c>
      <c r="R403" s="3">
        <f>VLOOKUP(C403,layoffs_location!A:G,7,FALSE)</f>
        <v>-122.4193286</v>
      </c>
    </row>
    <row r="404" spans="1:18" x14ac:dyDescent="0.2">
      <c r="A404" s="3">
        <v>403</v>
      </c>
      <c r="B404" s="3" t="s">
        <v>1028</v>
      </c>
      <c r="C404" s="3" t="s">
        <v>13</v>
      </c>
      <c r="D404" s="3" t="str">
        <f>VLOOKUP(C404,layoffs_location!A:B,2,FALSE)</f>
        <v>other</v>
      </c>
      <c r="E404" s="3" t="str">
        <f>VLOOKUP(C404,layoffs_location!A:C,3,FALSE)</f>
        <v>Karnataka</v>
      </c>
      <c r="F404" s="3" t="str">
        <f>VLOOKUP(C404,layoffs_location!A:D,4,FALSE)</f>
        <v>India</v>
      </c>
      <c r="G404" s="3" t="str">
        <f>VLOOKUP(C404,layoffs_location!A:E,5,FALSE)</f>
        <v>Asia</v>
      </c>
      <c r="H404" s="3">
        <v>600</v>
      </c>
      <c r="I404" s="8">
        <v>44702</v>
      </c>
      <c r="J404" s="9">
        <v>75</v>
      </c>
      <c r="K404" s="10">
        <v>800</v>
      </c>
      <c r="L404" s="10">
        <v>200</v>
      </c>
      <c r="M404" s="3" t="s">
        <v>21</v>
      </c>
      <c r="N404" s="3" t="s">
        <v>41</v>
      </c>
      <c r="O404" s="34">
        <v>97</v>
      </c>
      <c r="P404" s="3">
        <v>2022</v>
      </c>
      <c r="Q404" s="3">
        <f>VLOOKUP(C404,layoffs_location!A:F,6,FALSE)</f>
        <v>12.98815675</v>
      </c>
      <c r="R404" s="3">
        <f>VLOOKUP(C404,layoffs_location!A:G,7,FALSE)</f>
        <v>77.622600037959998</v>
      </c>
    </row>
    <row r="405" spans="1:18" x14ac:dyDescent="0.2">
      <c r="A405" s="3">
        <v>404</v>
      </c>
      <c r="B405" s="3" t="s">
        <v>1027</v>
      </c>
      <c r="C405" s="3" t="s">
        <v>39</v>
      </c>
      <c r="D405" s="3" t="str">
        <f>VLOOKUP(C405,layoffs_location!A:B,2,FALSE)</f>
        <v>New York</v>
      </c>
      <c r="E405" s="3" t="str">
        <f>VLOOKUP(C405,layoffs_location!A:C,3,FALSE)</f>
        <v>New York</v>
      </c>
      <c r="F405" s="3" t="str">
        <f>VLOOKUP(C405,layoffs_location!A:D,4,FALSE)</f>
        <v>USA</v>
      </c>
      <c r="G405" s="3" t="str">
        <f>VLOOKUP(C405,layoffs_location!A:E,5,FALSE)</f>
        <v>North America</v>
      </c>
      <c r="H405" s="3">
        <v>30</v>
      </c>
      <c r="I405" s="8">
        <v>44704</v>
      </c>
      <c r="J405" s="9">
        <v>20</v>
      </c>
      <c r="K405" s="10">
        <v>150</v>
      </c>
      <c r="L405" s="10">
        <v>120</v>
      </c>
      <c r="M405" s="3" t="s">
        <v>16</v>
      </c>
      <c r="N405" s="3" t="s">
        <v>49</v>
      </c>
      <c r="O405" s="34">
        <v>33</v>
      </c>
      <c r="P405" s="3">
        <v>2022</v>
      </c>
      <c r="Q405" s="3">
        <f>VLOOKUP(C405,layoffs_location!A:F,6,FALSE)</f>
        <v>40.7127281</v>
      </c>
      <c r="R405" s="3">
        <f>VLOOKUP(C405,layoffs_location!A:G,7,FALSE)</f>
        <v>-74.006015199999993</v>
      </c>
    </row>
    <row r="406" spans="1:18" x14ac:dyDescent="0.2">
      <c r="A406" s="3">
        <v>405</v>
      </c>
      <c r="B406" s="3" t="s">
        <v>1026</v>
      </c>
      <c r="C406" s="3" t="s">
        <v>47</v>
      </c>
      <c r="D406" s="3" t="str">
        <f>VLOOKUP(C406,layoffs_location!A:B,2,FALSE)</f>
        <v>other</v>
      </c>
      <c r="E406" s="3" t="str">
        <f>VLOOKUP(C406,layoffs_location!A:C,3,FALSE)</f>
        <v>non</v>
      </c>
      <c r="F406" s="3" t="str">
        <f>VLOOKUP(C406,layoffs_location!A:D,4,FALSE)</f>
        <v>Israel</v>
      </c>
      <c r="G406" s="3" t="str">
        <f>VLOOKUP(C406,layoffs_location!A:E,5,FALSE)</f>
        <v>Asia</v>
      </c>
      <c r="H406" s="3">
        <v>65</v>
      </c>
      <c r="I406" s="8">
        <v>44704</v>
      </c>
      <c r="J406" s="9">
        <v>100</v>
      </c>
      <c r="K406" s="10">
        <v>65</v>
      </c>
      <c r="L406" s="10">
        <v>0</v>
      </c>
      <c r="M406" s="3" t="s">
        <v>79</v>
      </c>
      <c r="N406" s="3" t="s">
        <v>69</v>
      </c>
      <c r="O406" s="34">
        <v>16</v>
      </c>
      <c r="P406" s="3">
        <v>2022</v>
      </c>
      <c r="Q406" s="3">
        <f>VLOOKUP(C406,layoffs_location!A:F,6,FALSE)</f>
        <v>32.0852997</v>
      </c>
      <c r="R406" s="3">
        <f>VLOOKUP(C406,layoffs_location!A:G,7,FALSE)</f>
        <v>34.781806400000001</v>
      </c>
    </row>
    <row r="407" spans="1:18" x14ac:dyDescent="0.2">
      <c r="A407" s="3">
        <v>406</v>
      </c>
      <c r="B407" s="3" t="s">
        <v>1025</v>
      </c>
      <c r="C407" s="3" t="s">
        <v>639</v>
      </c>
      <c r="D407" s="3" t="str">
        <f>VLOOKUP(C407,layoffs_location!A:B,2,FALSE)</f>
        <v>other</v>
      </c>
      <c r="E407" s="3" t="str">
        <f>VLOOKUP(C407,layoffs_location!A:C,3,FALSE)</f>
        <v>non</v>
      </c>
      <c r="F407" s="3" t="str">
        <f>VLOOKUP(C407,layoffs_location!A:D,4,FALSE)</f>
        <v>Argentina</v>
      </c>
      <c r="G407" s="3" t="str">
        <f>VLOOKUP(C407,layoffs_location!A:E,5,FALSE)</f>
        <v>South America</v>
      </c>
      <c r="H407" s="3">
        <v>80</v>
      </c>
      <c r="I407" s="8">
        <v>44704</v>
      </c>
      <c r="J407" s="9">
        <v>45</v>
      </c>
      <c r="K407" s="10">
        <v>178</v>
      </c>
      <c r="L407" s="10">
        <v>98</v>
      </c>
      <c r="M407" s="3" t="s">
        <v>117</v>
      </c>
      <c r="N407" s="3" t="s">
        <v>69</v>
      </c>
      <c r="O407" s="34">
        <v>11</v>
      </c>
      <c r="P407" s="3">
        <v>2022</v>
      </c>
      <c r="Q407" s="3">
        <f>VLOOKUP(C407,layoffs_location!A:F,6,FALSE)</f>
        <v>-34.603718100000002</v>
      </c>
      <c r="R407" s="3">
        <f>VLOOKUP(C407,layoffs_location!A:G,7,FALSE)</f>
        <v>-58.381529999999998</v>
      </c>
    </row>
    <row r="408" spans="1:18" x14ac:dyDescent="0.2">
      <c r="A408" s="3">
        <v>407</v>
      </c>
      <c r="B408" s="3" t="s">
        <v>236</v>
      </c>
      <c r="C408" s="3" t="s">
        <v>74</v>
      </c>
      <c r="D408" s="3" t="str">
        <f>VLOOKUP(C408,layoffs_location!A:B,2,FALSE)</f>
        <v>other</v>
      </c>
      <c r="E408" s="3" t="str">
        <f>VLOOKUP(C408,layoffs_location!A:C,3,FALSE)</f>
        <v>California</v>
      </c>
      <c r="F408" s="3" t="str">
        <f>VLOOKUP(C408,layoffs_location!A:D,4,FALSE)</f>
        <v>USA</v>
      </c>
      <c r="G408" s="3" t="str">
        <f>VLOOKUP(C408,layoffs_location!A:E,5,FALSE)</f>
        <v>North America</v>
      </c>
      <c r="H408" s="3">
        <v>60</v>
      </c>
      <c r="I408" s="8">
        <v>44704</v>
      </c>
      <c r="J408" s="9">
        <v>7</v>
      </c>
      <c r="K408" s="10">
        <v>857</v>
      </c>
      <c r="L408" s="10">
        <v>797</v>
      </c>
      <c r="M408" s="3" t="s">
        <v>60</v>
      </c>
      <c r="N408" s="3" t="s">
        <v>41</v>
      </c>
      <c r="O408" s="34">
        <v>537</v>
      </c>
      <c r="P408" s="3">
        <v>2022</v>
      </c>
      <c r="Q408" s="3">
        <f>VLOOKUP(C408,layoffs_location!A:F,6,FALSE)</f>
        <v>32.717420199999999</v>
      </c>
      <c r="R408" s="3">
        <f>VLOOKUP(C408,layoffs_location!A:G,7,FALSE)</f>
        <v>-117.162772</v>
      </c>
    </row>
    <row r="409" spans="1:18" x14ac:dyDescent="0.2">
      <c r="A409" s="3">
        <v>408</v>
      </c>
      <c r="B409" s="3" t="s">
        <v>1024</v>
      </c>
      <c r="C409" s="3" t="s">
        <v>51</v>
      </c>
      <c r="D409" s="3" t="str">
        <f>VLOOKUP(C409,layoffs_location!A:B,2,FALSE)</f>
        <v>other</v>
      </c>
      <c r="E409" s="3" t="str">
        <f>VLOOKUP(C409,layoffs_location!A:C,3,FALSE)</f>
        <v>non</v>
      </c>
      <c r="F409" s="3" t="str">
        <f>VLOOKUP(C409,layoffs_location!A:D,4,FALSE)</f>
        <v>Sweden</v>
      </c>
      <c r="G409" s="3" t="str">
        <f>VLOOKUP(C409,layoffs_location!A:E,5,FALSE)</f>
        <v>Europe</v>
      </c>
      <c r="H409" s="3">
        <v>700</v>
      </c>
      <c r="I409" s="8">
        <v>44704</v>
      </c>
      <c r="J409" s="9">
        <v>10</v>
      </c>
      <c r="K409" s="10">
        <v>7000</v>
      </c>
      <c r="L409" s="10">
        <v>6300</v>
      </c>
      <c r="M409" s="3" t="s">
        <v>35</v>
      </c>
      <c r="N409" s="3" t="s">
        <v>22</v>
      </c>
      <c r="O409" s="34">
        <v>3700</v>
      </c>
      <c r="P409" s="3">
        <v>2022</v>
      </c>
      <c r="Q409" s="3">
        <f>VLOOKUP(C409,layoffs_location!A:F,6,FALSE)</f>
        <v>59.325117200000001</v>
      </c>
      <c r="R409" s="3">
        <f>VLOOKUP(C409,layoffs_location!A:G,7,FALSE)</f>
        <v>18.0710935</v>
      </c>
    </row>
    <row r="410" spans="1:18" x14ac:dyDescent="0.2">
      <c r="A410" s="3">
        <v>409</v>
      </c>
      <c r="B410" s="3" t="s">
        <v>1023</v>
      </c>
      <c r="C410" s="3" t="s">
        <v>135</v>
      </c>
      <c r="D410" s="3" t="str">
        <f>VLOOKUP(C410,layoffs_location!A:B,2,FALSE)</f>
        <v>other</v>
      </c>
      <c r="E410" s="3" t="str">
        <f>VLOOKUP(C410,layoffs_location!A:C,3,FALSE)</f>
        <v>Berlin</v>
      </c>
      <c r="F410" s="3" t="str">
        <f>VLOOKUP(C410,layoffs_location!A:D,4,FALSE)</f>
        <v>Germany</v>
      </c>
      <c r="G410" s="3" t="str">
        <f>VLOOKUP(C410,layoffs_location!A:E,5,FALSE)</f>
        <v>Europe</v>
      </c>
      <c r="H410" s="3">
        <v>300</v>
      </c>
      <c r="I410" s="8">
        <v>44705</v>
      </c>
      <c r="J410" s="9">
        <v>50</v>
      </c>
      <c r="K410" s="10">
        <v>600</v>
      </c>
      <c r="L410" s="10">
        <v>300</v>
      </c>
      <c r="M410" s="3" t="s">
        <v>77</v>
      </c>
      <c r="N410" s="3" t="s">
        <v>41</v>
      </c>
      <c r="O410" s="34">
        <v>1300</v>
      </c>
      <c r="P410" s="3">
        <v>2022</v>
      </c>
      <c r="Q410" s="3">
        <f>VLOOKUP(C410,layoffs_location!A:F,6,FALSE)</f>
        <v>52.517036500000003</v>
      </c>
      <c r="R410" s="3">
        <f>VLOOKUP(C410,layoffs_location!A:G,7,FALSE)</f>
        <v>13.3888599</v>
      </c>
    </row>
    <row r="411" spans="1:18" x14ac:dyDescent="0.2">
      <c r="A411" s="3">
        <v>410</v>
      </c>
      <c r="B411" s="3" t="s">
        <v>34</v>
      </c>
      <c r="C411" s="3" t="s">
        <v>1370</v>
      </c>
      <c r="D411" s="3" t="str">
        <f>VLOOKUP(C411,layoffs_location!A:B,2,FALSE)</f>
        <v>San Francisco Bay Area</v>
      </c>
      <c r="E411" s="3" t="str">
        <f>VLOOKUP(C411,layoffs_location!A:C,3,FALSE)</f>
        <v>California</v>
      </c>
      <c r="F411" s="3" t="str">
        <f>VLOOKUP(C411,layoffs_location!A:D,4,FALSE)</f>
        <v>USA</v>
      </c>
      <c r="G411" s="3" t="str">
        <f>VLOOKUP(C411,layoffs_location!A:E,5,FALSE)</f>
        <v>North America</v>
      </c>
      <c r="H411" s="3">
        <v>240</v>
      </c>
      <c r="I411" s="8">
        <v>44706</v>
      </c>
      <c r="J411" s="9">
        <v>27</v>
      </c>
      <c r="K411" s="10">
        <v>889</v>
      </c>
      <c r="L411" s="10">
        <v>649</v>
      </c>
      <c r="M411" s="3" t="s">
        <v>35</v>
      </c>
      <c r="N411" s="3" t="s">
        <v>36</v>
      </c>
      <c r="O411" s="34">
        <v>1300</v>
      </c>
      <c r="P411" s="3">
        <v>2022</v>
      </c>
      <c r="Q411" s="3">
        <f>VLOOKUP(C411,layoffs_location!A:F,6,FALSE)</f>
        <v>37.779258800000001</v>
      </c>
      <c r="R411" s="3">
        <f>VLOOKUP(C411,layoffs_location!A:G,7,FALSE)</f>
        <v>-122.4193286</v>
      </c>
    </row>
    <row r="412" spans="1:18" x14ac:dyDescent="0.2">
      <c r="A412" s="3">
        <v>411</v>
      </c>
      <c r="B412" s="3" t="s">
        <v>1022</v>
      </c>
      <c r="C412" s="3" t="s">
        <v>341</v>
      </c>
      <c r="D412" s="3" t="str">
        <f>VLOOKUP(C412,layoffs_location!A:B,2,FALSE)</f>
        <v>other</v>
      </c>
      <c r="E412" s="3" t="str">
        <f>VLOOKUP(C412,layoffs_location!A:C,3,FALSE)</f>
        <v>Ohio</v>
      </c>
      <c r="F412" s="3" t="str">
        <f>VLOOKUP(C412,layoffs_location!A:D,4,FALSE)</f>
        <v>USA</v>
      </c>
      <c r="G412" s="3" t="str">
        <f>VLOOKUP(C412,layoffs_location!A:E,5,FALSE)</f>
        <v>North America</v>
      </c>
      <c r="H412" s="3">
        <v>30</v>
      </c>
      <c r="I412" s="8">
        <v>44706</v>
      </c>
      <c r="J412" s="9">
        <v>20</v>
      </c>
      <c r="K412" s="10">
        <v>150</v>
      </c>
      <c r="L412" s="10">
        <v>120</v>
      </c>
      <c r="M412" s="3" t="s">
        <v>35</v>
      </c>
      <c r="N412" s="3" t="s">
        <v>49</v>
      </c>
      <c r="O412" s="34">
        <v>70</v>
      </c>
      <c r="P412" s="3">
        <v>2022</v>
      </c>
      <c r="Q412" s="3">
        <f>VLOOKUP(C412,layoffs_location!A:F,6,FALSE)</f>
        <v>39.1014537</v>
      </c>
      <c r="R412" s="3">
        <f>VLOOKUP(C412,layoffs_location!A:G,7,FALSE)</f>
        <v>-84.512460200000007</v>
      </c>
    </row>
    <row r="413" spans="1:18" x14ac:dyDescent="0.2">
      <c r="A413" s="3">
        <v>412</v>
      </c>
      <c r="B413" s="3" t="s">
        <v>1020</v>
      </c>
      <c r="C413" s="3" t="s">
        <v>135</v>
      </c>
      <c r="D413" s="3" t="str">
        <f>VLOOKUP(C413,layoffs_location!A:B,2,FALSE)</f>
        <v>other</v>
      </c>
      <c r="E413" s="3" t="str">
        <f>VLOOKUP(C413,layoffs_location!A:C,3,FALSE)</f>
        <v>Berlin</v>
      </c>
      <c r="F413" s="3" t="str">
        <f>VLOOKUP(C413,layoffs_location!A:D,4,FALSE)</f>
        <v>Germany</v>
      </c>
      <c r="G413" s="3" t="str">
        <f>VLOOKUP(C413,layoffs_location!A:E,5,FALSE)</f>
        <v>Europe</v>
      </c>
      <c r="H413" s="3">
        <v>50</v>
      </c>
      <c r="I413" s="8">
        <v>44706</v>
      </c>
      <c r="J413" s="9">
        <v>25</v>
      </c>
      <c r="K413" s="10">
        <v>200</v>
      </c>
      <c r="L413" s="10">
        <v>150</v>
      </c>
      <c r="M413" s="3" t="s">
        <v>35</v>
      </c>
      <c r="N413" s="3" t="s">
        <v>49</v>
      </c>
      <c r="O413" s="34">
        <v>53</v>
      </c>
      <c r="P413" s="3">
        <v>2022</v>
      </c>
      <c r="Q413" s="3">
        <f>VLOOKUP(C413,layoffs_location!A:F,6,FALSE)</f>
        <v>52.517036500000003</v>
      </c>
      <c r="R413" s="3">
        <f>VLOOKUP(C413,layoffs_location!A:G,7,FALSE)</f>
        <v>13.3888599</v>
      </c>
    </row>
    <row r="414" spans="1:18" x14ac:dyDescent="0.2">
      <c r="A414" s="3">
        <v>413</v>
      </c>
      <c r="B414" s="3" t="s">
        <v>1019</v>
      </c>
      <c r="C414" s="3" t="s">
        <v>1408</v>
      </c>
      <c r="D414" s="3" t="str">
        <f>VLOOKUP(C414,layoffs_location!A:B,2,FALSE)</f>
        <v>San Francisco Bay Area</v>
      </c>
      <c r="E414" s="3" t="str">
        <f>VLOOKUP(C414,layoffs_location!A:C,3,FALSE)</f>
        <v>California</v>
      </c>
      <c r="F414" s="3" t="str">
        <f>VLOOKUP(C414,layoffs_location!A:D,4,FALSE)</f>
        <v>USA</v>
      </c>
      <c r="G414" s="3" t="str">
        <f>VLOOKUP(C414,layoffs_location!A:E,5,FALSE)</f>
        <v>North America</v>
      </c>
      <c r="H414" s="3">
        <v>300</v>
      </c>
      <c r="I414" s="8">
        <v>44706</v>
      </c>
      <c r="J414" s="9">
        <v>20</v>
      </c>
      <c r="K414" s="10">
        <v>1500</v>
      </c>
      <c r="L414" s="10">
        <v>1200</v>
      </c>
      <c r="M414" s="3" t="s">
        <v>139</v>
      </c>
      <c r="N414" s="3" t="s">
        <v>108</v>
      </c>
      <c r="O414" s="34">
        <v>1900</v>
      </c>
      <c r="P414" s="3">
        <v>2022</v>
      </c>
      <c r="Q414" s="3">
        <f>VLOOKUP(C414,layoffs_location!A:F,6,FALSE)</f>
        <v>37.3893889</v>
      </c>
      <c r="R414" s="3">
        <f>VLOOKUP(C414,layoffs_location!A:G,7,FALSE)</f>
        <v>-122.0832101</v>
      </c>
    </row>
    <row r="415" spans="1:18" x14ac:dyDescent="0.2">
      <c r="A415" s="3">
        <v>414</v>
      </c>
      <c r="B415" s="3" t="s">
        <v>1021</v>
      </c>
      <c r="C415" s="3" t="s">
        <v>135</v>
      </c>
      <c r="D415" s="3" t="str">
        <f>VLOOKUP(C415,layoffs_location!A:B,2,FALSE)</f>
        <v>other</v>
      </c>
      <c r="E415" s="3" t="str">
        <f>VLOOKUP(C415,layoffs_location!A:C,3,FALSE)</f>
        <v>Berlin</v>
      </c>
      <c r="F415" s="3" t="str">
        <f>VLOOKUP(C415,layoffs_location!A:D,4,FALSE)</f>
        <v>Germany</v>
      </c>
      <c r="G415" s="3" t="str">
        <f>VLOOKUP(C415,layoffs_location!A:E,5,FALSE)</f>
        <v>Europe</v>
      </c>
      <c r="H415" s="3">
        <v>45</v>
      </c>
      <c r="I415" s="8">
        <v>44706</v>
      </c>
      <c r="J415" s="9">
        <v>20</v>
      </c>
      <c r="K415" s="10">
        <v>225</v>
      </c>
      <c r="L415" s="10">
        <v>180</v>
      </c>
      <c r="M415" s="3" t="s">
        <v>35</v>
      </c>
      <c r="N415" s="3" t="s">
        <v>49</v>
      </c>
      <c r="O415" s="34">
        <v>42</v>
      </c>
      <c r="P415" s="3">
        <v>2022</v>
      </c>
      <c r="Q415" s="3">
        <f>VLOOKUP(C415,layoffs_location!A:F,6,FALSE)</f>
        <v>52.517036500000003</v>
      </c>
      <c r="R415" s="3">
        <f>VLOOKUP(C415,layoffs_location!A:G,7,FALSE)</f>
        <v>13.3888599</v>
      </c>
    </row>
    <row r="416" spans="1:18" x14ac:dyDescent="0.2">
      <c r="A416" s="3">
        <v>415</v>
      </c>
      <c r="B416" s="3" t="s">
        <v>1016</v>
      </c>
      <c r="C416" s="3" t="s">
        <v>1017</v>
      </c>
      <c r="D416" s="3" t="str">
        <f>VLOOKUP(C416,layoffs_location!A:B,2,FALSE)</f>
        <v>other</v>
      </c>
      <c r="E416" s="3" t="str">
        <f>VLOOKUP(C416,layoffs_location!A:C,3,FALSE)</f>
        <v>non</v>
      </c>
      <c r="F416" s="3" t="str">
        <f>VLOOKUP(C416,layoffs_location!A:D,4,FALSE)</f>
        <v>Mexico</v>
      </c>
      <c r="G416" s="3" t="str">
        <f>VLOOKUP(C416,layoffs_location!A:E,5,FALSE)</f>
        <v>North America</v>
      </c>
      <c r="H416" s="3">
        <v>80</v>
      </c>
      <c r="I416" s="8">
        <v>44707</v>
      </c>
      <c r="J416" s="9">
        <v>11</v>
      </c>
      <c r="K416" s="10">
        <v>727</v>
      </c>
      <c r="L416" s="10">
        <v>647</v>
      </c>
      <c r="M416" s="3" t="s">
        <v>117</v>
      </c>
      <c r="N416" s="3" t="s">
        <v>41</v>
      </c>
      <c r="O416" s="34">
        <v>378</v>
      </c>
      <c r="P416" s="3">
        <v>2022</v>
      </c>
      <c r="Q416" s="3">
        <f>VLOOKUP(C416,layoffs_location!A:F,6,FALSE)</f>
        <v>19.432629599999999</v>
      </c>
      <c r="R416" s="3">
        <f>VLOOKUP(C416,layoffs_location!A:G,7,FALSE)</f>
        <v>-99.1331785</v>
      </c>
    </row>
    <row r="417" spans="1:18" x14ac:dyDescent="0.2">
      <c r="A417" s="3">
        <v>416</v>
      </c>
      <c r="B417" s="3" t="s">
        <v>1015</v>
      </c>
      <c r="C417" s="3" t="s">
        <v>187</v>
      </c>
      <c r="D417" s="3" t="str">
        <f>VLOOKUP(C417,layoffs_location!A:B,2,FALSE)</f>
        <v>other</v>
      </c>
      <c r="E417" s="3" t="str">
        <f>VLOOKUP(C417,layoffs_location!A:C,3,FALSE)</f>
        <v>State of São Paulo</v>
      </c>
      <c r="F417" s="3" t="str">
        <f>VLOOKUP(C417,layoffs_location!A:D,4,FALSE)</f>
        <v>Brazil</v>
      </c>
      <c r="G417" s="3" t="str">
        <f>VLOOKUP(C417,layoffs_location!A:E,5,FALSE)</f>
        <v>South America</v>
      </c>
      <c r="H417" s="3">
        <v>200</v>
      </c>
      <c r="I417" s="8">
        <v>44707</v>
      </c>
      <c r="J417" s="9">
        <v>13</v>
      </c>
      <c r="K417" s="10">
        <v>1538</v>
      </c>
      <c r="L417" s="10">
        <v>1338</v>
      </c>
      <c r="M417" s="3" t="s">
        <v>30</v>
      </c>
      <c r="N417" s="3" t="s">
        <v>28</v>
      </c>
      <c r="O417" s="34">
        <v>365</v>
      </c>
      <c r="P417" s="3">
        <v>2022</v>
      </c>
      <c r="Q417" s="3">
        <f>VLOOKUP(C417,layoffs_location!A:F,6,FALSE)</f>
        <v>-23.550650699999998</v>
      </c>
      <c r="R417" s="3">
        <f>VLOOKUP(C417,layoffs_location!A:G,7,FALSE)</f>
        <v>-46.633382400000002</v>
      </c>
    </row>
    <row r="418" spans="1:18" x14ac:dyDescent="0.2">
      <c r="A418" s="3">
        <v>417</v>
      </c>
      <c r="B418" s="3" t="s">
        <v>225</v>
      </c>
      <c r="C418" s="3" t="s">
        <v>13</v>
      </c>
      <c r="D418" s="3" t="str">
        <f>VLOOKUP(C418,layoffs_location!A:B,2,FALSE)</f>
        <v>other</v>
      </c>
      <c r="E418" s="3" t="str">
        <f>VLOOKUP(C418,layoffs_location!A:C,3,FALSE)</f>
        <v>Karnataka</v>
      </c>
      <c r="F418" s="3" t="str">
        <f>VLOOKUP(C418,layoffs_location!A:D,4,FALSE)</f>
        <v>India</v>
      </c>
      <c r="G418" s="3" t="str">
        <f>VLOOKUP(C418,layoffs_location!A:E,5,FALSE)</f>
        <v>Asia</v>
      </c>
      <c r="H418" s="3">
        <v>145</v>
      </c>
      <c r="I418" s="8">
        <v>44708</v>
      </c>
      <c r="J418" s="9">
        <v>30</v>
      </c>
      <c r="K418" s="10">
        <v>483</v>
      </c>
      <c r="L418" s="10">
        <v>338</v>
      </c>
      <c r="M418" s="3" t="s">
        <v>68</v>
      </c>
      <c r="N418" s="3" t="s">
        <v>69</v>
      </c>
      <c r="O418" s="34">
        <v>17</v>
      </c>
      <c r="P418" s="3">
        <v>2022</v>
      </c>
      <c r="Q418" s="3">
        <f>VLOOKUP(C418,layoffs_location!A:F,6,FALSE)</f>
        <v>12.98815675</v>
      </c>
      <c r="R418" s="3">
        <f>VLOOKUP(C418,layoffs_location!A:G,7,FALSE)</f>
        <v>77.622600037959998</v>
      </c>
    </row>
    <row r="419" spans="1:18" x14ac:dyDescent="0.2">
      <c r="A419" s="3">
        <v>418</v>
      </c>
      <c r="B419" s="3" t="s">
        <v>1014</v>
      </c>
      <c r="C419" s="3" t="s">
        <v>58</v>
      </c>
      <c r="D419" s="3" t="str">
        <f>VLOOKUP(C419,layoffs_location!A:B,2,FALSE)</f>
        <v>other</v>
      </c>
      <c r="E419" s="3" t="str">
        <f>VLOOKUP(C419,layoffs_location!A:C,3,FALSE)</f>
        <v>England</v>
      </c>
      <c r="F419" s="3" t="str">
        <f>VLOOKUP(C419,layoffs_location!A:D,4,FALSE)</f>
        <v>UK</v>
      </c>
      <c r="G419" s="3" t="str">
        <f>VLOOKUP(C419,layoffs_location!A:E,5,FALSE)</f>
        <v>Europe</v>
      </c>
      <c r="H419" s="3">
        <v>29</v>
      </c>
      <c r="I419" s="8">
        <v>44708</v>
      </c>
      <c r="J419" s="9">
        <v>26</v>
      </c>
      <c r="K419" s="10">
        <v>112</v>
      </c>
      <c r="L419" s="10">
        <v>83</v>
      </c>
      <c r="M419" s="3" t="s">
        <v>35</v>
      </c>
      <c r="N419" s="3" t="s">
        <v>22</v>
      </c>
      <c r="O419" s="34">
        <v>118</v>
      </c>
      <c r="P419" s="3">
        <v>2022</v>
      </c>
      <c r="Q419" s="3">
        <f>VLOOKUP(C419,layoffs_location!A:F,6,FALSE)</f>
        <v>51.489333500000001</v>
      </c>
      <c r="R419" s="3">
        <f>VLOOKUP(C419,layoffs_location!A:G,7,FALSE)</f>
        <v>-0.14405508452768701</v>
      </c>
    </row>
    <row r="420" spans="1:18" x14ac:dyDescent="0.2">
      <c r="A420" s="3">
        <v>419</v>
      </c>
      <c r="B420" s="3" t="s">
        <v>1012</v>
      </c>
      <c r="C420" s="3" t="s">
        <v>13</v>
      </c>
      <c r="D420" s="3" t="str">
        <f>VLOOKUP(C420,layoffs_location!A:B,2,FALSE)</f>
        <v>other</v>
      </c>
      <c r="E420" s="3" t="str">
        <f>VLOOKUP(C420,layoffs_location!A:C,3,FALSE)</f>
        <v>Karnataka</v>
      </c>
      <c r="F420" s="3" t="str">
        <f>VLOOKUP(C420,layoffs_location!A:D,4,FALSE)</f>
        <v>India</v>
      </c>
      <c r="G420" s="3" t="str">
        <f>VLOOKUP(C420,layoffs_location!A:E,5,FALSE)</f>
        <v>Asia</v>
      </c>
      <c r="H420" s="3">
        <v>100</v>
      </c>
      <c r="I420" s="8">
        <v>44711</v>
      </c>
      <c r="J420" s="9">
        <v>10</v>
      </c>
      <c r="K420" s="10">
        <v>1000</v>
      </c>
      <c r="L420" s="10">
        <v>900</v>
      </c>
      <c r="M420" s="3" t="s">
        <v>16</v>
      </c>
      <c r="N420" s="3" t="s">
        <v>36</v>
      </c>
      <c r="O420" s="34">
        <v>375</v>
      </c>
      <c r="P420" s="3">
        <v>2022</v>
      </c>
      <c r="Q420" s="3">
        <f>VLOOKUP(C420,layoffs_location!A:F,6,FALSE)</f>
        <v>12.98815675</v>
      </c>
      <c r="R420" s="3">
        <f>VLOOKUP(C420,layoffs_location!A:G,7,FALSE)</f>
        <v>77.622600037959998</v>
      </c>
    </row>
    <row r="421" spans="1:18" x14ac:dyDescent="0.2">
      <c r="A421" s="3">
        <v>420</v>
      </c>
      <c r="B421" s="3" t="s">
        <v>1013</v>
      </c>
      <c r="C421" s="3" t="s">
        <v>187</v>
      </c>
      <c r="D421" s="3" t="str">
        <f>VLOOKUP(C421,layoffs_location!A:B,2,FALSE)</f>
        <v>other</v>
      </c>
      <c r="E421" s="3" t="str">
        <f>VLOOKUP(C421,layoffs_location!A:C,3,FALSE)</f>
        <v>State of São Paulo</v>
      </c>
      <c r="F421" s="3" t="str">
        <f>VLOOKUP(C421,layoffs_location!A:D,4,FALSE)</f>
        <v>Brazil</v>
      </c>
      <c r="G421" s="3" t="str">
        <f>VLOOKUP(C421,layoffs_location!A:E,5,FALSE)</f>
        <v>South America</v>
      </c>
      <c r="H421" s="3">
        <v>100</v>
      </c>
      <c r="I421" s="8">
        <v>44711</v>
      </c>
      <c r="J421" s="9">
        <v>3</v>
      </c>
      <c r="K421" s="10">
        <v>3333</v>
      </c>
      <c r="L421" s="10">
        <v>3233</v>
      </c>
      <c r="M421" s="3" t="s">
        <v>35</v>
      </c>
      <c r="N421" s="3" t="s">
        <v>22</v>
      </c>
      <c r="O421" s="34">
        <v>50</v>
      </c>
      <c r="P421" s="3">
        <v>2022</v>
      </c>
      <c r="Q421" s="3">
        <f>VLOOKUP(C421,layoffs_location!A:F,6,FALSE)</f>
        <v>-23.550650699999998</v>
      </c>
      <c r="R421" s="3">
        <f>VLOOKUP(C421,layoffs_location!A:G,7,FALSE)</f>
        <v>-46.633382400000002</v>
      </c>
    </row>
    <row r="422" spans="1:18" x14ac:dyDescent="0.2">
      <c r="A422" s="3">
        <v>421</v>
      </c>
      <c r="B422" s="3" t="s">
        <v>1011</v>
      </c>
      <c r="C422" s="3" t="s">
        <v>663</v>
      </c>
      <c r="D422" s="3" t="str">
        <f>VLOOKUP(C422,layoffs_location!A:B,2,FALSE)</f>
        <v>other</v>
      </c>
      <c r="E422" s="3" t="str">
        <f>VLOOKUP(C422,layoffs_location!A:C,3,FALSE)</f>
        <v>non</v>
      </c>
      <c r="F422" s="3" t="str">
        <f>VLOOKUP(C422,layoffs_location!A:D,4,FALSE)</f>
        <v>United Arabian Emirates</v>
      </c>
      <c r="G422" s="3" t="str">
        <f>VLOOKUP(C422,layoffs_location!A:E,5,FALSE)</f>
        <v>Asia</v>
      </c>
      <c r="H422" s="3">
        <v>400</v>
      </c>
      <c r="I422" s="8">
        <v>44711</v>
      </c>
      <c r="J422" s="9">
        <v>32</v>
      </c>
      <c r="K422" s="10">
        <v>1250</v>
      </c>
      <c r="L422" s="10">
        <v>850</v>
      </c>
      <c r="M422" s="3" t="s">
        <v>32</v>
      </c>
      <c r="N422" s="3" t="s">
        <v>28</v>
      </c>
      <c r="O422" s="34">
        <v>132</v>
      </c>
      <c r="P422" s="3">
        <v>2022</v>
      </c>
      <c r="Q422" s="3">
        <f>VLOOKUP(C422,layoffs_location!A:F,6,FALSE)</f>
        <v>25.276986999999998</v>
      </c>
      <c r="R422" s="3">
        <f>VLOOKUP(C422,layoffs_location!A:G,7,FALSE)</f>
        <v>55.296249000000003</v>
      </c>
    </row>
    <row r="423" spans="1:18" x14ac:dyDescent="0.2">
      <c r="A423" s="3">
        <v>422</v>
      </c>
      <c r="B423" s="3" t="s">
        <v>1010</v>
      </c>
      <c r="C423" s="3" t="s">
        <v>113</v>
      </c>
      <c r="D423" s="3" t="str">
        <f>VLOOKUP(C423,layoffs_location!A:B,2,FALSE)</f>
        <v>other</v>
      </c>
      <c r="E423" s="3" t="str">
        <f>VLOOKUP(C423,layoffs_location!A:C,3,FALSE)</f>
        <v>Utah</v>
      </c>
      <c r="F423" s="3" t="str">
        <f>VLOOKUP(C423,layoffs_location!A:D,4,FALSE)</f>
        <v>USA</v>
      </c>
      <c r="G423" s="3" t="str">
        <f>VLOOKUP(C423,layoffs_location!A:E,5,FALSE)</f>
        <v>North America</v>
      </c>
      <c r="H423" s="3">
        <v>12</v>
      </c>
      <c r="I423" s="8">
        <v>44712</v>
      </c>
      <c r="J423" s="9">
        <v>25</v>
      </c>
      <c r="K423" s="10">
        <v>48</v>
      </c>
      <c r="L423" s="10">
        <v>36</v>
      </c>
      <c r="M423" s="3" t="s">
        <v>68</v>
      </c>
      <c r="N423" s="3" t="s">
        <v>69</v>
      </c>
      <c r="O423" s="34">
        <v>26</v>
      </c>
      <c r="P423" s="3">
        <v>2022</v>
      </c>
      <c r="Q423" s="3">
        <f>VLOOKUP(C423,layoffs_location!A:F,6,FALSE)</f>
        <v>40.759619800000003</v>
      </c>
      <c r="R423" s="3">
        <f>VLOOKUP(C423,layoffs_location!A:G,7,FALSE)</f>
        <v>-111.886797</v>
      </c>
    </row>
    <row r="424" spans="1:18" x14ac:dyDescent="0.2">
      <c r="A424" s="3">
        <v>423</v>
      </c>
      <c r="B424" s="3" t="s">
        <v>1009</v>
      </c>
      <c r="C424" s="3" t="s">
        <v>826</v>
      </c>
      <c r="D424" s="3" t="str">
        <f>VLOOKUP(C424,layoffs_location!A:B,2,FALSE)</f>
        <v>other</v>
      </c>
      <c r="E424" s="3" t="str">
        <f>VLOOKUP(C424,layoffs_location!A:C,3,FALSE)</f>
        <v>Connecticut</v>
      </c>
      <c r="F424" s="3" t="str">
        <f>VLOOKUP(C424,layoffs_location!A:D,4,FALSE)</f>
        <v>USA</v>
      </c>
      <c r="G424" s="3" t="str">
        <f>VLOOKUP(C424,layoffs_location!A:E,5,FALSE)</f>
        <v>North America</v>
      </c>
      <c r="H424" s="3">
        <v>44</v>
      </c>
      <c r="I424" s="8">
        <v>44712</v>
      </c>
      <c r="J424" s="9">
        <v>33</v>
      </c>
      <c r="K424" s="10">
        <v>133</v>
      </c>
      <c r="L424" s="10">
        <v>89</v>
      </c>
      <c r="M424" s="3" t="s">
        <v>35</v>
      </c>
      <c r="N424" s="3" t="s">
        <v>69</v>
      </c>
      <c r="O424" s="34">
        <v>110</v>
      </c>
      <c r="P424" s="3">
        <v>2022</v>
      </c>
      <c r="Q424" s="3">
        <f>VLOOKUP(C424,layoffs_location!A:F,6,FALSE)</f>
        <v>41.053430200000001</v>
      </c>
      <c r="R424" s="3">
        <f>VLOOKUP(C424,layoffs_location!A:G,7,FALSE)</f>
        <v>-73.538734099999999</v>
      </c>
    </row>
    <row r="425" spans="1:18" x14ac:dyDescent="0.2">
      <c r="A425" s="3">
        <v>424</v>
      </c>
      <c r="B425" s="3" t="s">
        <v>801</v>
      </c>
      <c r="C425" s="3" t="s">
        <v>187</v>
      </c>
      <c r="D425" s="3" t="str">
        <f>VLOOKUP(C425,layoffs_location!A:B,2,FALSE)</f>
        <v>other</v>
      </c>
      <c r="E425" s="3" t="str">
        <f>VLOOKUP(C425,layoffs_location!A:C,3,FALSE)</f>
        <v>State of São Paulo</v>
      </c>
      <c r="F425" s="3" t="str">
        <f>VLOOKUP(C425,layoffs_location!A:D,4,FALSE)</f>
        <v>Brazil</v>
      </c>
      <c r="G425" s="3" t="str">
        <f>VLOOKUP(C425,layoffs_location!A:E,5,FALSE)</f>
        <v>South America</v>
      </c>
      <c r="H425" s="3">
        <v>90</v>
      </c>
      <c r="I425" s="8">
        <v>44713</v>
      </c>
      <c r="J425" s="9">
        <v>12</v>
      </c>
      <c r="K425" s="10">
        <v>750</v>
      </c>
      <c r="L425" s="10">
        <v>660</v>
      </c>
      <c r="M425" s="3" t="s">
        <v>117</v>
      </c>
      <c r="N425" s="3" t="s">
        <v>22</v>
      </c>
      <c r="O425" s="34">
        <v>250</v>
      </c>
      <c r="P425" s="3">
        <v>2022</v>
      </c>
      <c r="Q425" s="3">
        <f>VLOOKUP(C425,layoffs_location!A:F,6,FALSE)</f>
        <v>-23.550650699999998</v>
      </c>
      <c r="R425" s="3">
        <f>VLOOKUP(C425,layoffs_location!A:G,7,FALSE)</f>
        <v>-46.633382400000002</v>
      </c>
    </row>
    <row r="426" spans="1:18" x14ac:dyDescent="0.2">
      <c r="A426" s="3">
        <v>425</v>
      </c>
      <c r="B426" s="3" t="s">
        <v>1007</v>
      </c>
      <c r="C426" s="3" t="s">
        <v>58</v>
      </c>
      <c r="D426" s="3" t="str">
        <f>VLOOKUP(C426,layoffs_location!A:B,2,FALSE)</f>
        <v>other</v>
      </c>
      <c r="E426" s="3" t="str">
        <f>VLOOKUP(C426,layoffs_location!A:C,3,FALSE)</f>
        <v>England</v>
      </c>
      <c r="F426" s="3" t="str">
        <f>VLOOKUP(C426,layoffs_location!A:D,4,FALSE)</f>
        <v>UK</v>
      </c>
      <c r="G426" s="3" t="str">
        <f>VLOOKUP(C426,layoffs_location!A:E,5,FALSE)</f>
        <v>Europe</v>
      </c>
      <c r="H426" s="3">
        <v>65</v>
      </c>
      <c r="I426" s="8">
        <v>44713</v>
      </c>
      <c r="J426" s="9">
        <v>10</v>
      </c>
      <c r="K426" s="10">
        <v>650</v>
      </c>
      <c r="L426" s="10">
        <v>585</v>
      </c>
      <c r="M426" s="3" t="s">
        <v>35</v>
      </c>
      <c r="N426" s="3" t="s">
        <v>41</v>
      </c>
      <c r="O426" s="34">
        <v>182</v>
      </c>
      <c r="P426" s="3">
        <v>2022</v>
      </c>
      <c r="Q426" s="3">
        <f>VLOOKUP(C426,layoffs_location!A:F,6,FALSE)</f>
        <v>51.489333500000001</v>
      </c>
      <c r="R426" s="3">
        <f>VLOOKUP(C426,layoffs_location!A:G,7,FALSE)</f>
        <v>-0.14405508452768701</v>
      </c>
    </row>
    <row r="427" spans="1:18" x14ac:dyDescent="0.2">
      <c r="A427" s="3">
        <v>426</v>
      </c>
      <c r="B427" s="3" t="s">
        <v>736</v>
      </c>
      <c r="C427" s="3" t="s">
        <v>71</v>
      </c>
      <c r="D427" s="3" t="str">
        <f>VLOOKUP(C427,layoffs_location!A:B,2,FALSE)</f>
        <v>other</v>
      </c>
      <c r="E427" s="3" t="str">
        <f>VLOOKUP(C427,layoffs_location!A:C,3,FALSE)</f>
        <v>Massachusetts</v>
      </c>
      <c r="F427" s="3" t="str">
        <f>VLOOKUP(C427,layoffs_location!A:D,4,FALSE)</f>
        <v>USA</v>
      </c>
      <c r="G427" s="3" t="str">
        <f>VLOOKUP(C427,layoffs_location!A:E,5,FALSE)</f>
        <v>North America</v>
      </c>
      <c r="H427" s="3">
        <v>100</v>
      </c>
      <c r="I427" s="8">
        <v>44713</v>
      </c>
      <c r="J427" s="9">
        <v>6</v>
      </c>
      <c r="K427" s="10">
        <v>1667</v>
      </c>
      <c r="L427" s="10">
        <v>1567</v>
      </c>
      <c r="M427" s="3" t="s">
        <v>139</v>
      </c>
      <c r="N427" s="3" t="s">
        <v>63</v>
      </c>
      <c r="O427" s="34">
        <v>750</v>
      </c>
      <c r="P427" s="3">
        <v>2022</v>
      </c>
      <c r="Q427" s="3">
        <f>VLOOKUP(C427,layoffs_location!A:F,6,FALSE)</f>
        <v>42.355433400000003</v>
      </c>
      <c r="R427" s="3">
        <f>VLOOKUP(C427,layoffs_location!A:G,7,FALSE)</f>
        <v>-71.060511000000005</v>
      </c>
    </row>
    <row r="428" spans="1:18" x14ac:dyDescent="0.2">
      <c r="A428" s="3">
        <v>427</v>
      </c>
      <c r="B428" s="3" t="s">
        <v>1008</v>
      </c>
      <c r="C428" s="3" t="s">
        <v>58</v>
      </c>
      <c r="D428" s="3" t="str">
        <f>VLOOKUP(C428,layoffs_location!A:B,2,FALSE)</f>
        <v>other</v>
      </c>
      <c r="E428" s="3" t="str">
        <f>VLOOKUP(C428,layoffs_location!A:C,3,FALSE)</f>
        <v>England</v>
      </c>
      <c r="F428" s="3" t="str">
        <f>VLOOKUP(C428,layoffs_location!A:D,4,FALSE)</f>
        <v>UK</v>
      </c>
      <c r="G428" s="3" t="str">
        <f>VLOOKUP(C428,layoffs_location!A:E,5,FALSE)</f>
        <v>Europe</v>
      </c>
      <c r="H428" s="3">
        <v>30</v>
      </c>
      <c r="I428" s="8">
        <v>44713</v>
      </c>
      <c r="J428" s="9">
        <v>35</v>
      </c>
      <c r="K428" s="10">
        <v>86</v>
      </c>
      <c r="L428" s="10">
        <v>56</v>
      </c>
      <c r="M428" s="3" t="s">
        <v>72</v>
      </c>
      <c r="N428" s="3" t="s">
        <v>49</v>
      </c>
      <c r="O428" s="34">
        <v>32</v>
      </c>
      <c r="P428" s="3">
        <v>2022</v>
      </c>
      <c r="Q428" s="3">
        <f>VLOOKUP(C428,layoffs_location!A:F,6,FALSE)</f>
        <v>51.489333500000001</v>
      </c>
      <c r="R428" s="3">
        <f>VLOOKUP(C428,layoffs_location!A:G,7,FALSE)</f>
        <v>-0.14405508452768701</v>
      </c>
    </row>
    <row r="429" spans="1:18" ht="16" x14ac:dyDescent="0.2">
      <c r="A429" s="3">
        <v>428</v>
      </c>
      <c r="B429" s="3" t="s">
        <v>752</v>
      </c>
      <c r="C429" s="11" t="s">
        <v>1370</v>
      </c>
      <c r="D429" s="3" t="str">
        <f>VLOOKUP(C429,layoffs_location!A:B,2,FALSE)</f>
        <v>San Francisco Bay Area</v>
      </c>
      <c r="E429" s="3" t="str">
        <f>VLOOKUP(C429,layoffs_location!A:C,3,FALSE)</f>
        <v>California</v>
      </c>
      <c r="F429" s="3" t="str">
        <f>VLOOKUP(C429,layoffs_location!A:D,4,FALSE)</f>
        <v>USA</v>
      </c>
      <c r="G429" s="3" t="str">
        <f>VLOOKUP(C429,layoffs_location!A:E,5,FALSE)</f>
        <v>North America</v>
      </c>
      <c r="H429" s="3">
        <v>34</v>
      </c>
      <c r="I429" s="8">
        <v>44713</v>
      </c>
      <c r="J429" s="9">
        <v>14</v>
      </c>
      <c r="K429" s="10">
        <v>243</v>
      </c>
      <c r="L429" s="10">
        <v>209</v>
      </c>
      <c r="M429" s="3" t="s">
        <v>48</v>
      </c>
      <c r="N429" s="3" t="s">
        <v>41</v>
      </c>
      <c r="O429" s="34">
        <v>203</v>
      </c>
      <c r="P429" s="3">
        <v>2022</v>
      </c>
      <c r="Q429" s="3">
        <f>VLOOKUP(C429,layoffs_location!A:F,6,FALSE)</f>
        <v>37.779258800000001</v>
      </c>
      <c r="R429" s="3">
        <f>VLOOKUP(C429,layoffs_location!A:G,7,FALSE)</f>
        <v>-122.4193286</v>
      </c>
    </row>
    <row r="430" spans="1:18" x14ac:dyDescent="0.2">
      <c r="A430" s="3">
        <v>429</v>
      </c>
      <c r="B430" s="3" t="s">
        <v>1006</v>
      </c>
      <c r="C430" s="3" t="s">
        <v>182</v>
      </c>
      <c r="D430" s="3" t="str">
        <f>VLOOKUP(C430,layoffs_location!A:B,2,FALSE)</f>
        <v>other</v>
      </c>
      <c r="E430" s="3" t="str">
        <f>VLOOKUP(C430,layoffs_location!A:C,3,FALSE)</f>
        <v>Haryana</v>
      </c>
      <c r="F430" s="3" t="str">
        <f>VLOOKUP(C430,layoffs_location!A:D,4,FALSE)</f>
        <v>India</v>
      </c>
      <c r="G430" s="3" t="str">
        <f>VLOOKUP(C430,layoffs_location!A:E,5,FALSE)</f>
        <v>Asia</v>
      </c>
      <c r="H430" s="3">
        <v>100</v>
      </c>
      <c r="I430" s="8">
        <v>44713</v>
      </c>
      <c r="J430" s="9">
        <v>100</v>
      </c>
      <c r="K430" s="10">
        <v>100</v>
      </c>
      <c r="L430" s="10">
        <v>0</v>
      </c>
      <c r="M430" s="3" t="s">
        <v>68</v>
      </c>
      <c r="N430" s="3" t="s">
        <v>147</v>
      </c>
      <c r="O430" s="34">
        <v>2</v>
      </c>
      <c r="P430" s="3">
        <v>2022</v>
      </c>
      <c r="Q430" s="3">
        <f>VLOOKUP(C430,layoffs_location!A:F,6,FALSE)</f>
        <v>28.4646148</v>
      </c>
      <c r="R430" s="3">
        <f>VLOOKUP(C430,layoffs_location!A:G,7,FALSE)</f>
        <v>77.029919399999997</v>
      </c>
    </row>
    <row r="431" spans="1:18" x14ac:dyDescent="0.2">
      <c r="A431" s="3">
        <v>430</v>
      </c>
      <c r="B431" s="3" t="s">
        <v>107</v>
      </c>
      <c r="C431" s="3" t="s">
        <v>1370</v>
      </c>
      <c r="D431" s="3" t="str">
        <f>VLOOKUP(C431,layoffs_location!A:B,2,FALSE)</f>
        <v>San Francisco Bay Area</v>
      </c>
      <c r="E431" s="3" t="str">
        <f>VLOOKUP(C431,layoffs_location!A:C,3,FALSE)</f>
        <v>California</v>
      </c>
      <c r="F431" s="3" t="str">
        <f>VLOOKUP(C431,layoffs_location!A:D,4,FALSE)</f>
        <v>USA</v>
      </c>
      <c r="G431" s="3" t="str">
        <f>VLOOKUP(C431,layoffs_location!A:E,5,FALSE)</f>
        <v>North America</v>
      </c>
      <c r="H431" s="3">
        <v>250</v>
      </c>
      <c r="I431" s="8">
        <v>44714</v>
      </c>
      <c r="J431" s="9">
        <v>8</v>
      </c>
      <c r="K431" s="10">
        <v>3125</v>
      </c>
      <c r="L431" s="10">
        <v>2875</v>
      </c>
      <c r="M431" s="3" t="s">
        <v>21</v>
      </c>
      <c r="N431" s="3" t="s">
        <v>108</v>
      </c>
      <c r="O431" s="34">
        <v>522</v>
      </c>
      <c r="P431" s="3">
        <v>2022</v>
      </c>
      <c r="Q431" s="3">
        <f>VLOOKUP(C431,layoffs_location!A:F,6,FALSE)</f>
        <v>37.779258800000001</v>
      </c>
      <c r="R431" s="3">
        <f>VLOOKUP(C431,layoffs_location!A:G,7,FALSE)</f>
        <v>-122.4193286</v>
      </c>
    </row>
    <row r="432" spans="1:18" x14ac:dyDescent="0.2">
      <c r="A432" s="3">
        <v>431</v>
      </c>
      <c r="B432" s="3" t="s">
        <v>1004</v>
      </c>
      <c r="C432" s="3" t="s">
        <v>1473</v>
      </c>
      <c r="D432" s="3" t="str">
        <f>VLOOKUP(C432,layoffs_location!A:B,2,FALSE)</f>
        <v>San Francisco Bay Area</v>
      </c>
      <c r="E432" s="3" t="str">
        <f>VLOOKUP(C432,layoffs_location!A:C,3,FALSE)</f>
        <v>California</v>
      </c>
      <c r="F432" s="3" t="str">
        <f>VLOOKUP(C432,layoffs_location!A:D,4,FALSE)</f>
        <v>USA</v>
      </c>
      <c r="G432" s="3" t="str">
        <f>VLOOKUP(C432,layoffs_location!A:E,5,FALSE)</f>
        <v>North America</v>
      </c>
      <c r="H432" s="3">
        <v>30</v>
      </c>
      <c r="I432" s="8">
        <v>44714</v>
      </c>
      <c r="J432" s="9">
        <v>33</v>
      </c>
      <c r="K432" s="10">
        <v>91</v>
      </c>
      <c r="L432" s="10">
        <v>61</v>
      </c>
      <c r="M432" s="3" t="s">
        <v>16</v>
      </c>
      <c r="N432" s="3" t="s">
        <v>49</v>
      </c>
      <c r="O432" s="34">
        <v>76</v>
      </c>
      <c r="P432" s="3">
        <v>2022</v>
      </c>
      <c r="Q432" s="3">
        <f>VLOOKUP(C432,layoffs_location!A:F,6,FALSE)</f>
        <v>37.4443293</v>
      </c>
      <c r="R432" s="3">
        <f>VLOOKUP(C432,layoffs_location!A:G,7,FALSE)</f>
        <v>-122.1598465</v>
      </c>
    </row>
    <row r="433" spans="1:18" x14ac:dyDescent="0.2">
      <c r="A433" s="3">
        <v>432</v>
      </c>
      <c r="B433" s="3" t="s">
        <v>876</v>
      </c>
      <c r="C433" s="3" t="s">
        <v>39</v>
      </c>
      <c r="D433" s="3" t="str">
        <f>VLOOKUP(C433,layoffs_location!A:B,2,FALSE)</f>
        <v>New York</v>
      </c>
      <c r="E433" s="3" t="str">
        <f>VLOOKUP(C433,layoffs_location!A:C,3,FALSE)</f>
        <v>New York</v>
      </c>
      <c r="F433" s="3" t="str">
        <f>VLOOKUP(C433,layoffs_location!A:D,4,FALSE)</f>
        <v>USA</v>
      </c>
      <c r="G433" s="3" t="str">
        <f>VLOOKUP(C433,layoffs_location!A:E,5,FALSE)</f>
        <v>North America</v>
      </c>
      <c r="H433" s="3">
        <v>100</v>
      </c>
      <c r="I433" s="8">
        <v>44714</v>
      </c>
      <c r="J433" s="9">
        <v>10</v>
      </c>
      <c r="K433" s="10">
        <v>1000</v>
      </c>
      <c r="L433" s="10">
        <v>900</v>
      </c>
      <c r="M433" s="3" t="s">
        <v>117</v>
      </c>
      <c r="N433" s="3" t="s">
        <v>22</v>
      </c>
      <c r="O433" s="34">
        <v>423</v>
      </c>
      <c r="P433" s="3">
        <v>2022</v>
      </c>
      <c r="Q433" s="3">
        <f>VLOOKUP(C433,layoffs_location!A:F,6,FALSE)</f>
        <v>40.7127281</v>
      </c>
      <c r="R433" s="3">
        <f>VLOOKUP(C433,layoffs_location!A:G,7,FALSE)</f>
        <v>-74.006015199999993</v>
      </c>
    </row>
    <row r="434" spans="1:18" x14ac:dyDescent="0.2">
      <c r="A434" s="3">
        <v>433</v>
      </c>
      <c r="B434" s="3" t="s">
        <v>1005</v>
      </c>
      <c r="C434" s="3" t="s">
        <v>1716</v>
      </c>
      <c r="D434" s="3" t="str">
        <f>VLOOKUP(C434,layoffs_location!A:B,2,FALSE)</f>
        <v>San Francisco Bay Area</v>
      </c>
      <c r="E434" s="3" t="str">
        <f>VLOOKUP(C434,layoffs_location!A:C,3,FALSE)</f>
        <v>California</v>
      </c>
      <c r="F434" s="3" t="str">
        <f>VLOOKUP(C434,layoffs_location!A:D,4,FALSE)</f>
        <v>USA</v>
      </c>
      <c r="G434" s="3" t="str">
        <f>VLOOKUP(C434,layoffs_location!A:E,5,FALSE)</f>
        <v>North America</v>
      </c>
      <c r="H434" s="3">
        <v>25</v>
      </c>
      <c r="I434" s="8">
        <v>44714</v>
      </c>
      <c r="J434" s="9">
        <v>25</v>
      </c>
      <c r="K434" s="10">
        <v>100</v>
      </c>
      <c r="L434" s="10">
        <v>75</v>
      </c>
      <c r="M434" s="3" t="s">
        <v>16</v>
      </c>
      <c r="N434" s="3" t="s">
        <v>41</v>
      </c>
      <c r="O434" s="34">
        <v>197</v>
      </c>
      <c r="P434" s="3">
        <v>2022</v>
      </c>
      <c r="Q434" s="3">
        <f>VLOOKUP(C434,layoffs_location!A:F,6,FALSE)</f>
        <v>37.8708393</v>
      </c>
      <c r="R434" s="3">
        <f>VLOOKUP(C434,layoffs_location!A:G,7,FALSE)</f>
        <v>-122.272863</v>
      </c>
    </row>
    <row r="435" spans="1:18" x14ac:dyDescent="0.2">
      <c r="A435" s="3">
        <v>434</v>
      </c>
      <c r="B435" s="3" t="s">
        <v>1001</v>
      </c>
      <c r="C435" s="3" t="s">
        <v>39</v>
      </c>
      <c r="D435" s="3" t="str">
        <f>VLOOKUP(C435,layoffs_location!A:B,2,FALSE)</f>
        <v>New York</v>
      </c>
      <c r="E435" s="3" t="str">
        <f>VLOOKUP(C435,layoffs_location!A:C,3,FALSE)</f>
        <v>New York</v>
      </c>
      <c r="F435" s="3" t="str">
        <f>VLOOKUP(C435,layoffs_location!A:D,4,FALSE)</f>
        <v>USA</v>
      </c>
      <c r="G435" s="3" t="str">
        <f>VLOOKUP(C435,layoffs_location!A:E,5,FALSE)</f>
        <v>North America</v>
      </c>
      <c r="H435" s="3">
        <v>170</v>
      </c>
      <c r="I435" s="8">
        <v>44714</v>
      </c>
      <c r="J435" s="9">
        <v>25</v>
      </c>
      <c r="K435" s="10">
        <v>680</v>
      </c>
      <c r="L435" s="10">
        <v>510</v>
      </c>
      <c r="M435" s="3" t="s">
        <v>35</v>
      </c>
      <c r="N435" s="3" t="s">
        <v>36</v>
      </c>
      <c r="O435" s="34">
        <v>286</v>
      </c>
      <c r="P435" s="3">
        <v>2022</v>
      </c>
      <c r="Q435" s="3">
        <f>VLOOKUP(C435,layoffs_location!A:F,6,FALSE)</f>
        <v>40.7127281</v>
      </c>
      <c r="R435" s="3">
        <f>VLOOKUP(C435,layoffs_location!A:G,7,FALSE)</f>
        <v>-74.006015199999993</v>
      </c>
    </row>
    <row r="436" spans="1:18" x14ac:dyDescent="0.2">
      <c r="A436" s="3">
        <v>435</v>
      </c>
      <c r="B436" s="3" t="s">
        <v>1003</v>
      </c>
      <c r="C436" s="3" t="s">
        <v>171</v>
      </c>
      <c r="D436" s="3" t="str">
        <f>VLOOKUP(C436,layoffs_location!A:B,2,FALSE)</f>
        <v>other</v>
      </c>
      <c r="E436" s="3" t="str">
        <f>VLOOKUP(C436,layoffs_location!A:C,3,FALSE)</f>
        <v>Georgia</v>
      </c>
      <c r="F436" s="3" t="str">
        <f>VLOOKUP(C436,layoffs_location!A:D,4,FALSE)</f>
        <v>USA</v>
      </c>
      <c r="G436" s="3" t="str">
        <f>VLOOKUP(C436,layoffs_location!A:E,5,FALSE)</f>
        <v>North America</v>
      </c>
      <c r="H436" s="3">
        <v>59</v>
      </c>
      <c r="I436" s="8">
        <v>44714</v>
      </c>
      <c r="J436" s="9">
        <v>8</v>
      </c>
      <c r="K436" s="10">
        <v>738</v>
      </c>
      <c r="L436" s="10">
        <v>679</v>
      </c>
      <c r="M436" s="3" t="s">
        <v>90</v>
      </c>
      <c r="N436" s="3" t="s">
        <v>108</v>
      </c>
      <c r="O436" s="34">
        <v>325</v>
      </c>
      <c r="P436" s="3">
        <v>2022</v>
      </c>
      <c r="Q436" s="3">
        <f>VLOOKUP(C436,layoffs_location!A:F,6,FALSE)</f>
        <v>33.748992399999999</v>
      </c>
      <c r="R436" s="3">
        <f>VLOOKUP(C436,layoffs_location!A:G,7,FALSE)</f>
        <v>-84.390264400000007</v>
      </c>
    </row>
    <row r="437" spans="1:18" x14ac:dyDescent="0.2">
      <c r="A437" s="3">
        <v>436</v>
      </c>
      <c r="B437" s="3" t="s">
        <v>1002</v>
      </c>
      <c r="C437" s="3" t="s">
        <v>182</v>
      </c>
      <c r="D437" s="3" t="str">
        <f>VLOOKUP(C437,layoffs_location!A:B,2,FALSE)</f>
        <v>other</v>
      </c>
      <c r="E437" s="3" t="str">
        <f>VLOOKUP(C437,layoffs_location!A:C,3,FALSE)</f>
        <v>Haryana</v>
      </c>
      <c r="F437" s="3" t="str">
        <f>VLOOKUP(C437,layoffs_location!A:D,4,FALSE)</f>
        <v>India</v>
      </c>
      <c r="G437" s="3" t="str">
        <f>VLOOKUP(C437,layoffs_location!A:E,5,FALSE)</f>
        <v>Asia</v>
      </c>
      <c r="H437" s="3">
        <v>140</v>
      </c>
      <c r="I437" s="8">
        <v>44714</v>
      </c>
      <c r="J437" s="9">
        <v>50</v>
      </c>
      <c r="K437" s="10">
        <v>280</v>
      </c>
      <c r="L437" s="10">
        <v>140</v>
      </c>
      <c r="M437" s="3" t="s">
        <v>622</v>
      </c>
      <c r="N437" s="3" t="s">
        <v>147</v>
      </c>
      <c r="O437" s="34">
        <v>3</v>
      </c>
      <c r="P437" s="3">
        <v>2022</v>
      </c>
      <c r="Q437" s="3">
        <f>VLOOKUP(C437,layoffs_location!A:F,6,FALSE)</f>
        <v>28.4646148</v>
      </c>
      <c r="R437" s="3">
        <f>VLOOKUP(C437,layoffs_location!A:G,7,FALSE)</f>
        <v>77.029919399999997</v>
      </c>
    </row>
    <row r="438" spans="1:18" x14ac:dyDescent="0.2">
      <c r="A438" s="3">
        <v>437</v>
      </c>
      <c r="B438" s="3" t="s">
        <v>1000</v>
      </c>
      <c r="C438" s="3" t="s">
        <v>39</v>
      </c>
      <c r="D438" s="3" t="str">
        <f>VLOOKUP(C438,layoffs_location!A:B,2,FALSE)</f>
        <v>New York</v>
      </c>
      <c r="E438" s="3" t="str">
        <f>VLOOKUP(C438,layoffs_location!A:C,3,FALSE)</f>
        <v>New York</v>
      </c>
      <c r="F438" s="3" t="str">
        <f>VLOOKUP(C438,layoffs_location!A:D,4,FALSE)</f>
        <v>USA</v>
      </c>
      <c r="G438" s="3" t="str">
        <f>VLOOKUP(C438,layoffs_location!A:E,5,FALSE)</f>
        <v>North America</v>
      </c>
      <c r="H438" s="3">
        <v>21</v>
      </c>
      <c r="I438" s="8">
        <v>44715</v>
      </c>
      <c r="J438" s="9">
        <v>15</v>
      </c>
      <c r="K438" s="10">
        <v>140</v>
      </c>
      <c r="L438" s="10">
        <v>119</v>
      </c>
      <c r="M438" s="3" t="s">
        <v>77</v>
      </c>
      <c r="N438" s="3" t="s">
        <v>33</v>
      </c>
      <c r="O438" s="34">
        <v>176</v>
      </c>
      <c r="P438" s="3">
        <v>2022</v>
      </c>
      <c r="Q438" s="3">
        <f>VLOOKUP(C438,layoffs_location!A:F,6,FALSE)</f>
        <v>40.7127281</v>
      </c>
      <c r="R438" s="3">
        <f>VLOOKUP(C438,layoffs_location!A:G,7,FALSE)</f>
        <v>-74.006015199999993</v>
      </c>
    </row>
    <row r="439" spans="1:18" ht="16" x14ac:dyDescent="0.2">
      <c r="A439" s="3">
        <v>438</v>
      </c>
      <c r="B439" s="3" t="s">
        <v>999</v>
      </c>
      <c r="C439" s="11" t="s">
        <v>1370</v>
      </c>
      <c r="D439" s="3" t="str">
        <f>VLOOKUP(C439,layoffs_location!A:B,2,FALSE)</f>
        <v>San Francisco Bay Area</v>
      </c>
      <c r="E439" s="3" t="str">
        <f>VLOOKUP(C439,layoffs_location!A:C,3,FALSE)</f>
        <v>California</v>
      </c>
      <c r="F439" s="3" t="str">
        <f>VLOOKUP(C439,layoffs_location!A:D,4,FALSE)</f>
        <v>USA</v>
      </c>
      <c r="G439" s="3" t="str">
        <f>VLOOKUP(C439,layoffs_location!A:E,5,FALSE)</f>
        <v>North America</v>
      </c>
      <c r="H439" s="3">
        <v>23</v>
      </c>
      <c r="I439" s="8">
        <v>44715</v>
      </c>
      <c r="J439" s="9">
        <v>22</v>
      </c>
      <c r="K439" s="10">
        <v>105</v>
      </c>
      <c r="L439" s="10">
        <v>82</v>
      </c>
      <c r="M439" s="3" t="s">
        <v>16</v>
      </c>
      <c r="N439" s="3" t="s">
        <v>41</v>
      </c>
      <c r="O439" s="34">
        <v>108</v>
      </c>
      <c r="P439" s="3">
        <v>2022</v>
      </c>
      <c r="Q439" s="3">
        <f>VLOOKUP(C439,layoffs_location!A:F,6,FALSE)</f>
        <v>37.779258800000001</v>
      </c>
      <c r="R439" s="3">
        <f>VLOOKUP(C439,layoffs_location!A:G,7,FALSE)</f>
        <v>-122.4193286</v>
      </c>
    </row>
    <row r="440" spans="1:18" x14ac:dyDescent="0.2">
      <c r="A440" s="3">
        <v>439</v>
      </c>
      <c r="B440" s="3" t="s">
        <v>997</v>
      </c>
      <c r="C440" s="3" t="s">
        <v>998</v>
      </c>
      <c r="D440" s="3" t="str">
        <f>VLOOKUP(C440,layoffs_location!A:B,2,FALSE)</f>
        <v>other</v>
      </c>
      <c r="E440" s="3" t="str">
        <f>VLOOKUP(C440,layoffs_location!A:C,3,FALSE)</f>
        <v>Oregon</v>
      </c>
      <c r="F440" s="3" t="str">
        <f>VLOOKUP(C440,layoffs_location!A:D,4,FALSE)</f>
        <v>USA</v>
      </c>
      <c r="G440" s="3" t="str">
        <f>VLOOKUP(C440,layoffs_location!A:E,5,FALSE)</f>
        <v>North America</v>
      </c>
      <c r="H440" s="3">
        <v>50</v>
      </c>
      <c r="I440" s="8">
        <v>44718</v>
      </c>
      <c r="J440" s="9">
        <v>7</v>
      </c>
      <c r="K440" s="10">
        <v>714</v>
      </c>
      <c r="L440" s="10">
        <v>664</v>
      </c>
      <c r="M440" s="3" t="s">
        <v>60</v>
      </c>
      <c r="N440" s="3" t="s">
        <v>108</v>
      </c>
      <c r="O440" s="34">
        <v>603</v>
      </c>
      <c r="P440" s="3">
        <v>2022</v>
      </c>
      <c r="Q440" s="3">
        <f>VLOOKUP(C440,layoffs_location!A:F,6,FALSE)</f>
        <v>44.058172800000001</v>
      </c>
      <c r="R440" s="3">
        <f>VLOOKUP(C440,layoffs_location!A:G,7,FALSE)</f>
        <v>-121.31530960000001</v>
      </c>
    </row>
    <row r="441" spans="1:18" x14ac:dyDescent="0.2">
      <c r="A441" s="3">
        <v>440</v>
      </c>
      <c r="B441" s="3" t="s">
        <v>996</v>
      </c>
      <c r="C441" s="3" t="s">
        <v>76</v>
      </c>
      <c r="D441" s="3" t="str">
        <f>VLOOKUP(C441,layoffs_location!A:B,2,FALSE)</f>
        <v>other</v>
      </c>
      <c r="E441" s="3" t="str">
        <f>VLOOKUP(C441,layoffs_location!A:C,3,FALSE)</f>
        <v>California</v>
      </c>
      <c r="F441" s="3" t="str">
        <f>VLOOKUP(C441,layoffs_location!A:D,4,FALSE)</f>
        <v>USA</v>
      </c>
      <c r="G441" s="3" t="str">
        <f>VLOOKUP(C441,layoffs_location!A:E,5,FALSE)</f>
        <v>North America</v>
      </c>
      <c r="H441" s="3">
        <v>138</v>
      </c>
      <c r="I441" s="8">
        <v>44719</v>
      </c>
      <c r="J441" s="9">
        <v>23</v>
      </c>
      <c r="K441" s="10">
        <v>600</v>
      </c>
      <c r="L441" s="10">
        <v>462</v>
      </c>
      <c r="M441" s="3" t="s">
        <v>32</v>
      </c>
      <c r="N441" s="3" t="s">
        <v>28</v>
      </c>
      <c r="O441" s="34">
        <v>783</v>
      </c>
      <c r="P441" s="3">
        <v>2022</v>
      </c>
      <c r="Q441" s="3">
        <f>VLOOKUP(C441,layoffs_location!A:F,6,FALSE)</f>
        <v>34.053690899999999</v>
      </c>
      <c r="R441" s="3">
        <f>VLOOKUP(C441,layoffs_location!A:G,7,FALSE)</f>
        <v>-118.242766</v>
      </c>
    </row>
    <row r="442" spans="1:18" x14ac:dyDescent="0.2">
      <c r="A442" s="3">
        <v>441</v>
      </c>
      <c r="B442" s="3" t="s">
        <v>994</v>
      </c>
      <c r="C442" s="3" t="s">
        <v>58</v>
      </c>
      <c r="D442" s="3" t="str">
        <f>VLOOKUP(C442,layoffs_location!A:B,2,FALSE)</f>
        <v>other</v>
      </c>
      <c r="E442" s="3" t="str">
        <f>VLOOKUP(C442,layoffs_location!A:C,3,FALSE)</f>
        <v>England</v>
      </c>
      <c r="F442" s="3" t="str">
        <f>VLOOKUP(C442,layoffs_location!A:D,4,FALSE)</f>
        <v>UK</v>
      </c>
      <c r="G442" s="3" t="str">
        <f>VLOOKUP(C442,layoffs_location!A:E,5,FALSE)</f>
        <v>Europe</v>
      </c>
      <c r="H442" s="3">
        <v>750</v>
      </c>
      <c r="I442" s="8">
        <v>44719</v>
      </c>
      <c r="J442" s="9">
        <v>15</v>
      </c>
      <c r="K442" s="10">
        <v>5000</v>
      </c>
      <c r="L442" s="10">
        <v>4250</v>
      </c>
      <c r="M442" s="3" t="s">
        <v>32</v>
      </c>
      <c r="N442" s="3" t="s">
        <v>28</v>
      </c>
      <c r="O442" s="34">
        <v>2000</v>
      </c>
      <c r="P442" s="3">
        <v>2022</v>
      </c>
      <c r="Q442" s="3">
        <f>VLOOKUP(C442,layoffs_location!A:F,6,FALSE)</f>
        <v>51.489333500000001</v>
      </c>
      <c r="R442" s="3">
        <f>VLOOKUP(C442,layoffs_location!A:G,7,FALSE)</f>
        <v>-0.14405508452768701</v>
      </c>
    </row>
    <row r="443" spans="1:18" x14ac:dyDescent="0.2">
      <c r="A443" s="3">
        <v>442</v>
      </c>
      <c r="B443" s="3" t="s">
        <v>995</v>
      </c>
      <c r="C443" s="3" t="s">
        <v>13</v>
      </c>
      <c r="D443" s="3" t="str">
        <f>VLOOKUP(C443,layoffs_location!A:B,2,FALSE)</f>
        <v>other</v>
      </c>
      <c r="E443" s="3" t="str">
        <f>VLOOKUP(C443,layoffs_location!A:C,3,FALSE)</f>
        <v>Karnataka</v>
      </c>
      <c r="F443" s="3" t="str">
        <f>VLOOKUP(C443,layoffs_location!A:D,4,FALSE)</f>
        <v>India</v>
      </c>
      <c r="G443" s="3" t="str">
        <f>VLOOKUP(C443,layoffs_location!A:E,5,FALSE)</f>
        <v>Asia</v>
      </c>
      <c r="H443" s="3">
        <v>180</v>
      </c>
      <c r="I443" s="8">
        <v>44719</v>
      </c>
      <c r="J443" s="9">
        <v>15</v>
      </c>
      <c r="K443" s="10">
        <v>1200</v>
      </c>
      <c r="L443" s="10">
        <v>1020</v>
      </c>
      <c r="M443" s="3" t="s">
        <v>35</v>
      </c>
      <c r="N443" s="3" t="s">
        <v>22</v>
      </c>
      <c r="O443" s="34">
        <v>172</v>
      </c>
      <c r="P443" s="3">
        <v>2022</v>
      </c>
      <c r="Q443" s="3">
        <f>VLOOKUP(C443,layoffs_location!A:F,6,FALSE)</f>
        <v>12.98815675</v>
      </c>
      <c r="R443" s="3">
        <f>VLOOKUP(C443,layoffs_location!A:G,7,FALSE)</f>
        <v>77.622600037959998</v>
      </c>
    </row>
    <row r="444" spans="1:18" x14ac:dyDescent="0.2">
      <c r="A444" s="3">
        <v>443</v>
      </c>
      <c r="B444" s="3" t="s">
        <v>991</v>
      </c>
      <c r="C444" s="3" t="s">
        <v>992</v>
      </c>
      <c r="D444" s="3" t="str">
        <f>VLOOKUP(C444,layoffs_location!A:B,2,FALSE)</f>
        <v>other</v>
      </c>
      <c r="E444" s="3" t="str">
        <f>VLOOKUP(C444,layoffs_location!A:C,3,FALSE)</f>
        <v>non</v>
      </c>
      <c r="F444" s="3" t="str">
        <f>VLOOKUP(C444,layoffs_location!A:D,4,FALSE)</f>
        <v>Malaysia</v>
      </c>
      <c r="G444" s="3" t="str">
        <f>VLOOKUP(C444,layoffs_location!A:E,5,FALSE)</f>
        <v>Asia</v>
      </c>
      <c r="H444" s="3">
        <v>50</v>
      </c>
      <c r="I444" s="8">
        <v>44720</v>
      </c>
      <c r="J444" s="9">
        <v>20</v>
      </c>
      <c r="K444" s="10">
        <v>250</v>
      </c>
      <c r="L444" s="10">
        <v>200</v>
      </c>
      <c r="M444" s="3" t="s">
        <v>30</v>
      </c>
      <c r="N444" s="3" t="s">
        <v>22</v>
      </c>
      <c r="O444" s="34">
        <v>26</v>
      </c>
      <c r="P444" s="3">
        <v>2022</v>
      </c>
      <c r="Q444" s="3">
        <f>VLOOKUP(C444,layoffs_location!A:F,6,FALSE)</f>
        <v>3.1516964000000001</v>
      </c>
      <c r="R444" s="3">
        <f>VLOOKUP(C444,layoffs_location!A:G,7,FALSE)</f>
        <v>101.6942371</v>
      </c>
    </row>
    <row r="445" spans="1:18" ht="16" x14ac:dyDescent="0.2">
      <c r="A445" s="3">
        <v>444</v>
      </c>
      <c r="B445" s="3" t="s">
        <v>411</v>
      </c>
      <c r="C445" s="11" t="s">
        <v>1370</v>
      </c>
      <c r="D445" s="3" t="str">
        <f>VLOOKUP(C445,layoffs_location!A:B,2,FALSE)</f>
        <v>San Francisco Bay Area</v>
      </c>
      <c r="E445" s="3" t="str">
        <f>VLOOKUP(C445,layoffs_location!A:C,3,FALSE)</f>
        <v>California</v>
      </c>
      <c r="F445" s="3" t="str">
        <f>VLOOKUP(C445,layoffs_location!A:D,4,FALSE)</f>
        <v>USA</v>
      </c>
      <c r="G445" s="3" t="str">
        <f>VLOOKUP(C445,layoffs_location!A:E,5,FALSE)</f>
        <v>North America</v>
      </c>
      <c r="H445" s="3">
        <v>250</v>
      </c>
      <c r="I445" s="8">
        <v>44720</v>
      </c>
      <c r="J445" s="9">
        <v>21</v>
      </c>
      <c r="K445" s="10">
        <v>1190</v>
      </c>
      <c r="L445" s="10">
        <v>940</v>
      </c>
      <c r="M445" s="3" t="s">
        <v>72</v>
      </c>
      <c r="N445" s="3" t="s">
        <v>28</v>
      </c>
      <c r="O445" s="34">
        <v>839</v>
      </c>
      <c r="P445" s="3">
        <v>2022</v>
      </c>
      <c r="Q445" s="3">
        <f>VLOOKUP(C445,layoffs_location!A:F,6,FALSE)</f>
        <v>37.779258800000001</v>
      </c>
      <c r="R445" s="3">
        <f>VLOOKUP(C445,layoffs_location!A:G,7,FALSE)</f>
        <v>-122.4193286</v>
      </c>
    </row>
    <row r="446" spans="1:18" x14ac:dyDescent="0.2">
      <c r="A446" s="3">
        <v>445</v>
      </c>
      <c r="B446" s="3" t="s">
        <v>828</v>
      </c>
      <c r="C446" s="3" t="s">
        <v>1729</v>
      </c>
      <c r="D446" s="3" t="str">
        <f>VLOOKUP(C446,layoffs_location!A:B,2,FALSE)</f>
        <v>San Francisco Bay Area</v>
      </c>
      <c r="E446" s="3" t="str">
        <f>VLOOKUP(C446,layoffs_location!A:C,3,FALSE)</f>
        <v>California</v>
      </c>
      <c r="F446" s="3" t="str">
        <f>VLOOKUP(C446,layoffs_location!A:D,4,FALSE)</f>
        <v>USA</v>
      </c>
      <c r="G446" s="3" t="str">
        <f>VLOOKUP(C446,layoffs_location!A:E,5,FALSE)</f>
        <v>North America</v>
      </c>
      <c r="H446" s="3">
        <v>150</v>
      </c>
      <c r="I446" s="8">
        <v>44720</v>
      </c>
      <c r="J446" s="9">
        <v>15</v>
      </c>
      <c r="K446" s="10">
        <v>1000</v>
      </c>
      <c r="L446" s="10">
        <v>850</v>
      </c>
      <c r="M446" s="3" t="s">
        <v>21</v>
      </c>
      <c r="N446" s="3" t="s">
        <v>108</v>
      </c>
      <c r="O446" s="34">
        <v>255</v>
      </c>
      <c r="P446" s="3">
        <v>2022</v>
      </c>
      <c r="Q446" s="3">
        <f>VLOOKUP(C446,layoffs_location!A:F,6,FALSE)</f>
        <v>37.668820500000002</v>
      </c>
      <c r="R446" s="3">
        <f>VLOOKUP(C446,layoffs_location!A:G,7,FALSE)</f>
        <v>-122.08079600000001</v>
      </c>
    </row>
    <row r="447" spans="1:18" x14ac:dyDescent="0.2">
      <c r="A447" s="3">
        <v>446</v>
      </c>
      <c r="B447" s="3" t="s">
        <v>986</v>
      </c>
      <c r="C447" s="3" t="s">
        <v>987</v>
      </c>
      <c r="D447" s="3" t="str">
        <f>VLOOKUP(C447,layoffs_location!A:B,2,FALSE)</f>
        <v>other</v>
      </c>
      <c r="E447" s="3" t="str">
        <f>VLOOKUP(C447,layoffs_location!A:C,3,FALSE)</f>
        <v>non</v>
      </c>
      <c r="F447" s="3" t="str">
        <f>VLOOKUP(C447,layoffs_location!A:D,4,FALSE)</f>
        <v>Sweden</v>
      </c>
      <c r="G447" s="3" t="str">
        <f>VLOOKUP(C447,layoffs_location!A:E,5,FALSE)</f>
        <v>Europe</v>
      </c>
      <c r="H447" s="3">
        <v>70</v>
      </c>
      <c r="I447" s="8">
        <v>44721</v>
      </c>
      <c r="J447" s="9">
        <v>5</v>
      </c>
      <c r="K447" s="10">
        <v>1400</v>
      </c>
      <c r="L447" s="10">
        <v>1330</v>
      </c>
      <c r="M447" s="3" t="s">
        <v>30</v>
      </c>
      <c r="N447" s="3" t="s">
        <v>28</v>
      </c>
      <c r="O447" s="34">
        <v>56</v>
      </c>
      <c r="P447" s="3">
        <v>2022</v>
      </c>
      <c r="Q447" s="3">
        <f>VLOOKUP(C447,layoffs_location!A:F,6,FALSE)</f>
        <v>55.605293099999997</v>
      </c>
      <c r="R447" s="3">
        <f>VLOOKUP(C447,layoffs_location!A:G,7,FALSE)</f>
        <v>13.0001566</v>
      </c>
    </row>
    <row r="448" spans="1:18" x14ac:dyDescent="0.2">
      <c r="A448" s="3">
        <v>447</v>
      </c>
      <c r="B448" s="3" t="s">
        <v>89</v>
      </c>
      <c r="C448" s="3" t="s">
        <v>43</v>
      </c>
      <c r="D448" s="3" t="str">
        <f>VLOOKUP(C448,layoffs_location!A:B,2,FALSE)</f>
        <v>Cascadia</v>
      </c>
      <c r="E448" s="3" t="str">
        <f>VLOOKUP(C448,layoffs_location!A:C,3,FALSE)</f>
        <v>Washington</v>
      </c>
      <c r="F448" s="3" t="str">
        <f>VLOOKUP(C448,layoffs_location!A:D,4,FALSE)</f>
        <v>USA</v>
      </c>
      <c r="G448" s="3" t="str">
        <f>VLOOKUP(C448,layoffs_location!A:E,5,FALSE)</f>
        <v>North America</v>
      </c>
      <c r="H448" s="3">
        <v>90</v>
      </c>
      <c r="I448" s="8">
        <v>44721</v>
      </c>
      <c r="J448" s="9">
        <v>7</v>
      </c>
      <c r="K448" s="10">
        <v>1286</v>
      </c>
      <c r="L448" s="10">
        <v>1196</v>
      </c>
      <c r="M448" s="3" t="s">
        <v>90</v>
      </c>
      <c r="N448" s="3" t="s">
        <v>36</v>
      </c>
      <c r="O448" s="34">
        <v>1100</v>
      </c>
      <c r="P448" s="3">
        <v>2022</v>
      </c>
      <c r="Q448" s="3">
        <f>VLOOKUP(C448,layoffs_location!A:F,6,FALSE)</f>
        <v>47.603832099999998</v>
      </c>
      <c r="R448" s="3">
        <f>VLOOKUP(C448,layoffs_location!A:G,7,FALSE)</f>
        <v>-122.330062</v>
      </c>
    </row>
    <row r="449" spans="1:18" x14ac:dyDescent="0.2">
      <c r="A449" s="3">
        <v>448</v>
      </c>
      <c r="B449" s="3" t="s">
        <v>985</v>
      </c>
      <c r="C449" s="3" t="s">
        <v>154</v>
      </c>
      <c r="D449" s="3" t="str">
        <f>VLOOKUP(C449,layoffs_location!A:B,2,FALSE)</f>
        <v>other</v>
      </c>
      <c r="E449" s="3" t="str">
        <f>VLOOKUP(C449,layoffs_location!A:C,3,FALSE)</f>
        <v>Illinois</v>
      </c>
      <c r="F449" s="3" t="str">
        <f>VLOOKUP(C449,layoffs_location!A:D,4,FALSE)</f>
        <v>USA</v>
      </c>
      <c r="G449" s="3" t="str">
        <f>VLOOKUP(C449,layoffs_location!A:E,5,FALSE)</f>
        <v>North America</v>
      </c>
      <c r="H449" s="3">
        <v>80</v>
      </c>
      <c r="I449" s="8">
        <v>44721</v>
      </c>
      <c r="J449" s="9">
        <v>40</v>
      </c>
      <c r="K449" s="10">
        <v>200</v>
      </c>
      <c r="L449" s="10">
        <v>120</v>
      </c>
      <c r="M449" s="3" t="s">
        <v>239</v>
      </c>
      <c r="N449" s="3" t="s">
        <v>49</v>
      </c>
      <c r="O449" s="34">
        <v>82</v>
      </c>
      <c r="P449" s="3">
        <v>2022</v>
      </c>
      <c r="Q449" s="3">
        <f>VLOOKUP(C449,layoffs_location!A:F,6,FALSE)</f>
        <v>41.875561599999997</v>
      </c>
      <c r="R449" s="3">
        <f>VLOOKUP(C449,layoffs_location!A:G,7,FALSE)</f>
        <v>-87.6244212</v>
      </c>
    </row>
    <row r="450" spans="1:18" x14ac:dyDescent="0.2">
      <c r="A450" s="3">
        <v>449</v>
      </c>
      <c r="B450" s="3" t="s">
        <v>983</v>
      </c>
      <c r="C450" s="3" t="s">
        <v>171</v>
      </c>
      <c r="D450" s="3" t="str">
        <f>VLOOKUP(C450,layoffs_location!A:B,2,FALSE)</f>
        <v>other</v>
      </c>
      <c r="E450" s="3" t="str">
        <f>VLOOKUP(C450,layoffs_location!A:C,3,FALSE)</f>
        <v>Georgia</v>
      </c>
      <c r="F450" s="3" t="str">
        <f>VLOOKUP(C450,layoffs_location!A:D,4,FALSE)</f>
        <v>USA</v>
      </c>
      <c r="G450" s="3" t="str">
        <f>VLOOKUP(C450,layoffs_location!A:E,5,FALSE)</f>
        <v>North America</v>
      </c>
      <c r="H450" s="3">
        <v>950</v>
      </c>
      <c r="I450" s="8">
        <v>44721</v>
      </c>
      <c r="J450" s="9">
        <v>25</v>
      </c>
      <c r="K450" s="10">
        <v>3800</v>
      </c>
      <c r="L450" s="10">
        <v>2850</v>
      </c>
      <c r="M450" s="3" t="s">
        <v>139</v>
      </c>
      <c r="N450" s="3" t="s">
        <v>41</v>
      </c>
      <c r="O450" s="34">
        <v>926</v>
      </c>
      <c r="P450" s="3">
        <v>2022</v>
      </c>
      <c r="Q450" s="3">
        <f>VLOOKUP(C450,layoffs_location!A:F,6,FALSE)</f>
        <v>33.748992399999999</v>
      </c>
      <c r="R450" s="3">
        <f>VLOOKUP(C450,layoffs_location!A:G,7,FALSE)</f>
        <v>-84.390264400000007</v>
      </c>
    </row>
    <row r="451" spans="1:18" x14ac:dyDescent="0.2">
      <c r="A451" s="3">
        <v>450</v>
      </c>
      <c r="B451" s="3" t="s">
        <v>990</v>
      </c>
      <c r="C451" s="3" t="s">
        <v>71</v>
      </c>
      <c r="D451" s="3" t="str">
        <f>VLOOKUP(C451,layoffs_location!A:B,2,FALSE)</f>
        <v>other</v>
      </c>
      <c r="E451" s="3" t="str">
        <f>VLOOKUP(C451,layoffs_location!A:C,3,FALSE)</f>
        <v>Massachusetts</v>
      </c>
      <c r="F451" s="3" t="str">
        <f>VLOOKUP(C451,layoffs_location!A:D,4,FALSE)</f>
        <v>USA</v>
      </c>
      <c r="G451" s="3" t="str">
        <f>VLOOKUP(C451,layoffs_location!A:E,5,FALSE)</f>
        <v>North America</v>
      </c>
      <c r="H451" s="3">
        <v>26</v>
      </c>
      <c r="I451" s="8">
        <v>44721</v>
      </c>
      <c r="J451" s="9">
        <v>5</v>
      </c>
      <c r="K451" s="10">
        <v>520</v>
      </c>
      <c r="L451" s="10">
        <v>494</v>
      </c>
      <c r="M451" s="3" t="s">
        <v>68</v>
      </c>
      <c r="N451" s="3" t="s">
        <v>41</v>
      </c>
      <c r="O451" s="34">
        <v>100</v>
      </c>
      <c r="P451" s="3">
        <v>2022</v>
      </c>
      <c r="Q451" s="3">
        <f>VLOOKUP(C451,layoffs_location!A:F,6,FALSE)</f>
        <v>42.355433400000003</v>
      </c>
      <c r="R451" s="3">
        <f>VLOOKUP(C451,layoffs_location!A:G,7,FALSE)</f>
        <v>-71.060511000000005</v>
      </c>
    </row>
    <row r="452" spans="1:18" x14ac:dyDescent="0.2">
      <c r="A452" s="3">
        <v>451</v>
      </c>
      <c r="B452" s="3" t="s">
        <v>989</v>
      </c>
      <c r="C452" s="3" t="s">
        <v>244</v>
      </c>
      <c r="D452" s="3" t="str">
        <f>VLOOKUP(C452,layoffs_location!A:B,2,FALSE)</f>
        <v>other</v>
      </c>
      <c r="E452" s="3" t="str">
        <f>VLOOKUP(C452,layoffs_location!A:C,3,FALSE)</f>
        <v>non</v>
      </c>
      <c r="F452" s="3" t="str">
        <f>VLOOKUP(C452,layoffs_location!A:D,4,FALSE)</f>
        <v>Singapore</v>
      </c>
      <c r="G452" s="3" t="str">
        <f>VLOOKUP(C452,layoffs_location!A:E,5,FALSE)</f>
        <v>Asia</v>
      </c>
      <c r="H452" s="3">
        <v>31</v>
      </c>
      <c r="I452" s="8">
        <v>44721</v>
      </c>
      <c r="J452" s="9">
        <v>14</v>
      </c>
      <c r="K452" s="10">
        <v>221</v>
      </c>
      <c r="L452" s="10">
        <v>190</v>
      </c>
      <c r="M452" s="3" t="s">
        <v>35</v>
      </c>
      <c r="N452" s="3" t="s">
        <v>108</v>
      </c>
      <c r="O452" s="34">
        <v>61</v>
      </c>
      <c r="P452" s="3">
        <v>2022</v>
      </c>
      <c r="Q452" s="3">
        <f>VLOOKUP(C452,layoffs_location!A:F,6,FALSE)</f>
        <v>1.2899175000000001</v>
      </c>
      <c r="R452" s="3">
        <f>VLOOKUP(C452,layoffs_location!A:G,7,FALSE)</f>
        <v>103.8519072</v>
      </c>
    </row>
    <row r="453" spans="1:18" ht="16" x14ac:dyDescent="0.2">
      <c r="A453" s="3">
        <v>452</v>
      </c>
      <c r="B453" s="3" t="s">
        <v>984</v>
      </c>
      <c r="C453" s="11" t="s">
        <v>1370</v>
      </c>
      <c r="D453" s="3" t="str">
        <f>VLOOKUP(C453,layoffs_location!A:B,2,FALSE)</f>
        <v>San Francisco Bay Area</v>
      </c>
      <c r="E453" s="3" t="str">
        <f>VLOOKUP(C453,layoffs_location!A:C,3,FALSE)</f>
        <v>California</v>
      </c>
      <c r="F453" s="3" t="str">
        <f>VLOOKUP(C453,layoffs_location!A:D,4,FALSE)</f>
        <v>USA</v>
      </c>
      <c r="G453" s="3" t="str">
        <f>VLOOKUP(C453,layoffs_location!A:E,5,FALSE)</f>
        <v>North America</v>
      </c>
      <c r="H453" s="3">
        <v>330</v>
      </c>
      <c r="I453" s="8">
        <v>44721</v>
      </c>
      <c r="J453" s="9">
        <v>15</v>
      </c>
      <c r="K453" s="10">
        <v>2200</v>
      </c>
      <c r="L453" s="10">
        <v>1870</v>
      </c>
      <c r="M453" s="3" t="s">
        <v>30</v>
      </c>
      <c r="N453" s="3" t="s">
        <v>28</v>
      </c>
      <c r="O453" s="34">
        <v>79</v>
      </c>
      <c r="P453" s="3">
        <v>2022</v>
      </c>
      <c r="Q453" s="3">
        <f>VLOOKUP(C453,layoffs_location!A:F,6,FALSE)</f>
        <v>37.779258800000001</v>
      </c>
      <c r="R453" s="3">
        <f>VLOOKUP(C453,layoffs_location!A:G,7,FALSE)</f>
        <v>-122.4193286</v>
      </c>
    </row>
    <row r="454" spans="1:18" x14ac:dyDescent="0.2">
      <c r="A454" s="3">
        <v>453</v>
      </c>
      <c r="B454" s="3" t="s">
        <v>988</v>
      </c>
      <c r="C454" s="3" t="s">
        <v>71</v>
      </c>
      <c r="D454" s="3" t="str">
        <f>VLOOKUP(C454,layoffs_location!A:B,2,FALSE)</f>
        <v>other</v>
      </c>
      <c r="E454" s="3" t="str">
        <f>VLOOKUP(C454,layoffs_location!A:C,3,FALSE)</f>
        <v>Massachusetts</v>
      </c>
      <c r="F454" s="3" t="str">
        <f>VLOOKUP(C454,layoffs_location!A:D,4,FALSE)</f>
        <v>USA</v>
      </c>
      <c r="G454" s="3" t="str">
        <f>VLOOKUP(C454,layoffs_location!A:E,5,FALSE)</f>
        <v>North America</v>
      </c>
      <c r="H454" s="3">
        <v>40</v>
      </c>
      <c r="I454" s="8">
        <v>44721</v>
      </c>
      <c r="J454" s="9">
        <v>100</v>
      </c>
      <c r="K454" s="10">
        <v>40</v>
      </c>
      <c r="L454" s="10">
        <v>0</v>
      </c>
      <c r="M454" s="3" t="s">
        <v>30</v>
      </c>
      <c r="N454" s="3" t="s">
        <v>33</v>
      </c>
      <c r="O454" s="34">
        <v>5</v>
      </c>
      <c r="P454" s="3">
        <v>2022</v>
      </c>
      <c r="Q454" s="3">
        <f>VLOOKUP(C454,layoffs_location!A:F,6,FALSE)</f>
        <v>42.355433400000003</v>
      </c>
      <c r="R454" s="3">
        <f>VLOOKUP(C454,layoffs_location!A:G,7,FALSE)</f>
        <v>-71.060511000000005</v>
      </c>
    </row>
    <row r="455" spans="1:18" x14ac:dyDescent="0.2">
      <c r="A455" s="3">
        <v>454</v>
      </c>
      <c r="B455" s="3" t="s">
        <v>982</v>
      </c>
      <c r="C455" s="3" t="s">
        <v>76</v>
      </c>
      <c r="D455" s="3" t="str">
        <f>VLOOKUP(C455,layoffs_location!A:B,2,FALSE)</f>
        <v>other</v>
      </c>
      <c r="E455" s="3" t="str">
        <f>VLOOKUP(C455,layoffs_location!A:C,3,FALSE)</f>
        <v>California</v>
      </c>
      <c r="F455" s="3" t="str">
        <f>VLOOKUP(C455,layoffs_location!A:D,4,FALSE)</f>
        <v>USA</v>
      </c>
      <c r="G455" s="3" t="str">
        <f>VLOOKUP(C455,layoffs_location!A:E,5,FALSE)</f>
        <v>North America</v>
      </c>
      <c r="H455" s="3">
        <v>20</v>
      </c>
      <c r="I455" s="8">
        <v>44722</v>
      </c>
      <c r="J455" s="9">
        <v>8</v>
      </c>
      <c r="K455" s="10">
        <v>250</v>
      </c>
      <c r="L455" s="10">
        <v>230</v>
      </c>
      <c r="M455" s="3" t="s">
        <v>35</v>
      </c>
      <c r="N455" s="3" t="s">
        <v>41</v>
      </c>
      <c r="O455" s="34">
        <v>175</v>
      </c>
      <c r="P455" s="3">
        <v>2022</v>
      </c>
      <c r="Q455" s="3">
        <f>VLOOKUP(C455,layoffs_location!A:F,6,FALSE)</f>
        <v>34.053690899999999</v>
      </c>
      <c r="R455" s="3">
        <f>VLOOKUP(C455,layoffs_location!A:G,7,FALSE)</f>
        <v>-118.242766</v>
      </c>
    </row>
    <row r="456" spans="1:18" x14ac:dyDescent="0.2">
      <c r="A456" s="3">
        <v>455</v>
      </c>
      <c r="B456" s="3" t="s">
        <v>979</v>
      </c>
      <c r="C456" s="3" t="s">
        <v>135</v>
      </c>
      <c r="D456" s="3" t="str">
        <f>VLOOKUP(C456,layoffs_location!A:B,2,FALSE)</f>
        <v>other</v>
      </c>
      <c r="E456" s="3" t="str">
        <f>VLOOKUP(C456,layoffs_location!A:C,3,FALSE)</f>
        <v>Berlin</v>
      </c>
      <c r="F456" s="3" t="str">
        <f>VLOOKUP(C456,layoffs_location!A:D,4,FALSE)</f>
        <v>Germany</v>
      </c>
      <c r="G456" s="3" t="str">
        <f>VLOOKUP(C456,layoffs_location!A:E,5,FALSE)</f>
        <v>Europe</v>
      </c>
      <c r="H456" s="3">
        <v>100</v>
      </c>
      <c r="I456" s="8">
        <v>44722</v>
      </c>
      <c r="J456" s="9">
        <v>10</v>
      </c>
      <c r="K456" s="10">
        <v>1000</v>
      </c>
      <c r="L456" s="10">
        <v>900</v>
      </c>
      <c r="M456" s="3" t="s">
        <v>30</v>
      </c>
      <c r="N456" s="3" t="s">
        <v>22</v>
      </c>
      <c r="O456" s="34">
        <v>1000</v>
      </c>
      <c r="P456" s="3">
        <v>2022</v>
      </c>
      <c r="Q456" s="3">
        <f>VLOOKUP(C456,layoffs_location!A:F,6,FALSE)</f>
        <v>52.517036500000003</v>
      </c>
      <c r="R456" s="3">
        <f>VLOOKUP(C456,layoffs_location!A:G,7,FALSE)</f>
        <v>13.3888599</v>
      </c>
    </row>
    <row r="457" spans="1:18" x14ac:dyDescent="0.2">
      <c r="A457" s="3">
        <v>456</v>
      </c>
      <c r="B457" s="3" t="s">
        <v>768</v>
      </c>
      <c r="C457" s="3" t="s">
        <v>244</v>
      </c>
      <c r="D457" s="3" t="str">
        <f>VLOOKUP(C457,layoffs_location!A:B,2,FALSE)</f>
        <v>other</v>
      </c>
      <c r="E457" s="3" t="str">
        <f>VLOOKUP(C457,layoffs_location!A:C,3,FALSE)</f>
        <v>non</v>
      </c>
      <c r="F457" s="3" t="str">
        <f>VLOOKUP(C457,layoffs_location!A:D,4,FALSE)</f>
        <v>Singapore</v>
      </c>
      <c r="G457" s="3" t="str">
        <f>VLOOKUP(C457,layoffs_location!A:E,5,FALSE)</f>
        <v>Asia</v>
      </c>
      <c r="H457" s="3">
        <v>260</v>
      </c>
      <c r="I457" s="8">
        <v>44722</v>
      </c>
      <c r="J457" s="9">
        <v>5</v>
      </c>
      <c r="K457" s="10">
        <v>5200</v>
      </c>
      <c r="L457" s="10">
        <v>4940</v>
      </c>
      <c r="M457" s="3" t="s">
        <v>117</v>
      </c>
      <c r="N457" s="3" t="s">
        <v>22</v>
      </c>
      <c r="O457" s="34">
        <v>156</v>
      </c>
      <c r="P457" s="3">
        <v>2022</v>
      </c>
      <c r="Q457" s="3">
        <f>VLOOKUP(C457,layoffs_location!A:F,6,FALSE)</f>
        <v>1.2899175000000001</v>
      </c>
      <c r="R457" s="3">
        <f>VLOOKUP(C457,layoffs_location!A:G,7,FALSE)</f>
        <v>103.8519072</v>
      </c>
    </row>
    <row r="458" spans="1:18" x14ac:dyDescent="0.2">
      <c r="A458" s="3">
        <v>457</v>
      </c>
      <c r="B458" s="3" t="s">
        <v>978</v>
      </c>
      <c r="C458" s="3" t="s">
        <v>748</v>
      </c>
      <c r="D458" s="3" t="str">
        <f>VLOOKUP(C458,layoffs_location!A:B,2,FALSE)</f>
        <v>other</v>
      </c>
      <c r="E458" s="3" t="str">
        <f>VLOOKUP(C458,layoffs_location!A:C,3,FALSE)</f>
        <v>Delhi</v>
      </c>
      <c r="F458" s="3" t="str">
        <f>VLOOKUP(C458,layoffs_location!A:D,4,FALSE)</f>
        <v>India</v>
      </c>
      <c r="G458" s="3" t="str">
        <f>VLOOKUP(C458,layoffs_location!A:E,5,FALSE)</f>
        <v>Asia</v>
      </c>
      <c r="H458" s="3">
        <v>250</v>
      </c>
      <c r="I458" s="8">
        <v>44722</v>
      </c>
      <c r="J458" s="9">
        <v>30</v>
      </c>
      <c r="K458" s="10">
        <v>833</v>
      </c>
      <c r="L458" s="10">
        <v>583</v>
      </c>
      <c r="M458" s="3" t="s">
        <v>90</v>
      </c>
      <c r="N458" s="3" t="s">
        <v>36</v>
      </c>
      <c r="O458" s="34">
        <v>150</v>
      </c>
      <c r="P458" s="3">
        <v>2022</v>
      </c>
      <c r="Q458" s="3">
        <f>VLOOKUP(C458,layoffs_location!A:F,6,FALSE)</f>
        <v>28.613895400000001</v>
      </c>
      <c r="R458" s="3">
        <f>VLOOKUP(C458,layoffs_location!A:G,7,FALSE)</f>
        <v>77.209005700000006</v>
      </c>
    </row>
    <row r="459" spans="1:18" x14ac:dyDescent="0.2">
      <c r="A459" s="3">
        <v>458</v>
      </c>
      <c r="B459" s="3" t="s">
        <v>981</v>
      </c>
      <c r="C459" s="3" t="s">
        <v>58</v>
      </c>
      <c r="D459" s="3" t="str">
        <f>VLOOKUP(C459,layoffs_location!A:B,2,FALSE)</f>
        <v>other</v>
      </c>
      <c r="E459" s="3" t="str">
        <f>VLOOKUP(C459,layoffs_location!A:C,3,FALSE)</f>
        <v>England</v>
      </c>
      <c r="F459" s="3" t="str">
        <f>VLOOKUP(C459,layoffs_location!A:D,4,FALSE)</f>
        <v>UK</v>
      </c>
      <c r="G459" s="3" t="str">
        <f>VLOOKUP(C459,layoffs_location!A:E,5,FALSE)</f>
        <v>Europe</v>
      </c>
      <c r="H459" s="3">
        <v>45</v>
      </c>
      <c r="I459" s="8">
        <v>44722</v>
      </c>
      <c r="J459" s="9">
        <v>15</v>
      </c>
      <c r="K459" s="10">
        <v>300</v>
      </c>
      <c r="L459" s="10">
        <v>255</v>
      </c>
      <c r="M459" s="3" t="s">
        <v>35</v>
      </c>
      <c r="N459" s="3" t="s">
        <v>22</v>
      </c>
      <c r="O459" s="34">
        <v>133</v>
      </c>
      <c r="P459" s="3">
        <v>2022</v>
      </c>
      <c r="Q459" s="3">
        <f>VLOOKUP(C459,layoffs_location!A:F,6,FALSE)</f>
        <v>51.489333500000001</v>
      </c>
      <c r="R459" s="3">
        <f>VLOOKUP(C459,layoffs_location!A:G,7,FALSE)</f>
        <v>-0.14405508452768701</v>
      </c>
    </row>
    <row r="460" spans="1:18" x14ac:dyDescent="0.2">
      <c r="A460" s="3">
        <v>459</v>
      </c>
      <c r="B460" s="3" t="s">
        <v>980</v>
      </c>
      <c r="C460" s="3" t="s">
        <v>187</v>
      </c>
      <c r="D460" s="3" t="str">
        <f>VLOOKUP(C460,layoffs_location!A:B,2,FALSE)</f>
        <v>other</v>
      </c>
      <c r="E460" s="3" t="str">
        <f>VLOOKUP(C460,layoffs_location!A:C,3,FALSE)</f>
        <v>State of São Paulo</v>
      </c>
      <c r="F460" s="3" t="str">
        <f>VLOOKUP(C460,layoffs_location!A:D,4,FALSE)</f>
        <v>Brazil</v>
      </c>
      <c r="G460" s="3" t="str">
        <f>VLOOKUP(C460,layoffs_location!A:E,5,FALSE)</f>
        <v>South America</v>
      </c>
      <c r="H460" s="3">
        <v>60</v>
      </c>
      <c r="I460" s="8">
        <v>44722</v>
      </c>
      <c r="J460" s="9">
        <v>20</v>
      </c>
      <c r="K460" s="10">
        <v>300</v>
      </c>
      <c r="L460" s="10">
        <v>240</v>
      </c>
      <c r="M460" s="3" t="s">
        <v>21</v>
      </c>
      <c r="N460" s="3" t="s">
        <v>22</v>
      </c>
      <c r="O460" s="34">
        <v>11</v>
      </c>
      <c r="P460" s="3">
        <v>2022</v>
      </c>
      <c r="Q460" s="3">
        <f>VLOOKUP(C460,layoffs_location!A:F,6,FALSE)</f>
        <v>-23.550650699999998</v>
      </c>
      <c r="R460" s="3">
        <f>VLOOKUP(C460,layoffs_location!A:G,7,FALSE)</f>
        <v>-46.633382400000002</v>
      </c>
    </row>
    <row r="461" spans="1:18" x14ac:dyDescent="0.2">
      <c r="A461" s="3">
        <v>460</v>
      </c>
      <c r="B461" s="3" t="s">
        <v>975</v>
      </c>
      <c r="C461" s="3" t="s">
        <v>39</v>
      </c>
      <c r="D461" s="3" t="str">
        <f>VLOOKUP(C461,layoffs_location!A:B,2,FALSE)</f>
        <v>New York</v>
      </c>
      <c r="E461" s="3" t="str">
        <f>VLOOKUP(C461,layoffs_location!A:C,3,FALSE)</f>
        <v>New York</v>
      </c>
      <c r="F461" s="3" t="str">
        <f>VLOOKUP(C461,layoffs_location!A:D,4,FALSE)</f>
        <v>USA</v>
      </c>
      <c r="G461" s="3" t="str">
        <f>VLOOKUP(C461,layoffs_location!A:E,5,FALSE)</f>
        <v>North America</v>
      </c>
      <c r="H461" s="3">
        <v>250</v>
      </c>
      <c r="I461" s="8">
        <v>44725</v>
      </c>
      <c r="J461" s="9">
        <v>20</v>
      </c>
      <c r="K461" s="10">
        <v>1250</v>
      </c>
      <c r="L461" s="10">
        <v>1000</v>
      </c>
      <c r="M461" s="3" t="s">
        <v>117</v>
      </c>
      <c r="N461" s="3" t="s">
        <v>36</v>
      </c>
      <c r="O461" s="34">
        <v>1000</v>
      </c>
      <c r="P461" s="3">
        <v>2022</v>
      </c>
      <c r="Q461" s="3">
        <f>VLOOKUP(C461,layoffs_location!A:F,6,FALSE)</f>
        <v>40.7127281</v>
      </c>
      <c r="R461" s="3">
        <f>VLOOKUP(C461,layoffs_location!A:G,7,FALSE)</f>
        <v>-74.006015199999993</v>
      </c>
    </row>
    <row r="462" spans="1:18" ht="16" x14ac:dyDescent="0.2">
      <c r="A462" s="3">
        <v>461</v>
      </c>
      <c r="B462" s="3" t="s">
        <v>977</v>
      </c>
      <c r="C462" s="11" t="s">
        <v>1370</v>
      </c>
      <c r="D462" s="3" t="str">
        <f>VLOOKUP(C462,layoffs_location!A:B,2,FALSE)</f>
        <v>San Francisco Bay Area</v>
      </c>
      <c r="E462" s="3" t="str">
        <f>VLOOKUP(C462,layoffs_location!A:C,3,FALSE)</f>
        <v>California</v>
      </c>
      <c r="F462" s="3" t="str">
        <f>VLOOKUP(C462,layoffs_location!A:D,4,FALSE)</f>
        <v>USA</v>
      </c>
      <c r="G462" s="3" t="str">
        <f>VLOOKUP(C462,layoffs_location!A:E,5,FALSE)</f>
        <v>North America</v>
      </c>
      <c r="H462" s="3">
        <v>33</v>
      </c>
      <c r="I462" s="8">
        <v>44725</v>
      </c>
      <c r="J462" s="9">
        <v>40</v>
      </c>
      <c r="K462" s="10">
        <v>83</v>
      </c>
      <c r="L462" s="10">
        <v>50</v>
      </c>
      <c r="M462" s="3" t="s">
        <v>68</v>
      </c>
      <c r="N462" s="3" t="s">
        <v>49</v>
      </c>
      <c r="O462" s="34">
        <v>50</v>
      </c>
      <c r="P462" s="3">
        <v>2022</v>
      </c>
      <c r="Q462" s="3">
        <f>VLOOKUP(C462,layoffs_location!A:F,6,FALSE)</f>
        <v>37.779258800000001</v>
      </c>
      <c r="R462" s="3">
        <f>VLOOKUP(C462,layoffs_location!A:G,7,FALSE)</f>
        <v>-122.4193286</v>
      </c>
    </row>
    <row r="463" spans="1:18" x14ac:dyDescent="0.2">
      <c r="A463" s="3">
        <v>462</v>
      </c>
      <c r="B463" s="3" t="s">
        <v>976</v>
      </c>
      <c r="C463" s="3" t="s">
        <v>76</v>
      </c>
      <c r="D463" s="3" t="str">
        <f>VLOOKUP(C463,layoffs_location!A:B,2,FALSE)</f>
        <v>other</v>
      </c>
      <c r="E463" s="3" t="str">
        <f>VLOOKUP(C463,layoffs_location!A:C,3,FALSE)</f>
        <v>California</v>
      </c>
      <c r="F463" s="3" t="str">
        <f>VLOOKUP(C463,layoffs_location!A:D,4,FALSE)</f>
        <v>USA</v>
      </c>
      <c r="G463" s="3" t="str">
        <f>VLOOKUP(C463,layoffs_location!A:E,5,FALSE)</f>
        <v>North America</v>
      </c>
      <c r="H463" s="3">
        <v>56</v>
      </c>
      <c r="I463" s="8">
        <v>44725</v>
      </c>
      <c r="J463" s="9">
        <v>33</v>
      </c>
      <c r="K463" s="10">
        <v>170</v>
      </c>
      <c r="L463" s="10">
        <v>114</v>
      </c>
      <c r="M463" s="3" t="s">
        <v>54</v>
      </c>
      <c r="N463" s="3" t="s">
        <v>49</v>
      </c>
      <c r="O463" s="34">
        <v>65</v>
      </c>
      <c r="P463" s="3">
        <v>2022</v>
      </c>
      <c r="Q463" s="3">
        <f>VLOOKUP(C463,layoffs_location!A:F,6,FALSE)</f>
        <v>34.053690899999999</v>
      </c>
      <c r="R463" s="3">
        <f>VLOOKUP(C463,layoffs_location!A:G,7,FALSE)</f>
        <v>-118.242766</v>
      </c>
    </row>
    <row r="464" spans="1:18" x14ac:dyDescent="0.2">
      <c r="A464" s="3">
        <v>463</v>
      </c>
      <c r="B464" s="3" t="s">
        <v>973</v>
      </c>
      <c r="C464" s="3" t="s">
        <v>748</v>
      </c>
      <c r="D464" s="3" t="str">
        <f>VLOOKUP(C464,layoffs_location!A:B,2,FALSE)</f>
        <v>other</v>
      </c>
      <c r="E464" s="3" t="str">
        <f>VLOOKUP(C464,layoffs_location!A:C,3,FALSE)</f>
        <v>Delhi</v>
      </c>
      <c r="F464" s="3" t="str">
        <f>VLOOKUP(C464,layoffs_location!A:D,4,FALSE)</f>
        <v>India</v>
      </c>
      <c r="G464" s="3" t="str">
        <f>VLOOKUP(C464,layoffs_location!A:E,5,FALSE)</f>
        <v>Asia</v>
      </c>
      <c r="H464" s="3">
        <v>50</v>
      </c>
      <c r="I464" s="8">
        <v>44726</v>
      </c>
      <c r="J464" s="9">
        <v>33</v>
      </c>
      <c r="K464" s="10">
        <v>152</v>
      </c>
      <c r="L464" s="10">
        <v>102</v>
      </c>
      <c r="M464" s="3" t="s">
        <v>21</v>
      </c>
      <c r="N464" s="3" t="s">
        <v>69</v>
      </c>
      <c r="O464" s="34">
        <v>6</v>
      </c>
      <c r="P464" s="3">
        <v>2022</v>
      </c>
      <c r="Q464" s="3">
        <f>VLOOKUP(C464,layoffs_location!A:F,6,FALSE)</f>
        <v>28.613895400000001</v>
      </c>
      <c r="R464" s="3">
        <f>VLOOKUP(C464,layoffs_location!A:G,7,FALSE)</f>
        <v>77.209005700000006</v>
      </c>
    </row>
    <row r="465" spans="1:18" x14ac:dyDescent="0.2">
      <c r="A465" s="3">
        <v>464</v>
      </c>
      <c r="B465" s="3" t="s">
        <v>557</v>
      </c>
      <c r="C465" s="3" t="s">
        <v>1370</v>
      </c>
      <c r="D465" s="3" t="str">
        <f>VLOOKUP(C465,layoffs_location!A:B,2,FALSE)</f>
        <v>San Francisco Bay Area</v>
      </c>
      <c r="E465" s="3" t="str">
        <f>VLOOKUP(C465,layoffs_location!A:C,3,FALSE)</f>
        <v>California</v>
      </c>
      <c r="F465" s="3" t="str">
        <f>VLOOKUP(C465,layoffs_location!A:D,4,FALSE)</f>
        <v>USA</v>
      </c>
      <c r="G465" s="3" t="str">
        <f>VLOOKUP(C465,layoffs_location!A:E,5,FALSE)</f>
        <v>North America</v>
      </c>
      <c r="H465" s="3">
        <v>1100</v>
      </c>
      <c r="I465" s="8">
        <v>44726</v>
      </c>
      <c r="J465" s="9">
        <v>18</v>
      </c>
      <c r="K465" s="10">
        <v>6111</v>
      </c>
      <c r="L465" s="10">
        <v>5011</v>
      </c>
      <c r="M465" s="3" t="s">
        <v>117</v>
      </c>
      <c r="N465" s="3" t="s">
        <v>28</v>
      </c>
      <c r="O465" s="34">
        <v>549</v>
      </c>
      <c r="P465" s="3">
        <v>2022</v>
      </c>
      <c r="Q465" s="3">
        <f>VLOOKUP(C465,layoffs_location!A:F,6,FALSE)</f>
        <v>37.779258800000001</v>
      </c>
      <c r="R465" s="3">
        <f>VLOOKUP(C465,layoffs_location!A:G,7,FALSE)</f>
        <v>-122.4193286</v>
      </c>
    </row>
    <row r="466" spans="1:18" x14ac:dyDescent="0.2">
      <c r="A466" s="3">
        <v>465</v>
      </c>
      <c r="B466" s="3" t="s">
        <v>779</v>
      </c>
      <c r="C466" s="3" t="s">
        <v>39</v>
      </c>
      <c r="D466" s="3" t="str">
        <f>VLOOKUP(C466,layoffs_location!A:B,2,FALSE)</f>
        <v>New York</v>
      </c>
      <c r="E466" s="3" t="str">
        <f>VLOOKUP(C466,layoffs_location!A:C,3,FALSE)</f>
        <v>New York</v>
      </c>
      <c r="F466" s="3" t="str">
        <f>VLOOKUP(C466,layoffs_location!A:D,4,FALSE)</f>
        <v>USA</v>
      </c>
      <c r="G466" s="3" t="str">
        <f>VLOOKUP(C466,layoffs_location!A:E,5,FALSE)</f>
        <v>North America</v>
      </c>
      <c r="H466" s="3">
        <v>450</v>
      </c>
      <c r="I466" s="8">
        <v>44726</v>
      </c>
      <c r="J466" s="9">
        <v>10</v>
      </c>
      <c r="K466" s="10">
        <v>4500</v>
      </c>
      <c r="L466" s="10">
        <v>4050</v>
      </c>
      <c r="M466" s="3" t="s">
        <v>137</v>
      </c>
      <c r="N466" s="3" t="s">
        <v>28</v>
      </c>
      <c r="P466" s="3">
        <v>2022</v>
      </c>
      <c r="Q466" s="3">
        <f>VLOOKUP(C466,layoffs_location!A:F,6,FALSE)</f>
        <v>40.7127281</v>
      </c>
      <c r="R466" s="3">
        <f>VLOOKUP(C466,layoffs_location!A:G,7,FALSE)</f>
        <v>-74.006015199999993</v>
      </c>
    </row>
    <row r="467" spans="1:18" x14ac:dyDescent="0.2">
      <c r="A467" s="3">
        <v>466</v>
      </c>
      <c r="B467" s="3" t="s">
        <v>343</v>
      </c>
      <c r="C467" s="3" t="s">
        <v>43</v>
      </c>
      <c r="D467" s="3" t="str">
        <f>VLOOKUP(C467,layoffs_location!A:B,2,FALSE)</f>
        <v>Cascadia</v>
      </c>
      <c r="E467" s="3" t="str">
        <f>VLOOKUP(C467,layoffs_location!A:C,3,FALSE)</f>
        <v>Washington</v>
      </c>
      <c r="F467" s="3" t="str">
        <f>VLOOKUP(C467,layoffs_location!A:D,4,FALSE)</f>
        <v>USA</v>
      </c>
      <c r="G467" s="3" t="str">
        <f>VLOOKUP(C467,layoffs_location!A:E,5,FALSE)</f>
        <v>North America</v>
      </c>
      <c r="H467" s="3">
        <v>470</v>
      </c>
      <c r="I467" s="8">
        <v>44726</v>
      </c>
      <c r="J467" s="9">
        <v>8</v>
      </c>
      <c r="K467" s="10">
        <v>5875</v>
      </c>
      <c r="L467" s="10">
        <v>5405</v>
      </c>
      <c r="M467" s="3" t="s">
        <v>137</v>
      </c>
      <c r="N467" s="3" t="s">
        <v>28</v>
      </c>
      <c r="O467" s="34">
        <v>319</v>
      </c>
      <c r="P467" s="3">
        <v>2022</v>
      </c>
      <c r="Q467" s="3">
        <f>VLOOKUP(C467,layoffs_location!A:F,6,FALSE)</f>
        <v>47.603832099999998</v>
      </c>
      <c r="R467" s="3">
        <f>VLOOKUP(C467,layoffs_location!A:G,7,FALSE)</f>
        <v>-122.330062</v>
      </c>
    </row>
    <row r="468" spans="1:18" x14ac:dyDescent="0.2">
      <c r="A468" s="3">
        <v>467</v>
      </c>
      <c r="B468" s="3" t="s">
        <v>972</v>
      </c>
      <c r="C468" s="3" t="s">
        <v>187</v>
      </c>
      <c r="D468" s="3" t="str">
        <f>VLOOKUP(C468,layoffs_location!A:B,2,FALSE)</f>
        <v>other</v>
      </c>
      <c r="E468" s="3" t="str">
        <f>VLOOKUP(C468,layoffs_location!A:C,3,FALSE)</f>
        <v>State of São Paulo</v>
      </c>
      <c r="F468" s="3" t="str">
        <f>VLOOKUP(C468,layoffs_location!A:D,4,FALSE)</f>
        <v>Brazil</v>
      </c>
      <c r="G468" s="3" t="str">
        <f>VLOOKUP(C468,layoffs_location!A:E,5,FALSE)</f>
        <v>South America</v>
      </c>
      <c r="H468" s="3">
        <v>75</v>
      </c>
      <c r="I468" s="8">
        <v>44726</v>
      </c>
      <c r="J468" s="9">
        <v>15</v>
      </c>
      <c r="K468" s="10">
        <v>500</v>
      </c>
      <c r="L468" s="10">
        <v>425</v>
      </c>
      <c r="M468" s="3" t="s">
        <v>21</v>
      </c>
      <c r="N468" s="3" t="s">
        <v>22</v>
      </c>
      <c r="O468" s="34">
        <v>36</v>
      </c>
      <c r="P468" s="3">
        <v>2022</v>
      </c>
      <c r="Q468" s="3">
        <f>VLOOKUP(C468,layoffs_location!A:F,6,FALSE)</f>
        <v>-23.550650699999998</v>
      </c>
      <c r="R468" s="3">
        <f>VLOOKUP(C468,layoffs_location!A:G,7,FALSE)</f>
        <v>-46.633382400000002</v>
      </c>
    </row>
    <row r="469" spans="1:18" x14ac:dyDescent="0.2">
      <c r="A469" s="3">
        <v>468</v>
      </c>
      <c r="B469" s="3" t="s">
        <v>974</v>
      </c>
      <c r="C469" s="3" t="s">
        <v>531</v>
      </c>
      <c r="D469" s="3" t="str">
        <f>VLOOKUP(C469,layoffs_location!A:B,2,FALSE)</f>
        <v>other</v>
      </c>
      <c r="E469" s="3" t="str">
        <f>VLOOKUP(C469,layoffs_location!A:C,3,FALSE)</f>
        <v>Colorado</v>
      </c>
      <c r="F469" s="3" t="str">
        <f>VLOOKUP(C469,layoffs_location!A:D,4,FALSE)</f>
        <v>USA</v>
      </c>
      <c r="G469" s="3" t="str">
        <f>VLOOKUP(C469,layoffs_location!A:E,5,FALSE)</f>
        <v>North America</v>
      </c>
      <c r="H469" s="3">
        <v>24</v>
      </c>
      <c r="I469" s="8">
        <v>44726</v>
      </c>
      <c r="J469" s="9">
        <v>10</v>
      </c>
      <c r="K469" s="10">
        <v>240</v>
      </c>
      <c r="L469" s="10">
        <v>216</v>
      </c>
      <c r="M469" s="3" t="s">
        <v>117</v>
      </c>
      <c r="N469" s="3" t="s">
        <v>108</v>
      </c>
      <c r="O469" s="34">
        <v>204</v>
      </c>
      <c r="P469" s="3">
        <v>2022</v>
      </c>
      <c r="Q469" s="3">
        <f>VLOOKUP(C469,layoffs_location!A:F,6,FALSE)</f>
        <v>40.014985600000003</v>
      </c>
      <c r="R469" s="3">
        <f>VLOOKUP(C469,layoffs_location!A:G,7,FALSE)</f>
        <v>-105.270545</v>
      </c>
    </row>
    <row r="470" spans="1:18" x14ac:dyDescent="0.2">
      <c r="A470" s="3">
        <v>469</v>
      </c>
      <c r="B470" s="3" t="s">
        <v>968</v>
      </c>
      <c r="C470" s="3" t="s">
        <v>71</v>
      </c>
      <c r="D470" s="3" t="str">
        <f>VLOOKUP(C470,layoffs_location!A:B,2,FALSE)</f>
        <v>other</v>
      </c>
      <c r="E470" s="3" t="str">
        <f>VLOOKUP(C470,layoffs_location!A:C,3,FALSE)</f>
        <v>Massachusetts</v>
      </c>
      <c r="F470" s="3" t="str">
        <f>VLOOKUP(C470,layoffs_location!A:D,4,FALSE)</f>
        <v>USA</v>
      </c>
      <c r="G470" s="3" t="str">
        <f>VLOOKUP(C470,layoffs_location!A:E,5,FALSE)</f>
        <v>North America</v>
      </c>
      <c r="H470" s="3">
        <v>110</v>
      </c>
      <c r="I470" s="8">
        <v>44727</v>
      </c>
      <c r="J470" s="9">
        <v>25</v>
      </c>
      <c r="K470" s="10">
        <v>440</v>
      </c>
      <c r="L470" s="10">
        <v>330</v>
      </c>
      <c r="M470" s="3" t="s">
        <v>478</v>
      </c>
      <c r="N470" s="3" t="s">
        <v>108</v>
      </c>
      <c r="O470" s="34">
        <v>213</v>
      </c>
      <c r="P470" s="3">
        <v>2022</v>
      </c>
      <c r="Q470" s="3">
        <f>VLOOKUP(C470,layoffs_location!A:F,6,FALSE)</f>
        <v>42.355433400000003</v>
      </c>
      <c r="R470" s="3">
        <f>VLOOKUP(C470,layoffs_location!A:G,7,FALSE)</f>
        <v>-71.060511000000005</v>
      </c>
    </row>
    <row r="471" spans="1:18" x14ac:dyDescent="0.2">
      <c r="A471" s="3">
        <v>470</v>
      </c>
      <c r="B471" s="3" t="s">
        <v>970</v>
      </c>
      <c r="C471" s="3" t="s">
        <v>47</v>
      </c>
      <c r="D471" s="3" t="str">
        <f>VLOOKUP(C471,layoffs_location!A:B,2,FALSE)</f>
        <v>other</v>
      </c>
      <c r="E471" s="3" t="str">
        <f>VLOOKUP(C471,layoffs_location!A:C,3,FALSE)</f>
        <v>non</v>
      </c>
      <c r="F471" s="3" t="str">
        <f>VLOOKUP(C471,layoffs_location!A:D,4,FALSE)</f>
        <v>Israel</v>
      </c>
      <c r="G471" s="3" t="str">
        <f>VLOOKUP(C471,layoffs_location!A:E,5,FALSE)</f>
        <v>Asia</v>
      </c>
      <c r="H471" s="3">
        <v>14</v>
      </c>
      <c r="I471" s="8">
        <v>44727</v>
      </c>
      <c r="J471" s="9">
        <v>5</v>
      </c>
      <c r="K471" s="10">
        <v>280</v>
      </c>
      <c r="L471" s="10">
        <v>266</v>
      </c>
      <c r="M471" s="3" t="s">
        <v>54</v>
      </c>
      <c r="N471" s="3" t="s">
        <v>36</v>
      </c>
      <c r="O471" s="34">
        <v>223</v>
      </c>
      <c r="P471" s="3">
        <v>2022</v>
      </c>
      <c r="Q471" s="3">
        <f>VLOOKUP(C471,layoffs_location!A:F,6,FALSE)</f>
        <v>32.0852997</v>
      </c>
      <c r="R471" s="3">
        <f>VLOOKUP(C471,layoffs_location!A:G,7,FALSE)</f>
        <v>34.781806400000001</v>
      </c>
    </row>
    <row r="472" spans="1:18" x14ac:dyDescent="0.2">
      <c r="A472" s="3">
        <v>471</v>
      </c>
      <c r="B472" s="3" t="s">
        <v>963</v>
      </c>
      <c r="C472" s="3" t="s">
        <v>964</v>
      </c>
      <c r="D472" s="3" t="str">
        <f>VLOOKUP(C472,layoffs_location!A:B,2,FALSE)</f>
        <v>other</v>
      </c>
      <c r="E472" s="3" t="str">
        <f>VLOOKUP(C472,layoffs_location!A:C,3,FALSE)</f>
        <v>non</v>
      </c>
      <c r="F472" s="3" t="str">
        <f>VLOOKUP(C472,layoffs_location!A:D,4,FALSE)</f>
        <v>Finland</v>
      </c>
      <c r="G472" s="3" t="str">
        <f>VLOOKUP(C472,layoffs_location!A:E,5,FALSE)</f>
        <v>Europe</v>
      </c>
      <c r="H472" s="3">
        <v>250</v>
      </c>
      <c r="I472" s="8">
        <v>44727</v>
      </c>
      <c r="J472" s="9">
        <v>17</v>
      </c>
      <c r="K472" s="10">
        <v>1471</v>
      </c>
      <c r="L472" s="10">
        <v>1221</v>
      </c>
      <c r="M472" s="3" t="s">
        <v>30</v>
      </c>
      <c r="N472" s="3" t="s">
        <v>41</v>
      </c>
      <c r="O472" s="34">
        <v>169</v>
      </c>
      <c r="P472" s="3">
        <v>2022</v>
      </c>
      <c r="Q472" s="3">
        <f>VLOOKUP(C472,layoffs_location!A:F,6,FALSE)</f>
        <v>60.1674881</v>
      </c>
      <c r="R472" s="3">
        <f>VLOOKUP(C472,layoffs_location!A:G,7,FALSE)</f>
        <v>24.942747300000001</v>
      </c>
    </row>
    <row r="473" spans="1:18" x14ac:dyDescent="0.2">
      <c r="A473" s="3">
        <v>472</v>
      </c>
      <c r="B473" s="3" t="s">
        <v>971</v>
      </c>
      <c r="C473" s="3" t="s">
        <v>179</v>
      </c>
      <c r="D473" s="3" t="str">
        <f>VLOOKUP(C473,layoffs_location!A:B,2,FALSE)</f>
        <v>other</v>
      </c>
      <c r="E473" s="3" t="str">
        <f>VLOOKUP(C473,layoffs_location!A:C,3,FALSE)</f>
        <v>Ontario</v>
      </c>
      <c r="F473" s="3" t="str">
        <f>VLOOKUP(C473,layoffs_location!A:D,4,FALSE)</f>
        <v>Canada</v>
      </c>
      <c r="G473" s="3" t="str">
        <f>VLOOKUP(C473,layoffs_location!A:E,5,FALSE)</f>
        <v>North America</v>
      </c>
      <c r="H473" s="3">
        <v>10</v>
      </c>
      <c r="I473" s="8">
        <v>44727</v>
      </c>
      <c r="J473" s="9">
        <v>30</v>
      </c>
      <c r="K473" s="10">
        <v>33</v>
      </c>
      <c r="L473" s="10">
        <v>23</v>
      </c>
      <c r="M473" s="3" t="s">
        <v>90</v>
      </c>
      <c r="N473" s="3" t="s">
        <v>69</v>
      </c>
      <c r="O473" s="34">
        <v>20</v>
      </c>
      <c r="P473" s="3">
        <v>2022</v>
      </c>
      <c r="Q473" s="3">
        <f>VLOOKUP(C473,layoffs_location!A:F,6,FALSE)</f>
        <v>43.6534817</v>
      </c>
      <c r="R473" s="3">
        <f>VLOOKUP(C473,layoffs_location!A:G,7,FALSE)</f>
        <v>-79.383934699999998</v>
      </c>
    </row>
    <row r="474" spans="1:18" x14ac:dyDescent="0.2">
      <c r="A474" s="3">
        <v>473</v>
      </c>
      <c r="B474" s="3" t="s">
        <v>969</v>
      </c>
      <c r="C474" s="3" t="s">
        <v>1473</v>
      </c>
      <c r="D474" s="3" t="str">
        <f>VLOOKUP(C474,layoffs_location!A:B,2,FALSE)</f>
        <v>San Francisco Bay Area</v>
      </c>
      <c r="E474" s="3" t="str">
        <f>VLOOKUP(C474,layoffs_location!A:C,3,FALSE)</f>
        <v>California</v>
      </c>
      <c r="F474" s="3" t="str">
        <f>VLOOKUP(C474,layoffs_location!A:D,4,FALSE)</f>
        <v>USA</v>
      </c>
      <c r="G474" s="3" t="str">
        <f>VLOOKUP(C474,layoffs_location!A:E,5,FALSE)</f>
        <v>North America</v>
      </c>
      <c r="H474" s="3">
        <v>23</v>
      </c>
      <c r="I474" s="8">
        <v>44727</v>
      </c>
      <c r="J474" s="9">
        <v>23</v>
      </c>
      <c r="K474" s="10">
        <v>100</v>
      </c>
      <c r="L474" s="10">
        <v>77</v>
      </c>
      <c r="M474" s="3" t="s">
        <v>60</v>
      </c>
      <c r="N474" s="3" t="s">
        <v>49</v>
      </c>
      <c r="O474" s="34">
        <v>83</v>
      </c>
      <c r="P474" s="3">
        <v>2022</v>
      </c>
      <c r="Q474" s="3">
        <f>VLOOKUP(C474,layoffs_location!A:F,6,FALSE)</f>
        <v>37.4443293</v>
      </c>
      <c r="R474" s="3">
        <f>VLOOKUP(C474,layoffs_location!A:G,7,FALSE)</f>
        <v>-122.1598465</v>
      </c>
    </row>
    <row r="475" spans="1:18" x14ac:dyDescent="0.2">
      <c r="A475" s="3">
        <v>474</v>
      </c>
      <c r="B475" s="3" t="s">
        <v>966</v>
      </c>
      <c r="C475" s="3" t="s">
        <v>179</v>
      </c>
      <c r="D475" s="3" t="str">
        <f>VLOOKUP(C475,layoffs_location!A:B,2,FALSE)</f>
        <v>other</v>
      </c>
      <c r="E475" s="3" t="str">
        <f>VLOOKUP(C475,layoffs_location!A:C,3,FALSE)</f>
        <v>Ontario</v>
      </c>
      <c r="F475" s="3" t="str">
        <f>VLOOKUP(C475,layoffs_location!A:D,4,FALSE)</f>
        <v>Canada</v>
      </c>
      <c r="G475" s="3" t="str">
        <f>VLOOKUP(C475,layoffs_location!A:E,5,FALSE)</f>
        <v>North America</v>
      </c>
      <c r="H475" s="3">
        <v>159</v>
      </c>
      <c r="I475" s="8">
        <v>44727</v>
      </c>
      <c r="J475" s="9">
        <v>13</v>
      </c>
      <c r="K475" s="10">
        <v>1223</v>
      </c>
      <c r="L475" s="10">
        <v>1064</v>
      </c>
      <c r="M475" s="3" t="s">
        <v>35</v>
      </c>
      <c r="N475" s="3" t="s">
        <v>22</v>
      </c>
      <c r="O475" s="34">
        <v>900</v>
      </c>
      <c r="P475" s="3">
        <v>2022</v>
      </c>
      <c r="Q475" s="3">
        <f>VLOOKUP(C475,layoffs_location!A:F,6,FALSE)</f>
        <v>43.6534817</v>
      </c>
      <c r="R475" s="3">
        <f>VLOOKUP(C475,layoffs_location!A:G,7,FALSE)</f>
        <v>-79.383934699999998</v>
      </c>
    </row>
    <row r="476" spans="1:18" x14ac:dyDescent="0.2">
      <c r="A476" s="3">
        <v>475</v>
      </c>
      <c r="B476" s="3" t="s">
        <v>967</v>
      </c>
      <c r="C476" s="3" t="s">
        <v>1329</v>
      </c>
      <c r="D476" s="3" t="str">
        <f>VLOOKUP(C476,layoffs_location!A:B,2,FALSE)</f>
        <v>San Francisco Bay Area</v>
      </c>
      <c r="E476" s="3" t="str">
        <f>VLOOKUP(C476,layoffs_location!A:C,3,FALSE)</f>
        <v>California</v>
      </c>
      <c r="F476" s="3" t="str">
        <f>VLOOKUP(C476,layoffs_location!A:D,4,FALSE)</f>
        <v>USA</v>
      </c>
      <c r="G476" s="3" t="str">
        <f>VLOOKUP(C476,layoffs_location!A:E,5,FALSE)</f>
        <v>North America</v>
      </c>
      <c r="H476" s="3">
        <v>150</v>
      </c>
      <c r="I476" s="8">
        <v>44727</v>
      </c>
      <c r="J476" s="9">
        <v>10</v>
      </c>
      <c r="K476" s="10">
        <v>1500</v>
      </c>
      <c r="L476" s="10">
        <v>1350</v>
      </c>
      <c r="M476" s="3" t="s">
        <v>77</v>
      </c>
      <c r="N476" s="3" t="s">
        <v>36</v>
      </c>
      <c r="O476" s="34">
        <v>863</v>
      </c>
      <c r="P476" s="3">
        <v>2022</v>
      </c>
      <c r="Q476" s="3">
        <f>VLOOKUP(C476,layoffs_location!A:F,6,FALSE)</f>
        <v>37.548269699999999</v>
      </c>
      <c r="R476" s="3">
        <f>VLOOKUP(C476,layoffs_location!A:G,7,FALSE)</f>
        <v>-121.98857099999999</v>
      </c>
    </row>
    <row r="477" spans="1:18" x14ac:dyDescent="0.2">
      <c r="A477" s="3">
        <v>476</v>
      </c>
      <c r="B477" s="3" t="s">
        <v>961</v>
      </c>
      <c r="C477" s="3" t="s">
        <v>39</v>
      </c>
      <c r="D477" s="3" t="str">
        <f>VLOOKUP(C477,layoffs_location!A:B,2,FALSE)</f>
        <v>New York</v>
      </c>
      <c r="E477" s="3" t="str">
        <f>VLOOKUP(C477,layoffs_location!A:C,3,FALSE)</f>
        <v>New York</v>
      </c>
      <c r="F477" s="3" t="str">
        <f>VLOOKUP(C477,layoffs_location!A:D,4,FALSE)</f>
        <v>USA</v>
      </c>
      <c r="G477" s="3" t="str">
        <f>VLOOKUP(C477,layoffs_location!A:E,5,FALSE)</f>
        <v>North America</v>
      </c>
      <c r="H477" s="3">
        <v>50</v>
      </c>
      <c r="I477" s="8">
        <v>44728</v>
      </c>
      <c r="J477" s="9">
        <v>5</v>
      </c>
      <c r="K477" s="10">
        <v>1000</v>
      </c>
      <c r="L477" s="10">
        <v>950</v>
      </c>
      <c r="M477" s="3" t="s">
        <v>77</v>
      </c>
      <c r="N477" s="3" t="s">
        <v>49</v>
      </c>
      <c r="O477" s="34">
        <v>430</v>
      </c>
      <c r="P477" s="3">
        <v>2022</v>
      </c>
      <c r="Q477" s="3">
        <f>VLOOKUP(C477,layoffs_location!A:F,6,FALSE)</f>
        <v>40.7127281</v>
      </c>
      <c r="R477" s="3">
        <f>VLOOKUP(C477,layoffs_location!A:G,7,FALSE)</f>
        <v>-74.006015199999993</v>
      </c>
    </row>
    <row r="478" spans="1:18" x14ac:dyDescent="0.2">
      <c r="A478" s="3">
        <v>477</v>
      </c>
      <c r="B478" s="3" t="s">
        <v>962</v>
      </c>
      <c r="C478" s="3" t="s">
        <v>1370</v>
      </c>
      <c r="D478" s="3" t="str">
        <f>VLOOKUP(C478,layoffs_location!A:B,2,FALSE)</f>
        <v>San Francisco Bay Area</v>
      </c>
      <c r="E478" s="3" t="str">
        <f>VLOOKUP(C478,layoffs_location!A:C,3,FALSE)</f>
        <v>California</v>
      </c>
      <c r="F478" s="3" t="str">
        <f>VLOOKUP(C478,layoffs_location!A:D,4,FALSE)</f>
        <v>USA</v>
      </c>
      <c r="G478" s="3" t="str">
        <f>VLOOKUP(C478,layoffs_location!A:E,5,FALSE)</f>
        <v>North America</v>
      </c>
      <c r="H478" s="3">
        <v>45</v>
      </c>
      <c r="I478" s="8">
        <v>44728</v>
      </c>
      <c r="J478" s="9">
        <v>15</v>
      </c>
      <c r="K478" s="10">
        <v>300</v>
      </c>
      <c r="L478" s="10">
        <v>255</v>
      </c>
      <c r="M478" s="3" t="s">
        <v>137</v>
      </c>
      <c r="N478" s="3" t="s">
        <v>108</v>
      </c>
      <c r="O478" s="34">
        <v>178</v>
      </c>
      <c r="P478" s="3">
        <v>2022</v>
      </c>
      <c r="Q478" s="3">
        <f>VLOOKUP(C478,layoffs_location!A:F,6,FALSE)</f>
        <v>37.779258800000001</v>
      </c>
      <c r="R478" s="3">
        <f>VLOOKUP(C478,layoffs_location!A:G,7,FALSE)</f>
        <v>-122.4193286</v>
      </c>
    </row>
    <row r="479" spans="1:18" x14ac:dyDescent="0.2">
      <c r="A479" s="3">
        <v>478</v>
      </c>
      <c r="B479" s="3" t="s">
        <v>960</v>
      </c>
      <c r="C479" s="3" t="s">
        <v>452</v>
      </c>
      <c r="D479" s="3" t="str">
        <f>VLOOKUP(C479,layoffs_location!A:B,2,FALSE)</f>
        <v>other</v>
      </c>
      <c r="E479" s="3" t="str">
        <f>VLOOKUP(C479,layoffs_location!A:C,3,FALSE)</f>
        <v>Ohio</v>
      </c>
      <c r="F479" s="3" t="str">
        <f>VLOOKUP(C479,layoffs_location!A:D,4,FALSE)</f>
        <v>USA</v>
      </c>
      <c r="G479" s="3" t="str">
        <f>VLOOKUP(C479,layoffs_location!A:E,5,FALSE)</f>
        <v>North America</v>
      </c>
      <c r="H479" s="3">
        <v>16</v>
      </c>
      <c r="I479" s="8">
        <v>44729</v>
      </c>
      <c r="J479" s="9">
        <v>20</v>
      </c>
      <c r="K479" s="10">
        <v>80</v>
      </c>
      <c r="L479" s="10">
        <v>64</v>
      </c>
      <c r="M479" s="3" t="s">
        <v>139</v>
      </c>
      <c r="N479" s="3" t="s">
        <v>49</v>
      </c>
      <c r="O479" s="34">
        <v>49</v>
      </c>
      <c r="P479" s="3">
        <v>2022</v>
      </c>
      <c r="Q479" s="3">
        <f>VLOOKUP(C479,layoffs_location!A:F,6,FALSE)</f>
        <v>39.962260100000002</v>
      </c>
      <c r="R479" s="3">
        <f>VLOOKUP(C479,layoffs_location!A:G,7,FALSE)</f>
        <v>-83.000706500000007</v>
      </c>
    </row>
    <row r="480" spans="1:18" x14ac:dyDescent="0.2">
      <c r="A480" s="3">
        <v>479</v>
      </c>
      <c r="B480" s="3" t="s">
        <v>572</v>
      </c>
      <c r="C480" s="3" t="s">
        <v>573</v>
      </c>
      <c r="D480" s="3" t="str">
        <f>VLOOKUP(C480,layoffs_location!A:B,2,FALSE)</f>
        <v>other</v>
      </c>
      <c r="E480" s="3" t="str">
        <f>VLOOKUP(C480,layoffs_location!A:C,3,FALSE)</f>
        <v>Nevada</v>
      </c>
      <c r="F480" s="3" t="str">
        <f>VLOOKUP(C480,layoffs_location!A:D,4,FALSE)</f>
        <v>USA</v>
      </c>
      <c r="G480" s="3" t="str">
        <f>VLOOKUP(C480,layoffs_location!A:E,5,FALSE)</f>
        <v>North America</v>
      </c>
      <c r="H480" s="3">
        <v>69</v>
      </c>
      <c r="I480" s="8">
        <v>44729</v>
      </c>
      <c r="J480" s="9">
        <v>13</v>
      </c>
      <c r="K480" s="10">
        <v>531</v>
      </c>
      <c r="L480" s="10">
        <v>462</v>
      </c>
      <c r="M480" s="3" t="s">
        <v>35</v>
      </c>
      <c r="N480" s="3" t="s">
        <v>36</v>
      </c>
      <c r="O480" s="34">
        <v>646</v>
      </c>
      <c r="P480" s="3">
        <v>2022</v>
      </c>
      <c r="Q480" s="3">
        <f>VLOOKUP(C480,layoffs_location!A:F,6,FALSE)</f>
        <v>39.526120599999999</v>
      </c>
      <c r="R480" s="3">
        <f>VLOOKUP(C480,layoffs_location!A:G,7,FALSE)</f>
        <v>-119.81265809999999</v>
      </c>
    </row>
    <row r="481" spans="1:18" x14ac:dyDescent="0.2">
      <c r="A481" s="3">
        <v>480</v>
      </c>
      <c r="B481" s="3" t="s">
        <v>706</v>
      </c>
      <c r="C481" s="3" t="s">
        <v>13</v>
      </c>
      <c r="D481" s="3" t="str">
        <f>VLOOKUP(C481,layoffs_location!A:B,2,FALSE)</f>
        <v>other</v>
      </c>
      <c r="E481" s="3" t="str">
        <f>VLOOKUP(C481,layoffs_location!A:C,3,FALSE)</f>
        <v>Karnataka</v>
      </c>
      <c r="F481" s="3" t="str">
        <f>VLOOKUP(C481,layoffs_location!A:D,4,FALSE)</f>
        <v>India</v>
      </c>
      <c r="G481" s="3" t="str">
        <f>VLOOKUP(C481,layoffs_location!A:E,5,FALSE)</f>
        <v>Asia</v>
      </c>
      <c r="H481" s="3">
        <v>150</v>
      </c>
      <c r="I481" s="8">
        <v>44730</v>
      </c>
      <c r="J481" s="9">
        <v>3</v>
      </c>
      <c r="K481" s="10">
        <v>5000</v>
      </c>
      <c r="L481" s="10">
        <v>4850</v>
      </c>
      <c r="M481" s="3" t="s">
        <v>68</v>
      </c>
      <c r="N481" s="3" t="s">
        <v>17</v>
      </c>
      <c r="O481" s="34">
        <v>838</v>
      </c>
      <c r="P481" s="3">
        <v>2022</v>
      </c>
      <c r="Q481" s="3">
        <f>VLOOKUP(C481,layoffs_location!A:F,6,FALSE)</f>
        <v>12.98815675</v>
      </c>
      <c r="R481" s="3">
        <f>VLOOKUP(C481,layoffs_location!A:G,7,FALSE)</f>
        <v>77.622600037959998</v>
      </c>
    </row>
    <row r="482" spans="1:18" x14ac:dyDescent="0.2">
      <c r="A482" s="3">
        <v>481</v>
      </c>
      <c r="B482" s="3" t="s">
        <v>959</v>
      </c>
      <c r="C482" s="3" t="s">
        <v>663</v>
      </c>
      <c r="D482" s="3" t="str">
        <f>VLOOKUP(C482,layoffs_location!A:B,2,FALSE)</f>
        <v>other</v>
      </c>
      <c r="E482" s="3" t="str">
        <f>VLOOKUP(C482,layoffs_location!A:C,3,FALSE)</f>
        <v>non</v>
      </c>
      <c r="F482" s="3" t="str">
        <f>VLOOKUP(C482,layoffs_location!A:D,4,FALSE)</f>
        <v>United Arabian Emirates</v>
      </c>
      <c r="G482" s="3" t="str">
        <f>VLOOKUP(C482,layoffs_location!A:E,5,FALSE)</f>
        <v>Asia</v>
      </c>
      <c r="H482" s="3">
        <v>9</v>
      </c>
      <c r="I482" s="8">
        <v>44731</v>
      </c>
      <c r="J482" s="9">
        <v>5</v>
      </c>
      <c r="K482" s="10">
        <v>180</v>
      </c>
      <c r="L482" s="10">
        <v>171</v>
      </c>
      <c r="M482" s="3" t="s">
        <v>117</v>
      </c>
      <c r="N482" s="3" t="s">
        <v>49</v>
      </c>
      <c r="O482" s="34">
        <v>30</v>
      </c>
      <c r="P482" s="3">
        <v>2022</v>
      </c>
      <c r="Q482" s="3">
        <f>VLOOKUP(C482,layoffs_location!A:F,6,FALSE)</f>
        <v>25.276986999999998</v>
      </c>
      <c r="R482" s="3">
        <f>VLOOKUP(C482,layoffs_location!A:G,7,FALSE)</f>
        <v>55.296249000000003</v>
      </c>
    </row>
    <row r="483" spans="1:18" x14ac:dyDescent="0.2">
      <c r="A483" s="3">
        <v>482</v>
      </c>
      <c r="B483" s="3" t="s">
        <v>958</v>
      </c>
      <c r="C483" s="3" t="s">
        <v>182</v>
      </c>
      <c r="D483" s="3" t="str">
        <f>VLOOKUP(C483,layoffs_location!A:B,2,FALSE)</f>
        <v>other</v>
      </c>
      <c r="E483" s="3" t="str">
        <f>VLOOKUP(C483,layoffs_location!A:C,3,FALSE)</f>
        <v>Haryana</v>
      </c>
      <c r="F483" s="3" t="str">
        <f>VLOOKUP(C483,layoffs_location!A:D,4,FALSE)</f>
        <v>India</v>
      </c>
      <c r="G483" s="3" t="str">
        <f>VLOOKUP(C483,layoffs_location!A:E,5,FALSE)</f>
        <v>Asia</v>
      </c>
      <c r="H483" s="3">
        <v>191</v>
      </c>
      <c r="I483" s="8">
        <v>44731</v>
      </c>
      <c r="J483" s="9">
        <v>30</v>
      </c>
      <c r="K483" s="10">
        <v>637</v>
      </c>
      <c r="L483" s="10">
        <v>446</v>
      </c>
      <c r="M483" s="3" t="s">
        <v>30</v>
      </c>
      <c r="N483" s="3" t="s">
        <v>41</v>
      </c>
      <c r="O483" s="34">
        <v>112</v>
      </c>
      <c r="P483" s="3">
        <v>2022</v>
      </c>
      <c r="Q483" s="3">
        <f>VLOOKUP(C483,layoffs_location!A:F,6,FALSE)</f>
        <v>28.4646148</v>
      </c>
      <c r="R483" s="3">
        <f>VLOOKUP(C483,layoffs_location!A:G,7,FALSE)</f>
        <v>77.029919399999997</v>
      </c>
    </row>
    <row r="484" spans="1:18" x14ac:dyDescent="0.2">
      <c r="A484" s="3">
        <v>483</v>
      </c>
      <c r="B484" s="3" t="s">
        <v>955</v>
      </c>
      <c r="C484" s="3" t="s">
        <v>222</v>
      </c>
      <c r="D484" s="3" t="str">
        <f>VLOOKUP(C484,layoffs_location!A:B,2,FALSE)</f>
        <v>other</v>
      </c>
      <c r="E484" s="3" t="str">
        <f>VLOOKUP(C484,layoffs_location!A:C,3,FALSE)</f>
        <v>Tamil Nadu</v>
      </c>
      <c r="F484" s="3" t="str">
        <f>VLOOKUP(C484,layoffs_location!A:D,4,FALSE)</f>
        <v>India</v>
      </c>
      <c r="G484" s="3" t="str">
        <f>VLOOKUP(C484,layoffs_location!A:E,5,FALSE)</f>
        <v>Asia</v>
      </c>
      <c r="H484" s="3">
        <v>80</v>
      </c>
      <c r="I484" s="8">
        <v>44732</v>
      </c>
      <c r="J484" s="9">
        <v>30</v>
      </c>
      <c r="K484" s="10">
        <v>267</v>
      </c>
      <c r="L484" s="10">
        <v>187</v>
      </c>
      <c r="M484" s="3" t="s">
        <v>77</v>
      </c>
      <c r="N484" s="3" t="s">
        <v>22</v>
      </c>
      <c r="O484" s="34">
        <v>12</v>
      </c>
      <c r="P484" s="3">
        <v>2022</v>
      </c>
      <c r="Q484" s="3">
        <f>VLOOKUP(C484,layoffs_location!A:F,6,FALSE)</f>
        <v>13.0836939</v>
      </c>
      <c r="R484" s="3">
        <f>VLOOKUP(C484,layoffs_location!A:G,7,FALSE)</f>
        <v>80.270185999999995</v>
      </c>
    </row>
    <row r="485" spans="1:18" x14ac:dyDescent="0.2">
      <c r="A485" s="3">
        <v>484</v>
      </c>
      <c r="B485" s="3" t="s">
        <v>956</v>
      </c>
      <c r="C485" s="3" t="s">
        <v>179</v>
      </c>
      <c r="D485" s="3" t="str">
        <f>VLOOKUP(C485,layoffs_location!A:B,2,FALSE)</f>
        <v>other</v>
      </c>
      <c r="E485" s="3" t="str">
        <f>VLOOKUP(C485,layoffs_location!A:C,3,FALSE)</f>
        <v>Ontario</v>
      </c>
      <c r="F485" s="3" t="str">
        <f>VLOOKUP(C485,layoffs_location!A:D,4,FALSE)</f>
        <v>Canada</v>
      </c>
      <c r="G485" s="3" t="str">
        <f>VLOOKUP(C485,layoffs_location!A:E,5,FALSE)</f>
        <v>North America</v>
      </c>
      <c r="H485" s="3">
        <v>30</v>
      </c>
      <c r="I485" s="8">
        <v>44732</v>
      </c>
      <c r="J485" s="9">
        <v>55</v>
      </c>
      <c r="K485" s="10">
        <v>55</v>
      </c>
      <c r="L485" s="10">
        <v>25</v>
      </c>
      <c r="M485" s="3" t="s">
        <v>30</v>
      </c>
      <c r="N485" s="3" t="s">
        <v>69</v>
      </c>
      <c r="O485" s="34">
        <v>27</v>
      </c>
      <c r="P485" s="3">
        <v>2022</v>
      </c>
      <c r="Q485" s="3">
        <f>VLOOKUP(C485,layoffs_location!A:F,6,FALSE)</f>
        <v>43.6534817</v>
      </c>
      <c r="R485" s="3">
        <f>VLOOKUP(C485,layoffs_location!A:G,7,FALSE)</f>
        <v>-79.383934699999998</v>
      </c>
    </row>
    <row r="486" spans="1:18" x14ac:dyDescent="0.2">
      <c r="A486" s="3">
        <v>485</v>
      </c>
      <c r="B486" s="3" t="s">
        <v>957</v>
      </c>
      <c r="C486" s="3" t="s">
        <v>231</v>
      </c>
      <c r="D486" s="3" t="str">
        <f>VLOOKUP(C486,layoffs_location!A:B,2,FALSE)</f>
        <v>other</v>
      </c>
      <c r="E486" s="3" t="str">
        <f>VLOOKUP(C486,layoffs_location!A:C,3,FALSE)</f>
        <v>New South Wales</v>
      </c>
      <c r="F486" s="3" t="str">
        <f>VLOOKUP(C486,layoffs_location!A:D,4,FALSE)</f>
        <v>Australia</v>
      </c>
      <c r="G486" s="3" t="str">
        <f>VLOOKUP(C486,layoffs_location!A:E,5,FALSE)</f>
        <v>Oceana</v>
      </c>
      <c r="H486" s="3">
        <v>30</v>
      </c>
      <c r="I486" s="8">
        <v>44732</v>
      </c>
      <c r="J486" s="9">
        <v>15</v>
      </c>
      <c r="K486" s="10">
        <v>200</v>
      </c>
      <c r="L486" s="10">
        <v>170</v>
      </c>
      <c r="M486" s="3" t="s">
        <v>27</v>
      </c>
      <c r="N486" s="3" t="s">
        <v>41</v>
      </c>
      <c r="O486" s="34">
        <v>145</v>
      </c>
      <c r="P486" s="3">
        <v>2022</v>
      </c>
      <c r="Q486" s="3">
        <f>VLOOKUP(C486,layoffs_location!A:F,6,FALSE)</f>
        <v>-33.869843899999999</v>
      </c>
      <c r="R486" s="3">
        <f>VLOOKUP(C486,layoffs_location!A:G,7,FALSE)</f>
        <v>151.2082848</v>
      </c>
    </row>
    <row r="487" spans="1:18" x14ac:dyDescent="0.2">
      <c r="A487" s="3">
        <v>486</v>
      </c>
      <c r="B487" s="3" t="s">
        <v>954</v>
      </c>
      <c r="C487" s="3" t="s">
        <v>1443</v>
      </c>
      <c r="D487" s="3" t="str">
        <f>VLOOKUP(C487,layoffs_location!A:B,2,FALSE)</f>
        <v>San Francisco Bay Area</v>
      </c>
      <c r="E487" s="3" t="str">
        <f>VLOOKUP(C487,layoffs_location!A:C,3,FALSE)</f>
        <v>California</v>
      </c>
      <c r="F487" s="3" t="str">
        <f>VLOOKUP(C487,layoffs_location!A:D,4,FALSE)</f>
        <v>USA</v>
      </c>
      <c r="G487" s="3" t="str">
        <f>VLOOKUP(C487,layoffs_location!A:E,5,FALSE)</f>
        <v>North America</v>
      </c>
      <c r="H487" s="3">
        <v>101</v>
      </c>
      <c r="I487" s="8">
        <v>44732</v>
      </c>
      <c r="J487" s="9">
        <v>100</v>
      </c>
      <c r="K487" s="10">
        <v>101</v>
      </c>
      <c r="L487" s="10">
        <v>0</v>
      </c>
      <c r="M487" s="3" t="s">
        <v>21</v>
      </c>
      <c r="N487" s="3" t="s">
        <v>22</v>
      </c>
      <c r="O487" s="34">
        <v>7</v>
      </c>
      <c r="P487" s="3">
        <v>2022</v>
      </c>
      <c r="Q487" s="3">
        <f>VLOOKUP(C487,layoffs_location!A:F,6,FALSE)</f>
        <v>37.451967099999997</v>
      </c>
      <c r="R487" s="3">
        <f>VLOOKUP(C487,layoffs_location!A:G,7,FALSE)</f>
        <v>-122.177992</v>
      </c>
    </row>
    <row r="488" spans="1:18" x14ac:dyDescent="0.2">
      <c r="A488" s="3">
        <v>487</v>
      </c>
      <c r="B488" s="3" t="s">
        <v>660</v>
      </c>
      <c r="C488" s="3" t="s">
        <v>244</v>
      </c>
      <c r="D488" s="3" t="str">
        <f>VLOOKUP(C488,layoffs_location!A:B,2,FALSE)</f>
        <v>other</v>
      </c>
      <c r="E488" s="3" t="str">
        <f>VLOOKUP(C488,layoffs_location!A:C,3,FALSE)</f>
        <v>non</v>
      </c>
      <c r="F488" s="3" t="str">
        <f>VLOOKUP(C488,layoffs_location!A:D,4,FALSE)</f>
        <v>Singapore</v>
      </c>
      <c r="G488" s="3" t="str">
        <f>VLOOKUP(C488,layoffs_location!A:E,5,FALSE)</f>
        <v>Asia</v>
      </c>
      <c r="H488" s="3">
        <v>100</v>
      </c>
      <c r="I488" s="8">
        <v>44732</v>
      </c>
      <c r="J488" s="9">
        <v>12</v>
      </c>
      <c r="K488" s="10">
        <v>833</v>
      </c>
      <c r="L488" s="10">
        <v>733</v>
      </c>
      <c r="M488" s="3" t="s">
        <v>30</v>
      </c>
      <c r="N488" s="3" t="s">
        <v>36</v>
      </c>
      <c r="O488" s="34">
        <v>1000</v>
      </c>
      <c r="P488" s="3">
        <v>2022</v>
      </c>
      <c r="Q488" s="3">
        <f>VLOOKUP(C488,layoffs_location!A:F,6,FALSE)</f>
        <v>1.2899175000000001</v>
      </c>
      <c r="R488" s="3">
        <f>VLOOKUP(C488,layoffs_location!A:G,7,FALSE)</f>
        <v>103.8519072</v>
      </c>
    </row>
    <row r="489" spans="1:18" x14ac:dyDescent="0.2">
      <c r="A489" s="3">
        <v>488</v>
      </c>
      <c r="B489" s="3" t="s">
        <v>952</v>
      </c>
      <c r="C489" s="3" t="s">
        <v>76</v>
      </c>
      <c r="D489" s="3" t="str">
        <f>VLOOKUP(C489,layoffs_location!A:B,2,FALSE)</f>
        <v>other</v>
      </c>
      <c r="E489" s="3" t="str">
        <f>VLOOKUP(C489,layoffs_location!A:C,3,FALSE)</f>
        <v>California</v>
      </c>
      <c r="F489" s="3" t="str">
        <f>VLOOKUP(C489,layoffs_location!A:D,4,FALSE)</f>
        <v>USA</v>
      </c>
      <c r="G489" s="3" t="str">
        <f>VLOOKUP(C489,layoffs_location!A:E,5,FALSE)</f>
        <v>North America</v>
      </c>
      <c r="H489" s="3">
        <v>40</v>
      </c>
      <c r="I489" s="8">
        <v>44733</v>
      </c>
      <c r="J489" s="9">
        <v>30</v>
      </c>
      <c r="K489" s="10">
        <v>133</v>
      </c>
      <c r="L489" s="10">
        <v>93</v>
      </c>
      <c r="M489" s="3" t="s">
        <v>130</v>
      </c>
      <c r="N489" s="3" t="s">
        <v>22</v>
      </c>
      <c r="O489" s="34">
        <v>40</v>
      </c>
      <c r="P489" s="3">
        <v>2022</v>
      </c>
      <c r="Q489" s="3">
        <f>VLOOKUP(C489,layoffs_location!A:F,6,FALSE)</f>
        <v>34.053690899999999</v>
      </c>
      <c r="R489" s="3">
        <f>VLOOKUP(C489,layoffs_location!A:G,7,FALSE)</f>
        <v>-118.242766</v>
      </c>
    </row>
    <row r="490" spans="1:18" x14ac:dyDescent="0.2">
      <c r="A490" s="3">
        <v>489</v>
      </c>
      <c r="B490" s="3" t="s">
        <v>951</v>
      </c>
      <c r="C490" s="3" t="s">
        <v>836</v>
      </c>
      <c r="D490" s="3" t="str">
        <f>VLOOKUP(C490,layoffs_location!A:B,2,FALSE)</f>
        <v>other</v>
      </c>
      <c r="E490" s="3" t="str">
        <f>VLOOKUP(C490,layoffs_location!A:C,3,FALSE)</f>
        <v>State of Paraná</v>
      </c>
      <c r="F490" s="3" t="str">
        <f>VLOOKUP(C490,layoffs_location!A:D,4,FALSE)</f>
        <v>Brazil</v>
      </c>
      <c r="G490" s="3" t="str">
        <f>VLOOKUP(C490,layoffs_location!A:E,5,FALSE)</f>
        <v>South America</v>
      </c>
      <c r="H490" s="3">
        <v>340</v>
      </c>
      <c r="I490" s="8">
        <v>44733</v>
      </c>
      <c r="J490" s="9">
        <v>20</v>
      </c>
      <c r="K490" s="10">
        <v>1700</v>
      </c>
      <c r="L490" s="10">
        <v>1360</v>
      </c>
      <c r="M490" s="3" t="s">
        <v>35</v>
      </c>
      <c r="N490" s="3" t="s">
        <v>49</v>
      </c>
      <c r="O490" s="34">
        <v>460</v>
      </c>
      <c r="P490" s="3">
        <v>2022</v>
      </c>
      <c r="Q490" s="3">
        <f>VLOOKUP(C490,layoffs_location!A:F,6,FALSE)</f>
        <v>-25.4295963</v>
      </c>
      <c r="R490" s="3">
        <f>VLOOKUP(C490,layoffs_location!A:G,7,FALSE)</f>
        <v>-49.271272400000001</v>
      </c>
    </row>
    <row r="491" spans="1:18" ht="16" x14ac:dyDescent="0.2">
      <c r="A491" s="3">
        <v>490</v>
      </c>
      <c r="B491" s="3" t="s">
        <v>953</v>
      </c>
      <c r="C491" s="11" t="s">
        <v>1370</v>
      </c>
      <c r="D491" s="3" t="str">
        <f>VLOOKUP(C491,layoffs_location!A:B,2,FALSE)</f>
        <v>San Francisco Bay Area</v>
      </c>
      <c r="E491" s="3" t="str">
        <f>VLOOKUP(C491,layoffs_location!A:C,3,FALSE)</f>
        <v>California</v>
      </c>
      <c r="F491" s="3" t="str">
        <f>VLOOKUP(C491,layoffs_location!A:D,4,FALSE)</f>
        <v>USA</v>
      </c>
      <c r="G491" s="3" t="str">
        <f>VLOOKUP(C491,layoffs_location!A:E,5,FALSE)</f>
        <v>North America</v>
      </c>
      <c r="H491" s="3">
        <v>24</v>
      </c>
      <c r="I491" s="8">
        <v>44733</v>
      </c>
      <c r="J491" s="9">
        <v>8</v>
      </c>
      <c r="K491" s="10">
        <v>300</v>
      </c>
      <c r="L491" s="10">
        <v>276</v>
      </c>
      <c r="M491" s="3" t="s">
        <v>48</v>
      </c>
      <c r="N491" s="3" t="s">
        <v>108</v>
      </c>
      <c r="O491" s="34">
        <v>248</v>
      </c>
      <c r="P491" s="3">
        <v>2022</v>
      </c>
      <c r="Q491" s="3">
        <f>VLOOKUP(C491,layoffs_location!A:F,6,FALSE)</f>
        <v>37.779258800000001</v>
      </c>
      <c r="R491" s="3">
        <f>VLOOKUP(C491,layoffs_location!A:G,7,FALSE)</f>
        <v>-122.4193286</v>
      </c>
    </row>
    <row r="492" spans="1:18" x14ac:dyDescent="0.2">
      <c r="A492" s="3">
        <v>491</v>
      </c>
      <c r="B492" s="3" t="s">
        <v>949</v>
      </c>
      <c r="C492" s="3" t="s">
        <v>260</v>
      </c>
      <c r="D492" s="3" t="str">
        <f>VLOOKUP(C492,layoffs_location!A:B,2,FALSE)</f>
        <v>other</v>
      </c>
      <c r="E492" s="3" t="str">
        <f>VLOOKUP(C492,layoffs_location!A:C,3,FALSE)</f>
        <v>District of Columbia</v>
      </c>
      <c r="F492" s="3" t="str">
        <f>VLOOKUP(C492,layoffs_location!A:D,4,FALSE)</f>
        <v>USA</v>
      </c>
      <c r="G492" s="3" t="str">
        <f>VLOOKUP(C492,layoffs_location!A:E,5,FALSE)</f>
        <v>North America</v>
      </c>
      <c r="H492" s="3">
        <v>90</v>
      </c>
      <c r="I492" s="8">
        <v>44734</v>
      </c>
      <c r="J492" s="9">
        <v>35</v>
      </c>
      <c r="K492" s="10">
        <v>257</v>
      </c>
      <c r="L492" s="10">
        <v>167</v>
      </c>
      <c r="M492" s="3" t="s">
        <v>139</v>
      </c>
      <c r="N492" s="3" t="s">
        <v>28</v>
      </c>
      <c r="O492" s="34">
        <v>410</v>
      </c>
      <c r="P492" s="3">
        <v>2022</v>
      </c>
      <c r="Q492" s="3">
        <f>VLOOKUP(C492,layoffs_location!A:F,6,FALSE)</f>
        <v>38.8950368</v>
      </c>
      <c r="R492" s="3">
        <f>VLOOKUP(C492,layoffs_location!A:G,7,FALSE)</f>
        <v>-77.036542699999998</v>
      </c>
    </row>
    <row r="493" spans="1:18" ht="16" x14ac:dyDescent="0.2">
      <c r="A493" s="3">
        <v>492</v>
      </c>
      <c r="B493" s="3" t="s">
        <v>948</v>
      </c>
      <c r="C493" s="11" t="s">
        <v>1370</v>
      </c>
      <c r="D493" s="3" t="str">
        <f>VLOOKUP(C493,layoffs_location!A:B,2,FALSE)</f>
        <v>San Francisco Bay Area</v>
      </c>
      <c r="E493" s="3" t="str">
        <f>VLOOKUP(C493,layoffs_location!A:C,3,FALSE)</f>
        <v>California</v>
      </c>
      <c r="F493" s="3" t="str">
        <f>VLOOKUP(C493,layoffs_location!A:D,4,FALSE)</f>
        <v>USA</v>
      </c>
      <c r="G493" s="3" t="str">
        <f>VLOOKUP(C493,layoffs_location!A:E,5,FALSE)</f>
        <v>North America</v>
      </c>
      <c r="H493" s="3">
        <v>120</v>
      </c>
      <c r="I493" s="8">
        <v>44734</v>
      </c>
      <c r="J493" s="9">
        <v>20</v>
      </c>
      <c r="K493" s="10">
        <v>600</v>
      </c>
      <c r="L493" s="10">
        <v>480</v>
      </c>
      <c r="M493" s="3" t="s">
        <v>68</v>
      </c>
      <c r="N493" s="3" t="s">
        <v>36</v>
      </c>
      <c r="O493" s="34">
        <v>461</v>
      </c>
      <c r="P493" s="3">
        <v>2022</v>
      </c>
      <c r="Q493" s="3">
        <f>VLOOKUP(C493,layoffs_location!A:F,6,FALSE)</f>
        <v>37.779258800000001</v>
      </c>
      <c r="R493" s="3">
        <f>VLOOKUP(C493,layoffs_location!A:G,7,FALSE)</f>
        <v>-122.4193286</v>
      </c>
    </row>
    <row r="494" spans="1:18" x14ac:dyDescent="0.2">
      <c r="A494" s="3">
        <v>493</v>
      </c>
      <c r="B494" s="3" t="s">
        <v>242</v>
      </c>
      <c r="C494" s="3" t="s">
        <v>179</v>
      </c>
      <c r="D494" s="3" t="str">
        <f>VLOOKUP(C494,layoffs_location!A:B,2,FALSE)</f>
        <v>other</v>
      </c>
      <c r="E494" s="3" t="str">
        <f>VLOOKUP(C494,layoffs_location!A:C,3,FALSE)</f>
        <v>Ontario</v>
      </c>
      <c r="F494" s="3" t="str">
        <f>VLOOKUP(C494,layoffs_location!A:D,4,FALSE)</f>
        <v>Canada</v>
      </c>
      <c r="G494" s="3" t="str">
        <f>VLOOKUP(C494,layoffs_location!A:E,5,FALSE)</f>
        <v>North America</v>
      </c>
      <c r="H494" s="3">
        <v>23</v>
      </c>
      <c r="I494" s="8">
        <v>44734</v>
      </c>
      <c r="J494" s="9">
        <v>16</v>
      </c>
      <c r="K494" s="10">
        <v>144</v>
      </c>
      <c r="L494" s="10">
        <v>121</v>
      </c>
      <c r="M494" s="3" t="s">
        <v>77</v>
      </c>
      <c r="N494" s="3" t="s">
        <v>41</v>
      </c>
      <c r="O494" s="34">
        <v>134</v>
      </c>
      <c r="P494" s="3">
        <v>2022</v>
      </c>
      <c r="Q494" s="3">
        <f>VLOOKUP(C494,layoffs_location!A:F,6,FALSE)</f>
        <v>43.6534817</v>
      </c>
      <c r="R494" s="3">
        <f>VLOOKUP(C494,layoffs_location!A:G,7,FALSE)</f>
        <v>-79.383934699999998</v>
      </c>
    </row>
    <row r="495" spans="1:18" x14ac:dyDescent="0.2">
      <c r="A495" s="3">
        <v>494</v>
      </c>
      <c r="B495" s="3" t="s">
        <v>950</v>
      </c>
      <c r="C495" s="3" t="s">
        <v>71</v>
      </c>
      <c r="D495" s="3" t="str">
        <f>VLOOKUP(C495,layoffs_location!A:B,2,FALSE)</f>
        <v>other</v>
      </c>
      <c r="E495" s="3" t="str">
        <f>VLOOKUP(C495,layoffs_location!A:C,3,FALSE)</f>
        <v>Massachusetts</v>
      </c>
      <c r="F495" s="3" t="str">
        <f>VLOOKUP(C495,layoffs_location!A:D,4,FALSE)</f>
        <v>USA</v>
      </c>
      <c r="G495" s="3" t="str">
        <f>VLOOKUP(C495,layoffs_location!A:E,5,FALSE)</f>
        <v>North America</v>
      </c>
      <c r="H495" s="3">
        <v>35</v>
      </c>
      <c r="I495" s="8">
        <v>44734</v>
      </c>
      <c r="J495" s="9">
        <v>7</v>
      </c>
      <c r="K495" s="10">
        <v>500</v>
      </c>
      <c r="L495" s="10">
        <v>465</v>
      </c>
      <c r="M495" s="3" t="s">
        <v>32</v>
      </c>
      <c r="N495" s="3" t="s">
        <v>41</v>
      </c>
      <c r="O495" s="34">
        <v>261</v>
      </c>
      <c r="P495" s="3">
        <v>2022</v>
      </c>
      <c r="Q495" s="3">
        <f>VLOOKUP(C495,layoffs_location!A:F,6,FALSE)</f>
        <v>42.355433400000003</v>
      </c>
      <c r="R495" s="3">
        <f>VLOOKUP(C495,layoffs_location!A:G,7,FALSE)</f>
        <v>-71.060511000000005</v>
      </c>
    </row>
    <row r="496" spans="1:18" x14ac:dyDescent="0.2">
      <c r="A496" s="3">
        <v>495</v>
      </c>
      <c r="B496" s="3" t="s">
        <v>612</v>
      </c>
      <c r="C496" s="3" t="s">
        <v>51</v>
      </c>
      <c r="D496" s="3" t="str">
        <f>VLOOKUP(C496,layoffs_location!A:B,2,FALSE)</f>
        <v>other</v>
      </c>
      <c r="E496" s="3" t="str">
        <f>VLOOKUP(C496,layoffs_location!A:C,3,FALSE)</f>
        <v>non</v>
      </c>
      <c r="F496" s="3" t="str">
        <f>VLOOKUP(C496,layoffs_location!A:D,4,FALSE)</f>
        <v>Sweden</v>
      </c>
      <c r="G496" s="3" t="str">
        <f>VLOOKUP(C496,layoffs_location!A:E,5,FALSE)</f>
        <v>Europe</v>
      </c>
      <c r="H496" s="3">
        <v>35</v>
      </c>
      <c r="I496" s="8">
        <v>44734</v>
      </c>
      <c r="J496" s="9">
        <v>10</v>
      </c>
      <c r="K496" s="10">
        <v>350</v>
      </c>
      <c r="L496" s="10">
        <v>315</v>
      </c>
      <c r="M496" s="3" t="s">
        <v>32</v>
      </c>
      <c r="N496" s="3" t="s">
        <v>108</v>
      </c>
      <c r="O496" s="34">
        <v>515</v>
      </c>
      <c r="P496" s="3">
        <v>2022</v>
      </c>
      <c r="Q496" s="3">
        <f>VLOOKUP(C496,layoffs_location!A:F,6,FALSE)</f>
        <v>59.325117200000001</v>
      </c>
      <c r="R496" s="3">
        <f>VLOOKUP(C496,layoffs_location!A:G,7,FALSE)</f>
        <v>18.0710935</v>
      </c>
    </row>
    <row r="497" spans="1:18" x14ac:dyDescent="0.2">
      <c r="A497" s="3">
        <v>496</v>
      </c>
      <c r="B497" s="3" t="s">
        <v>943</v>
      </c>
      <c r="C497" s="3" t="s">
        <v>71</v>
      </c>
      <c r="D497" s="3" t="str">
        <f>VLOOKUP(C497,layoffs_location!A:B,2,FALSE)</f>
        <v>other</v>
      </c>
      <c r="E497" s="3" t="str">
        <f>VLOOKUP(C497,layoffs_location!A:C,3,FALSE)</f>
        <v>Massachusetts</v>
      </c>
      <c r="F497" s="3" t="str">
        <f>VLOOKUP(C497,layoffs_location!A:D,4,FALSE)</f>
        <v>USA</v>
      </c>
      <c r="G497" s="3" t="str">
        <f>VLOOKUP(C497,layoffs_location!A:E,5,FALSE)</f>
        <v>North America</v>
      </c>
      <c r="H497" s="3">
        <v>70</v>
      </c>
      <c r="I497" s="8">
        <v>44735</v>
      </c>
      <c r="J497" s="9">
        <v>9</v>
      </c>
      <c r="K497" s="10">
        <v>778</v>
      </c>
      <c r="L497" s="10">
        <v>708</v>
      </c>
      <c r="M497" s="3" t="s">
        <v>139</v>
      </c>
      <c r="N497" s="3" t="s">
        <v>63</v>
      </c>
      <c r="O497" s="34">
        <v>500</v>
      </c>
      <c r="P497" s="3">
        <v>2022</v>
      </c>
      <c r="Q497" s="3">
        <f>VLOOKUP(C497,layoffs_location!A:F,6,FALSE)</f>
        <v>42.355433400000003</v>
      </c>
      <c r="R497" s="3">
        <f>VLOOKUP(C497,layoffs_location!A:G,7,FALSE)</f>
        <v>-71.060511000000005</v>
      </c>
    </row>
    <row r="498" spans="1:18" x14ac:dyDescent="0.2">
      <c r="A498" s="3">
        <v>497</v>
      </c>
      <c r="B498" s="3" t="s">
        <v>942</v>
      </c>
      <c r="C498" s="3" t="s">
        <v>1723</v>
      </c>
      <c r="D498" s="3" t="str">
        <f>VLOOKUP(C498,layoffs_location!A:B,2,FALSE)</f>
        <v>San Francisco Bay Area</v>
      </c>
      <c r="E498" s="3" t="str">
        <f>VLOOKUP(C498,layoffs_location!A:C,3,FALSE)</f>
        <v>California</v>
      </c>
      <c r="F498" s="3" t="str">
        <f>VLOOKUP(C498,layoffs_location!A:D,4,FALSE)</f>
        <v>USA</v>
      </c>
      <c r="G498" s="3" t="str">
        <f>VLOOKUP(C498,layoffs_location!A:E,5,FALSE)</f>
        <v>North America</v>
      </c>
      <c r="H498" s="3">
        <v>300</v>
      </c>
      <c r="I498" s="8">
        <v>44735</v>
      </c>
      <c r="J498" s="9">
        <v>3</v>
      </c>
      <c r="K498" s="10">
        <v>10000</v>
      </c>
      <c r="L498" s="10">
        <v>9700</v>
      </c>
      <c r="M498" s="3" t="s">
        <v>54</v>
      </c>
      <c r="N498" s="3" t="s">
        <v>28</v>
      </c>
      <c r="O498" s="34">
        <v>121900</v>
      </c>
      <c r="P498" s="3">
        <v>2022</v>
      </c>
      <c r="Q498" s="3">
        <f>VLOOKUP(C498,layoffs_location!A:F,6,FALSE)</f>
        <v>37.226610999999998</v>
      </c>
      <c r="R498" s="3">
        <f>VLOOKUP(C498,layoffs_location!A:G,7,FALSE)</f>
        <v>-121.9746797</v>
      </c>
    </row>
    <row r="499" spans="1:18" x14ac:dyDescent="0.2">
      <c r="A499" s="3">
        <v>498</v>
      </c>
      <c r="B499" s="3" t="s">
        <v>944</v>
      </c>
      <c r="C499" s="3" t="s">
        <v>945</v>
      </c>
      <c r="D499" s="3" t="str">
        <f>VLOOKUP(C499,layoffs_location!A:B,2,FALSE)</f>
        <v>other</v>
      </c>
      <c r="E499" s="3" t="str">
        <f>VLOOKUP(C499,layoffs_location!A:C,3,FALSE)</f>
        <v>Washington</v>
      </c>
      <c r="F499" s="3" t="str">
        <f>VLOOKUP(C499,layoffs_location!A:D,4,FALSE)</f>
        <v>USA</v>
      </c>
      <c r="G499" s="3" t="str">
        <f>VLOOKUP(C499,layoffs_location!A:E,5,FALSE)</f>
        <v>North America</v>
      </c>
      <c r="H499" s="3">
        <v>22</v>
      </c>
      <c r="I499" s="8">
        <v>44735</v>
      </c>
      <c r="J499" s="9">
        <v>13</v>
      </c>
      <c r="K499" s="10">
        <v>169</v>
      </c>
      <c r="L499" s="10">
        <v>147</v>
      </c>
      <c r="M499" s="3" t="s">
        <v>139</v>
      </c>
      <c r="N499" s="3" t="s">
        <v>22</v>
      </c>
      <c r="O499" s="34">
        <v>19</v>
      </c>
      <c r="P499" s="3">
        <v>2022</v>
      </c>
      <c r="Q499" s="3">
        <f>VLOOKUP(C499,layoffs_location!A:F,6,FALSE)</f>
        <v>47.657193399999997</v>
      </c>
      <c r="R499" s="3">
        <f>VLOOKUP(C499,layoffs_location!A:G,7,FALSE)</f>
        <v>-117.42350999999999</v>
      </c>
    </row>
    <row r="500" spans="1:18" x14ac:dyDescent="0.2">
      <c r="A500" s="3">
        <v>499</v>
      </c>
      <c r="B500" s="3" t="s">
        <v>946</v>
      </c>
      <c r="C500" s="3" t="s">
        <v>1370</v>
      </c>
      <c r="D500" s="3" t="str">
        <f>VLOOKUP(C500,layoffs_location!A:B,2,FALSE)</f>
        <v>San Francisco Bay Area</v>
      </c>
      <c r="E500" s="3" t="str">
        <f>VLOOKUP(C500,layoffs_location!A:C,3,FALSE)</f>
        <v>California</v>
      </c>
      <c r="F500" s="3" t="str">
        <f>VLOOKUP(C500,layoffs_location!A:D,4,FALSE)</f>
        <v>USA</v>
      </c>
      <c r="G500" s="3" t="str">
        <f>VLOOKUP(C500,layoffs_location!A:E,5,FALSE)</f>
        <v>North America</v>
      </c>
      <c r="H500" s="3">
        <v>15</v>
      </c>
      <c r="I500" s="8">
        <v>44735</v>
      </c>
      <c r="J500" s="9">
        <v>7</v>
      </c>
      <c r="K500" s="10">
        <v>214</v>
      </c>
      <c r="L500" s="10">
        <v>199</v>
      </c>
      <c r="M500" s="3" t="s">
        <v>35</v>
      </c>
      <c r="N500" s="3" t="s">
        <v>41</v>
      </c>
      <c r="O500" s="34">
        <v>159</v>
      </c>
      <c r="P500" s="3">
        <v>2022</v>
      </c>
      <c r="Q500" s="3">
        <f>VLOOKUP(C500,layoffs_location!A:F,6,FALSE)</f>
        <v>37.779258800000001</v>
      </c>
      <c r="R500" s="3">
        <f>VLOOKUP(C500,layoffs_location!A:G,7,FALSE)</f>
        <v>-122.4193286</v>
      </c>
    </row>
    <row r="501" spans="1:18" x14ac:dyDescent="0.2">
      <c r="A501" s="3">
        <v>500</v>
      </c>
      <c r="B501" s="3" t="s">
        <v>947</v>
      </c>
      <c r="C501" s="3" t="s">
        <v>76</v>
      </c>
      <c r="D501" s="3" t="str">
        <f>VLOOKUP(C501,layoffs_location!A:B,2,FALSE)</f>
        <v>other</v>
      </c>
      <c r="E501" s="3" t="str">
        <f>VLOOKUP(C501,layoffs_location!A:C,3,FALSE)</f>
        <v>California</v>
      </c>
      <c r="F501" s="3" t="str">
        <f>VLOOKUP(C501,layoffs_location!A:D,4,FALSE)</f>
        <v>USA</v>
      </c>
      <c r="G501" s="3" t="str">
        <f>VLOOKUP(C501,layoffs_location!A:E,5,FALSE)</f>
        <v>North America</v>
      </c>
      <c r="H501" s="3">
        <v>8</v>
      </c>
      <c r="I501" s="8">
        <v>44735</v>
      </c>
      <c r="J501" s="9">
        <v>13</v>
      </c>
      <c r="K501" s="10">
        <v>62</v>
      </c>
      <c r="L501" s="10">
        <v>54</v>
      </c>
      <c r="M501" s="3" t="s">
        <v>130</v>
      </c>
      <c r="N501" s="3" t="s">
        <v>22</v>
      </c>
      <c r="O501" s="34">
        <v>10</v>
      </c>
      <c r="P501" s="3">
        <v>2022</v>
      </c>
      <c r="Q501" s="3">
        <f>VLOOKUP(C501,layoffs_location!A:F,6,FALSE)</f>
        <v>34.053690899999999</v>
      </c>
      <c r="R501" s="3">
        <f>VLOOKUP(C501,layoffs_location!A:G,7,FALSE)</f>
        <v>-118.242766</v>
      </c>
    </row>
    <row r="502" spans="1:18" x14ac:dyDescent="0.2">
      <c r="A502" s="3">
        <v>501</v>
      </c>
      <c r="B502" s="3" t="s">
        <v>940</v>
      </c>
      <c r="C502" s="3" t="s">
        <v>304</v>
      </c>
      <c r="D502" s="3" t="str">
        <f>VLOOKUP(C502,layoffs_location!A:B,2,FALSE)</f>
        <v>other</v>
      </c>
      <c r="E502" s="3" t="str">
        <f>VLOOKUP(C502,layoffs_location!A:C,3,FALSE)</f>
        <v>Texas</v>
      </c>
      <c r="F502" s="3" t="str">
        <f>VLOOKUP(C502,layoffs_location!A:D,4,FALSE)</f>
        <v>USA</v>
      </c>
      <c r="G502" s="3" t="str">
        <f>VLOOKUP(C502,layoffs_location!A:E,5,FALSE)</f>
        <v>North America</v>
      </c>
      <c r="H502" s="3">
        <v>41</v>
      </c>
      <c r="I502" s="8">
        <v>44736</v>
      </c>
      <c r="J502" s="9">
        <v>14</v>
      </c>
      <c r="K502" s="10">
        <v>293</v>
      </c>
      <c r="L502" s="10">
        <v>252</v>
      </c>
      <c r="M502" s="3" t="s">
        <v>35</v>
      </c>
      <c r="N502" s="3" t="s">
        <v>41</v>
      </c>
      <c r="O502" s="34">
        <v>137</v>
      </c>
      <c r="P502" s="3">
        <v>2022</v>
      </c>
      <c r="Q502" s="3">
        <f>VLOOKUP(C502,layoffs_location!A:F,6,FALSE)</f>
        <v>32.776271899999998</v>
      </c>
      <c r="R502" s="3">
        <f>VLOOKUP(C502,layoffs_location!A:G,7,FALSE)</f>
        <v>-96.796855899999997</v>
      </c>
    </row>
    <row r="503" spans="1:18" x14ac:dyDescent="0.2">
      <c r="A503" s="3">
        <v>502</v>
      </c>
      <c r="B503" s="3" t="s">
        <v>936</v>
      </c>
      <c r="C503" s="3" t="s">
        <v>937</v>
      </c>
      <c r="D503" s="3" t="str">
        <f>VLOOKUP(C503,layoffs_location!A:B,2,FALSE)</f>
        <v>other</v>
      </c>
      <c r="E503" s="3" t="str">
        <f>VLOOKUP(C503,layoffs_location!A:C,3,FALSE)</f>
        <v>non</v>
      </c>
      <c r="F503" s="3" t="str">
        <f>VLOOKUP(C503,layoffs_location!A:D,4,FALSE)</f>
        <v>Austria</v>
      </c>
      <c r="G503" s="3" t="str">
        <f>VLOOKUP(C503,layoffs_location!A:E,5,FALSE)</f>
        <v>Europe</v>
      </c>
      <c r="H503" s="3">
        <v>270</v>
      </c>
      <c r="I503" s="8">
        <v>44736</v>
      </c>
      <c r="J503" s="9">
        <v>27</v>
      </c>
      <c r="K503" s="10">
        <v>1000</v>
      </c>
      <c r="L503" s="10">
        <v>730</v>
      </c>
      <c r="M503" s="3" t="s">
        <v>117</v>
      </c>
      <c r="N503" s="3" t="s">
        <v>41</v>
      </c>
      <c r="O503" s="34">
        <v>546</v>
      </c>
      <c r="P503" s="3">
        <v>2022</v>
      </c>
      <c r="Q503" s="3">
        <f>VLOOKUP(C503,layoffs_location!A:F,6,FALSE)</f>
        <v>48.208353700000004</v>
      </c>
      <c r="R503" s="3">
        <f>VLOOKUP(C503,layoffs_location!A:G,7,FALSE)</f>
        <v>16.372504200000002</v>
      </c>
    </row>
    <row r="504" spans="1:18" x14ac:dyDescent="0.2">
      <c r="A504" s="3">
        <v>503</v>
      </c>
      <c r="B504" s="3" t="s">
        <v>941</v>
      </c>
      <c r="C504" s="3" t="s">
        <v>1370</v>
      </c>
      <c r="D504" s="3" t="str">
        <f>VLOOKUP(C504,layoffs_location!A:B,2,FALSE)</f>
        <v>San Francisco Bay Area</v>
      </c>
      <c r="E504" s="3" t="str">
        <f>VLOOKUP(C504,layoffs_location!A:C,3,FALSE)</f>
        <v>California</v>
      </c>
      <c r="F504" s="3" t="str">
        <f>VLOOKUP(C504,layoffs_location!A:D,4,FALSE)</f>
        <v>USA</v>
      </c>
      <c r="G504" s="3" t="str">
        <f>VLOOKUP(C504,layoffs_location!A:E,5,FALSE)</f>
        <v>North America</v>
      </c>
      <c r="H504" s="3">
        <v>40</v>
      </c>
      <c r="I504" s="8">
        <v>44736</v>
      </c>
      <c r="J504" s="9">
        <v>12</v>
      </c>
      <c r="K504" s="10">
        <v>333</v>
      </c>
      <c r="L504" s="10">
        <v>293</v>
      </c>
      <c r="M504" s="3" t="s">
        <v>35</v>
      </c>
      <c r="N504" s="3" t="s">
        <v>108</v>
      </c>
      <c r="O504" s="34">
        <v>406</v>
      </c>
      <c r="P504" s="3">
        <v>2022</v>
      </c>
      <c r="Q504" s="3">
        <f>VLOOKUP(C504,layoffs_location!A:F,6,FALSE)</f>
        <v>37.779258800000001</v>
      </c>
      <c r="R504" s="3">
        <f>VLOOKUP(C504,layoffs_location!A:G,7,FALSE)</f>
        <v>-122.4193286</v>
      </c>
    </row>
    <row r="505" spans="1:18" x14ac:dyDescent="0.2">
      <c r="A505" s="3">
        <v>504</v>
      </c>
      <c r="B505" s="3" t="s">
        <v>939</v>
      </c>
      <c r="C505" s="3" t="s">
        <v>171</v>
      </c>
      <c r="D505" s="3" t="str">
        <f>VLOOKUP(C505,layoffs_location!A:B,2,FALSE)</f>
        <v>other</v>
      </c>
      <c r="E505" s="3" t="str">
        <f>VLOOKUP(C505,layoffs_location!A:C,3,FALSE)</f>
        <v>Georgia</v>
      </c>
      <c r="F505" s="3" t="str">
        <f>VLOOKUP(C505,layoffs_location!A:D,4,FALSE)</f>
        <v>USA</v>
      </c>
      <c r="G505" s="3" t="str">
        <f>VLOOKUP(C505,layoffs_location!A:E,5,FALSE)</f>
        <v>North America</v>
      </c>
      <c r="H505" s="3">
        <v>90</v>
      </c>
      <c r="I505" s="8">
        <v>44736</v>
      </c>
      <c r="J505" s="9">
        <v>23</v>
      </c>
      <c r="K505" s="10">
        <v>391</v>
      </c>
      <c r="L505" s="10">
        <v>301</v>
      </c>
      <c r="M505" s="3" t="s">
        <v>35</v>
      </c>
      <c r="N505" s="3" t="s">
        <v>69</v>
      </c>
      <c r="O505" s="34">
        <v>124</v>
      </c>
      <c r="P505" s="3">
        <v>2022</v>
      </c>
      <c r="Q505" s="3">
        <f>VLOOKUP(C505,layoffs_location!A:F,6,FALSE)</f>
        <v>33.748992399999999</v>
      </c>
      <c r="R505" s="3">
        <f>VLOOKUP(C505,layoffs_location!A:G,7,FALSE)</f>
        <v>-84.390264400000007</v>
      </c>
    </row>
    <row r="506" spans="1:18" x14ac:dyDescent="0.2">
      <c r="A506" s="3">
        <v>505</v>
      </c>
      <c r="B506" s="3" t="s">
        <v>933</v>
      </c>
      <c r="C506" s="3" t="s">
        <v>1473</v>
      </c>
      <c r="D506" s="3" t="str">
        <f>VLOOKUP(C506,layoffs_location!A:B,2,FALSE)</f>
        <v>San Francisco Bay Area</v>
      </c>
      <c r="E506" s="3" t="str">
        <f>VLOOKUP(C506,layoffs_location!A:C,3,FALSE)</f>
        <v>California</v>
      </c>
      <c r="F506" s="3" t="str">
        <f>VLOOKUP(C506,layoffs_location!A:D,4,FALSE)</f>
        <v>USA</v>
      </c>
      <c r="G506" s="3" t="str">
        <f>VLOOKUP(C506,layoffs_location!A:E,5,FALSE)</f>
        <v>North America</v>
      </c>
      <c r="H506" s="3">
        <v>300</v>
      </c>
      <c r="I506" s="8">
        <v>44739</v>
      </c>
      <c r="J506" s="9">
        <v>12</v>
      </c>
      <c r="K506" s="10">
        <v>2500</v>
      </c>
      <c r="L506" s="10">
        <v>2200</v>
      </c>
      <c r="M506" s="3" t="s">
        <v>130</v>
      </c>
      <c r="N506" s="3" t="s">
        <v>28</v>
      </c>
      <c r="O506" s="34">
        <v>1600</v>
      </c>
      <c r="P506" s="3">
        <v>2022</v>
      </c>
      <c r="Q506" s="3">
        <f>VLOOKUP(C506,layoffs_location!A:F,6,FALSE)</f>
        <v>37.4443293</v>
      </c>
      <c r="R506" s="3">
        <f>VLOOKUP(C506,layoffs_location!A:G,7,FALSE)</f>
        <v>-122.1598465</v>
      </c>
    </row>
    <row r="507" spans="1:18" x14ac:dyDescent="0.2">
      <c r="A507" s="3">
        <v>506</v>
      </c>
      <c r="B507" s="3" t="s">
        <v>934</v>
      </c>
      <c r="C507" s="3" t="s">
        <v>267</v>
      </c>
      <c r="D507" s="3" t="str">
        <f>VLOOKUP(C507,layoffs_location!A:B,2,FALSE)</f>
        <v>other</v>
      </c>
      <c r="E507" s="3" t="str">
        <f>VLOOKUP(C507,layoffs_location!A:C,3,FALSE)</f>
        <v>Victoria</v>
      </c>
      <c r="F507" s="3" t="str">
        <f>VLOOKUP(C507,layoffs_location!A:D,4,FALSE)</f>
        <v>Australia</v>
      </c>
      <c r="G507" s="3" t="str">
        <f>VLOOKUP(C507,layoffs_location!A:E,5,FALSE)</f>
        <v>Oceana</v>
      </c>
      <c r="H507" s="3">
        <v>70</v>
      </c>
      <c r="I507" s="8">
        <v>44739</v>
      </c>
      <c r="J507" s="9">
        <v>30</v>
      </c>
      <c r="K507" s="10">
        <v>233</v>
      </c>
      <c r="L507" s="10">
        <v>163</v>
      </c>
      <c r="M507" s="3" t="s">
        <v>117</v>
      </c>
      <c r="N507" s="3" t="s">
        <v>28</v>
      </c>
      <c r="O507" s="34">
        <v>13</v>
      </c>
      <c r="P507" s="3">
        <v>2022</v>
      </c>
      <c r="Q507" s="3">
        <f>VLOOKUP(C507,layoffs_location!A:F,6,FALSE)</f>
        <v>-37.814245399999997</v>
      </c>
      <c r="R507" s="3">
        <f>VLOOKUP(C507,layoffs_location!A:G,7,FALSE)</f>
        <v>144.9631732</v>
      </c>
    </row>
    <row r="508" spans="1:18" ht="16" x14ac:dyDescent="0.2">
      <c r="A508" s="3">
        <v>507</v>
      </c>
      <c r="B508" s="3" t="s">
        <v>935</v>
      </c>
      <c r="C508" s="11" t="s">
        <v>1370</v>
      </c>
      <c r="D508" s="3" t="str">
        <f>VLOOKUP(C508,layoffs_location!A:B,2,FALSE)</f>
        <v>San Francisco Bay Area</v>
      </c>
      <c r="E508" s="3" t="str">
        <f>VLOOKUP(C508,layoffs_location!A:C,3,FALSE)</f>
        <v>California</v>
      </c>
      <c r="F508" s="3" t="str">
        <f>VLOOKUP(C508,layoffs_location!A:D,4,FALSE)</f>
        <v>USA</v>
      </c>
      <c r="G508" s="3" t="str">
        <f>VLOOKUP(C508,layoffs_location!A:E,5,FALSE)</f>
        <v>North America</v>
      </c>
      <c r="H508" s="3">
        <v>27</v>
      </c>
      <c r="I508" s="8">
        <v>44739</v>
      </c>
      <c r="J508" s="9">
        <v>25</v>
      </c>
      <c r="K508" s="10">
        <v>108</v>
      </c>
      <c r="L508" s="10">
        <v>81</v>
      </c>
      <c r="M508" s="3" t="s">
        <v>79</v>
      </c>
      <c r="N508" s="3" t="s">
        <v>49</v>
      </c>
      <c r="O508" s="34">
        <v>61</v>
      </c>
      <c r="P508" s="3">
        <v>2022</v>
      </c>
      <c r="Q508" s="3">
        <f>VLOOKUP(C508,layoffs_location!A:F,6,FALSE)</f>
        <v>37.779258800000001</v>
      </c>
      <c r="R508" s="3">
        <f>VLOOKUP(C508,layoffs_location!A:G,7,FALSE)</f>
        <v>-122.4193286</v>
      </c>
    </row>
    <row r="509" spans="1:18" x14ac:dyDescent="0.2">
      <c r="A509" s="3">
        <v>508</v>
      </c>
      <c r="B509" s="3" t="s">
        <v>29</v>
      </c>
      <c r="C509" s="3" t="s">
        <v>13</v>
      </c>
      <c r="D509" s="3" t="str">
        <f>VLOOKUP(C509,layoffs_location!A:B,2,FALSE)</f>
        <v>other</v>
      </c>
      <c r="E509" s="3" t="str">
        <f>VLOOKUP(C509,layoffs_location!A:C,3,FALSE)</f>
        <v>Karnataka</v>
      </c>
      <c r="F509" s="3" t="str">
        <f>VLOOKUP(C509,layoffs_location!A:D,4,FALSE)</f>
        <v>India</v>
      </c>
      <c r="G509" s="3" t="str">
        <f>VLOOKUP(C509,layoffs_location!A:E,5,FALSE)</f>
        <v>Asia</v>
      </c>
      <c r="H509" s="3">
        <v>180</v>
      </c>
      <c r="I509" s="8">
        <v>44739</v>
      </c>
      <c r="J509" s="9">
        <v>4</v>
      </c>
      <c r="K509" s="10">
        <v>4500</v>
      </c>
      <c r="L509" s="10">
        <v>4320</v>
      </c>
      <c r="M509" s="3" t="s">
        <v>30</v>
      </c>
      <c r="N509" s="3" t="s">
        <v>22</v>
      </c>
      <c r="P509" s="3">
        <v>2022</v>
      </c>
      <c r="Q509" s="3">
        <f>VLOOKUP(C509,layoffs_location!A:F,6,FALSE)</f>
        <v>12.98815675</v>
      </c>
      <c r="R509" s="3">
        <f>VLOOKUP(C509,layoffs_location!A:G,7,FALSE)</f>
        <v>77.622600037959998</v>
      </c>
    </row>
    <row r="510" spans="1:18" x14ac:dyDescent="0.2">
      <c r="A510" s="3">
        <v>509</v>
      </c>
      <c r="B510" s="3" t="s">
        <v>680</v>
      </c>
      <c r="C510" s="3" t="s">
        <v>39</v>
      </c>
      <c r="D510" s="3" t="str">
        <f>VLOOKUP(C510,layoffs_location!A:B,2,FALSE)</f>
        <v>New York</v>
      </c>
      <c r="E510" s="3" t="str">
        <f>VLOOKUP(C510,layoffs_location!A:C,3,FALSE)</f>
        <v>New York</v>
      </c>
      <c r="F510" s="3" t="str">
        <f>VLOOKUP(C510,layoffs_location!A:D,4,FALSE)</f>
        <v>USA</v>
      </c>
      <c r="G510" s="3" t="str">
        <f>VLOOKUP(C510,layoffs_location!A:E,5,FALSE)</f>
        <v>North America</v>
      </c>
      <c r="H510" s="3">
        <v>210</v>
      </c>
      <c r="I510" s="8">
        <v>44739</v>
      </c>
      <c r="J510" s="9">
        <v>5</v>
      </c>
      <c r="K510" s="10">
        <v>4200</v>
      </c>
      <c r="L510" s="10">
        <v>3990</v>
      </c>
      <c r="M510" s="3" t="s">
        <v>79</v>
      </c>
      <c r="N510" s="3" t="s">
        <v>28</v>
      </c>
      <c r="O510" s="34">
        <v>2000</v>
      </c>
      <c r="P510" s="3">
        <v>2022</v>
      </c>
      <c r="Q510" s="3">
        <f>VLOOKUP(C510,layoffs_location!A:F,6,FALSE)</f>
        <v>40.7127281</v>
      </c>
      <c r="R510" s="3">
        <f>VLOOKUP(C510,layoffs_location!A:G,7,FALSE)</f>
        <v>-74.006015199999993</v>
      </c>
    </row>
    <row r="511" spans="1:18" ht="16" x14ac:dyDescent="0.2">
      <c r="A511" s="3">
        <v>510</v>
      </c>
      <c r="B511" s="3" t="s">
        <v>931</v>
      </c>
      <c r="C511" s="11" t="s">
        <v>1370</v>
      </c>
      <c r="D511" s="3" t="str">
        <f>VLOOKUP(C511,layoffs_location!A:B,2,FALSE)</f>
        <v>San Francisco Bay Area</v>
      </c>
      <c r="E511" s="3" t="str">
        <f>VLOOKUP(C511,layoffs_location!A:C,3,FALSE)</f>
        <v>California</v>
      </c>
      <c r="F511" s="3" t="str">
        <f>VLOOKUP(C511,layoffs_location!A:D,4,FALSE)</f>
        <v>USA</v>
      </c>
      <c r="G511" s="3" t="str">
        <f>VLOOKUP(C511,layoffs_location!A:E,5,FALSE)</f>
        <v>North America</v>
      </c>
      <c r="H511" s="3">
        <v>30</v>
      </c>
      <c r="I511" s="8">
        <v>44740</v>
      </c>
      <c r="J511" s="9">
        <v>8</v>
      </c>
      <c r="K511" s="10">
        <v>375</v>
      </c>
      <c r="L511" s="10">
        <v>345</v>
      </c>
      <c r="M511" s="3" t="s">
        <v>79</v>
      </c>
      <c r="N511" s="3" t="s">
        <v>22</v>
      </c>
      <c r="O511" s="34">
        <v>250</v>
      </c>
      <c r="P511" s="3">
        <v>2022</v>
      </c>
      <c r="Q511" s="3">
        <f>VLOOKUP(C511,layoffs_location!A:F,6,FALSE)</f>
        <v>37.779258800000001</v>
      </c>
      <c r="R511" s="3">
        <f>VLOOKUP(C511,layoffs_location!A:G,7,FALSE)</f>
        <v>-122.4193286</v>
      </c>
    </row>
    <row r="512" spans="1:18" x14ac:dyDescent="0.2">
      <c r="A512" s="3">
        <v>511</v>
      </c>
      <c r="B512" s="3" t="s">
        <v>932</v>
      </c>
      <c r="C512" s="3" t="s">
        <v>231</v>
      </c>
      <c r="D512" s="3" t="str">
        <f>VLOOKUP(C512,layoffs_location!A:B,2,FALSE)</f>
        <v>other</v>
      </c>
      <c r="E512" s="3" t="str">
        <f>VLOOKUP(C512,layoffs_location!A:C,3,FALSE)</f>
        <v>New South Wales</v>
      </c>
      <c r="F512" s="3" t="str">
        <f>VLOOKUP(C512,layoffs_location!A:D,4,FALSE)</f>
        <v>Australia</v>
      </c>
      <c r="G512" s="3" t="str">
        <f>VLOOKUP(C512,layoffs_location!A:E,5,FALSE)</f>
        <v>Oceana</v>
      </c>
      <c r="H512" s="3">
        <v>18</v>
      </c>
      <c r="I512" s="8">
        <v>44740</v>
      </c>
      <c r="J512" s="9">
        <v>50</v>
      </c>
      <c r="K512" s="10">
        <v>36</v>
      </c>
      <c r="L512" s="10">
        <v>18</v>
      </c>
      <c r="M512" s="3" t="s">
        <v>21</v>
      </c>
      <c r="N512" s="3" t="s">
        <v>49</v>
      </c>
      <c r="O512" s="34">
        <v>20</v>
      </c>
      <c r="P512" s="3">
        <v>2022</v>
      </c>
      <c r="Q512" s="3">
        <f>VLOOKUP(C512,layoffs_location!A:F,6,FALSE)</f>
        <v>-33.869843899999999</v>
      </c>
      <c r="R512" s="3">
        <f>VLOOKUP(C512,layoffs_location!A:G,7,FALSE)</f>
        <v>151.2082848</v>
      </c>
    </row>
    <row r="513" spans="1:18" x14ac:dyDescent="0.2">
      <c r="A513" s="3">
        <v>512</v>
      </c>
      <c r="B513" s="3" t="s">
        <v>568</v>
      </c>
      <c r="C513" s="3" t="s">
        <v>1739</v>
      </c>
      <c r="D513" s="3" t="str">
        <f>VLOOKUP(C513,layoffs_location!A:B,2,FALSE)</f>
        <v>other</v>
      </c>
      <c r="E513" s="3" t="str">
        <f>VLOOKUP(C513,layoffs_location!A:C,3,FALSE)</f>
        <v>non</v>
      </c>
      <c r="F513" s="3" t="str">
        <f>VLOOKUP(C513,layoffs_location!A:D,4,FALSE)</f>
        <v>China</v>
      </c>
      <c r="G513" s="3" t="str">
        <f>VLOOKUP(C513,layoffs_location!A:E,5,FALSE)</f>
        <v>Asia</v>
      </c>
      <c r="H513" s="3">
        <v>300</v>
      </c>
      <c r="I513" s="8">
        <v>44740</v>
      </c>
      <c r="J513" s="9">
        <v>30</v>
      </c>
      <c r="K513" s="10">
        <v>1000</v>
      </c>
      <c r="L513" s="10">
        <v>700</v>
      </c>
      <c r="M513" s="3" t="s">
        <v>117</v>
      </c>
      <c r="N513" s="3" t="s">
        <v>22</v>
      </c>
      <c r="O513" s="34">
        <v>2</v>
      </c>
      <c r="P513" s="3">
        <v>2022</v>
      </c>
      <c r="Q513" s="3">
        <f>VLOOKUP(C513,layoffs_location!A:F,6,FALSE)</f>
        <v>39.916668000000001</v>
      </c>
      <c r="R513" s="3">
        <f>VLOOKUP(C513,layoffs_location!A:G,7,FALSE)</f>
        <v>116.383331</v>
      </c>
    </row>
    <row r="514" spans="1:18" x14ac:dyDescent="0.2">
      <c r="A514" s="3">
        <v>513</v>
      </c>
      <c r="B514" s="3" t="s">
        <v>929</v>
      </c>
      <c r="C514" s="3" t="s">
        <v>76</v>
      </c>
      <c r="D514" s="3" t="str">
        <f>VLOOKUP(C514,layoffs_location!A:B,2,FALSE)</f>
        <v>other</v>
      </c>
      <c r="E514" s="3" t="str">
        <f>VLOOKUP(C514,layoffs_location!A:C,3,FALSE)</f>
        <v>California</v>
      </c>
      <c r="F514" s="3" t="str">
        <f>VLOOKUP(C514,layoffs_location!A:D,4,FALSE)</f>
        <v>USA</v>
      </c>
      <c r="G514" s="3" t="str">
        <f>VLOOKUP(C514,layoffs_location!A:E,5,FALSE)</f>
        <v>North America</v>
      </c>
      <c r="H514" s="3">
        <v>110</v>
      </c>
      <c r="I514" s="8">
        <v>44740</v>
      </c>
      <c r="J514" s="9">
        <v>40</v>
      </c>
      <c r="K514" s="10">
        <v>275</v>
      </c>
      <c r="L514" s="10">
        <v>165</v>
      </c>
      <c r="M514" s="3" t="s">
        <v>21</v>
      </c>
      <c r="N514" s="3" t="s">
        <v>41</v>
      </c>
      <c r="O514" s="34">
        <v>163</v>
      </c>
      <c r="P514" s="3">
        <v>2022</v>
      </c>
      <c r="Q514" s="3">
        <f>VLOOKUP(C514,layoffs_location!A:F,6,FALSE)</f>
        <v>34.053690899999999</v>
      </c>
      <c r="R514" s="3">
        <f>VLOOKUP(C514,layoffs_location!A:G,7,FALSE)</f>
        <v>-118.242766</v>
      </c>
    </row>
    <row r="515" spans="1:18" x14ac:dyDescent="0.2">
      <c r="A515" s="3">
        <v>514</v>
      </c>
      <c r="B515" s="3" t="s">
        <v>928</v>
      </c>
      <c r="C515" s="3" t="s">
        <v>65</v>
      </c>
      <c r="D515" s="3" t="str">
        <f>VLOOKUP(C515,layoffs_location!A:B,2,FALSE)</f>
        <v>other</v>
      </c>
      <c r="E515" s="3" t="str">
        <f>VLOOKUP(C515,layoffs_location!A:C,3,FALSE)</f>
        <v>Michigan</v>
      </c>
      <c r="F515" s="3" t="str">
        <f>VLOOKUP(C515,layoffs_location!A:D,4,FALSE)</f>
        <v>USA</v>
      </c>
      <c r="G515" s="3" t="str">
        <f>VLOOKUP(C515,layoffs_location!A:E,5,FALSE)</f>
        <v>North America</v>
      </c>
      <c r="H515" s="3">
        <v>120</v>
      </c>
      <c r="I515" s="8">
        <v>44740</v>
      </c>
      <c r="J515" s="9">
        <v>8</v>
      </c>
      <c r="K515" s="10">
        <v>1500</v>
      </c>
      <c r="L515" s="10">
        <v>1380</v>
      </c>
      <c r="M515" s="3" t="s">
        <v>30</v>
      </c>
      <c r="N515" s="3" t="s">
        <v>36</v>
      </c>
      <c r="O515" s="34">
        <v>690</v>
      </c>
      <c r="P515" s="3">
        <v>2022</v>
      </c>
      <c r="Q515" s="3">
        <f>VLOOKUP(C515,layoffs_location!A:F,6,FALSE)</f>
        <v>42.331550900000003</v>
      </c>
      <c r="R515" s="3">
        <f>VLOOKUP(C515,layoffs_location!A:G,7,FALSE)</f>
        <v>-83.046640300000007</v>
      </c>
    </row>
    <row r="516" spans="1:18" x14ac:dyDescent="0.2">
      <c r="A516" s="3">
        <v>515</v>
      </c>
      <c r="B516" s="3" t="s">
        <v>930</v>
      </c>
      <c r="C516" s="3" t="s">
        <v>663</v>
      </c>
      <c r="D516" s="3" t="str">
        <f>VLOOKUP(C516,layoffs_location!A:B,2,FALSE)</f>
        <v>other</v>
      </c>
      <c r="E516" s="3" t="str">
        <f>VLOOKUP(C516,layoffs_location!A:C,3,FALSE)</f>
        <v>non</v>
      </c>
      <c r="F516" s="3" t="str">
        <f>VLOOKUP(C516,layoffs_location!A:D,4,FALSE)</f>
        <v>United Arabian Emirates</v>
      </c>
      <c r="G516" s="3" t="str">
        <f>VLOOKUP(C516,layoffs_location!A:E,5,FALSE)</f>
        <v>Asia</v>
      </c>
      <c r="H516" s="3">
        <v>50</v>
      </c>
      <c r="I516" s="8">
        <v>44740</v>
      </c>
      <c r="J516" s="9">
        <v>10</v>
      </c>
      <c r="K516" s="10">
        <v>500</v>
      </c>
      <c r="L516" s="10">
        <v>450</v>
      </c>
      <c r="M516" s="3" t="s">
        <v>21</v>
      </c>
      <c r="N516" s="3" t="s">
        <v>108</v>
      </c>
      <c r="O516" s="34">
        <v>71</v>
      </c>
      <c r="P516" s="3">
        <v>2022</v>
      </c>
      <c r="Q516" s="3">
        <f>VLOOKUP(C516,layoffs_location!A:F,6,FALSE)</f>
        <v>25.276986999999998</v>
      </c>
      <c r="R516" s="3">
        <f>VLOOKUP(C516,layoffs_location!A:G,7,FALSE)</f>
        <v>55.296249000000003</v>
      </c>
    </row>
    <row r="517" spans="1:18" x14ac:dyDescent="0.2">
      <c r="A517" s="3">
        <v>516</v>
      </c>
      <c r="B517" s="3" t="s">
        <v>926</v>
      </c>
      <c r="C517" s="3" t="s">
        <v>1370</v>
      </c>
      <c r="D517" s="3" t="str">
        <f>VLOOKUP(C517,layoffs_location!A:B,2,FALSE)</f>
        <v>San Francisco Bay Area</v>
      </c>
      <c r="E517" s="3" t="str">
        <f>VLOOKUP(C517,layoffs_location!A:C,3,FALSE)</f>
        <v>California</v>
      </c>
      <c r="F517" s="3" t="str">
        <f>VLOOKUP(C517,layoffs_location!A:D,4,FALSE)</f>
        <v>USA</v>
      </c>
      <c r="G517" s="3" t="str">
        <f>VLOOKUP(C517,layoffs_location!A:E,5,FALSE)</f>
        <v>North America</v>
      </c>
      <c r="H517" s="3">
        <v>16</v>
      </c>
      <c r="I517" s="8">
        <v>44741</v>
      </c>
      <c r="J517" s="9">
        <v>25</v>
      </c>
      <c r="K517" s="10">
        <v>64</v>
      </c>
      <c r="L517" s="10">
        <v>48</v>
      </c>
      <c r="M517" s="3" t="s">
        <v>32</v>
      </c>
      <c r="N517" s="3" t="s">
        <v>69</v>
      </c>
      <c r="O517" s="34">
        <v>13</v>
      </c>
      <c r="P517" s="3">
        <v>2022</v>
      </c>
      <c r="Q517" s="3">
        <f>VLOOKUP(C517,layoffs_location!A:F,6,FALSE)</f>
        <v>37.779258800000001</v>
      </c>
      <c r="R517" s="3">
        <f>VLOOKUP(C517,layoffs_location!A:G,7,FALSE)</f>
        <v>-122.4193286</v>
      </c>
    </row>
    <row r="518" spans="1:18" x14ac:dyDescent="0.2">
      <c r="A518" s="3">
        <v>517</v>
      </c>
      <c r="B518" s="3" t="s">
        <v>923</v>
      </c>
      <c r="C518" s="3" t="s">
        <v>179</v>
      </c>
      <c r="D518" s="3" t="str">
        <f>VLOOKUP(C518,layoffs_location!A:B,2,FALSE)</f>
        <v>other</v>
      </c>
      <c r="E518" s="3" t="str">
        <f>VLOOKUP(C518,layoffs_location!A:C,3,FALSE)</f>
        <v>Ontario</v>
      </c>
      <c r="F518" s="3" t="str">
        <f>VLOOKUP(C518,layoffs_location!A:D,4,FALSE)</f>
        <v>Canada</v>
      </c>
      <c r="G518" s="3" t="str">
        <f>VLOOKUP(C518,layoffs_location!A:E,5,FALSE)</f>
        <v>North America</v>
      </c>
      <c r="H518" s="3">
        <v>76</v>
      </c>
      <c r="I518" s="8">
        <v>44741</v>
      </c>
      <c r="J518" s="9">
        <v>22</v>
      </c>
      <c r="K518" s="10">
        <v>345</v>
      </c>
      <c r="L518" s="10">
        <v>269</v>
      </c>
      <c r="M518" s="3" t="s">
        <v>32</v>
      </c>
      <c r="N518" s="3" t="s">
        <v>49</v>
      </c>
      <c r="O518" s="34">
        <v>153</v>
      </c>
      <c r="P518" s="3">
        <v>2022</v>
      </c>
      <c r="Q518" s="3">
        <f>VLOOKUP(C518,layoffs_location!A:F,6,FALSE)</f>
        <v>43.6534817</v>
      </c>
      <c r="R518" s="3">
        <f>VLOOKUP(C518,layoffs_location!A:G,7,FALSE)</f>
        <v>-79.383934699999998</v>
      </c>
    </row>
    <row r="519" spans="1:18" ht="16" x14ac:dyDescent="0.2">
      <c r="A519" s="3">
        <v>518</v>
      </c>
      <c r="B519" s="3" t="s">
        <v>921</v>
      </c>
      <c r="C519" s="11" t="s">
        <v>1370</v>
      </c>
      <c r="D519" s="3" t="str">
        <f>VLOOKUP(C519,layoffs_location!A:B,2,FALSE)</f>
        <v>San Francisco Bay Area</v>
      </c>
      <c r="E519" s="3" t="str">
        <f>VLOOKUP(C519,layoffs_location!A:C,3,FALSE)</f>
        <v>California</v>
      </c>
      <c r="F519" s="3" t="str">
        <f>VLOOKUP(C519,layoffs_location!A:D,4,FALSE)</f>
        <v>USA</v>
      </c>
      <c r="G519" s="3" t="str">
        <f>VLOOKUP(C519,layoffs_location!A:E,5,FALSE)</f>
        <v>North America</v>
      </c>
      <c r="H519" s="3">
        <v>85</v>
      </c>
      <c r="I519" s="8">
        <v>44741</v>
      </c>
      <c r="J519" s="9">
        <v>8</v>
      </c>
      <c r="K519" s="10">
        <v>1063</v>
      </c>
      <c r="L519" s="10">
        <v>978</v>
      </c>
      <c r="M519" s="3" t="s">
        <v>16</v>
      </c>
      <c r="N519" s="3" t="s">
        <v>108</v>
      </c>
      <c r="O519" s="34">
        <v>770</v>
      </c>
      <c r="P519" s="3">
        <v>2022</v>
      </c>
      <c r="Q519" s="3">
        <f>VLOOKUP(C519,layoffs_location!A:F,6,FALSE)</f>
        <v>37.779258800000001</v>
      </c>
      <c r="R519" s="3">
        <f>VLOOKUP(C519,layoffs_location!A:G,7,FALSE)</f>
        <v>-122.4193286</v>
      </c>
    </row>
    <row r="520" spans="1:18" x14ac:dyDescent="0.2">
      <c r="A520" s="3">
        <v>519</v>
      </c>
      <c r="B520" s="3" t="s">
        <v>924</v>
      </c>
      <c r="C520" s="3" t="s">
        <v>748</v>
      </c>
      <c r="D520" s="3" t="str">
        <f>VLOOKUP(C520,layoffs_location!A:B,2,FALSE)</f>
        <v>other</v>
      </c>
      <c r="E520" s="3" t="str">
        <f>VLOOKUP(C520,layoffs_location!A:C,3,FALSE)</f>
        <v>Delhi</v>
      </c>
      <c r="F520" s="3" t="str">
        <f>VLOOKUP(C520,layoffs_location!A:D,4,FALSE)</f>
        <v>India</v>
      </c>
      <c r="G520" s="3" t="str">
        <f>VLOOKUP(C520,layoffs_location!A:E,5,FALSE)</f>
        <v>Asia</v>
      </c>
      <c r="H520" s="3">
        <v>40</v>
      </c>
      <c r="I520" s="8">
        <v>44741</v>
      </c>
      <c r="J520" s="9">
        <v>20</v>
      </c>
      <c r="K520" s="10">
        <v>200</v>
      </c>
      <c r="L520" s="10">
        <v>160</v>
      </c>
      <c r="M520" s="3" t="s">
        <v>32</v>
      </c>
      <c r="N520" s="3" t="s">
        <v>22</v>
      </c>
      <c r="O520" s="34">
        <v>13</v>
      </c>
      <c r="P520" s="3">
        <v>2022</v>
      </c>
      <c r="Q520" s="3">
        <f>VLOOKUP(C520,layoffs_location!A:F,6,FALSE)</f>
        <v>28.613895400000001</v>
      </c>
      <c r="R520" s="3">
        <f>VLOOKUP(C520,layoffs_location!A:G,7,FALSE)</f>
        <v>77.209005700000006</v>
      </c>
    </row>
    <row r="521" spans="1:18" x14ac:dyDescent="0.2">
      <c r="A521" s="3">
        <v>520</v>
      </c>
      <c r="B521" s="3" t="s">
        <v>922</v>
      </c>
      <c r="C521" s="3" t="s">
        <v>43</v>
      </c>
      <c r="D521" s="3" t="str">
        <f>VLOOKUP(C521,layoffs_location!A:B,2,FALSE)</f>
        <v>Cascadia</v>
      </c>
      <c r="E521" s="3" t="str">
        <f>VLOOKUP(C521,layoffs_location!A:C,3,FALSE)</f>
        <v>Washington</v>
      </c>
      <c r="F521" s="3" t="str">
        <f>VLOOKUP(C521,layoffs_location!A:D,4,FALSE)</f>
        <v>USA</v>
      </c>
      <c r="G521" s="3" t="str">
        <f>VLOOKUP(C521,layoffs_location!A:E,5,FALSE)</f>
        <v>North America</v>
      </c>
      <c r="H521" s="3">
        <v>80</v>
      </c>
      <c r="I521" s="8">
        <v>44741</v>
      </c>
      <c r="J521" s="9">
        <v>19</v>
      </c>
      <c r="K521" s="10">
        <v>421</v>
      </c>
      <c r="L521" s="10">
        <v>341</v>
      </c>
      <c r="M521" s="3" t="s">
        <v>79</v>
      </c>
      <c r="N521" s="3" t="s">
        <v>36</v>
      </c>
      <c r="O521" s="34">
        <v>347</v>
      </c>
      <c r="P521" s="3">
        <v>2022</v>
      </c>
      <c r="Q521" s="3">
        <f>VLOOKUP(C521,layoffs_location!A:F,6,FALSE)</f>
        <v>47.603832099999998</v>
      </c>
      <c r="R521" s="3">
        <f>VLOOKUP(C521,layoffs_location!A:G,7,FALSE)</f>
        <v>-122.330062</v>
      </c>
    </row>
    <row r="522" spans="1:18" x14ac:dyDescent="0.2">
      <c r="A522" s="3">
        <v>521</v>
      </c>
      <c r="B522" s="3" t="s">
        <v>925</v>
      </c>
      <c r="C522" s="3" t="s">
        <v>135</v>
      </c>
      <c r="D522" s="3" t="str">
        <f>VLOOKUP(C522,layoffs_location!A:B,2,FALSE)</f>
        <v>other</v>
      </c>
      <c r="E522" s="3" t="str">
        <f>VLOOKUP(C522,layoffs_location!A:C,3,FALSE)</f>
        <v>Berlin</v>
      </c>
      <c r="F522" s="3" t="str">
        <f>VLOOKUP(C522,layoffs_location!A:D,4,FALSE)</f>
        <v>Germany</v>
      </c>
      <c r="G522" s="3" t="str">
        <f>VLOOKUP(C522,layoffs_location!A:E,5,FALSE)</f>
        <v>Europe</v>
      </c>
      <c r="H522" s="3">
        <v>18</v>
      </c>
      <c r="I522" s="8">
        <v>44741</v>
      </c>
      <c r="J522" s="9">
        <v>30</v>
      </c>
      <c r="K522" s="10">
        <v>60</v>
      </c>
      <c r="L522" s="10">
        <v>42</v>
      </c>
      <c r="M522" s="3" t="s">
        <v>60</v>
      </c>
      <c r="N522" s="3" t="s">
        <v>49</v>
      </c>
      <c r="O522" s="34">
        <v>25</v>
      </c>
      <c r="P522" s="3">
        <v>2022</v>
      </c>
      <c r="Q522" s="3">
        <f>VLOOKUP(C522,layoffs_location!A:F,6,FALSE)</f>
        <v>52.517036500000003</v>
      </c>
      <c r="R522" s="3">
        <f>VLOOKUP(C522,layoffs_location!A:G,7,FALSE)</f>
        <v>13.3888599</v>
      </c>
    </row>
    <row r="523" spans="1:18" ht="16" x14ac:dyDescent="0.2">
      <c r="A523" s="3">
        <v>522</v>
      </c>
      <c r="B523" s="3" t="s">
        <v>927</v>
      </c>
      <c r="C523" s="11" t="s">
        <v>1370</v>
      </c>
      <c r="D523" s="3" t="str">
        <f>VLOOKUP(C523,layoffs_location!A:B,2,FALSE)</f>
        <v>San Francisco Bay Area</v>
      </c>
      <c r="E523" s="3" t="str">
        <f>VLOOKUP(C523,layoffs_location!A:C,3,FALSE)</f>
        <v>California</v>
      </c>
      <c r="F523" s="3" t="str">
        <f>VLOOKUP(C523,layoffs_location!A:D,4,FALSE)</f>
        <v>USA</v>
      </c>
      <c r="G523" s="3" t="str">
        <f>VLOOKUP(C523,layoffs_location!A:E,5,FALSE)</f>
        <v>North America</v>
      </c>
      <c r="H523" s="3">
        <v>13</v>
      </c>
      <c r="I523" s="8">
        <v>44741</v>
      </c>
      <c r="J523" s="9">
        <v>14</v>
      </c>
      <c r="K523" s="10">
        <v>93</v>
      </c>
      <c r="L523" s="10">
        <v>80</v>
      </c>
      <c r="M523" s="3" t="s">
        <v>54</v>
      </c>
      <c r="N523" s="3" t="s">
        <v>49</v>
      </c>
      <c r="O523" s="34">
        <v>82</v>
      </c>
      <c r="P523" s="3">
        <v>2022</v>
      </c>
      <c r="Q523" s="3">
        <f>VLOOKUP(C523,layoffs_location!A:F,6,FALSE)</f>
        <v>37.779258800000001</v>
      </c>
      <c r="R523" s="3">
        <f>VLOOKUP(C523,layoffs_location!A:G,7,FALSE)</f>
        <v>-122.4193286</v>
      </c>
    </row>
    <row r="524" spans="1:18" ht="16" x14ac:dyDescent="0.2">
      <c r="A524" s="3">
        <v>523</v>
      </c>
      <c r="B524" s="3" t="s">
        <v>59</v>
      </c>
      <c r="C524" s="11" t="s">
        <v>1370</v>
      </c>
      <c r="D524" s="3" t="str">
        <f>VLOOKUP(C524,layoffs_location!A:B,2,FALSE)</f>
        <v>San Francisco Bay Area</v>
      </c>
      <c r="E524" s="3" t="str">
        <f>VLOOKUP(C524,layoffs_location!A:C,3,FALSE)</f>
        <v>California</v>
      </c>
      <c r="F524" s="3" t="str">
        <f>VLOOKUP(C524,layoffs_location!A:D,4,FALSE)</f>
        <v>USA</v>
      </c>
      <c r="G524" s="3" t="str">
        <f>VLOOKUP(C524,layoffs_location!A:E,5,FALSE)</f>
        <v>North America</v>
      </c>
      <c r="H524" s="3">
        <v>200</v>
      </c>
      <c r="I524" s="8">
        <v>44741</v>
      </c>
      <c r="J524" s="9">
        <v>4</v>
      </c>
      <c r="K524" s="10">
        <v>5000</v>
      </c>
      <c r="L524" s="10">
        <v>4800</v>
      </c>
      <c r="M524" s="3" t="s">
        <v>60</v>
      </c>
      <c r="N524" s="3" t="s">
        <v>28</v>
      </c>
      <c r="O524" s="34">
        <v>1300</v>
      </c>
      <c r="P524" s="3">
        <v>2022</v>
      </c>
      <c r="Q524" s="3">
        <f>VLOOKUP(C524,layoffs_location!A:F,6,FALSE)</f>
        <v>37.779258800000001</v>
      </c>
      <c r="R524" s="3">
        <f>VLOOKUP(C524,layoffs_location!A:G,7,FALSE)</f>
        <v>-122.4193286</v>
      </c>
    </row>
    <row r="525" spans="1:18" x14ac:dyDescent="0.2">
      <c r="A525" s="3">
        <v>524</v>
      </c>
      <c r="B525" s="3" t="s">
        <v>920</v>
      </c>
      <c r="C525" s="3" t="s">
        <v>1408</v>
      </c>
      <c r="D525" s="3" t="str">
        <f>VLOOKUP(C525,layoffs_location!A:B,2,FALSE)</f>
        <v>San Francisco Bay Area</v>
      </c>
      <c r="E525" s="3" t="str">
        <f>VLOOKUP(C525,layoffs_location!A:C,3,FALSE)</f>
        <v>California</v>
      </c>
      <c r="F525" s="3" t="str">
        <f>VLOOKUP(C525,layoffs_location!A:D,4,FALSE)</f>
        <v>USA</v>
      </c>
      <c r="G525" s="3" t="str">
        <f>VLOOKUP(C525,layoffs_location!A:E,5,FALSE)</f>
        <v>North America</v>
      </c>
      <c r="H525" s="3">
        <v>12</v>
      </c>
      <c r="I525" s="8">
        <v>44742</v>
      </c>
      <c r="J525" s="9">
        <v>5</v>
      </c>
      <c r="K525" s="10">
        <v>240</v>
      </c>
      <c r="L525" s="10">
        <v>228</v>
      </c>
      <c r="M525" s="3" t="s">
        <v>117</v>
      </c>
      <c r="N525" s="3" t="s">
        <v>41</v>
      </c>
      <c r="O525" s="34">
        <v>106</v>
      </c>
      <c r="P525" s="7">
        <v>2024</v>
      </c>
      <c r="Q525" s="3">
        <f>VLOOKUP(C525,layoffs_location!A:F,6,FALSE)</f>
        <v>37.3893889</v>
      </c>
      <c r="R525" s="3">
        <f>VLOOKUP(C525,layoffs_location!A:G,7,FALSE)</f>
        <v>-122.0832101</v>
      </c>
    </row>
    <row r="526" spans="1:18" x14ac:dyDescent="0.2">
      <c r="A526" s="3">
        <v>525</v>
      </c>
      <c r="B526" s="3" t="s">
        <v>915</v>
      </c>
      <c r="C526" s="3" t="s">
        <v>13</v>
      </c>
      <c r="D526" s="3" t="str">
        <f>VLOOKUP(C526,layoffs_location!A:B,2,FALSE)</f>
        <v>other</v>
      </c>
      <c r="E526" s="3" t="str">
        <f>VLOOKUP(C526,layoffs_location!A:C,3,FALSE)</f>
        <v>Karnataka</v>
      </c>
      <c r="F526" s="3" t="str">
        <f>VLOOKUP(C526,layoffs_location!A:D,4,FALSE)</f>
        <v>India</v>
      </c>
      <c r="G526" s="3" t="str">
        <f>VLOOKUP(C526,layoffs_location!A:E,5,FALSE)</f>
        <v>Asia</v>
      </c>
      <c r="H526" s="3">
        <v>170</v>
      </c>
      <c r="I526" s="8">
        <v>44742</v>
      </c>
      <c r="J526" s="9">
        <v>100</v>
      </c>
      <c r="K526" s="10">
        <v>170</v>
      </c>
      <c r="L526" s="10">
        <v>0</v>
      </c>
      <c r="M526" s="3" t="s">
        <v>68</v>
      </c>
      <c r="N526" s="3" t="s">
        <v>147</v>
      </c>
      <c r="O526" s="34">
        <v>3</v>
      </c>
      <c r="P526" s="3">
        <v>2022</v>
      </c>
      <c r="Q526" s="3">
        <f>VLOOKUP(C526,layoffs_location!A:F,6,FALSE)</f>
        <v>12.98815675</v>
      </c>
      <c r="R526" s="3">
        <f>VLOOKUP(C526,layoffs_location!A:G,7,FALSE)</f>
        <v>77.622600037959998</v>
      </c>
    </row>
    <row r="527" spans="1:18" x14ac:dyDescent="0.2">
      <c r="A527" s="3">
        <v>526</v>
      </c>
      <c r="B527" s="3" t="s">
        <v>914</v>
      </c>
      <c r="C527" s="3" t="s">
        <v>1408</v>
      </c>
      <c r="D527" s="3" t="str">
        <f>VLOOKUP(C527,layoffs_location!A:B,2,FALSE)</f>
        <v>San Francisco Bay Area</v>
      </c>
      <c r="E527" s="3" t="str">
        <f>VLOOKUP(C527,layoffs_location!A:C,3,FALSE)</f>
        <v>California</v>
      </c>
      <c r="F527" s="3" t="str">
        <f>VLOOKUP(C527,layoffs_location!A:D,4,FALSE)</f>
        <v>USA</v>
      </c>
      <c r="G527" s="3" t="str">
        <f>VLOOKUP(C527,layoffs_location!A:E,5,FALSE)</f>
        <v>North America</v>
      </c>
      <c r="H527" s="3">
        <v>400</v>
      </c>
      <c r="I527" s="8">
        <v>44742</v>
      </c>
      <c r="J527" s="9">
        <v>18</v>
      </c>
      <c r="K527" s="10">
        <v>2222</v>
      </c>
      <c r="L527" s="10">
        <v>1822</v>
      </c>
      <c r="M527" s="3" t="s">
        <v>30</v>
      </c>
      <c r="N527" s="3" t="s">
        <v>28</v>
      </c>
      <c r="O527" s="34">
        <v>310</v>
      </c>
      <c r="P527" s="3">
        <v>2022</v>
      </c>
      <c r="Q527" s="3">
        <f>VLOOKUP(C527,layoffs_location!A:F,6,FALSE)</f>
        <v>37.3893889</v>
      </c>
      <c r="R527" s="3">
        <f>VLOOKUP(C527,layoffs_location!A:G,7,FALSE)</f>
        <v>-122.0832101</v>
      </c>
    </row>
    <row r="528" spans="1:18" x14ac:dyDescent="0.2">
      <c r="A528" s="3">
        <v>527</v>
      </c>
      <c r="B528" s="3" t="s">
        <v>919</v>
      </c>
      <c r="C528" s="3" t="s">
        <v>588</v>
      </c>
      <c r="D528" s="3" t="str">
        <f>VLOOKUP(C528,layoffs_location!A:B,2,FALSE)</f>
        <v>other</v>
      </c>
      <c r="E528" s="3" t="str">
        <f>VLOOKUP(C528,layoffs_location!A:C,3,FALSE)</f>
        <v>Hamburg</v>
      </c>
      <c r="F528" s="3" t="str">
        <f>VLOOKUP(C528,layoffs_location!A:D,4,FALSE)</f>
        <v>Germany</v>
      </c>
      <c r="G528" s="3" t="str">
        <f>VLOOKUP(C528,layoffs_location!A:E,5,FALSE)</f>
        <v>Europe</v>
      </c>
      <c r="H528" s="3">
        <v>14</v>
      </c>
      <c r="I528" s="8">
        <v>44742</v>
      </c>
      <c r="J528" s="9">
        <v>10</v>
      </c>
      <c r="K528" s="10">
        <v>140</v>
      </c>
      <c r="L528" s="10">
        <v>126</v>
      </c>
      <c r="M528" s="3" t="s">
        <v>35</v>
      </c>
      <c r="N528" s="3" t="s">
        <v>69</v>
      </c>
      <c r="O528" s="34">
        <v>22</v>
      </c>
      <c r="P528" s="3">
        <v>2022</v>
      </c>
      <c r="Q528" s="3">
        <f>VLOOKUP(C528,layoffs_location!A:F,6,FALSE)</f>
        <v>53.550341000000003</v>
      </c>
      <c r="R528" s="3">
        <f>VLOOKUP(C528,layoffs_location!A:G,7,FALSE)</f>
        <v>10.000654000000001</v>
      </c>
    </row>
    <row r="529" spans="1:18" x14ac:dyDescent="0.2">
      <c r="A529" s="3">
        <v>528</v>
      </c>
      <c r="B529" s="3" t="s">
        <v>917</v>
      </c>
      <c r="C529" s="3" t="s">
        <v>39</v>
      </c>
      <c r="D529" s="3" t="str">
        <f>VLOOKUP(C529,layoffs_location!A:B,2,FALSE)</f>
        <v>New York</v>
      </c>
      <c r="E529" s="3" t="str">
        <f>VLOOKUP(C529,layoffs_location!A:C,3,FALSE)</f>
        <v>New York</v>
      </c>
      <c r="F529" s="3" t="str">
        <f>VLOOKUP(C529,layoffs_location!A:D,4,FALSE)</f>
        <v>USA</v>
      </c>
      <c r="G529" s="3" t="str">
        <f>VLOOKUP(C529,layoffs_location!A:E,5,FALSE)</f>
        <v>North America</v>
      </c>
      <c r="H529" s="3">
        <v>30</v>
      </c>
      <c r="I529" s="8">
        <v>44742</v>
      </c>
      <c r="J529" s="9">
        <v>20</v>
      </c>
      <c r="K529" s="10">
        <v>150</v>
      </c>
      <c r="L529" s="10">
        <v>120</v>
      </c>
      <c r="M529" s="3" t="s">
        <v>30</v>
      </c>
      <c r="N529" s="3" t="s">
        <v>69</v>
      </c>
      <c r="O529" s="34">
        <v>47</v>
      </c>
      <c r="P529" s="3">
        <v>2022</v>
      </c>
      <c r="Q529" s="3">
        <f>VLOOKUP(C529,layoffs_location!A:F,6,FALSE)</f>
        <v>40.7127281</v>
      </c>
      <c r="R529" s="3">
        <f>VLOOKUP(C529,layoffs_location!A:G,7,FALSE)</f>
        <v>-74.006015199999993</v>
      </c>
    </row>
    <row r="530" spans="1:18" x14ac:dyDescent="0.2">
      <c r="A530" s="3">
        <v>529</v>
      </c>
      <c r="B530" s="3" t="s">
        <v>916</v>
      </c>
      <c r="C530" s="3" t="s">
        <v>39</v>
      </c>
      <c r="D530" s="3" t="str">
        <f>VLOOKUP(C530,layoffs_location!A:B,2,FALSE)</f>
        <v>New York</v>
      </c>
      <c r="E530" s="3" t="str">
        <f>VLOOKUP(C530,layoffs_location!A:C,3,FALSE)</f>
        <v>New York</v>
      </c>
      <c r="F530" s="3" t="str">
        <f>VLOOKUP(C530,layoffs_location!A:D,4,FALSE)</f>
        <v>USA</v>
      </c>
      <c r="G530" s="3" t="str">
        <f>VLOOKUP(C530,layoffs_location!A:E,5,FALSE)</f>
        <v>North America</v>
      </c>
      <c r="H530" s="3">
        <v>40</v>
      </c>
      <c r="I530" s="8">
        <v>44742</v>
      </c>
      <c r="J530" s="9">
        <v>8</v>
      </c>
      <c r="K530" s="10">
        <v>500</v>
      </c>
      <c r="L530" s="10">
        <v>460</v>
      </c>
      <c r="M530" s="3" t="s">
        <v>35</v>
      </c>
      <c r="N530" s="3" t="s">
        <v>22</v>
      </c>
      <c r="O530" s="34">
        <v>480</v>
      </c>
      <c r="P530" s="3">
        <v>2022</v>
      </c>
      <c r="Q530" s="3">
        <f>VLOOKUP(C530,layoffs_location!A:F,6,FALSE)</f>
        <v>40.7127281</v>
      </c>
      <c r="R530" s="3">
        <f>VLOOKUP(C530,layoffs_location!A:G,7,FALSE)</f>
        <v>-74.006015199999993</v>
      </c>
    </row>
    <row r="531" spans="1:18" x14ac:dyDescent="0.2">
      <c r="A531" s="3">
        <v>530</v>
      </c>
      <c r="B531" s="3" t="s">
        <v>918</v>
      </c>
      <c r="C531" s="3" t="s">
        <v>531</v>
      </c>
      <c r="D531" s="3" t="str">
        <f>VLOOKUP(C531,layoffs_location!A:B,2,FALSE)</f>
        <v>other</v>
      </c>
      <c r="E531" s="3" t="str">
        <f>VLOOKUP(C531,layoffs_location!A:C,3,FALSE)</f>
        <v>Colorado</v>
      </c>
      <c r="F531" s="3" t="str">
        <f>VLOOKUP(C531,layoffs_location!A:D,4,FALSE)</f>
        <v>USA</v>
      </c>
      <c r="G531" s="3" t="str">
        <f>VLOOKUP(C531,layoffs_location!A:E,5,FALSE)</f>
        <v>North America</v>
      </c>
      <c r="H531" s="3">
        <v>20</v>
      </c>
      <c r="I531" s="8">
        <v>44742</v>
      </c>
      <c r="J531" s="9">
        <v>12</v>
      </c>
      <c r="K531" s="10">
        <v>167</v>
      </c>
      <c r="L531" s="10">
        <v>147</v>
      </c>
      <c r="M531" s="3" t="s">
        <v>48</v>
      </c>
      <c r="N531" s="3" t="s">
        <v>49</v>
      </c>
      <c r="O531" s="34">
        <v>58</v>
      </c>
      <c r="P531" s="3">
        <v>2022</v>
      </c>
      <c r="Q531" s="3">
        <f>VLOOKUP(C531,layoffs_location!A:F,6,FALSE)</f>
        <v>40.014985600000003</v>
      </c>
      <c r="R531" s="3">
        <f>VLOOKUP(C531,layoffs_location!A:G,7,FALSE)</f>
        <v>-105.270545</v>
      </c>
    </row>
    <row r="532" spans="1:18" x14ac:dyDescent="0.2">
      <c r="A532" s="3">
        <v>531</v>
      </c>
      <c r="B532" s="3" t="s">
        <v>912</v>
      </c>
      <c r="C532" s="3" t="s">
        <v>76</v>
      </c>
      <c r="D532" s="3" t="str">
        <f>VLOOKUP(C532,layoffs_location!A:B,2,FALSE)</f>
        <v>other</v>
      </c>
      <c r="E532" s="3" t="str">
        <f>VLOOKUP(C532,layoffs_location!A:C,3,FALSE)</f>
        <v>California</v>
      </c>
      <c r="F532" s="3" t="str">
        <f>VLOOKUP(C532,layoffs_location!A:D,4,FALSE)</f>
        <v>USA</v>
      </c>
      <c r="G532" s="3" t="str">
        <f>VLOOKUP(C532,layoffs_location!A:E,5,FALSE)</f>
        <v>North America</v>
      </c>
      <c r="H532" s="3">
        <v>58</v>
      </c>
      <c r="I532" s="8">
        <v>44743</v>
      </c>
      <c r="J532" s="9">
        <v>6</v>
      </c>
      <c r="K532" s="10">
        <v>967</v>
      </c>
      <c r="L532" s="10">
        <v>909</v>
      </c>
      <c r="M532" s="3" t="s">
        <v>32</v>
      </c>
      <c r="N532" s="3" t="s">
        <v>28</v>
      </c>
      <c r="O532" s="34">
        <v>300</v>
      </c>
      <c r="P532" s="3">
        <v>2022</v>
      </c>
      <c r="Q532" s="3">
        <f>VLOOKUP(C532,layoffs_location!A:F,6,FALSE)</f>
        <v>34.053690899999999</v>
      </c>
      <c r="R532" s="3">
        <f>VLOOKUP(C532,layoffs_location!A:G,7,FALSE)</f>
        <v>-118.242766</v>
      </c>
    </row>
    <row r="533" spans="1:18" x14ac:dyDescent="0.2">
      <c r="A533" s="3">
        <v>532</v>
      </c>
      <c r="B533" s="3" t="s">
        <v>913</v>
      </c>
      <c r="C533" s="3" t="s">
        <v>1726</v>
      </c>
      <c r="D533" s="3" t="str">
        <f>VLOOKUP(C533,layoffs_location!A:B,2,FALSE)</f>
        <v>San Francisco Bay Area</v>
      </c>
      <c r="E533" s="3" t="str">
        <f>VLOOKUP(C533,layoffs_location!A:C,3,FALSE)</f>
        <v>California</v>
      </c>
      <c r="F533" s="3" t="str">
        <f>VLOOKUP(C533,layoffs_location!A:D,4,FALSE)</f>
        <v>USA</v>
      </c>
      <c r="G533" s="3" t="str">
        <f>VLOOKUP(C533,layoffs_location!A:E,5,FALSE)</f>
        <v>North America</v>
      </c>
      <c r="H533" s="3">
        <v>15</v>
      </c>
      <c r="I533" s="8">
        <v>44743</v>
      </c>
      <c r="J533" s="9">
        <v>6</v>
      </c>
      <c r="K533" s="10">
        <v>250</v>
      </c>
      <c r="L533" s="10">
        <v>235</v>
      </c>
      <c r="M533" s="3" t="s">
        <v>239</v>
      </c>
      <c r="N533" s="3" t="s">
        <v>41</v>
      </c>
      <c r="O533" s="34">
        <v>169</v>
      </c>
      <c r="P533" s="3">
        <v>2022</v>
      </c>
      <c r="Q533" s="3">
        <f>VLOOKUP(C533,layoffs_location!A:F,6,FALSE)</f>
        <v>37.804455699999998</v>
      </c>
      <c r="R533" s="3">
        <f>VLOOKUP(C533,layoffs_location!A:G,7,FALSE)</f>
        <v>-122.271356</v>
      </c>
    </row>
    <row r="534" spans="1:18" x14ac:dyDescent="0.2">
      <c r="A534" s="3">
        <v>533</v>
      </c>
      <c r="B534" s="3" t="s">
        <v>911</v>
      </c>
      <c r="C534" s="3" t="s">
        <v>1370</v>
      </c>
      <c r="D534" s="3" t="str">
        <f>VLOOKUP(C534,layoffs_location!A:B,2,FALSE)</f>
        <v>San Francisco Bay Area</v>
      </c>
      <c r="E534" s="3" t="str">
        <f>VLOOKUP(C534,layoffs_location!A:C,3,FALSE)</f>
        <v>California</v>
      </c>
      <c r="F534" s="3" t="str">
        <f>VLOOKUP(C534,layoffs_location!A:D,4,FALSE)</f>
        <v>USA</v>
      </c>
      <c r="G534" s="3" t="str">
        <f>VLOOKUP(C534,layoffs_location!A:E,5,FALSE)</f>
        <v>North America</v>
      </c>
      <c r="H534" s="3">
        <v>85</v>
      </c>
      <c r="I534" s="8">
        <v>44743</v>
      </c>
      <c r="J534" s="9">
        <v>100</v>
      </c>
      <c r="K534" s="10">
        <v>85</v>
      </c>
      <c r="L534" s="10">
        <v>0</v>
      </c>
      <c r="M534" s="3" t="s">
        <v>72</v>
      </c>
      <c r="N534" s="3" t="s">
        <v>49</v>
      </c>
      <c r="O534" s="34">
        <v>26</v>
      </c>
      <c r="P534" s="3">
        <v>2022</v>
      </c>
      <c r="Q534" s="3">
        <f>VLOOKUP(C534,layoffs_location!A:F,6,FALSE)</f>
        <v>37.779258800000001</v>
      </c>
      <c r="R534" s="3">
        <f>VLOOKUP(C534,layoffs_location!A:G,7,FALSE)</f>
        <v>-122.4193286</v>
      </c>
    </row>
    <row r="535" spans="1:18" x14ac:dyDescent="0.2">
      <c r="A535" s="3">
        <v>534</v>
      </c>
      <c r="B535" s="3" t="s">
        <v>910</v>
      </c>
      <c r="C535" s="3" t="s">
        <v>39</v>
      </c>
      <c r="D535" s="3" t="str">
        <f>VLOOKUP(C535,layoffs_location!A:B,2,FALSE)</f>
        <v>New York</v>
      </c>
      <c r="E535" s="3" t="str">
        <f>VLOOKUP(C535,layoffs_location!A:C,3,FALSE)</f>
        <v>New York</v>
      </c>
      <c r="F535" s="3" t="str">
        <f>VLOOKUP(C535,layoffs_location!A:D,4,FALSE)</f>
        <v>USA</v>
      </c>
      <c r="G535" s="3" t="str">
        <f>VLOOKUP(C535,layoffs_location!A:E,5,FALSE)</f>
        <v>North America</v>
      </c>
      <c r="H535" s="3">
        <v>150</v>
      </c>
      <c r="I535" s="8">
        <v>44745</v>
      </c>
      <c r="J535" s="9">
        <v>25</v>
      </c>
      <c r="K535" s="10">
        <v>600</v>
      </c>
      <c r="L535" s="10">
        <v>450</v>
      </c>
      <c r="M535" s="3" t="s">
        <v>117</v>
      </c>
      <c r="N535" s="3" t="s">
        <v>49</v>
      </c>
      <c r="O535" s="34">
        <v>864</v>
      </c>
      <c r="P535" s="3">
        <v>2022</v>
      </c>
      <c r="Q535" s="3">
        <f>VLOOKUP(C535,layoffs_location!A:F,6,FALSE)</f>
        <v>40.7127281</v>
      </c>
      <c r="R535" s="3">
        <f>VLOOKUP(C535,layoffs_location!A:G,7,FALSE)</f>
        <v>-74.006015199999993</v>
      </c>
    </row>
    <row r="536" spans="1:18" x14ac:dyDescent="0.2">
      <c r="A536" s="3">
        <v>535</v>
      </c>
      <c r="B536" s="3" t="s">
        <v>909</v>
      </c>
      <c r="C536" s="3" t="s">
        <v>135</v>
      </c>
      <c r="D536" s="3" t="str">
        <f>VLOOKUP(C536,layoffs_location!A:B,2,FALSE)</f>
        <v>other</v>
      </c>
      <c r="E536" s="3" t="str">
        <f>VLOOKUP(C536,layoffs_location!A:C,3,FALSE)</f>
        <v>Berlin</v>
      </c>
      <c r="F536" s="3" t="str">
        <f>VLOOKUP(C536,layoffs_location!A:D,4,FALSE)</f>
        <v>Germany</v>
      </c>
      <c r="G536" s="3" t="str">
        <f>VLOOKUP(C536,layoffs_location!A:E,5,FALSE)</f>
        <v>Europe</v>
      </c>
      <c r="H536" s="3">
        <v>18</v>
      </c>
      <c r="I536" s="8">
        <v>44746</v>
      </c>
      <c r="J536" s="9">
        <v>15</v>
      </c>
      <c r="K536" s="10">
        <v>120</v>
      </c>
      <c r="L536" s="10">
        <v>102</v>
      </c>
      <c r="M536" s="3" t="s">
        <v>60</v>
      </c>
      <c r="N536" s="3" t="s">
        <v>69</v>
      </c>
      <c r="O536" s="34">
        <v>90</v>
      </c>
      <c r="P536" s="3">
        <v>2022</v>
      </c>
      <c r="Q536" s="3">
        <f>VLOOKUP(C536,layoffs_location!A:F,6,FALSE)</f>
        <v>52.517036500000003</v>
      </c>
      <c r="R536" s="3">
        <f>VLOOKUP(C536,layoffs_location!A:G,7,FALSE)</f>
        <v>13.3888599</v>
      </c>
    </row>
    <row r="537" spans="1:18" x14ac:dyDescent="0.2">
      <c r="A537" s="3">
        <v>536</v>
      </c>
      <c r="B537" s="3" t="s">
        <v>907</v>
      </c>
      <c r="C537" s="3" t="s">
        <v>743</v>
      </c>
      <c r="D537" s="3" t="str">
        <f>VLOOKUP(C537,layoffs_location!A:B,2,FALSE)</f>
        <v>other</v>
      </c>
      <c r="E537" s="3" t="str">
        <f>VLOOKUP(C537,layoffs_location!A:C,3,FALSE)</f>
        <v>non</v>
      </c>
      <c r="F537" s="3" t="str">
        <f>VLOOKUP(C537,layoffs_location!A:D,4,FALSE)</f>
        <v>Israel</v>
      </c>
      <c r="G537" s="3" t="str">
        <f>VLOOKUP(C537,layoffs_location!A:E,5,FALSE)</f>
        <v>Asia</v>
      </c>
      <c r="H537" s="3">
        <v>80</v>
      </c>
      <c r="I537" s="8">
        <v>44746</v>
      </c>
      <c r="J537" s="9">
        <v>12</v>
      </c>
      <c r="K537" s="10">
        <v>667</v>
      </c>
      <c r="L537" s="10">
        <v>587</v>
      </c>
      <c r="M537" s="3" t="s">
        <v>16</v>
      </c>
      <c r="N537" s="3" t="s">
        <v>108</v>
      </c>
      <c r="O537" s="34">
        <v>335</v>
      </c>
      <c r="P537" s="3">
        <v>2022</v>
      </c>
      <c r="Q537" s="3">
        <f>VLOOKUP(C537,layoffs_location!A:F,6,FALSE)</f>
        <v>31.788471850000001</v>
      </c>
      <c r="R537" s="3">
        <f>VLOOKUP(C537,layoffs_location!A:G,7,FALSE)</f>
        <v>35.218794410944902</v>
      </c>
    </row>
    <row r="538" spans="1:18" x14ac:dyDescent="0.2">
      <c r="A538" s="3">
        <v>537</v>
      </c>
      <c r="B538" s="3" t="s">
        <v>908</v>
      </c>
      <c r="C538" s="3" t="s">
        <v>231</v>
      </c>
      <c r="D538" s="3" t="str">
        <f>VLOOKUP(C538,layoffs_location!A:B,2,FALSE)</f>
        <v>other</v>
      </c>
      <c r="E538" s="3" t="str">
        <f>VLOOKUP(C538,layoffs_location!A:C,3,FALSE)</f>
        <v>New South Wales</v>
      </c>
      <c r="F538" s="3" t="str">
        <f>VLOOKUP(C538,layoffs_location!A:D,4,FALSE)</f>
        <v>Australia</v>
      </c>
      <c r="G538" s="3" t="str">
        <f>VLOOKUP(C538,layoffs_location!A:E,5,FALSE)</f>
        <v>Oceana</v>
      </c>
      <c r="H538" s="3">
        <v>27</v>
      </c>
      <c r="I538" s="8">
        <v>44746</v>
      </c>
      <c r="J538" s="9">
        <v>12</v>
      </c>
      <c r="K538" s="10">
        <v>225</v>
      </c>
      <c r="L538" s="10">
        <v>198</v>
      </c>
      <c r="M538" s="3" t="s">
        <v>90</v>
      </c>
      <c r="N538" s="3" t="s">
        <v>41</v>
      </c>
      <c r="O538" s="34">
        <v>69</v>
      </c>
      <c r="P538" s="3">
        <v>2022</v>
      </c>
      <c r="Q538" s="3">
        <f>VLOOKUP(C538,layoffs_location!A:F,6,FALSE)</f>
        <v>-33.869843899999999</v>
      </c>
      <c r="R538" s="3">
        <f>VLOOKUP(C538,layoffs_location!A:G,7,FALSE)</f>
        <v>151.2082848</v>
      </c>
    </row>
    <row r="539" spans="1:18" x14ac:dyDescent="0.2">
      <c r="A539" s="3">
        <v>538</v>
      </c>
      <c r="B539" s="3" t="s">
        <v>628</v>
      </c>
      <c r="C539" s="3" t="s">
        <v>39</v>
      </c>
      <c r="D539" s="3" t="str">
        <f>VLOOKUP(C539,layoffs_location!A:B,2,FALSE)</f>
        <v>New York</v>
      </c>
      <c r="E539" s="3" t="str">
        <f>VLOOKUP(C539,layoffs_location!A:C,3,FALSE)</f>
        <v>New York</v>
      </c>
      <c r="F539" s="3" t="str">
        <f>VLOOKUP(C539,layoffs_location!A:D,4,FALSE)</f>
        <v>USA</v>
      </c>
      <c r="G539" s="3" t="str">
        <f>VLOOKUP(C539,layoffs_location!A:E,5,FALSE)</f>
        <v>North America</v>
      </c>
      <c r="H539" s="3">
        <v>120</v>
      </c>
      <c r="I539" s="8">
        <v>44747</v>
      </c>
      <c r="J539" s="9">
        <v>30</v>
      </c>
      <c r="K539" s="10">
        <v>400</v>
      </c>
      <c r="L539" s="10">
        <v>280</v>
      </c>
      <c r="M539" s="3" t="s">
        <v>130</v>
      </c>
      <c r="N539" s="3" t="s">
        <v>36</v>
      </c>
      <c r="O539" s="34">
        <v>194</v>
      </c>
      <c r="P539" s="3">
        <v>2022</v>
      </c>
      <c r="Q539" s="3">
        <f>VLOOKUP(C539,layoffs_location!A:F,6,FALSE)</f>
        <v>40.7127281</v>
      </c>
      <c r="R539" s="3">
        <f>VLOOKUP(C539,layoffs_location!A:G,7,FALSE)</f>
        <v>-74.006015199999993</v>
      </c>
    </row>
    <row r="540" spans="1:18" x14ac:dyDescent="0.2">
      <c r="A540" s="3">
        <v>539</v>
      </c>
      <c r="B540" s="3" t="s">
        <v>902</v>
      </c>
      <c r="C540" s="3" t="s">
        <v>903</v>
      </c>
      <c r="D540" s="3" t="str">
        <f>VLOOKUP(C540,layoffs_location!A:B,2,FALSE)</f>
        <v>other</v>
      </c>
      <c r="E540" s="3" t="str">
        <f>VLOOKUP(C540,layoffs_location!A:C,3,FALSE)</f>
        <v>non</v>
      </c>
      <c r="F540" s="3" t="str">
        <f>VLOOKUP(C540,layoffs_location!A:D,4,FALSE)</f>
        <v>Hong Kong</v>
      </c>
      <c r="G540" s="3" t="str">
        <f>VLOOKUP(C540,layoffs_location!A:E,5,FALSE)</f>
        <v>Asia</v>
      </c>
      <c r="H540" s="3">
        <v>30</v>
      </c>
      <c r="I540" s="8">
        <v>44747</v>
      </c>
      <c r="J540" s="9">
        <v>8</v>
      </c>
      <c r="K540" s="10">
        <v>375</v>
      </c>
      <c r="L540" s="10">
        <v>345</v>
      </c>
      <c r="M540" s="3" t="s">
        <v>117</v>
      </c>
      <c r="N540" s="3" t="s">
        <v>22</v>
      </c>
      <c r="O540" s="34">
        <v>300</v>
      </c>
      <c r="P540" s="3">
        <v>2022</v>
      </c>
      <c r="Q540" s="3">
        <f>VLOOKUP(C540,layoffs_location!A:F,6,FALSE)</f>
        <v>22.279327800000001</v>
      </c>
      <c r="R540" s="3">
        <f>VLOOKUP(C540,layoffs_location!A:G,7,FALSE)</f>
        <v>114.16281309999999</v>
      </c>
    </row>
    <row r="541" spans="1:18" x14ac:dyDescent="0.2">
      <c r="A541" s="3">
        <v>540</v>
      </c>
      <c r="B541" s="3" t="s">
        <v>901</v>
      </c>
      <c r="C541" s="3" t="s">
        <v>47</v>
      </c>
      <c r="D541" s="3" t="str">
        <f>VLOOKUP(C541,layoffs_location!A:B,2,FALSE)</f>
        <v>other</v>
      </c>
      <c r="E541" s="3" t="str">
        <f>VLOOKUP(C541,layoffs_location!A:C,3,FALSE)</f>
        <v>non</v>
      </c>
      <c r="F541" s="3" t="str">
        <f>VLOOKUP(C541,layoffs_location!A:D,4,FALSE)</f>
        <v>Israel</v>
      </c>
      <c r="G541" s="3" t="str">
        <f>VLOOKUP(C541,layoffs_location!A:E,5,FALSE)</f>
        <v>Asia</v>
      </c>
      <c r="H541" s="3">
        <v>100</v>
      </c>
      <c r="I541" s="8">
        <v>44747</v>
      </c>
      <c r="J541" s="9">
        <v>6</v>
      </c>
      <c r="K541" s="10">
        <v>1667</v>
      </c>
      <c r="L541" s="10">
        <v>1567</v>
      </c>
      <c r="M541" s="3" t="s">
        <v>35</v>
      </c>
      <c r="N541" s="3" t="s">
        <v>22</v>
      </c>
      <c r="O541" s="34">
        <v>322</v>
      </c>
      <c r="P541" s="3">
        <v>2022</v>
      </c>
      <c r="Q541" s="3">
        <f>VLOOKUP(C541,layoffs_location!A:F,6,FALSE)</f>
        <v>32.0852997</v>
      </c>
      <c r="R541" s="3">
        <f>VLOOKUP(C541,layoffs_location!A:G,7,FALSE)</f>
        <v>34.781806400000001</v>
      </c>
    </row>
    <row r="542" spans="1:18" x14ac:dyDescent="0.2">
      <c r="A542" s="3">
        <v>541</v>
      </c>
      <c r="B542" s="3" t="s">
        <v>402</v>
      </c>
      <c r="C542" s="3" t="s">
        <v>187</v>
      </c>
      <c r="D542" s="3" t="str">
        <f>VLOOKUP(C542,layoffs_location!A:B,2,FALSE)</f>
        <v>other</v>
      </c>
      <c r="E542" s="3" t="str">
        <f>VLOOKUP(C542,layoffs_location!A:C,3,FALSE)</f>
        <v>State of São Paulo</v>
      </c>
      <c r="F542" s="3" t="str">
        <f>VLOOKUP(C542,layoffs_location!A:D,4,FALSE)</f>
        <v>Brazil</v>
      </c>
      <c r="G542" s="3" t="str">
        <f>VLOOKUP(C542,layoffs_location!A:E,5,FALSE)</f>
        <v>South America</v>
      </c>
      <c r="H542" s="3">
        <v>384</v>
      </c>
      <c r="I542" s="8">
        <v>44747</v>
      </c>
      <c r="J542" s="9">
        <v>12</v>
      </c>
      <c r="K542" s="10">
        <v>3200</v>
      </c>
      <c r="L542" s="10">
        <v>2816</v>
      </c>
      <c r="M542" s="3" t="s">
        <v>137</v>
      </c>
      <c r="N542" s="3" t="s">
        <v>22</v>
      </c>
      <c r="O542" s="34">
        <v>788</v>
      </c>
      <c r="P542" s="3">
        <v>2022</v>
      </c>
      <c r="Q542" s="3">
        <f>VLOOKUP(C542,layoffs_location!A:F,6,FALSE)</f>
        <v>-23.550650699999998</v>
      </c>
      <c r="R542" s="3">
        <f>VLOOKUP(C542,layoffs_location!A:G,7,FALSE)</f>
        <v>-46.633382400000002</v>
      </c>
    </row>
    <row r="543" spans="1:18" ht="16" x14ac:dyDescent="0.2">
      <c r="A543" s="3">
        <v>542</v>
      </c>
      <c r="B543" s="3" t="s">
        <v>598</v>
      </c>
      <c r="C543" s="11" t="s">
        <v>1370</v>
      </c>
      <c r="D543" s="3" t="str">
        <f>VLOOKUP(C543,layoffs_location!A:B,2,FALSE)</f>
        <v>San Francisco Bay Area</v>
      </c>
      <c r="E543" s="3" t="str">
        <f>VLOOKUP(C543,layoffs_location!A:C,3,FALSE)</f>
        <v>California</v>
      </c>
      <c r="F543" s="3" t="str">
        <f>VLOOKUP(C543,layoffs_location!A:D,4,FALSE)</f>
        <v>USA</v>
      </c>
      <c r="G543" s="3" t="str">
        <f>VLOOKUP(C543,layoffs_location!A:E,5,FALSE)</f>
        <v>North America</v>
      </c>
      <c r="H543" s="3">
        <v>31</v>
      </c>
      <c r="I543" s="8">
        <v>44747</v>
      </c>
      <c r="J543" s="9">
        <v>18</v>
      </c>
      <c r="K543" s="10">
        <v>172</v>
      </c>
      <c r="L543" s="10">
        <v>141</v>
      </c>
      <c r="M543" s="3" t="s">
        <v>68</v>
      </c>
      <c r="N543" s="3" t="s">
        <v>108</v>
      </c>
      <c r="O543" s="34">
        <v>240</v>
      </c>
      <c r="P543" s="3">
        <v>2022</v>
      </c>
      <c r="Q543" s="3">
        <f>VLOOKUP(C543,layoffs_location!A:F,6,FALSE)</f>
        <v>37.779258800000001</v>
      </c>
      <c r="R543" s="3">
        <f>VLOOKUP(C543,layoffs_location!A:G,7,FALSE)</f>
        <v>-122.4193286</v>
      </c>
    </row>
    <row r="544" spans="1:18" x14ac:dyDescent="0.2">
      <c r="A544" s="3">
        <v>543</v>
      </c>
      <c r="B544" s="3" t="s">
        <v>906</v>
      </c>
      <c r="C544" s="3" t="s">
        <v>47</v>
      </c>
      <c r="D544" s="3" t="str">
        <f>VLOOKUP(C544,layoffs_location!A:B,2,FALSE)</f>
        <v>other</v>
      </c>
      <c r="E544" s="3" t="str">
        <f>VLOOKUP(C544,layoffs_location!A:C,3,FALSE)</f>
        <v>non</v>
      </c>
      <c r="F544" s="3" t="str">
        <f>VLOOKUP(C544,layoffs_location!A:D,4,FALSE)</f>
        <v>Israel</v>
      </c>
      <c r="G544" s="3" t="str">
        <f>VLOOKUP(C544,layoffs_location!A:E,5,FALSE)</f>
        <v>Asia</v>
      </c>
      <c r="H544" s="3">
        <v>13</v>
      </c>
      <c r="I544" s="8">
        <v>44747</v>
      </c>
      <c r="J544" s="9">
        <v>8</v>
      </c>
      <c r="K544" s="10">
        <v>163</v>
      </c>
      <c r="L544" s="10">
        <v>150</v>
      </c>
      <c r="M544" s="3" t="s">
        <v>30</v>
      </c>
      <c r="N544" s="3" t="s">
        <v>41</v>
      </c>
      <c r="O544" s="34">
        <v>71</v>
      </c>
      <c r="P544" s="3">
        <v>2022</v>
      </c>
      <c r="Q544" s="3">
        <f>VLOOKUP(C544,layoffs_location!A:F,6,FALSE)</f>
        <v>32.0852997</v>
      </c>
      <c r="R544" s="3">
        <f>VLOOKUP(C544,layoffs_location!A:G,7,FALSE)</f>
        <v>34.781806400000001</v>
      </c>
    </row>
    <row r="545" spans="1:18" x14ac:dyDescent="0.2">
      <c r="A545" s="3">
        <v>544</v>
      </c>
      <c r="B545" s="3" t="s">
        <v>905</v>
      </c>
      <c r="C545" s="3" t="s">
        <v>39</v>
      </c>
      <c r="D545" s="3" t="str">
        <f>VLOOKUP(C545,layoffs_location!A:B,2,FALSE)</f>
        <v>New York</v>
      </c>
      <c r="E545" s="3" t="str">
        <f>VLOOKUP(C545,layoffs_location!A:C,3,FALSE)</f>
        <v>New York</v>
      </c>
      <c r="F545" s="3" t="str">
        <f>VLOOKUP(C545,layoffs_location!A:D,4,FALSE)</f>
        <v>USA</v>
      </c>
      <c r="G545" s="3" t="str">
        <f>VLOOKUP(C545,layoffs_location!A:E,5,FALSE)</f>
        <v>North America</v>
      </c>
      <c r="H545" s="3">
        <v>20</v>
      </c>
      <c r="I545" s="8">
        <v>44747</v>
      </c>
      <c r="J545" s="9">
        <v>33</v>
      </c>
      <c r="K545" s="10">
        <v>61</v>
      </c>
      <c r="L545" s="10">
        <v>41</v>
      </c>
      <c r="M545" s="3" t="s">
        <v>35</v>
      </c>
      <c r="N545" s="3" t="s">
        <v>69</v>
      </c>
      <c r="O545" s="34">
        <v>28</v>
      </c>
      <c r="P545" s="3">
        <v>2022</v>
      </c>
      <c r="Q545" s="3">
        <f>VLOOKUP(C545,layoffs_location!A:F,6,FALSE)</f>
        <v>40.7127281</v>
      </c>
      <c r="R545" s="3">
        <f>VLOOKUP(C545,layoffs_location!A:G,7,FALSE)</f>
        <v>-74.006015199999993</v>
      </c>
    </row>
    <row r="546" spans="1:18" x14ac:dyDescent="0.2">
      <c r="A546" s="3">
        <v>545</v>
      </c>
      <c r="B546" s="3" t="s">
        <v>904</v>
      </c>
      <c r="C546" s="3" t="s">
        <v>71</v>
      </c>
      <c r="D546" s="3" t="str">
        <f>VLOOKUP(C546,layoffs_location!A:B,2,FALSE)</f>
        <v>other</v>
      </c>
      <c r="E546" s="3" t="str">
        <f>VLOOKUP(C546,layoffs_location!A:C,3,FALSE)</f>
        <v>Massachusetts</v>
      </c>
      <c r="F546" s="3" t="str">
        <f>VLOOKUP(C546,layoffs_location!A:D,4,FALSE)</f>
        <v>USA</v>
      </c>
      <c r="G546" s="3" t="str">
        <f>VLOOKUP(C546,layoffs_location!A:E,5,FALSE)</f>
        <v>North America</v>
      </c>
      <c r="H546" s="3">
        <v>27</v>
      </c>
      <c r="I546" s="8">
        <v>44747</v>
      </c>
      <c r="J546" s="9">
        <v>7</v>
      </c>
      <c r="K546" s="10">
        <v>386</v>
      </c>
      <c r="L546" s="10">
        <v>359</v>
      </c>
      <c r="M546" s="3" t="s">
        <v>139</v>
      </c>
      <c r="N546" s="3" t="s">
        <v>69</v>
      </c>
      <c r="O546" s="34">
        <v>583</v>
      </c>
      <c r="P546" s="3">
        <v>2022</v>
      </c>
      <c r="Q546" s="3">
        <f>VLOOKUP(C546,layoffs_location!A:F,6,FALSE)</f>
        <v>42.355433400000003</v>
      </c>
      <c r="R546" s="3">
        <f>VLOOKUP(C546,layoffs_location!A:G,7,FALSE)</f>
        <v>-71.060511000000005</v>
      </c>
    </row>
    <row r="547" spans="1:18" x14ac:dyDescent="0.2">
      <c r="A547" s="3">
        <v>546</v>
      </c>
      <c r="B547" s="3" t="s">
        <v>203</v>
      </c>
      <c r="C547" s="3" t="s">
        <v>39</v>
      </c>
      <c r="D547" s="3" t="str">
        <f>VLOOKUP(C547,layoffs_location!A:B,2,FALSE)</f>
        <v>New York</v>
      </c>
      <c r="E547" s="3" t="str">
        <f>VLOOKUP(C547,layoffs_location!A:C,3,FALSE)</f>
        <v>New York</v>
      </c>
      <c r="F547" s="3" t="str">
        <f>VLOOKUP(C547,layoffs_location!A:D,4,FALSE)</f>
        <v>USA</v>
      </c>
      <c r="G547" s="3" t="str">
        <f>VLOOKUP(C547,layoffs_location!A:E,5,FALSE)</f>
        <v>North America</v>
      </c>
      <c r="H547" s="3">
        <v>80</v>
      </c>
      <c r="I547" s="8">
        <v>44747</v>
      </c>
      <c r="J547" s="9">
        <v>10</v>
      </c>
      <c r="K547" s="10">
        <v>800</v>
      </c>
      <c r="L547" s="10">
        <v>720</v>
      </c>
      <c r="M547" s="3" t="s">
        <v>79</v>
      </c>
      <c r="N547" s="3" t="s">
        <v>36</v>
      </c>
      <c r="O547" s="34">
        <v>569</v>
      </c>
      <c r="P547" s="3">
        <v>2022</v>
      </c>
      <c r="Q547" s="3">
        <f>VLOOKUP(C547,layoffs_location!A:F,6,FALSE)</f>
        <v>40.7127281</v>
      </c>
      <c r="R547" s="3">
        <f>VLOOKUP(C547,layoffs_location!A:G,7,FALSE)</f>
        <v>-74.006015199999993</v>
      </c>
    </row>
    <row r="548" spans="1:18" x14ac:dyDescent="0.2">
      <c r="A548" s="3">
        <v>547</v>
      </c>
      <c r="B548" s="3" t="s">
        <v>899</v>
      </c>
      <c r="C548" s="3" t="s">
        <v>47</v>
      </c>
      <c r="D548" s="3" t="str">
        <f>VLOOKUP(C548,layoffs_location!A:B,2,FALSE)</f>
        <v>other</v>
      </c>
      <c r="E548" s="3" t="str">
        <f>VLOOKUP(C548,layoffs_location!A:C,3,FALSE)</f>
        <v>non</v>
      </c>
      <c r="F548" s="3" t="str">
        <f>VLOOKUP(C548,layoffs_location!A:D,4,FALSE)</f>
        <v>Israel</v>
      </c>
      <c r="G548" s="3" t="str">
        <f>VLOOKUP(C548,layoffs_location!A:E,5,FALSE)</f>
        <v>Asia</v>
      </c>
      <c r="H548" s="3">
        <v>35</v>
      </c>
      <c r="I548" s="8">
        <v>44748</v>
      </c>
      <c r="J548" s="9">
        <v>27</v>
      </c>
      <c r="K548" s="10">
        <v>130</v>
      </c>
      <c r="L548" s="10">
        <v>95</v>
      </c>
      <c r="M548" s="3" t="s">
        <v>79</v>
      </c>
      <c r="N548" s="3" t="s">
        <v>41</v>
      </c>
      <c r="O548" s="34">
        <v>64</v>
      </c>
      <c r="P548" s="3">
        <v>2022</v>
      </c>
      <c r="Q548" s="3">
        <f>VLOOKUP(C548,layoffs_location!A:F,6,FALSE)</f>
        <v>32.0852997</v>
      </c>
      <c r="R548" s="3">
        <f>VLOOKUP(C548,layoffs_location!A:G,7,FALSE)</f>
        <v>34.781806400000001</v>
      </c>
    </row>
    <row r="549" spans="1:18" ht="16" x14ac:dyDescent="0.2">
      <c r="A549" s="3">
        <v>548</v>
      </c>
      <c r="B549" s="3" t="s">
        <v>898</v>
      </c>
      <c r="C549" s="11" t="s">
        <v>1370</v>
      </c>
      <c r="D549" s="3" t="str">
        <f>VLOOKUP(C549,layoffs_location!A:B,2,FALSE)</f>
        <v>San Francisco Bay Area</v>
      </c>
      <c r="E549" s="3" t="str">
        <f>VLOOKUP(C549,layoffs_location!A:C,3,FALSE)</f>
        <v>California</v>
      </c>
      <c r="F549" s="3" t="str">
        <f>VLOOKUP(C549,layoffs_location!A:D,4,FALSE)</f>
        <v>USA</v>
      </c>
      <c r="G549" s="3" t="str">
        <f>VLOOKUP(C549,layoffs_location!A:E,5,FALSE)</f>
        <v>North America</v>
      </c>
      <c r="H549" s="3">
        <v>100</v>
      </c>
      <c r="I549" s="8">
        <v>44748</v>
      </c>
      <c r="J549" s="9">
        <v>9</v>
      </c>
      <c r="K549" s="10">
        <v>1111</v>
      </c>
      <c r="L549" s="10">
        <v>1011</v>
      </c>
      <c r="M549" s="3" t="s">
        <v>84</v>
      </c>
      <c r="N549" s="3" t="s">
        <v>41</v>
      </c>
      <c r="O549" s="34">
        <v>496</v>
      </c>
      <c r="P549" s="3">
        <v>2022</v>
      </c>
      <c r="Q549" s="3">
        <f>VLOOKUP(C549,layoffs_location!A:F,6,FALSE)</f>
        <v>37.779258800000001</v>
      </c>
      <c r="R549" s="3">
        <f>VLOOKUP(C549,layoffs_location!A:G,7,FALSE)</f>
        <v>-122.4193286</v>
      </c>
    </row>
    <row r="550" spans="1:18" x14ac:dyDescent="0.2">
      <c r="A550" s="3">
        <v>549</v>
      </c>
      <c r="B550" s="3" t="s">
        <v>900</v>
      </c>
      <c r="C550" s="3" t="s">
        <v>39</v>
      </c>
      <c r="D550" s="3" t="str">
        <f>VLOOKUP(C550,layoffs_location!A:B,2,FALSE)</f>
        <v>New York</v>
      </c>
      <c r="E550" s="3" t="str">
        <f>VLOOKUP(C550,layoffs_location!A:C,3,FALSE)</f>
        <v>New York</v>
      </c>
      <c r="F550" s="3" t="str">
        <f>VLOOKUP(C550,layoffs_location!A:D,4,FALSE)</f>
        <v>USA</v>
      </c>
      <c r="G550" s="3" t="str">
        <f>VLOOKUP(C550,layoffs_location!A:E,5,FALSE)</f>
        <v>North America</v>
      </c>
      <c r="H550" s="3">
        <v>30</v>
      </c>
      <c r="I550" s="8">
        <v>44748</v>
      </c>
      <c r="J550" s="9">
        <v>18</v>
      </c>
      <c r="K550" s="10">
        <v>167</v>
      </c>
      <c r="L550" s="10">
        <v>137</v>
      </c>
      <c r="M550" s="3" t="s">
        <v>79</v>
      </c>
      <c r="N550" s="3" t="s">
        <v>49</v>
      </c>
      <c r="O550" s="34">
        <v>77</v>
      </c>
      <c r="P550" s="3">
        <v>2022</v>
      </c>
      <c r="Q550" s="3">
        <f>VLOOKUP(C550,layoffs_location!A:F,6,FALSE)</f>
        <v>40.7127281</v>
      </c>
      <c r="R550" s="3">
        <f>VLOOKUP(C550,layoffs_location!A:G,7,FALSE)</f>
        <v>-74.006015199999993</v>
      </c>
    </row>
    <row r="551" spans="1:18" x14ac:dyDescent="0.2">
      <c r="A551" s="3">
        <v>550</v>
      </c>
      <c r="B551" s="3" t="s">
        <v>737</v>
      </c>
      <c r="C551" s="3" t="s">
        <v>730</v>
      </c>
      <c r="D551" s="3" t="str">
        <f>VLOOKUP(C551,layoffs_location!A:B,2,FALSE)</f>
        <v>other</v>
      </c>
      <c r="E551" s="3" t="str">
        <f>VLOOKUP(C551,layoffs_location!A:C,3,FALSE)</f>
        <v>Pennsylvania</v>
      </c>
      <c r="F551" s="3" t="str">
        <f>VLOOKUP(C551,layoffs_location!A:D,4,FALSE)</f>
        <v>USA</v>
      </c>
      <c r="G551" s="3" t="str">
        <f>VLOOKUP(C551,layoffs_location!A:E,5,FALSE)</f>
        <v>North America</v>
      </c>
      <c r="H551" s="3">
        <v>150</v>
      </c>
      <c r="I551" s="8">
        <v>44749</v>
      </c>
      <c r="J551" s="9">
        <v>5</v>
      </c>
      <c r="K551" s="10">
        <v>3000</v>
      </c>
      <c r="L551" s="10">
        <v>2850</v>
      </c>
      <c r="M551" s="3" t="s">
        <v>32</v>
      </c>
      <c r="N551" s="3" t="s">
        <v>22</v>
      </c>
      <c r="P551" s="3">
        <v>2022</v>
      </c>
      <c r="Q551" s="3">
        <f>VLOOKUP(C551,layoffs_location!A:F,6,FALSE)</f>
        <v>40.441694099999999</v>
      </c>
      <c r="R551" s="3">
        <f>VLOOKUP(C551,layoffs_location!A:G,7,FALSE)</f>
        <v>-79.990086099999999</v>
      </c>
    </row>
    <row r="552" spans="1:18" x14ac:dyDescent="0.2">
      <c r="A552" s="3">
        <v>551</v>
      </c>
      <c r="B552" s="3" t="s">
        <v>897</v>
      </c>
      <c r="C552" s="3" t="s">
        <v>76</v>
      </c>
      <c r="D552" s="3" t="str">
        <f>VLOOKUP(C552,layoffs_location!A:B,2,FALSE)</f>
        <v>other</v>
      </c>
      <c r="E552" s="3" t="str">
        <f>VLOOKUP(C552,layoffs_location!A:C,3,FALSE)</f>
        <v>California</v>
      </c>
      <c r="F552" s="3" t="str">
        <f>VLOOKUP(C552,layoffs_location!A:D,4,FALSE)</f>
        <v>USA</v>
      </c>
      <c r="G552" s="3" t="str">
        <f>VLOOKUP(C552,layoffs_location!A:E,5,FALSE)</f>
        <v>North America</v>
      </c>
      <c r="H552" s="3">
        <v>30</v>
      </c>
      <c r="I552" s="8">
        <v>44749</v>
      </c>
      <c r="J552" s="9">
        <v>18</v>
      </c>
      <c r="K552" s="10">
        <v>167</v>
      </c>
      <c r="L552" s="10">
        <v>137</v>
      </c>
      <c r="M552" s="3" t="s">
        <v>130</v>
      </c>
      <c r="N552" s="3" t="s">
        <v>49</v>
      </c>
      <c r="O552" s="34">
        <v>78</v>
      </c>
      <c r="P552" s="3">
        <v>2022</v>
      </c>
      <c r="Q552" s="3">
        <f>VLOOKUP(C552,layoffs_location!A:F,6,FALSE)</f>
        <v>34.053690899999999</v>
      </c>
      <c r="R552" s="3">
        <f>VLOOKUP(C552,layoffs_location!A:G,7,FALSE)</f>
        <v>-118.242766</v>
      </c>
    </row>
    <row r="553" spans="1:18" x14ac:dyDescent="0.2">
      <c r="A553" s="3">
        <v>552</v>
      </c>
      <c r="B553" s="3" t="s">
        <v>896</v>
      </c>
      <c r="C553" s="3" t="s">
        <v>1473</v>
      </c>
      <c r="D553" s="3" t="str">
        <f>VLOOKUP(C553,layoffs_location!A:B,2,FALSE)</f>
        <v>San Francisco Bay Area</v>
      </c>
      <c r="E553" s="3" t="str">
        <f>VLOOKUP(C553,layoffs_location!A:C,3,FALSE)</f>
        <v>California</v>
      </c>
      <c r="F553" s="3" t="str">
        <f>VLOOKUP(C553,layoffs_location!A:D,4,FALSE)</f>
        <v>USA</v>
      </c>
      <c r="G553" s="3" t="str">
        <f>VLOOKUP(C553,layoffs_location!A:E,5,FALSE)</f>
        <v>North America</v>
      </c>
      <c r="H553" s="3">
        <v>150</v>
      </c>
      <c r="I553" s="8">
        <v>44749</v>
      </c>
      <c r="J553" s="9">
        <v>17</v>
      </c>
      <c r="K553" s="10">
        <v>882</v>
      </c>
      <c r="L553" s="10">
        <v>732</v>
      </c>
      <c r="M553" s="3" t="s">
        <v>35</v>
      </c>
      <c r="N553" s="3" t="s">
        <v>36</v>
      </c>
      <c r="O553" s="34">
        <v>881</v>
      </c>
      <c r="P553" s="3">
        <v>2022</v>
      </c>
      <c r="Q553" s="3">
        <f>VLOOKUP(C553,layoffs_location!A:F,6,FALSE)</f>
        <v>37.4443293</v>
      </c>
      <c r="R553" s="3">
        <f>VLOOKUP(C553,layoffs_location!A:G,7,FALSE)</f>
        <v>-122.1598465</v>
      </c>
    </row>
    <row r="554" spans="1:18" x14ac:dyDescent="0.2">
      <c r="A554" s="3">
        <v>553</v>
      </c>
      <c r="B554" s="3" t="s">
        <v>894</v>
      </c>
      <c r="C554" s="3" t="s">
        <v>39</v>
      </c>
      <c r="D554" s="3" t="str">
        <f>VLOOKUP(C554,layoffs_location!A:B,2,FALSE)</f>
        <v>New York</v>
      </c>
      <c r="E554" s="3" t="str">
        <f>VLOOKUP(C554,layoffs_location!A:C,3,FALSE)</f>
        <v>New York</v>
      </c>
      <c r="F554" s="3" t="str">
        <f>VLOOKUP(C554,layoffs_location!A:D,4,FALSE)</f>
        <v>USA</v>
      </c>
      <c r="G554" s="3" t="str">
        <f>VLOOKUP(C554,layoffs_location!A:E,5,FALSE)</f>
        <v>North America</v>
      </c>
      <c r="H554" s="3">
        <v>1000</v>
      </c>
      <c r="I554" s="8">
        <v>44750</v>
      </c>
      <c r="J554" s="9">
        <v>100</v>
      </c>
      <c r="K554" s="10">
        <v>1000</v>
      </c>
      <c r="L554" s="10">
        <v>0</v>
      </c>
      <c r="M554" s="3" t="s">
        <v>77</v>
      </c>
      <c r="N554" s="3" t="s">
        <v>49</v>
      </c>
      <c r="O554" s="34">
        <v>50</v>
      </c>
      <c r="P554" s="3">
        <v>2022</v>
      </c>
      <c r="Q554" s="3">
        <f>VLOOKUP(C554,layoffs_location!A:F,6,FALSE)</f>
        <v>40.7127281</v>
      </c>
      <c r="R554" s="3">
        <f>VLOOKUP(C554,layoffs_location!A:G,7,FALSE)</f>
        <v>-74.006015199999993</v>
      </c>
    </row>
    <row r="555" spans="1:18" x14ac:dyDescent="0.2">
      <c r="A555" s="3">
        <v>554</v>
      </c>
      <c r="B555" s="3" t="s">
        <v>895</v>
      </c>
      <c r="C555" s="3" t="s">
        <v>39</v>
      </c>
      <c r="D555" s="3" t="str">
        <f>VLOOKUP(C555,layoffs_location!A:B,2,FALSE)</f>
        <v>New York</v>
      </c>
      <c r="E555" s="3" t="str">
        <f>VLOOKUP(C555,layoffs_location!A:C,3,FALSE)</f>
        <v>New York</v>
      </c>
      <c r="F555" s="3" t="str">
        <f>VLOOKUP(C555,layoffs_location!A:D,4,FALSE)</f>
        <v>USA</v>
      </c>
      <c r="G555" s="3" t="str">
        <f>VLOOKUP(C555,layoffs_location!A:E,5,FALSE)</f>
        <v>North America</v>
      </c>
      <c r="H555" s="3">
        <v>156</v>
      </c>
      <c r="I555" s="8">
        <v>44750</v>
      </c>
      <c r="J555" s="9">
        <v>24</v>
      </c>
      <c r="K555" s="10">
        <v>650</v>
      </c>
      <c r="L555" s="10">
        <v>494</v>
      </c>
      <c r="M555" s="3" t="s">
        <v>21</v>
      </c>
      <c r="N555" s="3" t="s">
        <v>49</v>
      </c>
      <c r="O555" s="34">
        <v>127</v>
      </c>
      <c r="P555" s="3">
        <v>2022</v>
      </c>
      <c r="Q555" s="3">
        <f>VLOOKUP(C555,layoffs_location!A:F,6,FALSE)</f>
        <v>40.7127281</v>
      </c>
      <c r="R555" s="3">
        <f>VLOOKUP(C555,layoffs_location!A:G,7,FALSE)</f>
        <v>-74.006015199999993</v>
      </c>
    </row>
    <row r="556" spans="1:18" x14ac:dyDescent="0.2">
      <c r="A556" s="3">
        <v>555</v>
      </c>
      <c r="B556" s="3" t="s">
        <v>892</v>
      </c>
      <c r="C556" s="3" t="s">
        <v>58</v>
      </c>
      <c r="D556" s="3" t="str">
        <f>VLOOKUP(C556,layoffs_location!A:B,2,FALSE)</f>
        <v>other</v>
      </c>
      <c r="E556" s="3" t="str">
        <f>VLOOKUP(C556,layoffs_location!A:C,3,FALSE)</f>
        <v>England</v>
      </c>
      <c r="F556" s="3" t="str">
        <f>VLOOKUP(C556,layoffs_location!A:D,4,FALSE)</f>
        <v>UK</v>
      </c>
      <c r="G556" s="3" t="str">
        <f>VLOOKUP(C556,layoffs_location!A:E,5,FALSE)</f>
        <v>Europe</v>
      </c>
      <c r="H556" s="3">
        <v>242</v>
      </c>
      <c r="I556" s="8">
        <v>44753</v>
      </c>
      <c r="J556" s="9">
        <v>29</v>
      </c>
      <c r="K556" s="10">
        <v>834</v>
      </c>
      <c r="L556" s="10">
        <v>592</v>
      </c>
      <c r="M556" s="3" t="s">
        <v>60</v>
      </c>
      <c r="N556" s="3" t="s">
        <v>108</v>
      </c>
      <c r="O556" s="34">
        <v>1000</v>
      </c>
      <c r="P556" s="3">
        <v>2022</v>
      </c>
      <c r="Q556" s="3">
        <f>VLOOKUP(C556,layoffs_location!A:F,6,FALSE)</f>
        <v>51.489333500000001</v>
      </c>
      <c r="R556" s="3">
        <f>VLOOKUP(C556,layoffs_location!A:G,7,FALSE)</f>
        <v>-0.14405508452768701</v>
      </c>
    </row>
    <row r="557" spans="1:18" x14ac:dyDescent="0.2">
      <c r="A557" s="3">
        <v>556</v>
      </c>
      <c r="B557" s="3" t="s">
        <v>893</v>
      </c>
      <c r="C557" s="3" t="s">
        <v>39</v>
      </c>
      <c r="D557" s="3" t="str">
        <f>VLOOKUP(C557,layoffs_location!A:B,2,FALSE)</f>
        <v>New York</v>
      </c>
      <c r="E557" s="3" t="str">
        <f>VLOOKUP(C557,layoffs_location!A:C,3,FALSE)</f>
        <v>New York</v>
      </c>
      <c r="F557" s="3" t="str">
        <f>VLOOKUP(C557,layoffs_location!A:D,4,FALSE)</f>
        <v>USA</v>
      </c>
      <c r="G557" s="3" t="str">
        <f>VLOOKUP(C557,layoffs_location!A:E,5,FALSE)</f>
        <v>North America</v>
      </c>
      <c r="H557" s="3">
        <v>24</v>
      </c>
      <c r="I557" s="8">
        <v>44753</v>
      </c>
      <c r="J557" s="9">
        <v>13</v>
      </c>
      <c r="K557" s="10">
        <v>185</v>
      </c>
      <c r="L557" s="10">
        <v>161</v>
      </c>
      <c r="M557" s="3" t="s">
        <v>130</v>
      </c>
      <c r="N557" s="3" t="s">
        <v>108</v>
      </c>
      <c r="O557" s="34">
        <v>74</v>
      </c>
      <c r="P557" s="3">
        <v>2022</v>
      </c>
      <c r="Q557" s="3">
        <f>VLOOKUP(C557,layoffs_location!A:F,6,FALSE)</f>
        <v>40.7127281</v>
      </c>
      <c r="R557" s="3">
        <f>VLOOKUP(C557,layoffs_location!A:G,7,FALSE)</f>
        <v>-74.006015199999993</v>
      </c>
    </row>
    <row r="558" spans="1:18" x14ac:dyDescent="0.2">
      <c r="A558" s="3">
        <v>557</v>
      </c>
      <c r="B558" s="3" t="s">
        <v>395</v>
      </c>
      <c r="C558" s="3" t="s">
        <v>362</v>
      </c>
      <c r="D558" s="3" t="str">
        <f>VLOOKUP(C558,layoffs_location!A:B,2,FALSE)</f>
        <v>other</v>
      </c>
      <c r="E558" s="3" t="str">
        <f>VLOOKUP(C558,layoffs_location!A:C,3,FALSE)</f>
        <v>Pennsylvania</v>
      </c>
      <c r="F558" s="3" t="str">
        <f>VLOOKUP(C558,layoffs_location!A:D,4,FALSE)</f>
        <v>USA</v>
      </c>
      <c r="G558" s="3" t="str">
        <f>VLOOKUP(C558,layoffs_location!A:E,5,FALSE)</f>
        <v>North America</v>
      </c>
      <c r="H558" s="3">
        <v>1500</v>
      </c>
      <c r="I558" s="8">
        <v>44754</v>
      </c>
      <c r="J558" s="9">
        <v>10</v>
      </c>
      <c r="K558" s="10">
        <v>15000</v>
      </c>
      <c r="L558" s="10">
        <v>13500</v>
      </c>
      <c r="M558" s="3" t="s">
        <v>77</v>
      </c>
      <c r="N558" s="3" t="s">
        <v>17</v>
      </c>
      <c r="O558" s="34">
        <v>3400</v>
      </c>
      <c r="P558" s="3">
        <v>2022</v>
      </c>
      <c r="Q558" s="3">
        <f>VLOOKUP(C558,layoffs_location!A:F,6,FALSE)</f>
        <v>39.9527237</v>
      </c>
      <c r="R558" s="3">
        <f>VLOOKUP(C558,layoffs_location!A:G,7,FALSE)</f>
        <v>-75.163526200000007</v>
      </c>
    </row>
    <row r="559" spans="1:18" x14ac:dyDescent="0.2">
      <c r="A559" s="3">
        <v>558</v>
      </c>
      <c r="B559" s="3" t="s">
        <v>520</v>
      </c>
      <c r="C559" s="3" t="s">
        <v>1370</v>
      </c>
      <c r="D559" s="3" t="str">
        <f>VLOOKUP(C559,layoffs_location!A:B,2,FALSE)</f>
        <v>San Francisco Bay Area</v>
      </c>
      <c r="E559" s="3" t="str">
        <f>VLOOKUP(C559,layoffs_location!A:C,3,FALSE)</f>
        <v>California</v>
      </c>
      <c r="F559" s="3" t="str">
        <f>VLOOKUP(C559,layoffs_location!A:D,4,FALSE)</f>
        <v>USA</v>
      </c>
      <c r="G559" s="3" t="str">
        <f>VLOOKUP(C559,layoffs_location!A:E,5,FALSE)</f>
        <v>North America</v>
      </c>
      <c r="H559" s="3">
        <v>45</v>
      </c>
      <c r="I559" s="8">
        <v>44754</v>
      </c>
      <c r="J559" s="9">
        <v>12</v>
      </c>
      <c r="K559" s="10">
        <v>375</v>
      </c>
      <c r="L559" s="10">
        <v>330</v>
      </c>
      <c r="M559" s="3" t="s">
        <v>130</v>
      </c>
      <c r="N559" s="3" t="s">
        <v>49</v>
      </c>
      <c r="O559" s="34">
        <v>153</v>
      </c>
      <c r="P559" s="3">
        <v>2022</v>
      </c>
      <c r="Q559" s="3">
        <f>VLOOKUP(C559,layoffs_location!A:F,6,FALSE)</f>
        <v>37.779258800000001</v>
      </c>
      <c r="R559" s="3">
        <f>VLOOKUP(C559,layoffs_location!A:G,7,FALSE)</f>
        <v>-122.4193286</v>
      </c>
    </row>
    <row r="560" spans="1:18" x14ac:dyDescent="0.2">
      <c r="A560" s="3">
        <v>559</v>
      </c>
      <c r="B560" s="3" t="s">
        <v>111</v>
      </c>
      <c r="C560" s="3" t="s">
        <v>58</v>
      </c>
      <c r="D560" s="3" t="str">
        <f>VLOOKUP(C560,layoffs_location!A:B,2,FALSE)</f>
        <v>other</v>
      </c>
      <c r="E560" s="3" t="str">
        <f>VLOOKUP(C560,layoffs_location!A:C,3,FALSE)</f>
        <v>England</v>
      </c>
      <c r="F560" s="3" t="str">
        <f>VLOOKUP(C560,layoffs_location!A:D,4,FALSE)</f>
        <v>UK</v>
      </c>
      <c r="G560" s="3" t="str">
        <f>VLOOKUP(C560,layoffs_location!A:E,5,FALSE)</f>
        <v>Europe</v>
      </c>
      <c r="H560" s="3">
        <v>480</v>
      </c>
      <c r="I560" s="8">
        <v>44755</v>
      </c>
      <c r="J560" s="9">
        <v>30</v>
      </c>
      <c r="K560" s="10">
        <v>2080</v>
      </c>
      <c r="L560" s="10">
        <v>1600</v>
      </c>
      <c r="M560" s="3" t="s">
        <v>32</v>
      </c>
      <c r="N560" s="3" t="s">
        <v>28</v>
      </c>
      <c r="O560" s="34">
        <v>629</v>
      </c>
      <c r="P560" s="3">
        <v>2022</v>
      </c>
      <c r="Q560" s="3">
        <f>VLOOKUP(C560,layoffs_location!A:F,6,FALSE)</f>
        <v>51.489333500000001</v>
      </c>
      <c r="R560" s="3">
        <f>VLOOKUP(C560,layoffs_location!A:G,7,FALSE)</f>
        <v>-0.14405508452768701</v>
      </c>
    </row>
    <row r="561" spans="1:18" x14ac:dyDescent="0.2">
      <c r="A561" s="3">
        <v>560</v>
      </c>
      <c r="B561" s="3" t="s">
        <v>889</v>
      </c>
      <c r="C561" s="3" t="s">
        <v>135</v>
      </c>
      <c r="D561" s="3" t="str">
        <f>VLOOKUP(C561,layoffs_location!A:B,2,FALSE)</f>
        <v>other</v>
      </c>
      <c r="E561" s="3" t="str">
        <f>VLOOKUP(C561,layoffs_location!A:C,3,FALSE)</f>
        <v>Berlin</v>
      </c>
      <c r="F561" s="3" t="str">
        <f>VLOOKUP(C561,layoffs_location!A:D,4,FALSE)</f>
        <v>Germany</v>
      </c>
      <c r="G561" s="3" t="str">
        <f>VLOOKUP(C561,layoffs_location!A:E,5,FALSE)</f>
        <v>Europe</v>
      </c>
      <c r="H561" s="3">
        <v>100</v>
      </c>
      <c r="I561" s="8">
        <v>44755</v>
      </c>
      <c r="J561" s="9">
        <v>30</v>
      </c>
      <c r="K561" s="10">
        <v>333</v>
      </c>
      <c r="L561" s="10">
        <v>233</v>
      </c>
      <c r="M561" s="3" t="s">
        <v>48</v>
      </c>
      <c r="N561" s="3" t="s">
        <v>49</v>
      </c>
      <c r="O561" s="34">
        <v>89</v>
      </c>
      <c r="P561" s="3">
        <v>2022</v>
      </c>
      <c r="Q561" s="3">
        <f>VLOOKUP(C561,layoffs_location!A:F,6,FALSE)</f>
        <v>52.517036500000003</v>
      </c>
      <c r="R561" s="3">
        <f>VLOOKUP(C561,layoffs_location!A:G,7,FALSE)</f>
        <v>13.3888599</v>
      </c>
    </row>
    <row r="562" spans="1:18" x14ac:dyDescent="0.2">
      <c r="A562" s="3">
        <v>561</v>
      </c>
      <c r="B562" s="3" t="s">
        <v>594</v>
      </c>
      <c r="C562" s="3" t="s">
        <v>76</v>
      </c>
      <c r="D562" s="3" t="str">
        <f>VLOOKUP(C562,layoffs_location!A:B,2,FALSE)</f>
        <v>other</v>
      </c>
      <c r="E562" s="3" t="str">
        <f>VLOOKUP(C562,layoffs_location!A:C,3,FALSE)</f>
        <v>California</v>
      </c>
      <c r="F562" s="3" t="str">
        <f>VLOOKUP(C562,layoffs_location!A:D,4,FALSE)</f>
        <v>USA</v>
      </c>
      <c r="G562" s="3" t="str">
        <f>VLOOKUP(C562,layoffs_location!A:E,5,FALSE)</f>
        <v>North America</v>
      </c>
      <c r="H562" s="3">
        <v>100</v>
      </c>
      <c r="I562" s="8">
        <v>44755</v>
      </c>
      <c r="J562" s="9">
        <v>20</v>
      </c>
      <c r="K562" s="10">
        <v>500</v>
      </c>
      <c r="L562" s="10">
        <v>400</v>
      </c>
      <c r="M562" s="3" t="s">
        <v>77</v>
      </c>
      <c r="N562" s="3" t="s">
        <v>41</v>
      </c>
      <c r="O562" s="34">
        <v>64</v>
      </c>
      <c r="P562" s="3">
        <v>2022</v>
      </c>
      <c r="Q562" s="3">
        <f>VLOOKUP(C562,layoffs_location!A:F,6,FALSE)</f>
        <v>34.053690899999999</v>
      </c>
      <c r="R562" s="3">
        <f>VLOOKUP(C562,layoffs_location!A:G,7,FALSE)</f>
        <v>-118.242766</v>
      </c>
    </row>
    <row r="563" spans="1:18" x14ac:dyDescent="0.2">
      <c r="A563" s="3">
        <v>562</v>
      </c>
      <c r="B563" s="3" t="s">
        <v>888</v>
      </c>
      <c r="C563" s="39" t="s">
        <v>39</v>
      </c>
      <c r="D563" s="3" t="str">
        <f>VLOOKUP(C563,layoffs_location!A:B,2,FALSE)</f>
        <v>New York</v>
      </c>
      <c r="E563" s="3" t="str">
        <f>VLOOKUP(C563,layoffs_location!A:C,3,FALSE)</f>
        <v>New York</v>
      </c>
      <c r="F563" s="3" t="str">
        <f>VLOOKUP(C563,layoffs_location!A:D,4,FALSE)</f>
        <v>USA</v>
      </c>
      <c r="G563" s="3" t="str">
        <f>VLOOKUP(C563,layoffs_location!A:E,5,FALSE)</f>
        <v>North America</v>
      </c>
      <c r="H563" s="3">
        <v>120</v>
      </c>
      <c r="I563" s="8">
        <v>44755</v>
      </c>
      <c r="J563" s="9">
        <v>40</v>
      </c>
      <c r="K563" s="10">
        <v>300</v>
      </c>
      <c r="L563" s="10">
        <v>180</v>
      </c>
      <c r="M563" s="3" t="s">
        <v>90</v>
      </c>
      <c r="N563" s="3" t="s">
        <v>41</v>
      </c>
      <c r="O563" s="34">
        <v>336</v>
      </c>
      <c r="P563" s="3">
        <v>2022</v>
      </c>
      <c r="Q563" s="3">
        <f>VLOOKUP(C563,layoffs_location!A:F,6,FALSE)</f>
        <v>40.7127281</v>
      </c>
      <c r="R563" s="3">
        <f>VLOOKUP(C563,layoffs_location!A:G,7,FALSE)</f>
        <v>-74.006015199999993</v>
      </c>
    </row>
    <row r="564" spans="1:18" x14ac:dyDescent="0.2">
      <c r="A564" s="3">
        <v>563</v>
      </c>
      <c r="B564" s="3" t="s">
        <v>890</v>
      </c>
      <c r="C564" s="39" t="s">
        <v>891</v>
      </c>
      <c r="D564" s="3" t="str">
        <f>VLOOKUP(C564,layoffs_location!A:B,2,FALSE)</f>
        <v>other</v>
      </c>
      <c r="E564" s="3" t="str">
        <f>VLOOKUP(C564,layoffs_location!A:C,3,FALSE)</f>
        <v>State of Santa Catarina</v>
      </c>
      <c r="F564" s="3" t="str">
        <f>VLOOKUP(C564,layoffs_location!A:D,4,FALSE)</f>
        <v>Brazil</v>
      </c>
      <c r="G564" s="3" t="str">
        <f>VLOOKUP(C564,layoffs_location!A:E,5,FALSE)</f>
        <v>South America</v>
      </c>
      <c r="H564" s="3">
        <v>70</v>
      </c>
      <c r="I564" s="8">
        <v>44755</v>
      </c>
      <c r="J564" s="9">
        <v>18</v>
      </c>
      <c r="K564" s="10">
        <v>389</v>
      </c>
      <c r="L564" s="10">
        <v>319</v>
      </c>
      <c r="M564" s="3" t="s">
        <v>30</v>
      </c>
      <c r="N564" s="3" t="s">
        <v>22</v>
      </c>
      <c r="O564" s="34">
        <v>23</v>
      </c>
      <c r="P564" s="3">
        <v>2022</v>
      </c>
      <c r="Q564" s="3">
        <f>VLOOKUP(C564,layoffs_location!A:F,6,FALSE)</f>
        <v>-27.597300199999999</v>
      </c>
      <c r="R564" s="3">
        <f>VLOOKUP(C564,layoffs_location!A:G,7,FALSE)</f>
        <v>-48.549609799999999</v>
      </c>
    </row>
    <row r="565" spans="1:18" ht="16" x14ac:dyDescent="0.2">
      <c r="A565" s="3">
        <v>564</v>
      </c>
      <c r="B565" s="3" t="s">
        <v>887</v>
      </c>
      <c r="C565" s="11" t="s">
        <v>1370</v>
      </c>
      <c r="D565" s="3" t="str">
        <f>VLOOKUP(C565,layoffs_location!A:B,2,FALSE)</f>
        <v>San Francisco Bay Area</v>
      </c>
      <c r="E565" s="3" t="str">
        <f>VLOOKUP(C565,layoffs_location!A:C,3,FALSE)</f>
        <v>California</v>
      </c>
      <c r="F565" s="3" t="str">
        <f>VLOOKUP(C565,layoffs_location!A:D,4,FALSE)</f>
        <v>USA</v>
      </c>
      <c r="G565" s="3" t="str">
        <f>VLOOKUP(C565,layoffs_location!A:E,5,FALSE)</f>
        <v>North America</v>
      </c>
      <c r="H565" s="3">
        <v>262</v>
      </c>
      <c r="I565" s="8">
        <v>44755</v>
      </c>
      <c r="J565" s="9">
        <v>35</v>
      </c>
      <c r="K565" s="10">
        <v>749</v>
      </c>
      <c r="L565" s="10">
        <v>487</v>
      </c>
      <c r="M565" s="3" t="s">
        <v>399</v>
      </c>
      <c r="N565" s="3" t="s">
        <v>36</v>
      </c>
      <c r="O565" s="34">
        <v>450</v>
      </c>
      <c r="P565" s="3">
        <v>2022</v>
      </c>
      <c r="Q565" s="3">
        <f>VLOOKUP(C565,layoffs_location!A:F,6,FALSE)</f>
        <v>37.779258800000001</v>
      </c>
      <c r="R565" s="3">
        <f>VLOOKUP(C565,layoffs_location!A:G,7,FALSE)</f>
        <v>-122.4193286</v>
      </c>
    </row>
    <row r="566" spans="1:18" x14ac:dyDescent="0.2">
      <c r="A566" s="3">
        <v>565</v>
      </c>
      <c r="B566" s="3" t="s">
        <v>884</v>
      </c>
      <c r="C566" s="3" t="s">
        <v>885</v>
      </c>
      <c r="D566" s="3" t="str">
        <f>VLOOKUP(C566,layoffs_location!A:B,2,FALSE)</f>
        <v>other</v>
      </c>
      <c r="E566" s="3" t="str">
        <f>VLOOKUP(C566,layoffs_location!A:C,3,FALSE)</f>
        <v>non</v>
      </c>
      <c r="F566" s="3" t="str">
        <f>VLOOKUP(C566,layoffs_location!A:D,4,FALSE)</f>
        <v>Senegal</v>
      </c>
      <c r="G566" s="3" t="str">
        <f>VLOOKUP(C566,layoffs_location!A:E,5,FALSE)</f>
        <v>Africa</v>
      </c>
      <c r="H566" s="3">
        <v>300</v>
      </c>
      <c r="I566" s="8">
        <v>44755</v>
      </c>
      <c r="J566" s="9">
        <v>15</v>
      </c>
      <c r="K566" s="10">
        <v>2000</v>
      </c>
      <c r="L566" s="10">
        <v>1700</v>
      </c>
      <c r="M566" s="3" t="s">
        <v>35</v>
      </c>
      <c r="N566" s="3" t="s">
        <v>69</v>
      </c>
      <c r="O566" s="34">
        <v>292</v>
      </c>
      <c r="P566" s="3">
        <v>2022</v>
      </c>
      <c r="Q566" s="3">
        <f>VLOOKUP(C566,layoffs_location!A:F,6,FALSE)</f>
        <v>14.693425</v>
      </c>
      <c r="R566" s="3">
        <f>VLOOKUP(C566,layoffs_location!A:G,7,FALSE)</f>
        <v>-17.447938000000001</v>
      </c>
    </row>
    <row r="567" spans="1:18" ht="16" x14ac:dyDescent="0.2">
      <c r="A567" s="3">
        <v>566</v>
      </c>
      <c r="B567" s="3" t="s">
        <v>883</v>
      </c>
      <c r="C567" s="11" t="s">
        <v>1370</v>
      </c>
      <c r="D567" s="3" t="str">
        <f>VLOOKUP(C567,layoffs_location!A:B,2,FALSE)</f>
        <v>San Francisco Bay Area</v>
      </c>
      <c r="E567" s="3" t="str">
        <f>VLOOKUP(C567,layoffs_location!A:C,3,FALSE)</f>
        <v>California</v>
      </c>
      <c r="F567" s="3" t="str">
        <f>VLOOKUP(C567,layoffs_location!A:D,4,FALSE)</f>
        <v>USA</v>
      </c>
      <c r="G567" s="3" t="str">
        <f>VLOOKUP(C567,layoffs_location!A:E,5,FALSE)</f>
        <v>North America</v>
      </c>
      <c r="H567" s="3">
        <v>39</v>
      </c>
      <c r="I567" s="8">
        <v>44756</v>
      </c>
      <c r="J567" s="9">
        <v>7</v>
      </c>
      <c r="K567" s="10">
        <v>557</v>
      </c>
      <c r="L567" s="10">
        <v>518</v>
      </c>
      <c r="M567" s="3" t="s">
        <v>137</v>
      </c>
      <c r="N567" s="3" t="s">
        <v>36</v>
      </c>
      <c r="O567" s="34">
        <v>240</v>
      </c>
      <c r="P567" s="3">
        <v>2022</v>
      </c>
      <c r="Q567" s="3">
        <f>VLOOKUP(C567,layoffs_location!A:F,6,FALSE)</f>
        <v>37.779258800000001</v>
      </c>
      <c r="R567" s="3">
        <f>VLOOKUP(C567,layoffs_location!A:G,7,FALSE)</f>
        <v>-122.4193286</v>
      </c>
    </row>
    <row r="568" spans="1:18" x14ac:dyDescent="0.2">
      <c r="A568" s="3">
        <v>567</v>
      </c>
      <c r="B568" s="3" t="s">
        <v>881</v>
      </c>
      <c r="C568" s="3" t="s">
        <v>154</v>
      </c>
      <c r="D568" s="3" t="str">
        <f>VLOOKUP(C568,layoffs_location!A:B,2,FALSE)</f>
        <v>other</v>
      </c>
      <c r="E568" s="3" t="str">
        <f>VLOOKUP(C568,layoffs_location!A:C,3,FALSE)</f>
        <v>Illinois</v>
      </c>
      <c r="F568" s="3" t="str">
        <f>VLOOKUP(C568,layoffs_location!A:D,4,FALSE)</f>
        <v>USA</v>
      </c>
      <c r="G568" s="3" t="str">
        <f>VLOOKUP(C568,layoffs_location!A:E,5,FALSE)</f>
        <v>North America</v>
      </c>
      <c r="H568" s="3">
        <v>54</v>
      </c>
      <c r="I568" s="8">
        <v>44756</v>
      </c>
      <c r="J568" s="9">
        <v>15</v>
      </c>
      <c r="K568" s="10">
        <v>360</v>
      </c>
      <c r="L568" s="10">
        <v>306</v>
      </c>
      <c r="M568" s="3" t="s">
        <v>84</v>
      </c>
      <c r="N568" s="3" t="s">
        <v>41</v>
      </c>
      <c r="O568" s="34">
        <v>115</v>
      </c>
      <c r="P568" s="3">
        <v>2022</v>
      </c>
      <c r="Q568" s="3">
        <f>VLOOKUP(C568,layoffs_location!A:F,6,FALSE)</f>
        <v>41.875561599999997</v>
      </c>
      <c r="R568" s="3">
        <f>VLOOKUP(C568,layoffs_location!A:G,7,FALSE)</f>
        <v>-87.6244212</v>
      </c>
    </row>
    <row r="569" spans="1:18" ht="16" x14ac:dyDescent="0.2">
      <c r="A569" s="3">
        <v>568</v>
      </c>
      <c r="B569" s="3" t="s">
        <v>882</v>
      </c>
      <c r="C569" s="11" t="s">
        <v>1370</v>
      </c>
      <c r="D569" s="3" t="str">
        <f>VLOOKUP(C569,layoffs_location!A:B,2,FALSE)</f>
        <v>San Francisco Bay Area</v>
      </c>
      <c r="E569" s="3" t="str">
        <f>VLOOKUP(C569,layoffs_location!A:C,3,FALSE)</f>
        <v>California</v>
      </c>
      <c r="F569" s="3" t="str">
        <f>VLOOKUP(C569,layoffs_location!A:D,4,FALSE)</f>
        <v>USA</v>
      </c>
      <c r="G569" s="3" t="str">
        <f>VLOOKUP(C569,layoffs_location!A:E,5,FALSE)</f>
        <v>North America</v>
      </c>
      <c r="H569" s="3">
        <v>42</v>
      </c>
      <c r="I569" s="8">
        <v>44756</v>
      </c>
      <c r="J569" s="9">
        <v>25</v>
      </c>
      <c r="K569" s="10">
        <v>168</v>
      </c>
      <c r="L569" s="10">
        <v>126</v>
      </c>
      <c r="M569" s="3" t="s">
        <v>117</v>
      </c>
      <c r="N569" s="3" t="s">
        <v>49</v>
      </c>
      <c r="O569" s="34">
        <v>7</v>
      </c>
      <c r="P569" s="3">
        <v>2022</v>
      </c>
      <c r="Q569" s="3">
        <f>VLOOKUP(C569,layoffs_location!A:F,6,FALSE)</f>
        <v>37.779258800000001</v>
      </c>
      <c r="R569" s="3">
        <f>VLOOKUP(C569,layoffs_location!A:G,7,FALSE)</f>
        <v>-122.4193286</v>
      </c>
    </row>
    <row r="570" spans="1:18" x14ac:dyDescent="0.2">
      <c r="A570" s="3">
        <v>569</v>
      </c>
      <c r="B570" s="3" t="s">
        <v>880</v>
      </c>
      <c r="C570" s="3" t="s">
        <v>58</v>
      </c>
      <c r="D570" s="3" t="str">
        <f>VLOOKUP(C570,layoffs_location!A:B,2,FALSE)</f>
        <v>other</v>
      </c>
      <c r="E570" s="3" t="str">
        <f>VLOOKUP(C570,layoffs_location!A:C,3,FALSE)</f>
        <v>England</v>
      </c>
      <c r="F570" s="3" t="str">
        <f>VLOOKUP(C570,layoffs_location!A:D,4,FALSE)</f>
        <v>UK</v>
      </c>
      <c r="G570" s="3" t="str">
        <f>VLOOKUP(C570,layoffs_location!A:E,5,FALSE)</f>
        <v>Europe</v>
      </c>
      <c r="H570" s="3">
        <v>85</v>
      </c>
      <c r="I570" s="8">
        <v>44756</v>
      </c>
      <c r="J570" s="9">
        <v>17</v>
      </c>
      <c r="K570" s="10">
        <v>500</v>
      </c>
      <c r="L570" s="10">
        <v>415</v>
      </c>
      <c r="M570" s="3" t="s">
        <v>35</v>
      </c>
      <c r="N570" s="3" t="s">
        <v>41</v>
      </c>
      <c r="O570" s="34">
        <v>202</v>
      </c>
      <c r="P570" s="3">
        <v>2022</v>
      </c>
      <c r="Q570" s="3">
        <f>VLOOKUP(C570,layoffs_location!A:F,6,FALSE)</f>
        <v>51.489333500000001</v>
      </c>
      <c r="R570" s="3">
        <f>VLOOKUP(C570,layoffs_location!A:G,7,FALSE)</f>
        <v>-0.14405508452768701</v>
      </c>
    </row>
    <row r="571" spans="1:18" x14ac:dyDescent="0.2">
      <c r="A571" s="3">
        <v>570</v>
      </c>
      <c r="B571" s="3" t="s">
        <v>878</v>
      </c>
      <c r="C571" s="3" t="s">
        <v>13</v>
      </c>
      <c r="D571" s="3" t="str">
        <f>VLOOKUP(C571,layoffs_location!A:B,2,FALSE)</f>
        <v>other</v>
      </c>
      <c r="E571" s="3" t="str">
        <f>VLOOKUP(C571,layoffs_location!A:C,3,FALSE)</f>
        <v>Karnataka</v>
      </c>
      <c r="F571" s="3" t="str">
        <f>VLOOKUP(C571,layoffs_location!A:D,4,FALSE)</f>
        <v>India</v>
      </c>
      <c r="G571" s="3" t="str">
        <f>VLOOKUP(C571,layoffs_location!A:E,5,FALSE)</f>
        <v>Asia</v>
      </c>
      <c r="H571" s="3">
        <v>100</v>
      </c>
      <c r="I571" s="8">
        <v>44757</v>
      </c>
      <c r="J571" s="9">
        <v>50</v>
      </c>
      <c r="K571" s="10">
        <v>200</v>
      </c>
      <c r="L571" s="10">
        <v>100</v>
      </c>
      <c r="M571" s="3" t="s">
        <v>35</v>
      </c>
      <c r="N571" s="3" t="s">
        <v>69</v>
      </c>
      <c r="O571" s="34">
        <v>31</v>
      </c>
      <c r="P571" s="3">
        <v>2022</v>
      </c>
      <c r="Q571" s="3">
        <f>VLOOKUP(C571,layoffs_location!A:F,6,FALSE)</f>
        <v>12.98815675</v>
      </c>
      <c r="R571" s="3">
        <f>VLOOKUP(C571,layoffs_location!A:G,7,FALSE)</f>
        <v>77.622600037959998</v>
      </c>
    </row>
    <row r="572" spans="1:18" x14ac:dyDescent="0.2">
      <c r="A572" s="3">
        <v>571</v>
      </c>
      <c r="B572" s="3" t="s">
        <v>879</v>
      </c>
      <c r="C572" s="3" t="s">
        <v>58</v>
      </c>
      <c r="D572" s="3" t="str">
        <f>VLOOKUP(C572,layoffs_location!A:B,2,FALSE)</f>
        <v>other</v>
      </c>
      <c r="E572" s="3" t="str">
        <f>VLOOKUP(C572,layoffs_location!A:C,3,FALSE)</f>
        <v>England</v>
      </c>
      <c r="F572" s="3" t="str">
        <f>VLOOKUP(C572,layoffs_location!A:D,4,FALSE)</f>
        <v>UK</v>
      </c>
      <c r="G572" s="3" t="str">
        <f>VLOOKUP(C572,layoffs_location!A:E,5,FALSE)</f>
        <v>Europe</v>
      </c>
      <c r="H572" s="3">
        <v>24</v>
      </c>
      <c r="I572" s="8">
        <v>44757</v>
      </c>
      <c r="J572" s="9">
        <v>20</v>
      </c>
      <c r="K572" s="10">
        <v>120</v>
      </c>
      <c r="L572" s="10">
        <v>96</v>
      </c>
      <c r="M572" s="3" t="s">
        <v>30</v>
      </c>
      <c r="N572" s="3" t="s">
        <v>22</v>
      </c>
      <c r="O572" s="34">
        <v>265</v>
      </c>
      <c r="P572" s="3">
        <v>2022</v>
      </c>
      <c r="Q572" s="3">
        <f>VLOOKUP(C572,layoffs_location!A:F,6,FALSE)</f>
        <v>51.489333500000001</v>
      </c>
      <c r="R572" s="3">
        <f>VLOOKUP(C572,layoffs_location!A:G,7,FALSE)</f>
        <v>-0.14405508452768701</v>
      </c>
    </row>
    <row r="573" spans="1:18" x14ac:dyDescent="0.2">
      <c r="A573" s="3">
        <v>572</v>
      </c>
      <c r="B573" s="3" t="s">
        <v>280</v>
      </c>
      <c r="C573" s="3" t="s">
        <v>154</v>
      </c>
      <c r="D573" s="3" t="str">
        <f>VLOOKUP(C573,layoffs_location!A:B,2,FALSE)</f>
        <v>other</v>
      </c>
      <c r="E573" s="3" t="str">
        <f>VLOOKUP(C573,layoffs_location!A:C,3,FALSE)</f>
        <v>Illinois</v>
      </c>
      <c r="F573" s="3" t="str">
        <f>VLOOKUP(C573,layoffs_location!A:D,4,FALSE)</f>
        <v>USA</v>
      </c>
      <c r="G573" s="3" t="str">
        <f>VLOOKUP(C573,layoffs_location!A:E,5,FALSE)</f>
        <v>North America</v>
      </c>
      <c r="H573" s="3">
        <v>63</v>
      </c>
      <c r="I573" s="8">
        <v>44757</v>
      </c>
      <c r="J573" s="9">
        <v>5</v>
      </c>
      <c r="K573" s="10">
        <v>1260</v>
      </c>
      <c r="L573" s="10">
        <v>1197</v>
      </c>
      <c r="M573" s="3" t="s">
        <v>90</v>
      </c>
      <c r="N573" s="3" t="s">
        <v>22</v>
      </c>
      <c r="O573" s="34">
        <v>817</v>
      </c>
      <c r="P573" s="3">
        <v>2022</v>
      </c>
      <c r="Q573" s="3">
        <f>VLOOKUP(C573,layoffs_location!A:F,6,FALSE)</f>
        <v>41.875561599999997</v>
      </c>
      <c r="R573" s="3">
        <f>VLOOKUP(C573,layoffs_location!A:G,7,FALSE)</f>
        <v>-87.6244212</v>
      </c>
    </row>
    <row r="574" spans="1:18" x14ac:dyDescent="0.2">
      <c r="A574" s="3">
        <v>573</v>
      </c>
      <c r="B574" s="3" t="s">
        <v>876</v>
      </c>
      <c r="C574" s="3" t="s">
        <v>39</v>
      </c>
      <c r="D574" s="3" t="str">
        <f>VLOOKUP(C574,layoffs_location!A:B,2,FALSE)</f>
        <v>New York</v>
      </c>
      <c r="E574" s="3" t="str">
        <f>VLOOKUP(C574,layoffs_location!A:C,3,FALSE)</f>
        <v>New York</v>
      </c>
      <c r="F574" s="3" t="str">
        <f>VLOOKUP(C574,layoffs_location!A:D,4,FALSE)</f>
        <v>USA</v>
      </c>
      <c r="G574" s="3" t="str">
        <f>VLOOKUP(C574,layoffs_location!A:E,5,FALSE)</f>
        <v>North America</v>
      </c>
      <c r="H574" s="3">
        <v>68</v>
      </c>
      <c r="I574" s="8">
        <v>44760</v>
      </c>
      <c r="J574" s="9">
        <v>7</v>
      </c>
      <c r="K574" s="10">
        <v>971</v>
      </c>
      <c r="L574" s="10">
        <v>903</v>
      </c>
      <c r="M574" s="3" t="s">
        <v>117</v>
      </c>
      <c r="N574" s="3" t="s">
        <v>22</v>
      </c>
      <c r="O574" s="34">
        <v>423</v>
      </c>
      <c r="P574" s="3">
        <v>2022</v>
      </c>
      <c r="Q574" s="3">
        <f>VLOOKUP(C574,layoffs_location!A:F,6,FALSE)</f>
        <v>40.7127281</v>
      </c>
      <c r="R574" s="3">
        <f>VLOOKUP(C574,layoffs_location!A:G,7,FALSE)</f>
        <v>-74.006015199999993</v>
      </c>
    </row>
    <row r="575" spans="1:18" x14ac:dyDescent="0.2">
      <c r="A575" s="3">
        <v>574</v>
      </c>
      <c r="B575" s="3" t="s">
        <v>877</v>
      </c>
      <c r="C575" s="3" t="s">
        <v>39</v>
      </c>
      <c r="D575" s="3" t="str">
        <f>VLOOKUP(C575,layoffs_location!A:B,2,FALSE)</f>
        <v>New York</v>
      </c>
      <c r="E575" s="3" t="str">
        <f>VLOOKUP(C575,layoffs_location!A:C,3,FALSE)</f>
        <v>New York</v>
      </c>
      <c r="F575" s="3" t="str">
        <f>VLOOKUP(C575,layoffs_location!A:D,4,FALSE)</f>
        <v>USA</v>
      </c>
      <c r="G575" s="3" t="str">
        <f>VLOOKUP(C575,layoffs_location!A:E,5,FALSE)</f>
        <v>North America</v>
      </c>
      <c r="H575" s="3">
        <v>30</v>
      </c>
      <c r="I575" s="8">
        <v>44760</v>
      </c>
      <c r="J575" s="9">
        <v>10</v>
      </c>
      <c r="K575" s="10">
        <v>300</v>
      </c>
      <c r="L575" s="10">
        <v>270</v>
      </c>
      <c r="M575" s="3" t="s">
        <v>130</v>
      </c>
      <c r="N575" s="3" t="s">
        <v>49</v>
      </c>
      <c r="O575" s="34">
        <v>245</v>
      </c>
      <c r="P575" s="3">
        <v>2022</v>
      </c>
      <c r="Q575" s="3">
        <f>VLOOKUP(C575,layoffs_location!A:F,6,FALSE)</f>
        <v>40.7127281</v>
      </c>
      <c r="R575" s="3">
        <f>VLOOKUP(C575,layoffs_location!A:G,7,FALSE)</f>
        <v>-74.006015199999993</v>
      </c>
    </row>
    <row r="576" spans="1:18" x14ac:dyDescent="0.2">
      <c r="A576" s="3">
        <v>575</v>
      </c>
      <c r="B576" s="3" t="s">
        <v>451</v>
      </c>
      <c r="C576" s="39" t="s">
        <v>452</v>
      </c>
      <c r="D576" s="3" t="str">
        <f>VLOOKUP(C576,layoffs_location!A:B,2,FALSE)</f>
        <v>other</v>
      </c>
      <c r="E576" s="3" t="str">
        <f>VLOOKUP(C576,layoffs_location!A:C,3,FALSE)</f>
        <v>Ohio</v>
      </c>
      <c r="F576" s="3" t="str">
        <f>VLOOKUP(C576,layoffs_location!A:D,4,FALSE)</f>
        <v>USA</v>
      </c>
      <c r="G576" s="3" t="str">
        <f>VLOOKUP(C576,layoffs_location!A:E,5,FALSE)</f>
        <v>North America</v>
      </c>
      <c r="H576" s="3">
        <v>450</v>
      </c>
      <c r="I576" s="8">
        <v>44761</v>
      </c>
      <c r="J576" s="9">
        <v>31</v>
      </c>
      <c r="K576" s="10">
        <v>1452</v>
      </c>
      <c r="L576" s="10">
        <v>1002</v>
      </c>
      <c r="M576" s="3" t="s">
        <v>21</v>
      </c>
      <c r="N576" s="3" t="s">
        <v>17</v>
      </c>
      <c r="O576" s="34">
        <v>856</v>
      </c>
      <c r="P576" s="3">
        <v>2022</v>
      </c>
      <c r="Q576" s="3">
        <f>VLOOKUP(C576,layoffs_location!A:F,6,FALSE)</f>
        <v>39.962260100000002</v>
      </c>
      <c r="R576" s="3">
        <f>VLOOKUP(C576,layoffs_location!A:G,7,FALSE)</f>
        <v>-83.000706500000007</v>
      </c>
    </row>
    <row r="577" spans="1:18" x14ac:dyDescent="0.2">
      <c r="A577" s="3">
        <v>576</v>
      </c>
      <c r="B577" s="3" t="s">
        <v>700</v>
      </c>
      <c r="C577" s="3" t="s">
        <v>43</v>
      </c>
      <c r="D577" s="3" t="str">
        <f>VLOOKUP(C577,layoffs_location!A:B,2,FALSE)</f>
        <v>Cascadia</v>
      </c>
      <c r="E577" s="3" t="str">
        <f>VLOOKUP(C577,layoffs_location!A:C,3,FALSE)</f>
        <v>Washington</v>
      </c>
      <c r="F577" s="3" t="str">
        <f>VLOOKUP(C577,layoffs_location!A:D,4,FALSE)</f>
        <v>USA</v>
      </c>
      <c r="G577" s="3" t="str">
        <f>VLOOKUP(C577,layoffs_location!A:E,5,FALSE)</f>
        <v>North America</v>
      </c>
      <c r="H577" s="3">
        <v>200</v>
      </c>
      <c r="I577" s="8">
        <v>44762</v>
      </c>
      <c r="J577" s="9">
        <v>20</v>
      </c>
      <c r="K577" s="10">
        <v>1000</v>
      </c>
      <c r="L577" s="10">
        <v>800</v>
      </c>
      <c r="M577" s="3" t="s">
        <v>137</v>
      </c>
      <c r="N577" s="3" t="s">
        <v>41</v>
      </c>
      <c r="O577" s="34">
        <v>310</v>
      </c>
      <c r="P577" s="3">
        <v>2022</v>
      </c>
      <c r="Q577" s="3">
        <f>VLOOKUP(C577,layoffs_location!A:F,6,FALSE)</f>
        <v>47.603832099999998</v>
      </c>
      <c r="R577" s="3">
        <f>VLOOKUP(C577,layoffs_location!A:G,7,FALSE)</f>
        <v>-122.330062</v>
      </c>
    </row>
    <row r="578" spans="1:18" x14ac:dyDescent="0.2">
      <c r="A578" s="3">
        <v>577</v>
      </c>
      <c r="B578" s="3" t="s">
        <v>875</v>
      </c>
      <c r="C578" s="3" t="s">
        <v>179</v>
      </c>
      <c r="D578" s="3" t="str">
        <f>VLOOKUP(C578,layoffs_location!A:B,2,FALSE)</f>
        <v>other</v>
      </c>
      <c r="E578" s="3" t="str">
        <f>VLOOKUP(C578,layoffs_location!A:C,3,FALSE)</f>
        <v>Ontario</v>
      </c>
      <c r="F578" s="3" t="str">
        <f>VLOOKUP(C578,layoffs_location!A:D,4,FALSE)</f>
        <v>Canada</v>
      </c>
      <c r="G578" s="3" t="str">
        <f>VLOOKUP(C578,layoffs_location!A:E,5,FALSE)</f>
        <v>North America</v>
      </c>
      <c r="H578" s="3">
        <v>15</v>
      </c>
      <c r="I578" s="8">
        <v>44762</v>
      </c>
      <c r="J578" s="9">
        <v>9</v>
      </c>
      <c r="K578" s="10">
        <v>167</v>
      </c>
      <c r="L578" s="10">
        <v>152</v>
      </c>
      <c r="M578" s="3" t="s">
        <v>92</v>
      </c>
      <c r="N578" s="3" t="s">
        <v>49</v>
      </c>
      <c r="O578" s="34">
        <v>58</v>
      </c>
      <c r="P578" s="3">
        <v>2022</v>
      </c>
      <c r="Q578" s="3">
        <f>VLOOKUP(C578,layoffs_location!A:F,6,FALSE)</f>
        <v>43.6534817</v>
      </c>
      <c r="R578" s="3">
        <f>VLOOKUP(C578,layoffs_location!A:G,7,FALSE)</f>
        <v>-79.383934699999998</v>
      </c>
    </row>
    <row r="579" spans="1:18" x14ac:dyDescent="0.2">
      <c r="A579" s="3">
        <v>578</v>
      </c>
      <c r="B579" s="3" t="s">
        <v>872</v>
      </c>
      <c r="C579" s="3" t="s">
        <v>873</v>
      </c>
      <c r="D579" s="3" t="str">
        <f>VLOOKUP(C579,layoffs_location!A:B,2,FALSE)</f>
        <v>other</v>
      </c>
      <c r="E579" s="3" t="str">
        <f>VLOOKUP(C579,layoffs_location!A:C,3,FALSE)</f>
        <v>New Brunswick</v>
      </c>
      <c r="F579" s="3" t="str">
        <f>VLOOKUP(C579,layoffs_location!A:D,4,FALSE)</f>
        <v>Canada</v>
      </c>
      <c r="G579" s="3" t="str">
        <f>VLOOKUP(C579,layoffs_location!A:E,5,FALSE)</f>
        <v>North America</v>
      </c>
      <c r="H579" s="3">
        <v>57</v>
      </c>
      <c r="I579" s="8">
        <v>44762</v>
      </c>
      <c r="J579" s="9">
        <v>16</v>
      </c>
      <c r="K579" s="10">
        <v>356</v>
      </c>
      <c r="L579" s="10">
        <v>299</v>
      </c>
      <c r="M579" s="3" t="s">
        <v>92</v>
      </c>
      <c r="N579" s="3" t="s">
        <v>41</v>
      </c>
      <c r="O579" s="34">
        <v>125</v>
      </c>
      <c r="P579" s="3">
        <v>2022</v>
      </c>
      <c r="Q579" s="3">
        <f>VLOOKUP(C579,layoffs_location!A:F,6,FALSE)</f>
        <v>45.964993</v>
      </c>
      <c r="R579" s="3">
        <f>VLOOKUP(C579,layoffs_location!A:G,7,FALSE)</f>
        <v>-66.646332000000001</v>
      </c>
    </row>
    <row r="580" spans="1:18" ht="16" x14ac:dyDescent="0.2">
      <c r="A580" s="3">
        <v>579</v>
      </c>
      <c r="B580" s="3" t="s">
        <v>328</v>
      </c>
      <c r="C580" s="41" t="s">
        <v>1370</v>
      </c>
      <c r="D580" s="3" t="str">
        <f>VLOOKUP(C580,layoffs_location!A:B,2,FALSE)</f>
        <v>San Francisco Bay Area</v>
      </c>
      <c r="E580" s="3" t="str">
        <f>VLOOKUP(C580,layoffs_location!A:C,3,FALSE)</f>
        <v>California</v>
      </c>
      <c r="F580" s="3" t="str">
        <f>VLOOKUP(C580,layoffs_location!A:D,4,FALSE)</f>
        <v>USA</v>
      </c>
      <c r="G580" s="3" t="str">
        <f>VLOOKUP(C580,layoffs_location!A:E,5,FALSE)</f>
        <v>North America</v>
      </c>
      <c r="H580" s="3">
        <v>60</v>
      </c>
      <c r="I580" s="8">
        <v>44762</v>
      </c>
      <c r="J580" s="9">
        <v>2</v>
      </c>
      <c r="K580" s="10">
        <v>3000</v>
      </c>
      <c r="L580" s="10">
        <v>2940</v>
      </c>
      <c r="M580" s="3" t="s">
        <v>32</v>
      </c>
      <c r="N580" s="3" t="s">
        <v>28</v>
      </c>
      <c r="O580" s="34">
        <v>4900</v>
      </c>
      <c r="P580" s="3">
        <v>2022</v>
      </c>
      <c r="Q580" s="3">
        <f>VLOOKUP(C580,layoffs_location!A:F,6,FALSE)</f>
        <v>37.779258800000001</v>
      </c>
      <c r="R580" s="3">
        <f>VLOOKUP(C580,layoffs_location!A:G,7,FALSE)</f>
        <v>-122.4193286</v>
      </c>
    </row>
    <row r="581" spans="1:18" x14ac:dyDescent="0.2">
      <c r="A581" s="3">
        <v>580</v>
      </c>
      <c r="B581" s="3" t="s">
        <v>874</v>
      </c>
      <c r="C581" s="3" t="s">
        <v>47</v>
      </c>
      <c r="D581" s="3" t="str">
        <f>VLOOKUP(C581,layoffs_location!A:B,2,FALSE)</f>
        <v>other</v>
      </c>
      <c r="E581" s="3" t="str">
        <f>VLOOKUP(C581,layoffs_location!A:C,3,FALSE)</f>
        <v>non</v>
      </c>
      <c r="F581" s="3" t="str">
        <f>VLOOKUP(C581,layoffs_location!A:D,4,FALSE)</f>
        <v>Israel</v>
      </c>
      <c r="G581" s="3" t="str">
        <f>VLOOKUP(C581,layoffs_location!A:E,5,FALSE)</f>
        <v>Asia</v>
      </c>
      <c r="H581" s="3">
        <v>30</v>
      </c>
      <c r="I581" s="8">
        <v>44762</v>
      </c>
      <c r="J581" s="9">
        <v>20</v>
      </c>
      <c r="K581" s="10">
        <v>150</v>
      </c>
      <c r="L581" s="10">
        <v>120</v>
      </c>
      <c r="M581" s="3" t="s">
        <v>60</v>
      </c>
      <c r="N581" s="3" t="s">
        <v>22</v>
      </c>
      <c r="O581" s="34">
        <v>51</v>
      </c>
      <c r="P581" s="3">
        <v>2022</v>
      </c>
      <c r="Q581" s="3">
        <f>VLOOKUP(C581,layoffs_location!A:F,6,FALSE)</f>
        <v>32.0852997</v>
      </c>
      <c r="R581" s="3">
        <f>VLOOKUP(C581,layoffs_location!A:G,7,FALSE)</f>
        <v>34.781806400000001</v>
      </c>
    </row>
    <row r="582" spans="1:18" x14ac:dyDescent="0.2">
      <c r="A582" s="3">
        <v>581</v>
      </c>
      <c r="B582" s="3" t="s">
        <v>550</v>
      </c>
      <c r="C582" s="3" t="s">
        <v>58</v>
      </c>
      <c r="D582" s="3" t="str">
        <f>VLOOKUP(C582,layoffs_location!A:B,2,FALSE)</f>
        <v>other</v>
      </c>
      <c r="E582" s="3" t="str">
        <f>VLOOKUP(C582,layoffs_location!A:C,3,FALSE)</f>
        <v>England</v>
      </c>
      <c r="F582" s="3" t="str">
        <f>VLOOKUP(C582,layoffs_location!A:D,4,FALSE)</f>
        <v>UK</v>
      </c>
      <c r="G582" s="3" t="str">
        <f>VLOOKUP(C582,layoffs_location!A:E,5,FALSE)</f>
        <v>Europe</v>
      </c>
      <c r="H582" s="3">
        <v>150</v>
      </c>
      <c r="I582" s="8">
        <v>44763</v>
      </c>
      <c r="J582" s="9">
        <v>25</v>
      </c>
      <c r="K582" s="10">
        <v>600</v>
      </c>
      <c r="L582" s="10">
        <v>450</v>
      </c>
      <c r="M582" s="3" t="s">
        <v>117</v>
      </c>
      <c r="N582" s="3" t="s">
        <v>108</v>
      </c>
      <c r="O582" s="34">
        <v>490</v>
      </c>
      <c r="P582" s="3">
        <v>2022</v>
      </c>
      <c r="Q582" s="3">
        <f>VLOOKUP(C582,layoffs_location!A:F,6,FALSE)</f>
        <v>51.489333500000001</v>
      </c>
      <c r="R582" s="3">
        <f>VLOOKUP(C582,layoffs_location!A:G,7,FALSE)</f>
        <v>-0.14405508452768701</v>
      </c>
    </row>
    <row r="583" spans="1:18" x14ac:dyDescent="0.2">
      <c r="A583" s="3">
        <v>582</v>
      </c>
      <c r="B583" s="3" t="s">
        <v>870</v>
      </c>
      <c r="C583" s="3" t="s">
        <v>39</v>
      </c>
      <c r="D583" s="3" t="str">
        <f>VLOOKUP(C583,layoffs_location!A:B,2,FALSE)</f>
        <v>New York</v>
      </c>
      <c r="E583" s="3" t="str">
        <f>VLOOKUP(C583,layoffs_location!A:C,3,FALSE)</f>
        <v>New York</v>
      </c>
      <c r="F583" s="3" t="str">
        <f>VLOOKUP(C583,layoffs_location!A:D,4,FALSE)</f>
        <v>USA</v>
      </c>
      <c r="G583" s="3" t="str">
        <f>VLOOKUP(C583,layoffs_location!A:E,5,FALSE)</f>
        <v>North America</v>
      </c>
      <c r="H583" s="3">
        <v>60</v>
      </c>
      <c r="I583" s="8">
        <v>44763</v>
      </c>
      <c r="J583" s="9">
        <v>33</v>
      </c>
      <c r="K583" s="10">
        <v>182</v>
      </c>
      <c r="L583" s="10">
        <v>122</v>
      </c>
      <c r="M583" s="3" t="s">
        <v>77</v>
      </c>
      <c r="N583" s="3" t="s">
        <v>49</v>
      </c>
      <c r="O583" s="34">
        <v>72</v>
      </c>
      <c r="P583" s="3">
        <v>2022</v>
      </c>
      <c r="Q583" s="3">
        <f>VLOOKUP(C583,layoffs_location!A:F,6,FALSE)</f>
        <v>40.7127281</v>
      </c>
      <c r="R583" s="3">
        <f>VLOOKUP(C583,layoffs_location!A:G,7,FALSE)</f>
        <v>-74.006015199999993</v>
      </c>
    </row>
    <row r="584" spans="1:18" x14ac:dyDescent="0.2">
      <c r="A584" s="3">
        <v>583</v>
      </c>
      <c r="B584" s="3" t="s">
        <v>869</v>
      </c>
      <c r="C584" s="3" t="s">
        <v>43</v>
      </c>
      <c r="D584" s="3" t="str">
        <f>VLOOKUP(C584,layoffs_location!A:B,2,FALSE)</f>
        <v>Cascadia</v>
      </c>
      <c r="E584" s="3" t="str">
        <f>VLOOKUP(C584,layoffs_location!A:C,3,FALSE)</f>
        <v>Washington</v>
      </c>
      <c r="F584" s="3" t="str">
        <f>VLOOKUP(C584,layoffs_location!A:D,4,FALSE)</f>
        <v>USA</v>
      </c>
      <c r="G584" s="3" t="str">
        <f>VLOOKUP(C584,layoffs_location!A:E,5,FALSE)</f>
        <v>North America</v>
      </c>
      <c r="H584" s="3">
        <v>63</v>
      </c>
      <c r="I584" s="8">
        <v>44763</v>
      </c>
      <c r="J584" s="9">
        <v>10</v>
      </c>
      <c r="K584" s="10">
        <v>630</v>
      </c>
      <c r="L584" s="10">
        <v>567</v>
      </c>
      <c r="M584" s="3" t="s">
        <v>32</v>
      </c>
      <c r="N584" s="3" t="s">
        <v>108</v>
      </c>
      <c r="O584" s="34">
        <v>329</v>
      </c>
      <c r="P584" s="3">
        <v>2022</v>
      </c>
      <c r="Q584" s="3">
        <f>VLOOKUP(C584,layoffs_location!A:F,6,FALSE)</f>
        <v>47.603832099999998</v>
      </c>
      <c r="R584" s="3">
        <f>VLOOKUP(C584,layoffs_location!A:G,7,FALSE)</f>
        <v>-122.330062</v>
      </c>
    </row>
    <row r="585" spans="1:18" x14ac:dyDescent="0.2">
      <c r="A585" s="3">
        <v>584</v>
      </c>
      <c r="B585" s="3" t="s">
        <v>871</v>
      </c>
      <c r="C585" s="39" t="s">
        <v>43</v>
      </c>
      <c r="D585" s="3" t="str">
        <f>VLOOKUP(C585,layoffs_location!A:B,2,FALSE)</f>
        <v>Cascadia</v>
      </c>
      <c r="E585" s="3" t="str">
        <f>VLOOKUP(C585,layoffs_location!A:C,3,FALSE)</f>
        <v>Washington</v>
      </c>
      <c r="F585" s="3" t="str">
        <f>VLOOKUP(C585,layoffs_location!A:D,4,FALSE)</f>
        <v>USA</v>
      </c>
      <c r="G585" s="3" t="str">
        <f>VLOOKUP(C585,layoffs_location!A:E,5,FALSE)</f>
        <v>North America</v>
      </c>
      <c r="H585" s="3">
        <v>11</v>
      </c>
      <c r="I585" s="8">
        <v>44763</v>
      </c>
      <c r="J585" s="9">
        <v>5</v>
      </c>
      <c r="K585" s="10">
        <v>220</v>
      </c>
      <c r="L585" s="10">
        <v>209</v>
      </c>
      <c r="M585" s="3" t="s">
        <v>21</v>
      </c>
      <c r="N585" s="3" t="s">
        <v>49</v>
      </c>
      <c r="O585" s="34">
        <v>42</v>
      </c>
      <c r="P585" s="3">
        <v>2022</v>
      </c>
      <c r="Q585" s="3">
        <f>VLOOKUP(C585,layoffs_location!A:F,6,FALSE)</f>
        <v>47.603832099999998</v>
      </c>
      <c r="R585" s="3">
        <f>VLOOKUP(C585,layoffs_location!A:G,7,FALSE)</f>
        <v>-122.330062</v>
      </c>
    </row>
    <row r="586" spans="1:18" x14ac:dyDescent="0.2">
      <c r="A586" s="3">
        <v>585</v>
      </c>
      <c r="B586" s="3" t="s">
        <v>868</v>
      </c>
      <c r="C586" s="3" t="s">
        <v>71</v>
      </c>
      <c r="D586" s="3" t="str">
        <f>VLOOKUP(C586,layoffs_location!A:B,2,FALSE)</f>
        <v>other</v>
      </c>
      <c r="E586" s="3" t="str">
        <f>VLOOKUP(C586,layoffs_location!A:C,3,FALSE)</f>
        <v>Massachusetts</v>
      </c>
      <c r="F586" s="3" t="str">
        <f>VLOOKUP(C586,layoffs_location!A:D,4,FALSE)</f>
        <v>USA</v>
      </c>
      <c r="G586" s="3" t="str">
        <f>VLOOKUP(C586,layoffs_location!A:E,5,FALSE)</f>
        <v>North America</v>
      </c>
      <c r="H586" s="3">
        <v>95</v>
      </c>
      <c r="I586" s="8">
        <v>44763</v>
      </c>
      <c r="J586" s="9">
        <v>15</v>
      </c>
      <c r="K586" s="10">
        <v>633</v>
      </c>
      <c r="L586" s="10">
        <v>538</v>
      </c>
      <c r="M586" s="3" t="s">
        <v>399</v>
      </c>
      <c r="N586" s="3" t="s">
        <v>63</v>
      </c>
      <c r="O586" s="34">
        <v>404</v>
      </c>
      <c r="P586" s="3">
        <v>2022</v>
      </c>
      <c r="Q586" s="3">
        <f>VLOOKUP(C586,layoffs_location!A:F,6,FALSE)</f>
        <v>42.355433400000003</v>
      </c>
      <c r="R586" s="3">
        <f>VLOOKUP(C586,layoffs_location!A:G,7,FALSE)</f>
        <v>-71.060511000000005</v>
      </c>
    </row>
    <row r="587" spans="1:18" x14ac:dyDescent="0.2">
      <c r="A587" s="3">
        <v>586</v>
      </c>
      <c r="B587" s="3" t="s">
        <v>867</v>
      </c>
      <c r="C587" s="3" t="s">
        <v>1370</v>
      </c>
      <c r="D587" s="3" t="str">
        <f>VLOOKUP(C587,layoffs_location!A:B,2,FALSE)</f>
        <v>San Francisco Bay Area</v>
      </c>
      <c r="E587" s="3" t="str">
        <f>VLOOKUP(C587,layoffs_location!A:C,3,FALSE)</f>
        <v>California</v>
      </c>
      <c r="F587" s="3" t="str">
        <f>VLOOKUP(C587,layoffs_location!A:D,4,FALSE)</f>
        <v>USA</v>
      </c>
      <c r="G587" s="3" t="str">
        <f>VLOOKUP(C587,layoffs_location!A:E,5,FALSE)</f>
        <v>North America</v>
      </c>
      <c r="H587" s="3">
        <v>15</v>
      </c>
      <c r="I587" s="8">
        <v>44764</v>
      </c>
      <c r="J587" s="9">
        <v>5</v>
      </c>
      <c r="K587" s="10">
        <v>300</v>
      </c>
      <c r="L587" s="10">
        <v>285</v>
      </c>
      <c r="M587" s="3" t="s">
        <v>21</v>
      </c>
      <c r="N587" s="3" t="s">
        <v>108</v>
      </c>
      <c r="O587" s="34">
        <v>328</v>
      </c>
      <c r="P587" s="3">
        <v>2022</v>
      </c>
      <c r="Q587" s="3">
        <f>VLOOKUP(C587,layoffs_location!A:F,6,FALSE)</f>
        <v>37.779258800000001</v>
      </c>
      <c r="R587" s="3">
        <f>VLOOKUP(C587,layoffs_location!A:G,7,FALSE)</f>
        <v>-122.4193286</v>
      </c>
    </row>
    <row r="588" spans="1:18" x14ac:dyDescent="0.2">
      <c r="A588" s="3">
        <v>587</v>
      </c>
      <c r="B588" s="3" t="s">
        <v>865</v>
      </c>
      <c r="C588" s="3" t="s">
        <v>231</v>
      </c>
      <c r="D588" s="3" t="str">
        <f>VLOOKUP(C588,layoffs_location!A:B,2,FALSE)</f>
        <v>other</v>
      </c>
      <c r="E588" s="3" t="str">
        <f>VLOOKUP(C588,layoffs_location!A:C,3,FALSE)</f>
        <v>New South Wales</v>
      </c>
      <c r="F588" s="3" t="str">
        <f>VLOOKUP(C588,layoffs_location!A:D,4,FALSE)</f>
        <v>Australia</v>
      </c>
      <c r="G588" s="3" t="str">
        <f>VLOOKUP(C588,layoffs_location!A:E,5,FALSE)</f>
        <v>Oceana</v>
      </c>
      <c r="H588" s="3">
        <v>50</v>
      </c>
      <c r="I588" s="8">
        <v>44764</v>
      </c>
      <c r="J588" s="9">
        <v>20</v>
      </c>
      <c r="K588" s="10">
        <v>250</v>
      </c>
      <c r="L588" s="10">
        <v>200</v>
      </c>
      <c r="M588" s="3" t="s">
        <v>21</v>
      </c>
      <c r="N588" s="3" t="s">
        <v>41</v>
      </c>
      <c r="O588" s="34">
        <v>69</v>
      </c>
      <c r="P588" s="3">
        <v>2022</v>
      </c>
      <c r="Q588" s="3">
        <f>VLOOKUP(C588,layoffs_location!A:F,6,FALSE)</f>
        <v>-33.869843899999999</v>
      </c>
      <c r="R588" s="3">
        <f>VLOOKUP(C588,layoffs_location!A:G,7,FALSE)</f>
        <v>151.2082848</v>
      </c>
    </row>
    <row r="589" spans="1:18" x14ac:dyDescent="0.2">
      <c r="A589" s="3">
        <v>588</v>
      </c>
      <c r="B589" s="3" t="s">
        <v>866</v>
      </c>
      <c r="C589" s="3" t="s">
        <v>187</v>
      </c>
      <c r="D589" s="3" t="str">
        <f>VLOOKUP(C589,layoffs_location!A:B,2,FALSE)</f>
        <v>other</v>
      </c>
      <c r="E589" s="3" t="str">
        <f>VLOOKUP(C589,layoffs_location!A:C,3,FALSE)</f>
        <v>State of São Paulo</v>
      </c>
      <c r="F589" s="3" t="str">
        <f>VLOOKUP(C589,layoffs_location!A:D,4,FALSE)</f>
        <v>Brazil</v>
      </c>
      <c r="G589" s="3" t="str">
        <f>VLOOKUP(C589,layoffs_location!A:E,5,FALSE)</f>
        <v>South America</v>
      </c>
      <c r="H589" s="3">
        <v>28</v>
      </c>
      <c r="I589" s="8">
        <v>44764</v>
      </c>
      <c r="J589" s="9">
        <v>22</v>
      </c>
      <c r="K589" s="10">
        <v>127</v>
      </c>
      <c r="L589" s="10">
        <v>99</v>
      </c>
      <c r="M589" s="3" t="s">
        <v>35</v>
      </c>
      <c r="N589" s="3" t="s">
        <v>69</v>
      </c>
      <c r="O589" s="34">
        <v>15</v>
      </c>
      <c r="P589" s="3">
        <v>2022</v>
      </c>
      <c r="Q589" s="3">
        <f>VLOOKUP(C589,layoffs_location!A:F,6,FALSE)</f>
        <v>-23.550650699999998</v>
      </c>
      <c r="R589" s="3">
        <f>VLOOKUP(C589,layoffs_location!A:G,7,FALSE)</f>
        <v>-46.633382400000002</v>
      </c>
    </row>
    <row r="590" spans="1:18" x14ac:dyDescent="0.2">
      <c r="A590" s="3">
        <v>589</v>
      </c>
      <c r="B590" s="3" t="s">
        <v>864</v>
      </c>
      <c r="C590" s="3" t="s">
        <v>47</v>
      </c>
      <c r="D590" s="3" t="str">
        <f>VLOOKUP(C590,layoffs_location!A:B,2,FALSE)</f>
        <v>other</v>
      </c>
      <c r="E590" s="3" t="str">
        <f>VLOOKUP(C590,layoffs_location!A:C,3,FALSE)</f>
        <v>non</v>
      </c>
      <c r="F590" s="3" t="str">
        <f>VLOOKUP(C590,layoffs_location!A:D,4,FALSE)</f>
        <v>Israel</v>
      </c>
      <c r="G590" s="3" t="str">
        <f>VLOOKUP(C590,layoffs_location!A:E,5,FALSE)</f>
        <v>Asia</v>
      </c>
      <c r="H590" s="3">
        <v>120</v>
      </c>
      <c r="I590" s="8">
        <v>44766</v>
      </c>
      <c r="J590" s="9">
        <v>100</v>
      </c>
      <c r="K590" s="10">
        <v>120</v>
      </c>
      <c r="L590" s="10">
        <v>0</v>
      </c>
      <c r="M590" s="3" t="s">
        <v>274</v>
      </c>
      <c r="N590" s="3" t="s">
        <v>33</v>
      </c>
      <c r="O590" s="34">
        <v>18</v>
      </c>
      <c r="P590" s="3">
        <v>2022</v>
      </c>
      <c r="Q590" s="3">
        <f>VLOOKUP(C590,layoffs_location!A:F,6,FALSE)</f>
        <v>32.0852997</v>
      </c>
      <c r="R590" s="3">
        <f>VLOOKUP(C590,layoffs_location!A:G,7,FALSE)</f>
        <v>34.781806400000001</v>
      </c>
    </row>
    <row r="591" spans="1:18" x14ac:dyDescent="0.2">
      <c r="A591" s="3">
        <v>590</v>
      </c>
      <c r="B591" s="3" t="s">
        <v>349</v>
      </c>
      <c r="C591" s="3" t="s">
        <v>71</v>
      </c>
      <c r="D591" s="3" t="str">
        <f>VLOOKUP(C591,layoffs_location!A:B,2,FALSE)</f>
        <v>other</v>
      </c>
      <c r="E591" s="3" t="str">
        <f>VLOOKUP(C591,layoffs_location!A:C,3,FALSE)</f>
        <v>Massachusetts</v>
      </c>
      <c r="F591" s="3" t="str">
        <f>VLOOKUP(C591,layoffs_location!A:D,4,FALSE)</f>
        <v>USA</v>
      </c>
      <c r="G591" s="3" t="str">
        <f>VLOOKUP(C591,layoffs_location!A:E,5,FALSE)</f>
        <v>North America</v>
      </c>
      <c r="H591" s="3">
        <v>25</v>
      </c>
      <c r="I591" s="8">
        <v>44767</v>
      </c>
      <c r="J591" s="9">
        <v>9</v>
      </c>
      <c r="K591" s="10">
        <v>278</v>
      </c>
      <c r="L591" s="10">
        <v>253</v>
      </c>
      <c r="M591" s="3" t="s">
        <v>21</v>
      </c>
      <c r="N591" s="3" t="s">
        <v>28</v>
      </c>
      <c r="O591" s="34">
        <v>409</v>
      </c>
      <c r="P591" s="3">
        <v>2022</v>
      </c>
      <c r="Q591" s="3">
        <f>VLOOKUP(C591,layoffs_location!A:F,6,FALSE)</f>
        <v>42.355433400000003</v>
      </c>
      <c r="R591" s="3">
        <f>VLOOKUP(C591,layoffs_location!A:G,7,FALSE)</f>
        <v>-71.060511000000005</v>
      </c>
    </row>
    <row r="592" spans="1:18" x14ac:dyDescent="0.2">
      <c r="A592" s="3">
        <v>591</v>
      </c>
      <c r="B592" s="3" t="s">
        <v>678</v>
      </c>
      <c r="C592" s="3" t="s">
        <v>1694</v>
      </c>
      <c r="D592" s="3" t="str">
        <f>VLOOKUP(C592,layoffs_location!A:B,2,FALSE)</f>
        <v>San Francisco Bay Area</v>
      </c>
      <c r="E592" s="3" t="str">
        <f>VLOOKUP(C592,layoffs_location!A:C,3,FALSE)</f>
        <v>California</v>
      </c>
      <c r="F592" s="3" t="str">
        <f>VLOOKUP(C592,layoffs_location!A:D,4,FALSE)</f>
        <v>USA</v>
      </c>
      <c r="G592" s="3" t="str">
        <f>VLOOKUP(C592,layoffs_location!A:E,5,FALSE)</f>
        <v>North America</v>
      </c>
      <c r="H592" s="3">
        <v>23</v>
      </c>
      <c r="I592" s="8">
        <v>44768</v>
      </c>
      <c r="J592" s="9">
        <v>30</v>
      </c>
      <c r="K592" s="10">
        <v>77</v>
      </c>
      <c r="L592" s="10">
        <v>54</v>
      </c>
      <c r="M592" s="3" t="s">
        <v>84</v>
      </c>
      <c r="N592" s="3" t="s">
        <v>69</v>
      </c>
      <c r="O592" s="34">
        <v>22</v>
      </c>
      <c r="P592" s="3">
        <v>2022</v>
      </c>
      <c r="Q592" s="3">
        <f>VLOOKUP(C592,layoffs_location!A:F,6,FALSE)</f>
        <v>37.336166300000002</v>
      </c>
      <c r="R592" s="3">
        <f>VLOOKUP(C592,layoffs_location!A:G,7,FALSE)</f>
        <v>-121.890591</v>
      </c>
    </row>
    <row r="593" spans="1:18" x14ac:dyDescent="0.2">
      <c r="A593" s="3">
        <v>592</v>
      </c>
      <c r="B593" s="3" t="s">
        <v>861</v>
      </c>
      <c r="C593" s="3" t="s">
        <v>47</v>
      </c>
      <c r="D593" s="3" t="str">
        <f>VLOOKUP(C593,layoffs_location!A:B,2,FALSE)</f>
        <v>other</v>
      </c>
      <c r="E593" s="3" t="str">
        <f>VLOOKUP(C593,layoffs_location!A:C,3,FALSE)</f>
        <v>non</v>
      </c>
      <c r="F593" s="3" t="str">
        <f>VLOOKUP(C593,layoffs_location!A:D,4,FALSE)</f>
        <v>Israel</v>
      </c>
      <c r="G593" s="3" t="str">
        <f>VLOOKUP(C593,layoffs_location!A:E,5,FALSE)</f>
        <v>Asia</v>
      </c>
      <c r="H593" s="3">
        <v>60</v>
      </c>
      <c r="I593" s="8">
        <v>44768</v>
      </c>
      <c r="J593" s="9">
        <v>8</v>
      </c>
      <c r="K593" s="10">
        <v>750</v>
      </c>
      <c r="L593" s="10">
        <v>690</v>
      </c>
      <c r="M593" s="3" t="s">
        <v>60</v>
      </c>
      <c r="N593" s="3" t="s">
        <v>28</v>
      </c>
      <c r="O593" s="34">
        <v>111</v>
      </c>
      <c r="P593" s="3">
        <v>2022</v>
      </c>
      <c r="Q593" s="3">
        <f>VLOOKUP(C593,layoffs_location!A:F,6,FALSE)</f>
        <v>32.0852997</v>
      </c>
      <c r="R593" s="3">
        <f>VLOOKUP(C593,layoffs_location!A:G,7,FALSE)</f>
        <v>34.781806400000001</v>
      </c>
    </row>
    <row r="594" spans="1:18" x14ac:dyDescent="0.2">
      <c r="A594" s="3">
        <v>593</v>
      </c>
      <c r="B594" s="3" t="s">
        <v>863</v>
      </c>
      <c r="C594" s="3" t="s">
        <v>231</v>
      </c>
      <c r="D594" s="3" t="str">
        <f>VLOOKUP(C594,layoffs_location!A:B,2,FALSE)</f>
        <v>other</v>
      </c>
      <c r="E594" s="3" t="str">
        <f>VLOOKUP(C594,layoffs_location!A:C,3,FALSE)</f>
        <v>New South Wales</v>
      </c>
      <c r="F594" s="3" t="str">
        <f>VLOOKUP(C594,layoffs_location!A:D,4,FALSE)</f>
        <v>Australia</v>
      </c>
      <c r="G594" s="3" t="str">
        <f>VLOOKUP(C594,layoffs_location!A:E,5,FALSE)</f>
        <v>Oceana</v>
      </c>
      <c r="H594" s="3">
        <v>20</v>
      </c>
      <c r="I594" s="8">
        <v>44768</v>
      </c>
      <c r="J594" s="9">
        <v>6</v>
      </c>
      <c r="K594" s="10">
        <v>333</v>
      </c>
      <c r="L594" s="10">
        <v>313</v>
      </c>
      <c r="M594" s="3" t="s">
        <v>117</v>
      </c>
      <c r="N594" s="3" t="s">
        <v>41</v>
      </c>
      <c r="O594" s="34">
        <v>279</v>
      </c>
      <c r="P594" s="3">
        <v>2022</v>
      </c>
      <c r="Q594" s="3">
        <f>VLOOKUP(C594,layoffs_location!A:F,6,FALSE)</f>
        <v>-33.869843899999999</v>
      </c>
      <c r="R594" s="3">
        <f>VLOOKUP(C594,layoffs_location!A:G,7,FALSE)</f>
        <v>151.2082848</v>
      </c>
    </row>
    <row r="595" spans="1:18" x14ac:dyDescent="0.2">
      <c r="A595" s="3">
        <v>594</v>
      </c>
      <c r="B595" s="3" t="s">
        <v>862</v>
      </c>
      <c r="C595" s="3" t="s">
        <v>231</v>
      </c>
      <c r="D595" s="3" t="str">
        <f>VLOOKUP(C595,layoffs_location!A:B,2,FALSE)</f>
        <v>other</v>
      </c>
      <c r="E595" s="3" t="str">
        <f>VLOOKUP(C595,layoffs_location!A:C,3,FALSE)</f>
        <v>New South Wales</v>
      </c>
      <c r="F595" s="3" t="str">
        <f>VLOOKUP(C595,layoffs_location!A:D,4,FALSE)</f>
        <v>Australia</v>
      </c>
      <c r="G595" s="3" t="str">
        <f>VLOOKUP(C595,layoffs_location!A:E,5,FALSE)</f>
        <v>Oceana</v>
      </c>
      <c r="H595" s="3">
        <v>40</v>
      </c>
      <c r="I595" s="8">
        <v>44768</v>
      </c>
      <c r="J595" s="9">
        <v>17</v>
      </c>
      <c r="K595" s="10">
        <v>235</v>
      </c>
      <c r="L595" s="10">
        <v>195</v>
      </c>
      <c r="M595" s="3" t="s">
        <v>35</v>
      </c>
      <c r="N595" s="3" t="s">
        <v>49</v>
      </c>
      <c r="O595" s="34">
        <v>41</v>
      </c>
      <c r="P595" s="3">
        <v>2022</v>
      </c>
      <c r="Q595" s="3">
        <f>VLOOKUP(C595,layoffs_location!A:F,6,FALSE)</f>
        <v>-33.869843899999999</v>
      </c>
      <c r="R595" s="3">
        <f>VLOOKUP(C595,layoffs_location!A:G,7,FALSE)</f>
        <v>151.2082848</v>
      </c>
    </row>
    <row r="596" spans="1:18" x14ac:dyDescent="0.2">
      <c r="A596" s="3">
        <v>595</v>
      </c>
      <c r="B596" s="3" t="s">
        <v>272</v>
      </c>
      <c r="C596" s="3" t="s">
        <v>39</v>
      </c>
      <c r="D596" s="3" t="str">
        <f>VLOOKUP(C596,layoffs_location!A:B,2,FALSE)</f>
        <v>New York</v>
      </c>
      <c r="E596" s="3" t="str">
        <f>VLOOKUP(C596,layoffs_location!A:C,3,FALSE)</f>
        <v>New York</v>
      </c>
      <c r="F596" s="3" t="str">
        <f>VLOOKUP(C596,layoffs_location!A:D,4,FALSE)</f>
        <v>USA</v>
      </c>
      <c r="G596" s="3" t="str">
        <f>VLOOKUP(C596,layoffs_location!A:E,5,FALSE)</f>
        <v>North America</v>
      </c>
      <c r="H596" s="3">
        <v>38</v>
      </c>
      <c r="I596" s="8">
        <v>44768</v>
      </c>
      <c r="J596" s="9">
        <v>3</v>
      </c>
      <c r="K596" s="10">
        <v>1267</v>
      </c>
      <c r="L596" s="10">
        <v>1229</v>
      </c>
      <c r="M596" s="3" t="s">
        <v>130</v>
      </c>
      <c r="N596" s="3" t="s">
        <v>28</v>
      </c>
      <c r="O596" s="34">
        <v>394</v>
      </c>
      <c r="P596" s="3">
        <v>2022</v>
      </c>
      <c r="Q596" s="3">
        <f>VLOOKUP(C596,layoffs_location!A:F,6,FALSE)</f>
        <v>40.7127281</v>
      </c>
      <c r="R596" s="3">
        <f>VLOOKUP(C596,layoffs_location!A:G,7,FALSE)</f>
        <v>-74.006015199999993</v>
      </c>
    </row>
    <row r="597" spans="1:18" x14ac:dyDescent="0.2">
      <c r="A597" s="3">
        <v>596</v>
      </c>
      <c r="B597" s="3" t="s">
        <v>301</v>
      </c>
      <c r="C597" s="3" t="s">
        <v>302</v>
      </c>
      <c r="D597" s="3" t="str">
        <f>VLOOKUP(C597,layoffs_location!A:B,2,FALSE)</f>
        <v>other</v>
      </c>
      <c r="E597" s="3" t="str">
        <f>VLOOKUP(C597,layoffs_location!A:C,3,FALSE)</f>
        <v>Ontario</v>
      </c>
      <c r="F597" s="3" t="str">
        <f>VLOOKUP(C597,layoffs_location!A:D,4,FALSE)</f>
        <v>Canada</v>
      </c>
      <c r="G597" s="3" t="str">
        <f>VLOOKUP(C597,layoffs_location!A:E,5,FALSE)</f>
        <v>North America</v>
      </c>
      <c r="H597" s="3">
        <v>1000</v>
      </c>
      <c r="I597" s="8">
        <v>44768</v>
      </c>
      <c r="J597" s="9">
        <v>10</v>
      </c>
      <c r="K597" s="10">
        <v>10000</v>
      </c>
      <c r="L597" s="10">
        <v>9000</v>
      </c>
      <c r="M597" s="3" t="s">
        <v>30</v>
      </c>
      <c r="N597" s="3" t="s">
        <v>28</v>
      </c>
      <c r="O597" s="34">
        <v>122</v>
      </c>
      <c r="P597" s="3">
        <v>2022</v>
      </c>
      <c r="Q597" s="3">
        <f>VLOOKUP(C597,layoffs_location!A:F,6,FALSE)</f>
        <v>45.420877699999998</v>
      </c>
      <c r="R597" s="3">
        <f>VLOOKUP(C597,layoffs_location!A:G,7,FALSE)</f>
        <v>-75.690110599999997</v>
      </c>
    </row>
    <row r="598" spans="1:18" x14ac:dyDescent="0.2">
      <c r="A598" s="3">
        <v>597</v>
      </c>
      <c r="B598" s="3" t="s">
        <v>859</v>
      </c>
      <c r="C598" s="3" t="s">
        <v>179</v>
      </c>
      <c r="D598" s="3" t="str">
        <f>VLOOKUP(C598,layoffs_location!A:B,2,FALSE)</f>
        <v>other</v>
      </c>
      <c r="E598" s="3" t="str">
        <f>VLOOKUP(C598,layoffs_location!A:C,3,FALSE)</f>
        <v>Ontario</v>
      </c>
      <c r="F598" s="3" t="str">
        <f>VLOOKUP(C598,layoffs_location!A:D,4,FALSE)</f>
        <v>Canada</v>
      </c>
      <c r="G598" s="3" t="str">
        <f>VLOOKUP(C598,layoffs_location!A:E,5,FALSE)</f>
        <v>North America</v>
      </c>
      <c r="H598" s="3">
        <v>30</v>
      </c>
      <c r="I598" s="8">
        <v>44769</v>
      </c>
      <c r="J598" s="9">
        <v>24</v>
      </c>
      <c r="K598" s="10">
        <v>125</v>
      </c>
      <c r="L598" s="10">
        <v>95</v>
      </c>
      <c r="M598" s="3" t="s">
        <v>117</v>
      </c>
      <c r="N598" s="3" t="s">
        <v>22</v>
      </c>
      <c r="O598" s="34">
        <v>98</v>
      </c>
      <c r="P598" s="3">
        <v>2022</v>
      </c>
      <c r="Q598" s="3">
        <f>VLOOKUP(C598,layoffs_location!A:F,6,FALSE)</f>
        <v>43.6534817</v>
      </c>
      <c r="R598" s="3">
        <f>VLOOKUP(C598,layoffs_location!A:G,7,FALSE)</f>
        <v>-79.383934699999998</v>
      </c>
    </row>
    <row r="599" spans="1:18" x14ac:dyDescent="0.2">
      <c r="A599" s="3">
        <v>598</v>
      </c>
      <c r="B599" s="3" t="s">
        <v>858</v>
      </c>
      <c r="C599" s="3" t="s">
        <v>65</v>
      </c>
      <c r="D599" s="3" t="str">
        <f>VLOOKUP(C599,layoffs_location!A:B,2,FALSE)</f>
        <v>other</v>
      </c>
      <c r="E599" s="3" t="str">
        <f>VLOOKUP(C599,layoffs_location!A:C,3,FALSE)</f>
        <v>Michigan</v>
      </c>
      <c r="F599" s="3" t="str">
        <f>VLOOKUP(C599,layoffs_location!A:D,4,FALSE)</f>
        <v>USA</v>
      </c>
      <c r="G599" s="3" t="str">
        <f>VLOOKUP(C599,layoffs_location!A:E,5,FALSE)</f>
        <v>North America</v>
      </c>
      <c r="H599" s="3">
        <v>840</v>
      </c>
      <c r="I599" s="8">
        <v>44769</v>
      </c>
      <c r="J599" s="9">
        <v>6</v>
      </c>
      <c r="K599" s="10">
        <v>14000</v>
      </c>
      <c r="L599" s="10">
        <v>13160</v>
      </c>
      <c r="M599" s="3" t="s">
        <v>32</v>
      </c>
      <c r="N599" s="3" t="s">
        <v>28</v>
      </c>
      <c r="O599" s="34">
        <v>10700</v>
      </c>
      <c r="P599" s="3">
        <v>2022</v>
      </c>
      <c r="Q599" s="3">
        <f>VLOOKUP(C599,layoffs_location!A:F,6,FALSE)</f>
        <v>42.331550900000003</v>
      </c>
      <c r="R599" s="3">
        <f>VLOOKUP(C599,layoffs_location!A:G,7,FALSE)</f>
        <v>-83.046640300000007</v>
      </c>
    </row>
    <row r="600" spans="1:18" x14ac:dyDescent="0.2">
      <c r="A600" s="3">
        <v>599</v>
      </c>
      <c r="B600" s="3" t="s">
        <v>860</v>
      </c>
      <c r="C600" s="39" t="s">
        <v>47</v>
      </c>
      <c r="D600" s="3" t="str">
        <f>VLOOKUP(C600,layoffs_location!A:B,2,FALSE)</f>
        <v>other</v>
      </c>
      <c r="E600" s="3" t="str">
        <f>VLOOKUP(C600,layoffs_location!A:C,3,FALSE)</f>
        <v>non</v>
      </c>
      <c r="F600" s="3" t="str">
        <f>VLOOKUP(C600,layoffs_location!A:D,4,FALSE)</f>
        <v>Israel</v>
      </c>
      <c r="G600" s="3" t="str">
        <f>VLOOKUP(C600,layoffs_location!A:E,5,FALSE)</f>
        <v>Asia</v>
      </c>
      <c r="H600" s="3">
        <v>30</v>
      </c>
      <c r="I600" s="8">
        <v>44769</v>
      </c>
      <c r="J600" s="9">
        <v>4</v>
      </c>
      <c r="K600" s="10">
        <v>750</v>
      </c>
      <c r="L600" s="10">
        <v>720</v>
      </c>
      <c r="M600" s="3" t="s">
        <v>130</v>
      </c>
      <c r="N600" s="3" t="s">
        <v>36</v>
      </c>
      <c r="O600" s="34">
        <v>60</v>
      </c>
      <c r="P600" s="3">
        <v>2022</v>
      </c>
      <c r="Q600" s="3">
        <f>VLOOKUP(C600,layoffs_location!A:F,6,FALSE)</f>
        <v>32.0852997</v>
      </c>
      <c r="R600" s="3">
        <f>VLOOKUP(C600,layoffs_location!A:G,7,FALSE)</f>
        <v>34.781806400000001</v>
      </c>
    </row>
    <row r="601" spans="1:18" x14ac:dyDescent="0.2">
      <c r="A601" s="3">
        <v>600</v>
      </c>
      <c r="B601" s="3" t="s">
        <v>517</v>
      </c>
      <c r="C601" s="39" t="s">
        <v>260</v>
      </c>
      <c r="D601" s="3" t="str">
        <f>VLOOKUP(C601,layoffs_location!A:B,2,FALSE)</f>
        <v>other</v>
      </c>
      <c r="E601" s="3" t="str">
        <f>VLOOKUP(C601,layoffs_location!A:C,3,FALSE)</f>
        <v>District of Columbia</v>
      </c>
      <c r="F601" s="3" t="str">
        <f>VLOOKUP(C601,layoffs_location!A:D,4,FALSE)</f>
        <v>USA</v>
      </c>
      <c r="G601" s="3" t="str">
        <f>VLOOKUP(C601,layoffs_location!A:E,5,FALSE)</f>
        <v>North America</v>
      </c>
      <c r="H601" s="3">
        <v>39</v>
      </c>
      <c r="I601" s="8">
        <v>44769</v>
      </c>
      <c r="J601" s="9">
        <v>2</v>
      </c>
      <c r="K601" s="10">
        <v>1950</v>
      </c>
      <c r="L601" s="10">
        <v>1911</v>
      </c>
      <c r="M601" s="3" t="s">
        <v>54</v>
      </c>
      <c r="N601" s="3" t="s">
        <v>63</v>
      </c>
      <c r="O601" s="34">
        <v>307</v>
      </c>
      <c r="P601" s="3">
        <v>2022</v>
      </c>
      <c r="Q601" s="3">
        <f>VLOOKUP(C601,layoffs_location!A:F,6,FALSE)</f>
        <v>38.8950368</v>
      </c>
      <c r="R601" s="3">
        <f>VLOOKUP(C601,layoffs_location!A:G,7,FALSE)</f>
        <v>-77.036542699999998</v>
      </c>
    </row>
    <row r="602" spans="1:18" x14ac:dyDescent="0.2">
      <c r="A602" s="3">
        <v>601</v>
      </c>
      <c r="B602" s="3" t="s">
        <v>856</v>
      </c>
      <c r="C602" s="3" t="s">
        <v>1370</v>
      </c>
      <c r="D602" s="3" t="str">
        <f>VLOOKUP(C602,layoffs_location!A:B,2,FALSE)</f>
        <v>San Francisco Bay Area</v>
      </c>
      <c r="E602" s="3" t="str">
        <f>VLOOKUP(C602,layoffs_location!A:C,3,FALSE)</f>
        <v>California</v>
      </c>
      <c r="F602" s="3" t="str">
        <f>VLOOKUP(C602,layoffs_location!A:D,4,FALSE)</f>
        <v>USA</v>
      </c>
      <c r="G602" s="3" t="str">
        <f>VLOOKUP(C602,layoffs_location!A:E,5,FALSE)</f>
        <v>North America</v>
      </c>
      <c r="H602" s="3">
        <v>60</v>
      </c>
      <c r="I602" s="8">
        <v>44770</v>
      </c>
      <c r="J602" s="9">
        <v>33</v>
      </c>
      <c r="K602" s="10">
        <v>182</v>
      </c>
      <c r="L602" s="10">
        <v>122</v>
      </c>
      <c r="M602" s="3" t="s">
        <v>68</v>
      </c>
      <c r="N602" s="3" t="s">
        <v>49</v>
      </c>
      <c r="O602" s="34">
        <v>51</v>
      </c>
      <c r="P602" s="3">
        <v>2022</v>
      </c>
      <c r="Q602" s="3">
        <f>VLOOKUP(C602,layoffs_location!A:F,6,FALSE)</f>
        <v>37.779258800000001</v>
      </c>
      <c r="R602" s="3">
        <f>VLOOKUP(C602,layoffs_location!A:G,7,FALSE)</f>
        <v>-122.4193286</v>
      </c>
    </row>
    <row r="603" spans="1:18" ht="16" x14ac:dyDescent="0.2">
      <c r="A603" s="3">
        <v>602</v>
      </c>
      <c r="B603" s="3" t="s">
        <v>857</v>
      </c>
      <c r="C603" s="11" t="s">
        <v>1370</v>
      </c>
      <c r="D603" s="3" t="str">
        <f>VLOOKUP(C603,layoffs_location!A:B,2,FALSE)</f>
        <v>San Francisco Bay Area</v>
      </c>
      <c r="E603" s="3" t="str">
        <f>VLOOKUP(C603,layoffs_location!A:C,3,FALSE)</f>
        <v>California</v>
      </c>
      <c r="F603" s="3" t="str">
        <f>VLOOKUP(C603,layoffs_location!A:D,4,FALSE)</f>
        <v>USA</v>
      </c>
      <c r="G603" s="3" t="str">
        <f>VLOOKUP(C603,layoffs_location!A:E,5,FALSE)</f>
        <v>North America</v>
      </c>
      <c r="H603" s="3">
        <v>60</v>
      </c>
      <c r="I603" s="8">
        <v>44770</v>
      </c>
      <c r="J603" s="9">
        <v>20</v>
      </c>
      <c r="K603" s="10">
        <v>300</v>
      </c>
      <c r="L603" s="10">
        <v>240</v>
      </c>
      <c r="M603" s="3" t="s">
        <v>35</v>
      </c>
      <c r="N603" s="3" t="s">
        <v>33</v>
      </c>
      <c r="O603" s="34">
        <v>510</v>
      </c>
      <c r="P603" s="3">
        <v>2022</v>
      </c>
      <c r="Q603" s="3">
        <f>VLOOKUP(C603,layoffs_location!A:F,6,FALSE)</f>
        <v>37.779258800000001</v>
      </c>
      <c r="R603" s="3">
        <f>VLOOKUP(C603,layoffs_location!A:G,7,FALSE)</f>
        <v>-122.4193286</v>
      </c>
    </row>
    <row r="604" spans="1:18" x14ac:dyDescent="0.2">
      <c r="A604" s="3">
        <v>603</v>
      </c>
      <c r="B604" s="3" t="s">
        <v>854</v>
      </c>
      <c r="C604" s="3" t="s">
        <v>179</v>
      </c>
      <c r="D604" s="3" t="str">
        <f>VLOOKUP(C604,layoffs_location!A:B,2,FALSE)</f>
        <v>other</v>
      </c>
      <c r="E604" s="3" t="str">
        <f>VLOOKUP(C604,layoffs_location!A:C,3,FALSE)</f>
        <v>Ontario</v>
      </c>
      <c r="F604" s="3" t="str">
        <f>VLOOKUP(C604,layoffs_location!A:D,4,FALSE)</f>
        <v>Canada</v>
      </c>
      <c r="G604" s="3" t="str">
        <f>VLOOKUP(C604,layoffs_location!A:E,5,FALSE)</f>
        <v>North America</v>
      </c>
      <c r="H604" s="3">
        <v>125</v>
      </c>
      <c r="I604" s="8">
        <v>44771</v>
      </c>
      <c r="J604" s="9">
        <v>25</v>
      </c>
      <c r="K604" s="10">
        <v>500</v>
      </c>
      <c r="L604" s="10">
        <v>375</v>
      </c>
      <c r="M604" s="3" t="s">
        <v>35</v>
      </c>
      <c r="N604" s="3" t="s">
        <v>41</v>
      </c>
      <c r="O604" s="34">
        <v>681</v>
      </c>
      <c r="P604" s="3">
        <v>2022</v>
      </c>
      <c r="Q604" s="3">
        <f>VLOOKUP(C604,layoffs_location!A:F,6,FALSE)</f>
        <v>43.6534817</v>
      </c>
      <c r="R604" s="3">
        <f>VLOOKUP(C604,layoffs_location!A:G,7,FALSE)</f>
        <v>-79.383934699999998</v>
      </c>
    </row>
    <row r="605" spans="1:18" ht="16" x14ac:dyDescent="0.2">
      <c r="A605" s="3">
        <v>604</v>
      </c>
      <c r="B605" s="3" t="s">
        <v>855</v>
      </c>
      <c r="C605" s="11" t="s">
        <v>1370</v>
      </c>
      <c r="D605" s="3" t="str">
        <f>VLOOKUP(C605,layoffs_location!A:B,2,FALSE)</f>
        <v>San Francisco Bay Area</v>
      </c>
      <c r="E605" s="3" t="str">
        <f>VLOOKUP(C605,layoffs_location!A:C,3,FALSE)</f>
        <v>California</v>
      </c>
      <c r="F605" s="3" t="str">
        <f>VLOOKUP(C605,layoffs_location!A:D,4,FALSE)</f>
        <v>USA</v>
      </c>
      <c r="G605" s="3" t="str">
        <f>VLOOKUP(C605,layoffs_location!A:E,5,FALSE)</f>
        <v>North America</v>
      </c>
      <c r="H605" s="3">
        <v>40</v>
      </c>
      <c r="I605" s="8">
        <v>44771</v>
      </c>
      <c r="J605" s="9">
        <v>6</v>
      </c>
      <c r="K605" s="10">
        <v>667</v>
      </c>
      <c r="L605" s="10">
        <v>627</v>
      </c>
      <c r="M605" s="3" t="s">
        <v>130</v>
      </c>
      <c r="N605" s="3" t="s">
        <v>41</v>
      </c>
      <c r="O605" s="34">
        <v>65</v>
      </c>
      <c r="P605" s="3">
        <v>2022</v>
      </c>
      <c r="Q605" s="3">
        <f>VLOOKUP(C605,layoffs_location!A:F,6,FALSE)</f>
        <v>37.779258800000001</v>
      </c>
      <c r="R605" s="3">
        <f>VLOOKUP(C605,layoffs_location!A:G,7,FALSE)</f>
        <v>-122.4193286</v>
      </c>
    </row>
    <row r="606" spans="1:18" x14ac:dyDescent="0.2">
      <c r="A606" s="3">
        <v>605</v>
      </c>
      <c r="B606" s="3" t="s">
        <v>853</v>
      </c>
      <c r="C606" s="3" t="s">
        <v>231</v>
      </c>
      <c r="D606" s="3" t="str">
        <f>VLOOKUP(C606,layoffs_location!A:B,2,FALSE)</f>
        <v>other</v>
      </c>
      <c r="E606" s="3" t="str">
        <f>VLOOKUP(C606,layoffs_location!A:C,3,FALSE)</f>
        <v>New South Wales</v>
      </c>
      <c r="F606" s="3" t="str">
        <f>VLOOKUP(C606,layoffs_location!A:D,4,FALSE)</f>
        <v>Australia</v>
      </c>
      <c r="G606" s="3" t="str">
        <f>VLOOKUP(C606,layoffs_location!A:E,5,FALSE)</f>
        <v>Oceana</v>
      </c>
      <c r="H606" s="3">
        <v>75</v>
      </c>
      <c r="I606" s="8">
        <v>44773</v>
      </c>
      <c r="J606" s="9">
        <v>100</v>
      </c>
      <c r="K606" s="10">
        <v>75</v>
      </c>
      <c r="L606" s="10">
        <v>0</v>
      </c>
      <c r="M606" s="3" t="s">
        <v>130</v>
      </c>
      <c r="N606" s="3" t="s">
        <v>49</v>
      </c>
      <c r="O606" s="34">
        <v>18</v>
      </c>
      <c r="P606" s="3">
        <v>2022</v>
      </c>
      <c r="Q606" s="3">
        <f>VLOOKUP(C606,layoffs_location!A:F,6,FALSE)</f>
        <v>-33.869843899999999</v>
      </c>
      <c r="R606" s="3">
        <f>VLOOKUP(C606,layoffs_location!A:G,7,FALSE)</f>
        <v>151.2082848</v>
      </c>
    </row>
    <row r="607" spans="1:18" x14ac:dyDescent="0.2">
      <c r="A607" s="3">
        <v>606</v>
      </c>
      <c r="B607" s="3" t="s">
        <v>740</v>
      </c>
      <c r="C607" s="3" t="s">
        <v>47</v>
      </c>
      <c r="D607" s="3" t="str">
        <f>VLOOKUP(C607,layoffs_location!A:B,2,FALSE)</f>
        <v>other</v>
      </c>
      <c r="E607" s="3" t="str">
        <f>VLOOKUP(C607,layoffs_location!A:C,3,FALSE)</f>
        <v>non</v>
      </c>
      <c r="F607" s="3" t="str">
        <f>VLOOKUP(C607,layoffs_location!A:D,4,FALSE)</f>
        <v>Israel</v>
      </c>
      <c r="G607" s="3" t="str">
        <f>VLOOKUP(C607,layoffs_location!A:E,5,FALSE)</f>
        <v>Asia</v>
      </c>
      <c r="H607" s="3">
        <v>16</v>
      </c>
      <c r="I607" s="8">
        <v>44773</v>
      </c>
      <c r="J607" s="9">
        <v>32</v>
      </c>
      <c r="K607" s="10">
        <v>50</v>
      </c>
      <c r="L607" s="10">
        <v>34</v>
      </c>
      <c r="M607" s="3" t="s">
        <v>84</v>
      </c>
      <c r="N607" s="3" t="s">
        <v>147</v>
      </c>
      <c r="O607" s="34">
        <v>15</v>
      </c>
      <c r="P607" s="3">
        <v>2022</v>
      </c>
      <c r="Q607" s="3">
        <f>VLOOKUP(C607,layoffs_location!A:F,6,FALSE)</f>
        <v>32.0852997</v>
      </c>
      <c r="R607" s="3">
        <f>VLOOKUP(C607,layoffs_location!A:G,7,FALSE)</f>
        <v>34.781806400000001</v>
      </c>
    </row>
    <row r="608" spans="1:18" x14ac:dyDescent="0.2">
      <c r="A608" s="3">
        <v>607</v>
      </c>
      <c r="B608" s="3" t="s">
        <v>852</v>
      </c>
      <c r="C608" s="3" t="s">
        <v>187</v>
      </c>
      <c r="D608" s="3" t="str">
        <f>VLOOKUP(C608,layoffs_location!A:B,2,FALSE)</f>
        <v>other</v>
      </c>
      <c r="E608" s="3" t="str">
        <f>VLOOKUP(C608,layoffs_location!A:C,3,FALSE)</f>
        <v>State of São Paulo</v>
      </c>
      <c r="F608" s="3" t="str">
        <f>VLOOKUP(C608,layoffs_location!A:D,4,FALSE)</f>
        <v>Brazil</v>
      </c>
      <c r="G608" s="3" t="str">
        <f>VLOOKUP(C608,layoffs_location!A:E,5,FALSE)</f>
        <v>South America</v>
      </c>
      <c r="H608" s="3">
        <v>58</v>
      </c>
      <c r="I608" s="8">
        <v>44774</v>
      </c>
      <c r="J608" s="9">
        <v>50</v>
      </c>
      <c r="K608" s="10">
        <v>116</v>
      </c>
      <c r="L608" s="10">
        <v>58</v>
      </c>
      <c r="M608" s="3" t="s">
        <v>35</v>
      </c>
      <c r="N608" s="3" t="s">
        <v>41</v>
      </c>
      <c r="O608" s="34">
        <v>58</v>
      </c>
      <c r="P608" s="3">
        <v>2022</v>
      </c>
      <c r="Q608" s="3">
        <f>VLOOKUP(C608,layoffs_location!A:F,6,FALSE)</f>
        <v>-23.550650699999998</v>
      </c>
      <c r="R608" s="3">
        <f>VLOOKUP(C608,layoffs_location!A:G,7,FALSE)</f>
        <v>-46.633382400000002</v>
      </c>
    </row>
    <row r="609" spans="1:18" x14ac:dyDescent="0.2">
      <c r="A609" s="3">
        <v>608</v>
      </c>
      <c r="B609" s="3" t="s">
        <v>851</v>
      </c>
      <c r="C609" s="3" t="s">
        <v>39</v>
      </c>
      <c r="D609" s="3" t="str">
        <f>VLOOKUP(C609,layoffs_location!A:B,2,FALSE)</f>
        <v>New York</v>
      </c>
      <c r="E609" s="3" t="str">
        <f>VLOOKUP(C609,layoffs_location!A:C,3,FALSE)</f>
        <v>New York</v>
      </c>
      <c r="F609" s="3" t="str">
        <f>VLOOKUP(C609,layoffs_location!A:D,4,FALSE)</f>
        <v>USA</v>
      </c>
      <c r="G609" s="3" t="str">
        <f>VLOOKUP(C609,layoffs_location!A:E,5,FALSE)</f>
        <v>North America</v>
      </c>
      <c r="H609" s="3">
        <v>19</v>
      </c>
      <c r="I609" s="8">
        <v>44775</v>
      </c>
      <c r="J609" s="9">
        <v>8</v>
      </c>
      <c r="K609" s="10">
        <v>238</v>
      </c>
      <c r="L609" s="10">
        <v>219</v>
      </c>
      <c r="M609" s="3" t="s">
        <v>30</v>
      </c>
      <c r="N609" s="3" t="s">
        <v>36</v>
      </c>
      <c r="O609" s="34">
        <v>266</v>
      </c>
      <c r="P609" s="3">
        <v>2022</v>
      </c>
      <c r="Q609" s="3">
        <f>VLOOKUP(C609,layoffs_location!A:F,6,FALSE)</f>
        <v>40.7127281</v>
      </c>
      <c r="R609" s="3">
        <f>VLOOKUP(C609,layoffs_location!A:G,7,FALSE)</f>
        <v>-74.006015199999993</v>
      </c>
    </row>
    <row r="610" spans="1:18" x14ac:dyDescent="0.2">
      <c r="A610" s="3">
        <v>609</v>
      </c>
      <c r="B610" s="3" t="s">
        <v>847</v>
      </c>
      <c r="C610" s="3" t="s">
        <v>39</v>
      </c>
      <c r="D610" s="3" t="str">
        <f>VLOOKUP(C610,layoffs_location!A:B,2,FALSE)</f>
        <v>New York</v>
      </c>
      <c r="E610" s="3" t="str">
        <f>VLOOKUP(C610,layoffs_location!A:C,3,FALSE)</f>
        <v>New York</v>
      </c>
      <c r="F610" s="3" t="str">
        <f>VLOOKUP(C610,layoffs_location!A:D,4,FALSE)</f>
        <v>USA</v>
      </c>
      <c r="G610" s="3" t="str">
        <f>VLOOKUP(C610,layoffs_location!A:E,5,FALSE)</f>
        <v>North America</v>
      </c>
      <c r="H610" s="3">
        <v>115</v>
      </c>
      <c r="I610" s="8">
        <v>44775</v>
      </c>
      <c r="J610" s="9">
        <v>37</v>
      </c>
      <c r="K610" s="10">
        <v>311</v>
      </c>
      <c r="L610" s="10">
        <v>196</v>
      </c>
      <c r="M610" s="3" t="s">
        <v>139</v>
      </c>
      <c r="N610" s="3" t="s">
        <v>28</v>
      </c>
      <c r="O610" s="34">
        <v>342</v>
      </c>
      <c r="P610" s="3">
        <v>2022</v>
      </c>
      <c r="Q610" s="3">
        <f>VLOOKUP(C610,layoffs_location!A:F,6,FALSE)</f>
        <v>40.7127281</v>
      </c>
      <c r="R610" s="3">
        <f>VLOOKUP(C610,layoffs_location!A:G,7,FALSE)</f>
        <v>-74.006015199999993</v>
      </c>
    </row>
    <row r="611" spans="1:18" ht="16" x14ac:dyDescent="0.2">
      <c r="A611" s="3">
        <v>610</v>
      </c>
      <c r="B611" s="3" t="s">
        <v>848</v>
      </c>
      <c r="C611" s="11" t="s">
        <v>1370</v>
      </c>
      <c r="D611" s="3" t="str">
        <f>VLOOKUP(C611,layoffs_location!A:B,2,FALSE)</f>
        <v>San Francisco Bay Area</v>
      </c>
      <c r="E611" s="3" t="str">
        <f>VLOOKUP(C611,layoffs_location!A:C,3,FALSE)</f>
        <v>California</v>
      </c>
      <c r="F611" s="3" t="str">
        <f>VLOOKUP(C611,layoffs_location!A:D,4,FALSE)</f>
        <v>USA</v>
      </c>
      <c r="G611" s="3" t="str">
        <f>VLOOKUP(C611,layoffs_location!A:E,5,FALSE)</f>
        <v>North America</v>
      </c>
      <c r="H611" s="3">
        <v>80</v>
      </c>
      <c r="I611" s="8">
        <v>44775</v>
      </c>
      <c r="J611" s="9">
        <v>25</v>
      </c>
      <c r="K611" s="10">
        <v>320</v>
      </c>
      <c r="L611" s="10">
        <v>240</v>
      </c>
      <c r="M611" s="3" t="s">
        <v>48</v>
      </c>
      <c r="N611" s="3" t="s">
        <v>41</v>
      </c>
      <c r="O611" s="34">
        <v>175</v>
      </c>
      <c r="P611" s="3">
        <v>2022</v>
      </c>
      <c r="Q611" s="3">
        <f>VLOOKUP(C611,layoffs_location!A:F,6,FALSE)</f>
        <v>37.779258800000001</v>
      </c>
      <c r="R611" s="3">
        <f>VLOOKUP(C611,layoffs_location!A:G,7,FALSE)</f>
        <v>-122.4193286</v>
      </c>
    </row>
    <row r="612" spans="1:18" x14ac:dyDescent="0.2">
      <c r="A612" s="3">
        <v>611</v>
      </c>
      <c r="B612" s="3" t="s">
        <v>416</v>
      </c>
      <c r="C612" s="3" t="s">
        <v>43</v>
      </c>
      <c r="D612" s="3" t="str">
        <f>VLOOKUP(C612,layoffs_location!A:B,2,FALSE)</f>
        <v>Cascadia</v>
      </c>
      <c r="E612" s="3" t="str">
        <f>VLOOKUP(C612,layoffs_location!A:C,3,FALSE)</f>
        <v>Washington</v>
      </c>
      <c r="F612" s="3" t="str">
        <f>VLOOKUP(C612,layoffs_location!A:D,4,FALSE)</f>
        <v>USA</v>
      </c>
      <c r="G612" s="3" t="str">
        <f>VLOOKUP(C612,layoffs_location!A:E,5,FALSE)</f>
        <v>North America</v>
      </c>
      <c r="H612" s="3">
        <v>60</v>
      </c>
      <c r="I612" s="8">
        <v>44775</v>
      </c>
      <c r="J612" s="9">
        <v>5</v>
      </c>
      <c r="K612" s="10">
        <v>1200</v>
      </c>
      <c r="L612" s="10">
        <v>1140</v>
      </c>
      <c r="M612" s="3" t="s">
        <v>92</v>
      </c>
      <c r="N612" s="3" t="s">
        <v>81</v>
      </c>
      <c r="O612" s="34">
        <v>489</v>
      </c>
      <c r="P612" s="3">
        <v>2022</v>
      </c>
      <c r="Q612" s="3">
        <f>VLOOKUP(C612,layoffs_location!A:F,6,FALSE)</f>
        <v>47.603832099999998</v>
      </c>
      <c r="R612" s="3">
        <f>VLOOKUP(C612,layoffs_location!A:G,7,FALSE)</f>
        <v>-122.330062</v>
      </c>
    </row>
    <row r="613" spans="1:18" x14ac:dyDescent="0.2">
      <c r="A613" s="3">
        <v>612</v>
      </c>
      <c r="B613" s="3" t="s">
        <v>240</v>
      </c>
      <c r="C613" s="3" t="s">
        <v>1443</v>
      </c>
      <c r="D613" s="3" t="str">
        <f>VLOOKUP(C613,layoffs_location!A:B,2,FALSE)</f>
        <v>San Francisco Bay Area</v>
      </c>
      <c r="E613" s="3" t="str">
        <f>VLOOKUP(C613,layoffs_location!A:C,3,FALSE)</f>
        <v>California</v>
      </c>
      <c r="F613" s="3" t="str">
        <f>VLOOKUP(C613,layoffs_location!A:D,4,FALSE)</f>
        <v>USA</v>
      </c>
      <c r="G613" s="3" t="str">
        <f>VLOOKUP(C613,layoffs_location!A:E,5,FALSE)</f>
        <v>North America</v>
      </c>
      <c r="H613" s="3">
        <v>713</v>
      </c>
      <c r="I613" s="8">
        <v>44775</v>
      </c>
      <c r="J613" s="9">
        <v>23</v>
      </c>
      <c r="K613" s="10">
        <v>3100</v>
      </c>
      <c r="L613" s="10">
        <v>2387</v>
      </c>
      <c r="M613" s="3" t="s">
        <v>35</v>
      </c>
      <c r="N613" s="3" t="s">
        <v>28</v>
      </c>
      <c r="O613" s="34">
        <v>5600</v>
      </c>
      <c r="P613" s="3">
        <v>2022</v>
      </c>
      <c r="Q613" s="3">
        <f>VLOOKUP(C613,layoffs_location!A:F,6,FALSE)</f>
        <v>37.451967099999997</v>
      </c>
      <c r="R613" s="3">
        <f>VLOOKUP(C613,layoffs_location!A:G,7,FALSE)</f>
        <v>-122.177992</v>
      </c>
    </row>
    <row r="614" spans="1:18" x14ac:dyDescent="0.2">
      <c r="A614" s="3">
        <v>613</v>
      </c>
      <c r="B614" s="3" t="s">
        <v>849</v>
      </c>
      <c r="C614" s="3" t="s">
        <v>164</v>
      </c>
      <c r="D614" s="3" t="str">
        <f>VLOOKUP(C614,layoffs_location!A:B,2,FALSE)</f>
        <v>other</v>
      </c>
      <c r="E614" s="3" t="str">
        <f>VLOOKUP(C614,layoffs_location!A:C,3,FALSE)</f>
        <v>non</v>
      </c>
      <c r="F614" s="3" t="str">
        <f>VLOOKUP(C614,layoffs_location!A:D,4,FALSE)</f>
        <v>Kenya</v>
      </c>
      <c r="G614" s="3" t="str">
        <f>VLOOKUP(C614,layoffs_location!A:E,5,FALSE)</f>
        <v>Africa</v>
      </c>
      <c r="H614" s="3">
        <v>54</v>
      </c>
      <c r="I614" s="8">
        <v>44775</v>
      </c>
      <c r="J614" s="9">
        <v>20</v>
      </c>
      <c r="K614" s="10">
        <v>270</v>
      </c>
      <c r="L614" s="10">
        <v>216</v>
      </c>
      <c r="M614" s="3" t="s">
        <v>90</v>
      </c>
      <c r="N614" s="3" t="s">
        <v>49</v>
      </c>
      <c r="O614" s="34">
        <v>26</v>
      </c>
      <c r="P614" s="3">
        <v>2022</v>
      </c>
      <c r="Q614" s="3">
        <f>VLOOKUP(C614,layoffs_location!A:F,6,FALSE)</f>
        <v>-1.2832532999999999</v>
      </c>
      <c r="R614" s="3">
        <f>VLOOKUP(C614,layoffs_location!A:G,7,FALSE)</f>
        <v>36.817244899999999</v>
      </c>
    </row>
    <row r="615" spans="1:18" x14ac:dyDescent="0.2">
      <c r="A615" s="3">
        <v>614</v>
      </c>
      <c r="B615" s="3" t="s">
        <v>849</v>
      </c>
      <c r="C615" s="3" t="s">
        <v>164</v>
      </c>
      <c r="D615" s="3" t="str">
        <f>VLOOKUP(C615,layoffs_location!A:B,2,FALSE)</f>
        <v>other</v>
      </c>
      <c r="E615" s="3" t="str">
        <f>VLOOKUP(C615,layoffs_location!A:C,3,FALSE)</f>
        <v>non</v>
      </c>
      <c r="F615" s="3" t="str">
        <f>VLOOKUP(C615,layoffs_location!A:D,4,FALSE)</f>
        <v>Kenya</v>
      </c>
      <c r="G615" s="3" t="str">
        <f>VLOOKUP(C615,layoffs_location!A:E,5,FALSE)</f>
        <v>Africa</v>
      </c>
      <c r="H615" s="3">
        <v>30</v>
      </c>
      <c r="I615" s="8">
        <v>44775</v>
      </c>
      <c r="J615" s="9">
        <v>10</v>
      </c>
      <c r="K615" s="10">
        <v>300</v>
      </c>
      <c r="L615" s="10">
        <v>270</v>
      </c>
      <c r="M615" s="3" t="s">
        <v>90</v>
      </c>
      <c r="N615" s="3" t="s">
        <v>49</v>
      </c>
      <c r="O615" s="34">
        <v>26</v>
      </c>
      <c r="P615" s="3">
        <v>2022</v>
      </c>
      <c r="Q615" s="3">
        <f>VLOOKUP(C615,layoffs_location!A:F,6,FALSE)</f>
        <v>-1.2832532999999999</v>
      </c>
      <c r="R615" s="3">
        <f>VLOOKUP(C615,layoffs_location!A:G,7,FALSE)</f>
        <v>36.817244899999999</v>
      </c>
    </row>
    <row r="616" spans="1:18" x14ac:dyDescent="0.2">
      <c r="A616" s="3">
        <v>615</v>
      </c>
      <c r="B616" s="3" t="s">
        <v>850</v>
      </c>
      <c r="C616" s="3" t="s">
        <v>531</v>
      </c>
      <c r="D616" s="3" t="str">
        <f>VLOOKUP(C616,layoffs_location!A:B,2,FALSE)</f>
        <v>other</v>
      </c>
      <c r="E616" s="3" t="str">
        <f>VLOOKUP(C616,layoffs_location!A:C,3,FALSE)</f>
        <v>Colorado</v>
      </c>
      <c r="F616" s="3" t="str">
        <f>VLOOKUP(C616,layoffs_location!A:D,4,FALSE)</f>
        <v>USA</v>
      </c>
      <c r="G616" s="3" t="str">
        <f>VLOOKUP(C616,layoffs_location!A:E,5,FALSE)</f>
        <v>North America</v>
      </c>
      <c r="H616" s="3">
        <v>23</v>
      </c>
      <c r="I616" s="8">
        <v>44775</v>
      </c>
      <c r="J616" s="9">
        <v>30</v>
      </c>
      <c r="K616" s="10">
        <v>77</v>
      </c>
      <c r="L616" s="10">
        <v>54</v>
      </c>
      <c r="M616" s="3" t="s">
        <v>48</v>
      </c>
      <c r="N616" s="3" t="s">
        <v>49</v>
      </c>
      <c r="O616" s="34">
        <v>75</v>
      </c>
      <c r="P616" s="3">
        <v>2022</v>
      </c>
      <c r="Q616" s="3">
        <f>VLOOKUP(C616,layoffs_location!A:F,6,FALSE)</f>
        <v>40.014985600000003</v>
      </c>
      <c r="R616" s="3">
        <f>VLOOKUP(C616,layoffs_location!A:G,7,FALSE)</f>
        <v>-105.270545</v>
      </c>
    </row>
    <row r="617" spans="1:18" x14ac:dyDescent="0.2">
      <c r="A617" s="3">
        <v>616</v>
      </c>
      <c r="B617" s="3" t="s">
        <v>75</v>
      </c>
      <c r="C617" s="3" t="s">
        <v>76</v>
      </c>
      <c r="D617" s="3" t="str">
        <f>VLOOKUP(C617,layoffs_location!A:B,2,FALSE)</f>
        <v>other</v>
      </c>
      <c r="E617" s="3" t="str">
        <f>VLOOKUP(C617,layoffs_location!A:C,3,FALSE)</f>
        <v>California</v>
      </c>
      <c r="F617" s="3" t="str">
        <f>VLOOKUP(C617,layoffs_location!A:D,4,FALSE)</f>
        <v>USA</v>
      </c>
      <c r="G617" s="3" t="str">
        <f>VLOOKUP(C617,layoffs_location!A:E,5,FALSE)</f>
        <v>North America</v>
      </c>
      <c r="H617" s="3">
        <v>40</v>
      </c>
      <c r="I617" s="8">
        <v>44776</v>
      </c>
      <c r="J617" s="9">
        <v>4</v>
      </c>
      <c r="K617" s="10">
        <v>1000</v>
      </c>
      <c r="L617" s="10">
        <v>960</v>
      </c>
      <c r="M617" s="3" t="s">
        <v>77</v>
      </c>
      <c r="N617" s="3" t="s">
        <v>28</v>
      </c>
      <c r="O617" s="34">
        <v>122</v>
      </c>
      <c r="P617" s="3">
        <v>2022</v>
      </c>
      <c r="Q617" s="3">
        <f>VLOOKUP(C617,layoffs_location!A:F,6,FALSE)</f>
        <v>34.053690899999999</v>
      </c>
      <c r="R617" s="3">
        <f>VLOOKUP(C617,layoffs_location!A:G,7,FALSE)</f>
        <v>-118.242766</v>
      </c>
    </row>
    <row r="618" spans="1:18" x14ac:dyDescent="0.2">
      <c r="A618" s="3">
        <v>617</v>
      </c>
      <c r="B618" s="3" t="s">
        <v>846</v>
      </c>
      <c r="C618" s="3" t="s">
        <v>271</v>
      </c>
      <c r="D618" s="3" t="str">
        <f>VLOOKUP(C618,layoffs_location!A:B,2,FALSE)</f>
        <v>Cascadia</v>
      </c>
      <c r="E618" s="3" t="str">
        <f>VLOOKUP(C618,layoffs_location!A:C,3,FALSE)</f>
        <v>British Columbia</v>
      </c>
      <c r="F618" s="3" t="str">
        <f>VLOOKUP(C618,layoffs_location!A:D,4,FALSE)</f>
        <v>Canada</v>
      </c>
      <c r="G618" s="3" t="str">
        <f>VLOOKUP(C618,layoffs_location!A:E,5,FALSE)</f>
        <v>North America</v>
      </c>
      <c r="H618" s="3">
        <v>47</v>
      </c>
      <c r="I618" s="8">
        <v>44776</v>
      </c>
      <c r="J618" s="9">
        <v>20</v>
      </c>
      <c r="K618" s="10">
        <v>235</v>
      </c>
      <c r="L618" s="10">
        <v>188</v>
      </c>
      <c r="M618" s="3" t="s">
        <v>130</v>
      </c>
      <c r="N618" s="3" t="s">
        <v>69</v>
      </c>
      <c r="O618" s="34">
        <v>39</v>
      </c>
      <c r="P618" s="3">
        <v>2022</v>
      </c>
      <c r="Q618" s="3">
        <f>VLOOKUP(C618,layoffs_location!A:F,6,FALSE)</f>
        <v>49.260872399999997</v>
      </c>
      <c r="R618" s="3">
        <f>VLOOKUP(C618,layoffs_location!A:G,7,FALSE)</f>
        <v>-123.113952</v>
      </c>
    </row>
    <row r="619" spans="1:18" x14ac:dyDescent="0.2">
      <c r="A619" s="3">
        <v>618</v>
      </c>
      <c r="B619" s="3" t="s">
        <v>843</v>
      </c>
      <c r="C619" s="3" t="s">
        <v>1704</v>
      </c>
      <c r="D619" s="3" t="str">
        <f>VLOOKUP(C619,layoffs_location!A:B,2,FALSE)</f>
        <v>San Francisco Bay Area</v>
      </c>
      <c r="E619" s="3" t="str">
        <f>VLOOKUP(C619,layoffs_location!A:C,3,FALSE)</f>
        <v>California</v>
      </c>
      <c r="F619" s="3" t="str">
        <f>VLOOKUP(C619,layoffs_location!A:D,4,FALSE)</f>
        <v>USA</v>
      </c>
      <c r="G619" s="3" t="str">
        <f>VLOOKUP(C619,layoffs_location!A:E,5,FALSE)</f>
        <v>North America</v>
      </c>
      <c r="H619" s="3">
        <v>100</v>
      </c>
      <c r="I619" s="8">
        <v>44777</v>
      </c>
      <c r="J619" s="9">
        <v>8</v>
      </c>
      <c r="K619" s="10">
        <v>1250</v>
      </c>
      <c r="L619" s="10">
        <v>1150</v>
      </c>
      <c r="M619" s="3" t="s">
        <v>21</v>
      </c>
      <c r="N619" s="3" t="s">
        <v>28</v>
      </c>
      <c r="O619" s="34">
        <v>242</v>
      </c>
      <c r="P619" s="3">
        <v>2022</v>
      </c>
      <c r="Q619" s="3">
        <f>VLOOKUP(C619,layoffs_location!A:F,6,FALSE)</f>
        <v>37.6624312</v>
      </c>
      <c r="R619" s="3">
        <f>VLOOKUP(C619,layoffs_location!A:G,7,FALSE)</f>
        <v>-121.87467890000001</v>
      </c>
    </row>
    <row r="620" spans="1:18" x14ac:dyDescent="0.2">
      <c r="A620" s="3">
        <v>619</v>
      </c>
      <c r="B620" s="3" t="s">
        <v>618</v>
      </c>
      <c r="C620" s="3" t="s">
        <v>1715</v>
      </c>
      <c r="D620" s="3" t="str">
        <f>VLOOKUP(C620,layoffs_location!A:B,2,FALSE)</f>
        <v>other</v>
      </c>
      <c r="E620" s="3" t="str">
        <f>VLOOKUP(C620,layoffs_location!A:C,3,FALSE)</f>
        <v>California</v>
      </c>
      <c r="F620" s="3" t="str">
        <f>VLOOKUP(C620,layoffs_location!A:D,4,FALSE)</f>
        <v>USA</v>
      </c>
      <c r="G620" s="3" t="str">
        <f>VLOOKUP(C620,layoffs_location!A:E,5,FALSE)</f>
        <v>North America</v>
      </c>
      <c r="H620" s="3">
        <v>250</v>
      </c>
      <c r="I620" s="8">
        <v>44777</v>
      </c>
      <c r="J620" s="9">
        <v>13</v>
      </c>
      <c r="K620" s="10">
        <v>1923</v>
      </c>
      <c r="L620" s="10">
        <v>1673</v>
      </c>
      <c r="M620" s="3" t="s">
        <v>35</v>
      </c>
      <c r="N620" s="3" t="s">
        <v>28</v>
      </c>
      <c r="O620" s="34">
        <v>679</v>
      </c>
      <c r="P620" s="3">
        <v>2022</v>
      </c>
      <c r="Q620" s="3">
        <f>VLOOKUP(C620,layoffs_location!A:F,6,FALSE)</f>
        <v>33.678333600000002</v>
      </c>
      <c r="R620" s="3">
        <f>VLOOKUP(C620,layoffs_location!A:G,7,FALSE)</f>
        <v>-118.000016</v>
      </c>
    </row>
    <row r="621" spans="1:18" x14ac:dyDescent="0.2">
      <c r="A621" s="3">
        <v>620</v>
      </c>
      <c r="B621" s="3" t="s">
        <v>842</v>
      </c>
      <c r="C621" s="3" t="s">
        <v>76</v>
      </c>
      <c r="D621" s="3" t="str">
        <f>VLOOKUP(C621,layoffs_location!A:B,2,FALSE)</f>
        <v>other</v>
      </c>
      <c r="E621" s="3" t="str">
        <f>VLOOKUP(C621,layoffs_location!A:C,3,FALSE)</f>
        <v>California</v>
      </c>
      <c r="F621" s="3" t="str">
        <f>VLOOKUP(C621,layoffs_location!A:D,4,FALSE)</f>
        <v>USA</v>
      </c>
      <c r="G621" s="3" t="str">
        <f>VLOOKUP(C621,layoffs_location!A:E,5,FALSE)</f>
        <v>North America</v>
      </c>
      <c r="H621" s="3">
        <v>200</v>
      </c>
      <c r="I621" s="8">
        <v>44777</v>
      </c>
      <c r="J621" s="9">
        <v>17</v>
      </c>
      <c r="K621" s="10">
        <v>1176</v>
      </c>
      <c r="L621" s="10">
        <v>976</v>
      </c>
      <c r="M621" s="3" t="s">
        <v>16</v>
      </c>
      <c r="N621" s="3" t="s">
        <v>22</v>
      </c>
      <c r="O621" s="34">
        <v>652</v>
      </c>
      <c r="P621" s="3">
        <v>2022</v>
      </c>
      <c r="Q621" s="3">
        <f>VLOOKUP(C621,layoffs_location!A:F,6,FALSE)</f>
        <v>34.053690899999999</v>
      </c>
      <c r="R621" s="3">
        <f>VLOOKUP(C621,layoffs_location!A:G,7,FALSE)</f>
        <v>-118.242766</v>
      </c>
    </row>
    <row r="622" spans="1:18" x14ac:dyDescent="0.2">
      <c r="A622" s="3">
        <v>621</v>
      </c>
      <c r="B622" s="3" t="s">
        <v>844</v>
      </c>
      <c r="C622" s="3" t="s">
        <v>56</v>
      </c>
      <c r="D622" s="3" t="str">
        <f>VLOOKUP(C622,layoffs_location!A:B,2,FALSE)</f>
        <v>other</v>
      </c>
      <c r="E622" s="3" t="str">
        <f>VLOOKUP(C622,layoffs_location!A:C,3,FALSE)</f>
        <v>Maharashtra</v>
      </c>
      <c r="F622" s="3" t="str">
        <f>VLOOKUP(C622,layoffs_location!A:D,4,FALSE)</f>
        <v>India</v>
      </c>
      <c r="G622" s="3" t="str">
        <f>VLOOKUP(C622,layoffs_location!A:E,5,FALSE)</f>
        <v>Asia</v>
      </c>
      <c r="H622" s="3">
        <v>80</v>
      </c>
      <c r="I622" s="8">
        <v>44777</v>
      </c>
      <c r="J622" s="9">
        <v>4</v>
      </c>
      <c r="K622" s="10">
        <v>2000</v>
      </c>
      <c r="L622" s="10">
        <v>1920</v>
      </c>
      <c r="M622" s="3" t="s">
        <v>68</v>
      </c>
      <c r="N622" s="3" t="s">
        <v>36</v>
      </c>
      <c r="O622" s="34">
        <v>166</v>
      </c>
      <c r="P622" s="3">
        <v>2022</v>
      </c>
      <c r="Q622" s="3">
        <f>VLOOKUP(C622,layoffs_location!A:F,6,FALSE)</f>
        <v>19.078545099999999</v>
      </c>
      <c r="R622" s="3">
        <f>VLOOKUP(C622,layoffs_location!A:G,7,FALSE)</f>
        <v>72.878175999999996</v>
      </c>
    </row>
    <row r="623" spans="1:18" ht="16" x14ac:dyDescent="0.2">
      <c r="A623" s="3">
        <v>622</v>
      </c>
      <c r="B623" s="3" t="s">
        <v>845</v>
      </c>
      <c r="C623" s="11" t="s">
        <v>1370</v>
      </c>
      <c r="D623" s="3" t="str">
        <f>VLOOKUP(C623,layoffs_location!A:B,2,FALSE)</f>
        <v>San Francisco Bay Area</v>
      </c>
      <c r="E623" s="3" t="str">
        <f>VLOOKUP(C623,layoffs_location!A:C,3,FALSE)</f>
        <v>California</v>
      </c>
      <c r="F623" s="3" t="str">
        <f>VLOOKUP(C623,layoffs_location!A:D,4,FALSE)</f>
        <v>USA</v>
      </c>
      <c r="G623" s="3" t="str">
        <f>VLOOKUP(C623,layoffs_location!A:E,5,FALSE)</f>
        <v>North America</v>
      </c>
      <c r="H623" s="3">
        <v>73</v>
      </c>
      <c r="I623" s="8">
        <v>44777</v>
      </c>
      <c r="J623" s="9">
        <v>33</v>
      </c>
      <c r="K623" s="10">
        <v>221</v>
      </c>
      <c r="L623" s="10">
        <v>148</v>
      </c>
      <c r="M623" s="3" t="s">
        <v>68</v>
      </c>
      <c r="N623" s="3" t="s">
        <v>69</v>
      </c>
      <c r="O623" s="34">
        <v>20</v>
      </c>
      <c r="P623" s="3">
        <v>2022</v>
      </c>
      <c r="Q623" s="3">
        <f>VLOOKUP(C623,layoffs_location!A:F,6,FALSE)</f>
        <v>37.779258800000001</v>
      </c>
      <c r="R623" s="3">
        <f>VLOOKUP(C623,layoffs_location!A:G,7,FALSE)</f>
        <v>-122.4193286</v>
      </c>
    </row>
    <row r="624" spans="1:18" x14ac:dyDescent="0.2">
      <c r="A624" s="3">
        <v>623</v>
      </c>
      <c r="B624" s="3" t="s">
        <v>731</v>
      </c>
      <c r="C624" s="3" t="s">
        <v>115</v>
      </c>
      <c r="D624" s="3" t="str">
        <f>VLOOKUP(C624,layoffs_location!A:B,2,FALSE)</f>
        <v>other</v>
      </c>
      <c r="E624" s="3" t="str">
        <f>VLOOKUP(C624,layoffs_location!A:C,3,FALSE)</f>
        <v>Quebec</v>
      </c>
      <c r="F624" s="3" t="str">
        <f>VLOOKUP(C624,layoffs_location!A:D,4,FALSE)</f>
        <v>Canada</v>
      </c>
      <c r="G624" s="3" t="str">
        <f>VLOOKUP(C624,layoffs_location!A:E,5,FALSE)</f>
        <v>North America</v>
      </c>
      <c r="H624" s="3">
        <v>70</v>
      </c>
      <c r="I624" s="8">
        <v>44777</v>
      </c>
      <c r="J624" s="9">
        <v>12</v>
      </c>
      <c r="K624" s="10">
        <v>583</v>
      </c>
      <c r="L624" s="10">
        <v>513</v>
      </c>
      <c r="M624" s="3" t="s">
        <v>622</v>
      </c>
      <c r="N624" s="3" t="s">
        <v>49</v>
      </c>
      <c r="O624" s="34">
        <v>163</v>
      </c>
      <c r="P624" s="3">
        <v>2022</v>
      </c>
      <c r="Q624" s="3">
        <f>VLOOKUP(C624,layoffs_location!A:F,6,FALSE)</f>
        <v>45.5031824</v>
      </c>
      <c r="R624" s="3">
        <f>VLOOKUP(C624,layoffs_location!A:G,7,FALSE)</f>
        <v>-73.569806499999999</v>
      </c>
    </row>
    <row r="625" spans="1:18" x14ac:dyDescent="0.2">
      <c r="A625" s="3">
        <v>624</v>
      </c>
      <c r="B625" s="3" t="s">
        <v>443</v>
      </c>
      <c r="C625" s="3" t="s">
        <v>71</v>
      </c>
      <c r="D625" s="3" t="str">
        <f>VLOOKUP(C625,layoffs_location!A:B,2,FALSE)</f>
        <v>other</v>
      </c>
      <c r="E625" s="3" t="str">
        <f>VLOOKUP(C625,layoffs_location!A:C,3,FALSE)</f>
        <v>Massachusetts</v>
      </c>
      <c r="F625" s="3" t="str">
        <f>VLOOKUP(C625,layoffs_location!A:D,4,FALSE)</f>
        <v>USA</v>
      </c>
      <c r="G625" s="3" t="str">
        <f>VLOOKUP(C625,layoffs_location!A:E,5,FALSE)</f>
        <v>North America</v>
      </c>
      <c r="H625" s="3">
        <v>140</v>
      </c>
      <c r="I625" s="8">
        <v>44778</v>
      </c>
      <c r="J625" s="9">
        <v>10</v>
      </c>
      <c r="K625" s="10">
        <v>1400</v>
      </c>
      <c r="L625" s="10">
        <v>1260</v>
      </c>
      <c r="M625" s="3" t="s">
        <v>16</v>
      </c>
      <c r="N625" s="3" t="s">
        <v>33</v>
      </c>
      <c r="O625" s="34">
        <v>30</v>
      </c>
      <c r="P625" s="3">
        <v>2022</v>
      </c>
      <c r="Q625" s="3">
        <f>VLOOKUP(C625,layoffs_location!A:F,6,FALSE)</f>
        <v>42.355433400000003</v>
      </c>
      <c r="R625" s="3">
        <f>VLOOKUP(C625,layoffs_location!A:G,7,FALSE)</f>
        <v>-71.060511000000005</v>
      </c>
    </row>
    <row r="626" spans="1:18" x14ac:dyDescent="0.2">
      <c r="A626" s="3">
        <v>625</v>
      </c>
      <c r="B626" s="3" t="s">
        <v>840</v>
      </c>
      <c r="C626" s="3" t="s">
        <v>179</v>
      </c>
      <c r="D626" s="3" t="str">
        <f>VLOOKUP(C626,layoffs_location!A:B,2,FALSE)</f>
        <v>other</v>
      </c>
      <c r="E626" s="3" t="str">
        <f>VLOOKUP(C626,layoffs_location!A:C,3,FALSE)</f>
        <v>Ontario</v>
      </c>
      <c r="F626" s="3" t="str">
        <f>VLOOKUP(C626,layoffs_location!A:D,4,FALSE)</f>
        <v>Canada</v>
      </c>
      <c r="G626" s="3" t="str">
        <f>VLOOKUP(C626,layoffs_location!A:E,5,FALSE)</f>
        <v>North America</v>
      </c>
      <c r="H626" s="3">
        <v>50</v>
      </c>
      <c r="I626" s="8">
        <v>44778</v>
      </c>
      <c r="J626" s="9">
        <v>10</v>
      </c>
      <c r="K626" s="10">
        <v>500</v>
      </c>
      <c r="L626" s="10">
        <v>450</v>
      </c>
      <c r="M626" s="3" t="s">
        <v>30</v>
      </c>
      <c r="N626" s="3" t="s">
        <v>49</v>
      </c>
      <c r="O626" s="34">
        <v>28</v>
      </c>
      <c r="P626" s="3">
        <v>2022</v>
      </c>
      <c r="Q626" s="3">
        <f>VLOOKUP(C626,layoffs_location!A:F,6,FALSE)</f>
        <v>43.6534817</v>
      </c>
      <c r="R626" s="3">
        <f>VLOOKUP(C626,layoffs_location!A:G,7,FALSE)</f>
        <v>-79.383934699999998</v>
      </c>
    </row>
    <row r="627" spans="1:18" x14ac:dyDescent="0.2">
      <c r="A627" s="3">
        <v>626</v>
      </c>
      <c r="B627" s="3" t="s">
        <v>841</v>
      </c>
      <c r="C627" s="3" t="s">
        <v>179</v>
      </c>
      <c r="D627" s="3" t="str">
        <f>VLOOKUP(C627,layoffs_location!A:B,2,FALSE)</f>
        <v>other</v>
      </c>
      <c r="E627" s="3" t="str">
        <f>VLOOKUP(C627,layoffs_location!A:C,3,FALSE)</f>
        <v>Ontario</v>
      </c>
      <c r="F627" s="3" t="str">
        <f>VLOOKUP(C627,layoffs_location!A:D,4,FALSE)</f>
        <v>Canada</v>
      </c>
      <c r="G627" s="3" t="str">
        <f>VLOOKUP(C627,layoffs_location!A:E,5,FALSE)</f>
        <v>North America</v>
      </c>
      <c r="H627" s="3">
        <v>31</v>
      </c>
      <c r="I627" s="8">
        <v>44778</v>
      </c>
      <c r="J627" s="9">
        <v>17</v>
      </c>
      <c r="K627" s="10">
        <v>182</v>
      </c>
      <c r="L627" s="10">
        <v>151</v>
      </c>
      <c r="M627" s="3" t="s">
        <v>130</v>
      </c>
      <c r="N627" s="3" t="s">
        <v>69</v>
      </c>
      <c r="O627" s="34">
        <v>42</v>
      </c>
      <c r="P627" s="3">
        <v>2022</v>
      </c>
      <c r="Q627" s="3">
        <f>VLOOKUP(C627,layoffs_location!A:F,6,FALSE)</f>
        <v>43.6534817</v>
      </c>
      <c r="R627" s="3">
        <f>VLOOKUP(C627,layoffs_location!A:G,7,FALSE)</f>
        <v>-79.383934699999998</v>
      </c>
    </row>
    <row r="628" spans="1:18" x14ac:dyDescent="0.2">
      <c r="A628" s="3">
        <v>627</v>
      </c>
      <c r="B628" s="3" t="s">
        <v>838</v>
      </c>
      <c r="C628" s="3" t="s">
        <v>154</v>
      </c>
      <c r="D628" s="3" t="str">
        <f>VLOOKUP(C628,layoffs_location!A:B,2,FALSE)</f>
        <v>other</v>
      </c>
      <c r="E628" s="3" t="str">
        <f>VLOOKUP(C628,layoffs_location!A:C,3,FALSE)</f>
        <v>Illinois</v>
      </c>
      <c r="F628" s="3" t="str">
        <f>VLOOKUP(C628,layoffs_location!A:D,4,FALSE)</f>
        <v>USA</v>
      </c>
      <c r="G628" s="3" t="str">
        <f>VLOOKUP(C628,layoffs_location!A:E,5,FALSE)</f>
        <v>North America</v>
      </c>
      <c r="H628" s="3">
        <v>500</v>
      </c>
      <c r="I628" s="8">
        <v>44781</v>
      </c>
      <c r="J628" s="9">
        <v>15</v>
      </c>
      <c r="K628" s="10">
        <v>3333</v>
      </c>
      <c r="L628" s="10">
        <v>2833</v>
      </c>
      <c r="M628" s="3" t="s">
        <v>30</v>
      </c>
      <c r="N628" s="3" t="s">
        <v>28</v>
      </c>
      <c r="P628" s="3">
        <v>2022</v>
      </c>
      <c r="Q628" s="3">
        <f>VLOOKUP(C628,layoffs_location!A:F,6,FALSE)</f>
        <v>41.875561599999997</v>
      </c>
      <c r="R628" s="3">
        <f>VLOOKUP(C628,layoffs_location!A:G,7,FALSE)</f>
        <v>-87.6244212</v>
      </c>
    </row>
    <row r="629" spans="1:18" x14ac:dyDescent="0.2">
      <c r="A629" s="3">
        <v>628</v>
      </c>
      <c r="B629" s="3" t="s">
        <v>467</v>
      </c>
      <c r="C629" s="3" t="s">
        <v>187</v>
      </c>
      <c r="D629" s="3" t="str">
        <f>VLOOKUP(C629,layoffs_location!A:B,2,FALSE)</f>
        <v>other</v>
      </c>
      <c r="E629" s="3" t="str">
        <f>VLOOKUP(C629,layoffs_location!A:C,3,FALSE)</f>
        <v>State of São Paulo</v>
      </c>
      <c r="F629" s="3" t="str">
        <f>VLOOKUP(C629,layoffs_location!A:D,4,FALSE)</f>
        <v>Brazil</v>
      </c>
      <c r="G629" s="3" t="str">
        <f>VLOOKUP(C629,layoffs_location!A:E,5,FALSE)</f>
        <v>South America</v>
      </c>
      <c r="H629" s="3">
        <v>500</v>
      </c>
      <c r="I629" s="8">
        <v>44781</v>
      </c>
      <c r="J629" s="9">
        <v>15</v>
      </c>
      <c r="K629" s="10">
        <v>3333</v>
      </c>
      <c r="L629" s="10">
        <v>2833</v>
      </c>
      <c r="M629" s="3" t="s">
        <v>90</v>
      </c>
      <c r="N629" s="3" t="s">
        <v>63</v>
      </c>
      <c r="O629" s="34">
        <v>507</v>
      </c>
      <c r="P629" s="3">
        <v>2022</v>
      </c>
      <c r="Q629" s="3">
        <f>VLOOKUP(C629,layoffs_location!A:F,6,FALSE)</f>
        <v>-23.550650699999998</v>
      </c>
      <c r="R629" s="3">
        <f>VLOOKUP(C629,layoffs_location!A:G,7,FALSE)</f>
        <v>-46.633382400000002</v>
      </c>
    </row>
    <row r="630" spans="1:18" x14ac:dyDescent="0.2">
      <c r="A630" s="3">
        <v>629</v>
      </c>
      <c r="B630" s="3" t="s">
        <v>839</v>
      </c>
      <c r="C630" s="3" t="s">
        <v>47</v>
      </c>
      <c r="D630" s="3" t="str">
        <f>VLOOKUP(C630,layoffs_location!A:B,2,FALSE)</f>
        <v>other</v>
      </c>
      <c r="E630" s="3" t="str">
        <f>VLOOKUP(C630,layoffs_location!A:C,3,FALSE)</f>
        <v>non</v>
      </c>
      <c r="F630" s="3" t="str">
        <f>VLOOKUP(C630,layoffs_location!A:D,4,FALSE)</f>
        <v>Israel</v>
      </c>
      <c r="G630" s="3" t="str">
        <f>VLOOKUP(C630,layoffs_location!A:E,5,FALSE)</f>
        <v>Asia</v>
      </c>
      <c r="H630" s="3">
        <v>20</v>
      </c>
      <c r="I630" s="8">
        <v>44781</v>
      </c>
      <c r="J630" s="9">
        <v>5</v>
      </c>
      <c r="K630" s="10">
        <v>400</v>
      </c>
      <c r="L630" s="10">
        <v>380</v>
      </c>
      <c r="M630" s="3" t="s">
        <v>130</v>
      </c>
      <c r="N630" s="3" t="s">
        <v>28</v>
      </c>
      <c r="O630" s="34">
        <v>76</v>
      </c>
      <c r="P630" s="3">
        <v>2022</v>
      </c>
      <c r="Q630" s="3">
        <f>VLOOKUP(C630,layoffs_location!A:F,6,FALSE)</f>
        <v>32.0852997</v>
      </c>
      <c r="R630" s="3">
        <f>VLOOKUP(C630,layoffs_location!A:G,7,FALSE)</f>
        <v>34.781806400000001</v>
      </c>
    </row>
    <row r="631" spans="1:18" x14ac:dyDescent="0.2">
      <c r="A631" s="3">
        <v>630</v>
      </c>
      <c r="B631" s="3" t="s">
        <v>832</v>
      </c>
      <c r="C631" s="3" t="s">
        <v>154</v>
      </c>
      <c r="D631" s="3" t="str">
        <f>VLOOKUP(C631,layoffs_location!A:B,2,FALSE)</f>
        <v>other</v>
      </c>
      <c r="E631" s="3" t="str">
        <f>VLOOKUP(C631,layoffs_location!A:C,3,FALSE)</f>
        <v>Illinois</v>
      </c>
      <c r="F631" s="3" t="str">
        <f>VLOOKUP(C631,layoffs_location!A:D,4,FALSE)</f>
        <v>USA</v>
      </c>
      <c r="G631" s="3" t="str">
        <f>VLOOKUP(C631,layoffs_location!A:E,5,FALSE)</f>
        <v>North America</v>
      </c>
      <c r="H631" s="3">
        <v>800</v>
      </c>
      <c r="I631" s="8">
        <v>44782</v>
      </c>
      <c r="J631" s="9">
        <v>20</v>
      </c>
      <c r="K631" s="10">
        <v>4000</v>
      </c>
      <c r="L631" s="10">
        <v>3200</v>
      </c>
      <c r="M631" s="3" t="s">
        <v>21</v>
      </c>
      <c r="N631" s="3" t="s">
        <v>28</v>
      </c>
      <c r="O631" s="34">
        <v>75</v>
      </c>
      <c r="P631" s="3">
        <v>2022</v>
      </c>
      <c r="Q631" s="3">
        <f>VLOOKUP(C631,layoffs_location!A:F,6,FALSE)</f>
        <v>41.875561599999997</v>
      </c>
      <c r="R631" s="3">
        <f>VLOOKUP(C631,layoffs_location!A:G,7,FALSE)</f>
        <v>-87.6244212</v>
      </c>
    </row>
    <row r="632" spans="1:18" x14ac:dyDescent="0.2">
      <c r="A632" s="3">
        <v>631</v>
      </c>
      <c r="B632" s="3" t="s">
        <v>535</v>
      </c>
      <c r="C632" s="3" t="s">
        <v>271</v>
      </c>
      <c r="D632" s="3" t="str">
        <f>VLOOKUP(C632,layoffs_location!A:B,2,FALSE)</f>
        <v>Cascadia</v>
      </c>
      <c r="E632" s="3" t="str">
        <f>VLOOKUP(C632,layoffs_location!A:C,3,FALSE)</f>
        <v>British Columbia</v>
      </c>
      <c r="F632" s="3" t="str">
        <f>VLOOKUP(C632,layoffs_location!A:D,4,FALSE)</f>
        <v>Canada</v>
      </c>
      <c r="G632" s="3" t="str">
        <f>VLOOKUP(C632,layoffs_location!A:E,5,FALSE)</f>
        <v>North America</v>
      </c>
      <c r="H632" s="3">
        <v>400</v>
      </c>
      <c r="I632" s="8">
        <v>44782</v>
      </c>
      <c r="J632" s="9">
        <v>30</v>
      </c>
      <c r="K632" s="10">
        <v>1333</v>
      </c>
      <c r="L632" s="10">
        <v>933</v>
      </c>
      <c r="M632" s="3" t="s">
        <v>130</v>
      </c>
      <c r="N632" s="3" t="s">
        <v>41</v>
      </c>
      <c r="O632" s="34">
        <v>300</v>
      </c>
      <c r="P632" s="3">
        <v>2022</v>
      </c>
      <c r="Q632" s="3">
        <f>VLOOKUP(C632,layoffs_location!A:F,6,FALSE)</f>
        <v>49.260872399999997</v>
      </c>
      <c r="R632" s="3">
        <f>VLOOKUP(C632,layoffs_location!A:G,7,FALSE)</f>
        <v>-123.113952</v>
      </c>
    </row>
    <row r="633" spans="1:18" x14ac:dyDescent="0.2">
      <c r="A633" s="3">
        <v>632</v>
      </c>
      <c r="B633" s="3" t="s">
        <v>266</v>
      </c>
      <c r="C633" s="3" t="s">
        <v>267</v>
      </c>
      <c r="D633" s="3" t="str">
        <f>VLOOKUP(C633,layoffs_location!A:B,2,FALSE)</f>
        <v>other</v>
      </c>
      <c r="E633" s="3" t="str">
        <f>VLOOKUP(C633,layoffs_location!A:C,3,FALSE)</f>
        <v>Victoria</v>
      </c>
      <c r="F633" s="3" t="str">
        <f>VLOOKUP(C633,layoffs_location!A:D,4,FALSE)</f>
        <v>Australia</v>
      </c>
      <c r="G633" s="3" t="str">
        <f>VLOOKUP(C633,layoffs_location!A:E,5,FALSE)</f>
        <v>Oceana</v>
      </c>
      <c r="H633" s="3">
        <v>50</v>
      </c>
      <c r="I633" s="8">
        <v>44782</v>
      </c>
      <c r="J633" s="9">
        <v>17</v>
      </c>
      <c r="K633" s="10">
        <v>294</v>
      </c>
      <c r="L633" s="10">
        <v>244</v>
      </c>
      <c r="M633" s="3" t="s">
        <v>16</v>
      </c>
      <c r="N633" s="3" t="s">
        <v>22</v>
      </c>
      <c r="O633" s="34">
        <v>165</v>
      </c>
      <c r="P633" s="3">
        <v>2022</v>
      </c>
      <c r="Q633" s="3">
        <f>VLOOKUP(C633,layoffs_location!A:F,6,FALSE)</f>
        <v>-37.814245399999997</v>
      </c>
      <c r="R633" s="3">
        <f>VLOOKUP(C633,layoffs_location!A:G,7,FALSE)</f>
        <v>144.9631732</v>
      </c>
    </row>
    <row r="634" spans="1:18" x14ac:dyDescent="0.2">
      <c r="A634" s="3">
        <v>633</v>
      </c>
      <c r="B634" s="3" t="s">
        <v>835</v>
      </c>
      <c r="C634" s="3" t="s">
        <v>836</v>
      </c>
      <c r="D634" s="3" t="str">
        <f>VLOOKUP(C634,layoffs_location!A:B,2,FALSE)</f>
        <v>other</v>
      </c>
      <c r="E634" s="3" t="str">
        <f>VLOOKUP(C634,layoffs_location!A:C,3,FALSE)</f>
        <v>State of Paraná</v>
      </c>
      <c r="F634" s="3" t="str">
        <f>VLOOKUP(C634,layoffs_location!A:D,4,FALSE)</f>
        <v>Brazil</v>
      </c>
      <c r="G634" s="3" t="str">
        <f>VLOOKUP(C634,layoffs_location!A:E,5,FALSE)</f>
        <v>South America</v>
      </c>
      <c r="H634" s="3">
        <v>60</v>
      </c>
      <c r="I634" s="8">
        <v>44782</v>
      </c>
      <c r="J634" s="9">
        <v>3</v>
      </c>
      <c r="K634" s="10">
        <v>2000</v>
      </c>
      <c r="L634" s="10">
        <v>1940</v>
      </c>
      <c r="M634" s="3" t="s">
        <v>30</v>
      </c>
      <c r="N634" s="3" t="s">
        <v>36</v>
      </c>
      <c r="O634" s="34">
        <v>338</v>
      </c>
      <c r="P634" s="3">
        <v>2022</v>
      </c>
      <c r="Q634" s="3">
        <f>VLOOKUP(C634,layoffs_location!A:F,6,FALSE)</f>
        <v>-25.4295963</v>
      </c>
      <c r="R634" s="3">
        <f>VLOOKUP(C634,layoffs_location!A:G,7,FALSE)</f>
        <v>-49.271272400000001</v>
      </c>
    </row>
    <row r="635" spans="1:18" x14ac:dyDescent="0.2">
      <c r="A635" s="3">
        <v>634</v>
      </c>
      <c r="B635" s="3" t="s">
        <v>833</v>
      </c>
      <c r="C635" s="3" t="s">
        <v>1694</v>
      </c>
      <c r="D635" s="3" t="str">
        <f>VLOOKUP(C635,layoffs_location!A:B,2,FALSE)</f>
        <v>San Francisco Bay Area</v>
      </c>
      <c r="E635" s="3" t="str">
        <f>VLOOKUP(C635,layoffs_location!A:C,3,FALSE)</f>
        <v>California</v>
      </c>
      <c r="F635" s="3" t="str">
        <f>VLOOKUP(C635,layoffs_location!A:D,4,FALSE)</f>
        <v>USA</v>
      </c>
      <c r="G635" s="3" t="str">
        <f>VLOOKUP(C635,layoffs_location!A:E,5,FALSE)</f>
        <v>North America</v>
      </c>
      <c r="H635" s="3">
        <v>270</v>
      </c>
      <c r="I635" s="8">
        <v>44782</v>
      </c>
      <c r="J635" s="9">
        <v>4</v>
      </c>
      <c r="K635" s="10">
        <v>6750</v>
      </c>
      <c r="L635" s="10">
        <v>6480</v>
      </c>
      <c r="M635" s="3" t="s">
        <v>239</v>
      </c>
      <c r="N635" s="3" t="s">
        <v>28</v>
      </c>
      <c r="O635" s="34">
        <v>1100</v>
      </c>
      <c r="P635" s="3">
        <v>2022</v>
      </c>
      <c r="Q635" s="3">
        <f>VLOOKUP(C635,layoffs_location!A:F,6,FALSE)</f>
        <v>37.336166300000002</v>
      </c>
      <c r="R635" s="3">
        <f>VLOOKUP(C635,layoffs_location!A:G,7,FALSE)</f>
        <v>-121.890591</v>
      </c>
    </row>
    <row r="636" spans="1:18" x14ac:dyDescent="0.2">
      <c r="A636" s="3">
        <v>635</v>
      </c>
      <c r="B636" s="3" t="s">
        <v>834</v>
      </c>
      <c r="C636" s="3" t="s">
        <v>71</v>
      </c>
      <c r="D636" s="3" t="str">
        <f>VLOOKUP(C636,layoffs_location!A:B,2,FALSE)</f>
        <v>other</v>
      </c>
      <c r="E636" s="3" t="str">
        <f>VLOOKUP(C636,layoffs_location!A:C,3,FALSE)</f>
        <v>Massachusetts</v>
      </c>
      <c r="F636" s="3" t="str">
        <f>VLOOKUP(C636,layoffs_location!A:D,4,FALSE)</f>
        <v>USA</v>
      </c>
      <c r="G636" s="3" t="str">
        <f>VLOOKUP(C636,layoffs_location!A:E,5,FALSE)</f>
        <v>North America</v>
      </c>
      <c r="H636" s="3">
        <v>130</v>
      </c>
      <c r="I636" s="8">
        <v>44782</v>
      </c>
      <c r="J636" s="9">
        <v>25</v>
      </c>
      <c r="K636" s="10">
        <v>520</v>
      </c>
      <c r="L636" s="10">
        <v>390</v>
      </c>
      <c r="M636" s="3" t="s">
        <v>21</v>
      </c>
      <c r="N636" s="3" t="s">
        <v>28</v>
      </c>
      <c r="O636" s="34">
        <v>533</v>
      </c>
      <c r="P636" s="3">
        <v>2022</v>
      </c>
      <c r="Q636" s="3">
        <f>VLOOKUP(C636,layoffs_location!A:F,6,FALSE)</f>
        <v>42.355433400000003</v>
      </c>
      <c r="R636" s="3">
        <f>VLOOKUP(C636,layoffs_location!A:G,7,FALSE)</f>
        <v>-71.060511000000005</v>
      </c>
    </row>
    <row r="637" spans="1:18" x14ac:dyDescent="0.2">
      <c r="A637" s="3">
        <v>636</v>
      </c>
      <c r="B637" s="3" t="s">
        <v>837</v>
      </c>
      <c r="C637" s="3" t="s">
        <v>1327</v>
      </c>
      <c r="D637" s="3" t="str">
        <f>VLOOKUP(C637,layoffs_location!A:B,2,FALSE)</f>
        <v>San Francisco Bay Area</v>
      </c>
      <c r="E637" s="3" t="str">
        <f>VLOOKUP(C637,layoffs_location!A:C,3,FALSE)</f>
        <v>California</v>
      </c>
      <c r="F637" s="3" t="str">
        <f>VLOOKUP(C637,layoffs_location!A:D,4,FALSE)</f>
        <v>USA</v>
      </c>
      <c r="G637" s="3" t="str">
        <f>VLOOKUP(C637,layoffs_location!A:E,5,FALSE)</f>
        <v>North America</v>
      </c>
      <c r="H637" s="3">
        <v>48</v>
      </c>
      <c r="I637" s="8">
        <v>44782</v>
      </c>
      <c r="J637" s="9">
        <v>30</v>
      </c>
      <c r="K637" s="10">
        <v>160</v>
      </c>
      <c r="L637" s="10">
        <v>112</v>
      </c>
      <c r="M637" s="3" t="s">
        <v>30</v>
      </c>
      <c r="N637" s="3" t="s">
        <v>41</v>
      </c>
      <c r="O637" s="34">
        <v>114</v>
      </c>
      <c r="P637" s="3">
        <v>2022</v>
      </c>
      <c r="Q637" s="3" t="str">
        <f>VLOOKUP(C637,layoffs_location!A:F,6,FALSE)</f>
        <v xml:space="preserve">	37,910076</v>
      </c>
      <c r="R637" s="3">
        <f>VLOOKUP(C637,layoffs_location!A:G,7,FALSE)</f>
        <v>-122.065186</v>
      </c>
    </row>
    <row r="638" spans="1:18" x14ac:dyDescent="0.2">
      <c r="A638" s="3">
        <v>637</v>
      </c>
      <c r="B638" s="3" t="s">
        <v>344</v>
      </c>
      <c r="C638" s="3" t="s">
        <v>58</v>
      </c>
      <c r="D638" s="3" t="str">
        <f>VLOOKUP(C638,layoffs_location!A:B,2,FALSE)</f>
        <v>other</v>
      </c>
      <c r="E638" s="3" t="str">
        <f>VLOOKUP(C638,layoffs_location!A:C,3,FALSE)</f>
        <v>England</v>
      </c>
      <c r="F638" s="3" t="str">
        <f>VLOOKUP(C638,layoffs_location!A:D,4,FALSE)</f>
        <v>UK</v>
      </c>
      <c r="G638" s="3" t="str">
        <f>VLOOKUP(C638,layoffs_location!A:E,5,FALSE)</f>
        <v>Europe</v>
      </c>
      <c r="H638" s="3">
        <v>30</v>
      </c>
      <c r="I638" s="8">
        <v>44783</v>
      </c>
      <c r="J638" s="9">
        <v>12</v>
      </c>
      <c r="K638" s="10">
        <v>250</v>
      </c>
      <c r="L638" s="10">
        <v>220</v>
      </c>
      <c r="M638" s="3" t="s">
        <v>130</v>
      </c>
      <c r="N638" s="3" t="s">
        <v>41</v>
      </c>
      <c r="O638" s="34">
        <v>105</v>
      </c>
      <c r="P638" s="3">
        <v>2022</v>
      </c>
      <c r="Q638" s="3">
        <f>VLOOKUP(C638,layoffs_location!A:F,6,FALSE)</f>
        <v>51.489333500000001</v>
      </c>
      <c r="R638" s="3">
        <f>VLOOKUP(C638,layoffs_location!A:G,7,FALSE)</f>
        <v>-0.14405508452768701</v>
      </c>
    </row>
    <row r="639" spans="1:18" x14ac:dyDescent="0.2">
      <c r="A639" s="3">
        <v>638</v>
      </c>
      <c r="B639" s="3" t="s">
        <v>258</v>
      </c>
      <c r="C639" s="3" t="s">
        <v>187</v>
      </c>
      <c r="D639" s="3" t="str">
        <f>VLOOKUP(C639,layoffs_location!A:B,2,FALSE)</f>
        <v>other</v>
      </c>
      <c r="E639" s="3" t="str">
        <f>VLOOKUP(C639,layoffs_location!A:C,3,FALSE)</f>
        <v>State of São Paulo</v>
      </c>
      <c r="F639" s="3" t="str">
        <f>VLOOKUP(C639,layoffs_location!A:D,4,FALSE)</f>
        <v>Brazil</v>
      </c>
      <c r="G639" s="3" t="str">
        <f>VLOOKUP(C639,layoffs_location!A:E,5,FALSE)</f>
        <v>South America</v>
      </c>
      <c r="H639" s="3">
        <v>47</v>
      </c>
      <c r="I639" s="8">
        <v>44783</v>
      </c>
      <c r="J639" s="9">
        <v>10</v>
      </c>
      <c r="K639" s="10">
        <v>470</v>
      </c>
      <c r="L639" s="10">
        <v>423</v>
      </c>
      <c r="M639" s="3" t="s">
        <v>68</v>
      </c>
      <c r="N639" s="3" t="s">
        <v>49</v>
      </c>
      <c r="O639" s="34">
        <v>40</v>
      </c>
      <c r="P639" s="3">
        <v>2022</v>
      </c>
      <c r="Q639" s="3">
        <f>VLOOKUP(C639,layoffs_location!A:F,6,FALSE)</f>
        <v>-23.550650699999998</v>
      </c>
      <c r="R639" s="3">
        <f>VLOOKUP(C639,layoffs_location!A:G,7,FALSE)</f>
        <v>-46.633382400000002</v>
      </c>
    </row>
    <row r="640" spans="1:18" x14ac:dyDescent="0.2">
      <c r="A640" s="3">
        <v>639</v>
      </c>
      <c r="B640" s="3" t="s">
        <v>829</v>
      </c>
      <c r="C640" s="3" t="s">
        <v>1370</v>
      </c>
      <c r="D640" s="3" t="str">
        <f>VLOOKUP(C640,layoffs_location!A:B,2,FALSE)</f>
        <v>San Francisco Bay Area</v>
      </c>
      <c r="E640" s="3" t="str">
        <f>VLOOKUP(C640,layoffs_location!A:C,3,FALSE)</f>
        <v>California</v>
      </c>
      <c r="F640" s="3" t="str">
        <f>VLOOKUP(C640,layoffs_location!A:D,4,FALSE)</f>
        <v>USA</v>
      </c>
      <c r="G640" s="3" t="str">
        <f>VLOOKUP(C640,layoffs_location!A:E,5,FALSE)</f>
        <v>North America</v>
      </c>
      <c r="H640" s="3">
        <v>90</v>
      </c>
      <c r="I640" s="8">
        <v>44784</v>
      </c>
      <c r="J640" s="9">
        <v>20</v>
      </c>
      <c r="K640" s="10">
        <v>450</v>
      </c>
      <c r="L640" s="10">
        <v>360</v>
      </c>
      <c r="M640" s="3" t="s">
        <v>21</v>
      </c>
      <c r="N640" s="3" t="s">
        <v>41</v>
      </c>
      <c r="O640" s="34">
        <v>218</v>
      </c>
      <c r="P640" s="3">
        <v>2022</v>
      </c>
      <c r="Q640" s="3">
        <f>VLOOKUP(C640,layoffs_location!A:F,6,FALSE)</f>
        <v>37.779258800000001</v>
      </c>
      <c r="R640" s="3">
        <f>VLOOKUP(C640,layoffs_location!A:G,7,FALSE)</f>
        <v>-122.4193286</v>
      </c>
    </row>
    <row r="641" spans="1:18" x14ac:dyDescent="0.2">
      <c r="A641" s="3">
        <v>640</v>
      </c>
      <c r="B641" s="3" t="s">
        <v>830</v>
      </c>
      <c r="C641" s="3" t="s">
        <v>154</v>
      </c>
      <c r="D641" s="3" t="str">
        <f>VLOOKUP(C641,layoffs_location!A:B,2,FALSE)</f>
        <v>other</v>
      </c>
      <c r="E641" s="3" t="str">
        <f>VLOOKUP(C641,layoffs_location!A:C,3,FALSE)</f>
        <v>Illinois</v>
      </c>
      <c r="F641" s="3" t="str">
        <f>VLOOKUP(C641,layoffs_location!A:D,4,FALSE)</f>
        <v>USA</v>
      </c>
      <c r="G641" s="3" t="str">
        <f>VLOOKUP(C641,layoffs_location!A:E,5,FALSE)</f>
        <v>North America</v>
      </c>
      <c r="H641" s="3">
        <v>60</v>
      </c>
      <c r="I641" s="8">
        <v>44784</v>
      </c>
      <c r="J641" s="9">
        <v>8</v>
      </c>
      <c r="K641" s="10">
        <v>750</v>
      </c>
      <c r="L641" s="10">
        <v>690</v>
      </c>
      <c r="M641" s="3" t="s">
        <v>90</v>
      </c>
      <c r="N641" s="3" t="s">
        <v>108</v>
      </c>
      <c r="O641" s="34">
        <v>201</v>
      </c>
      <c r="P641" s="3">
        <v>2022</v>
      </c>
      <c r="Q641" s="3">
        <f>VLOOKUP(C641,layoffs_location!A:F,6,FALSE)</f>
        <v>41.875561599999997</v>
      </c>
      <c r="R641" s="3">
        <f>VLOOKUP(C641,layoffs_location!A:G,7,FALSE)</f>
        <v>-87.6244212</v>
      </c>
    </row>
    <row r="642" spans="1:18" x14ac:dyDescent="0.2">
      <c r="A642" s="3">
        <v>641</v>
      </c>
      <c r="B642" s="3" t="s">
        <v>831</v>
      </c>
      <c r="C642" s="3" t="s">
        <v>164</v>
      </c>
      <c r="D642" s="3" t="str">
        <f>VLOOKUP(C642,layoffs_location!A:B,2,FALSE)</f>
        <v>other</v>
      </c>
      <c r="E642" s="3" t="str">
        <f>VLOOKUP(C642,layoffs_location!A:C,3,FALSE)</f>
        <v>non</v>
      </c>
      <c r="F642" s="3" t="str">
        <f>VLOOKUP(C642,layoffs_location!A:D,4,FALSE)</f>
        <v>Kenya</v>
      </c>
      <c r="G642" s="3" t="str">
        <f>VLOOKUP(C642,layoffs_location!A:E,5,FALSE)</f>
        <v>Africa</v>
      </c>
      <c r="H642" s="3">
        <v>54</v>
      </c>
      <c r="I642" s="8">
        <v>44784</v>
      </c>
      <c r="J642" s="9">
        <v>9</v>
      </c>
      <c r="K642" s="10">
        <v>600</v>
      </c>
      <c r="L642" s="10">
        <v>546</v>
      </c>
      <c r="M642" s="3" t="s">
        <v>30</v>
      </c>
      <c r="N642" s="3" t="s">
        <v>69</v>
      </c>
      <c r="O642" s="34">
        <v>42</v>
      </c>
      <c r="P642" s="3">
        <v>2022</v>
      </c>
      <c r="Q642" s="3">
        <f>VLOOKUP(C642,layoffs_location!A:F,6,FALSE)</f>
        <v>-1.2832532999999999</v>
      </c>
      <c r="R642" s="3">
        <f>VLOOKUP(C642,layoffs_location!A:G,7,FALSE)</f>
        <v>36.817244899999999</v>
      </c>
    </row>
    <row r="643" spans="1:18" x14ac:dyDescent="0.2">
      <c r="A643" s="3">
        <v>642</v>
      </c>
      <c r="B643" s="3" t="s">
        <v>828</v>
      </c>
      <c r="C643" s="3" t="s">
        <v>1729</v>
      </c>
      <c r="D643" s="3" t="str">
        <f>VLOOKUP(C643,layoffs_location!A:B,2,FALSE)</f>
        <v>San Francisco Bay Area</v>
      </c>
      <c r="E643" s="3" t="str">
        <f>VLOOKUP(C643,layoffs_location!A:C,3,FALSE)</f>
        <v>California</v>
      </c>
      <c r="F643" s="3" t="str">
        <f>VLOOKUP(C643,layoffs_location!A:D,4,FALSE)</f>
        <v>USA</v>
      </c>
      <c r="G643" s="3" t="str">
        <f>VLOOKUP(C643,layoffs_location!A:E,5,FALSE)</f>
        <v>North America</v>
      </c>
      <c r="H643" s="3">
        <v>175</v>
      </c>
      <c r="I643" s="8">
        <v>44784</v>
      </c>
      <c r="J643" s="9">
        <v>33</v>
      </c>
      <c r="K643" s="10">
        <v>530</v>
      </c>
      <c r="L643" s="10">
        <v>355</v>
      </c>
      <c r="M643" s="3" t="s">
        <v>21</v>
      </c>
      <c r="N643" s="3" t="s">
        <v>108</v>
      </c>
      <c r="O643" s="34">
        <v>255</v>
      </c>
      <c r="P643" s="3">
        <v>2022</v>
      </c>
      <c r="Q643" s="3">
        <f>VLOOKUP(C643,layoffs_location!A:F,6,FALSE)</f>
        <v>37.668820500000002</v>
      </c>
      <c r="R643" s="3">
        <f>VLOOKUP(C643,layoffs_location!A:G,7,FALSE)</f>
        <v>-122.08079600000001</v>
      </c>
    </row>
    <row r="644" spans="1:18" x14ac:dyDescent="0.2">
      <c r="A644" s="3">
        <v>643</v>
      </c>
      <c r="B644" s="3" t="s">
        <v>769</v>
      </c>
      <c r="C644" s="3" t="s">
        <v>39</v>
      </c>
      <c r="D644" s="3" t="str">
        <f>VLOOKUP(C644,layoffs_location!A:B,2,FALSE)</f>
        <v>New York</v>
      </c>
      <c r="E644" s="3" t="str">
        <f>VLOOKUP(C644,layoffs_location!A:C,3,FALSE)</f>
        <v>New York</v>
      </c>
      <c r="F644" s="3" t="str">
        <f>VLOOKUP(C644,layoffs_location!A:D,4,FALSE)</f>
        <v>USA</v>
      </c>
      <c r="G644" s="3" t="str">
        <f>VLOOKUP(C644,layoffs_location!A:E,5,FALSE)</f>
        <v>North America</v>
      </c>
      <c r="H644" s="3">
        <v>784</v>
      </c>
      <c r="I644" s="8">
        <v>44785</v>
      </c>
      <c r="J644" s="9">
        <v>13</v>
      </c>
      <c r="K644" s="10">
        <v>6031</v>
      </c>
      <c r="L644" s="10">
        <v>5247</v>
      </c>
      <c r="M644" s="3" t="s">
        <v>399</v>
      </c>
      <c r="N644" s="3" t="s">
        <v>28</v>
      </c>
      <c r="O644" s="34">
        <v>1900</v>
      </c>
      <c r="P644" s="3">
        <v>2022</v>
      </c>
      <c r="Q644" s="3">
        <f>VLOOKUP(C644,layoffs_location!A:F,6,FALSE)</f>
        <v>40.7127281</v>
      </c>
      <c r="R644" s="3">
        <f>VLOOKUP(C644,layoffs_location!A:G,7,FALSE)</f>
        <v>-74.006015199999993</v>
      </c>
    </row>
    <row r="645" spans="1:18" x14ac:dyDescent="0.2">
      <c r="A645" s="3">
        <v>644</v>
      </c>
      <c r="B645" s="3" t="s">
        <v>172</v>
      </c>
      <c r="C645" s="3" t="s">
        <v>1370</v>
      </c>
      <c r="D645" s="3" t="str">
        <f>VLOOKUP(C645,layoffs_location!A:B,2,FALSE)</f>
        <v>San Francisco Bay Area</v>
      </c>
      <c r="E645" s="3" t="str">
        <f>VLOOKUP(C645,layoffs_location!A:C,3,FALSE)</f>
        <v>California</v>
      </c>
      <c r="F645" s="3" t="str">
        <f>VLOOKUP(C645,layoffs_location!A:D,4,FALSE)</f>
        <v>USA</v>
      </c>
      <c r="G645" s="3" t="str">
        <f>VLOOKUP(C645,layoffs_location!A:E,5,FALSE)</f>
        <v>North America</v>
      </c>
      <c r="H645" s="3">
        <v>220</v>
      </c>
      <c r="I645" s="8">
        <v>44788</v>
      </c>
      <c r="J645" s="9">
        <v>12</v>
      </c>
      <c r="K645" s="10">
        <v>1833</v>
      </c>
      <c r="L645" s="10">
        <v>1613</v>
      </c>
      <c r="M645" s="3" t="s">
        <v>35</v>
      </c>
      <c r="N645" s="3" t="s">
        <v>28</v>
      </c>
      <c r="O645" s="34">
        <v>665</v>
      </c>
      <c r="P645" s="3">
        <v>2022</v>
      </c>
      <c r="Q645" s="3">
        <f>VLOOKUP(C645,layoffs_location!A:F,6,FALSE)</f>
        <v>37.779258800000001</v>
      </c>
      <c r="R645" s="3">
        <f>VLOOKUP(C645,layoffs_location!A:G,7,FALSE)</f>
        <v>-122.4193286</v>
      </c>
    </row>
    <row r="646" spans="1:18" x14ac:dyDescent="0.2">
      <c r="A646" s="3">
        <v>645</v>
      </c>
      <c r="B646" s="3" t="s">
        <v>827</v>
      </c>
      <c r="C646" s="3" t="s">
        <v>39</v>
      </c>
      <c r="D646" s="3" t="str">
        <f>VLOOKUP(C646,layoffs_location!A:B,2,FALSE)</f>
        <v>New York</v>
      </c>
      <c r="E646" s="3" t="str">
        <f>VLOOKUP(C646,layoffs_location!A:C,3,FALSE)</f>
        <v>New York</v>
      </c>
      <c r="F646" s="3" t="str">
        <f>VLOOKUP(C646,layoffs_location!A:D,4,FALSE)</f>
        <v>USA</v>
      </c>
      <c r="G646" s="3" t="str">
        <f>VLOOKUP(C646,layoffs_location!A:E,5,FALSE)</f>
        <v>North America</v>
      </c>
      <c r="H646" s="3">
        <v>16</v>
      </c>
      <c r="I646" s="8">
        <v>44788</v>
      </c>
      <c r="J646" s="9">
        <v>37</v>
      </c>
      <c r="K646" s="10">
        <v>43</v>
      </c>
      <c r="L646" s="10">
        <v>27</v>
      </c>
      <c r="M646" s="3" t="s">
        <v>21</v>
      </c>
      <c r="N646" s="3" t="s">
        <v>28</v>
      </c>
      <c r="O646" s="34">
        <v>380</v>
      </c>
      <c r="P646" s="3">
        <v>2022</v>
      </c>
      <c r="Q646" s="3">
        <f>VLOOKUP(C646,layoffs_location!A:F,6,FALSE)</f>
        <v>40.7127281</v>
      </c>
      <c r="R646" s="3">
        <f>VLOOKUP(C646,layoffs_location!A:G,7,FALSE)</f>
        <v>-74.006015199999993</v>
      </c>
    </row>
    <row r="647" spans="1:18" x14ac:dyDescent="0.2">
      <c r="A647" s="3">
        <v>646</v>
      </c>
      <c r="B647" s="3" t="s">
        <v>825</v>
      </c>
      <c r="C647" s="3" t="s">
        <v>826</v>
      </c>
      <c r="D647" s="3" t="str">
        <f>VLOOKUP(C647,layoffs_location!A:B,2,FALSE)</f>
        <v>other</v>
      </c>
      <c r="E647" s="3" t="str">
        <f>VLOOKUP(C647,layoffs_location!A:C,3,FALSE)</f>
        <v>Connecticut</v>
      </c>
      <c r="F647" s="3" t="str">
        <f>VLOOKUP(C647,layoffs_location!A:D,4,FALSE)</f>
        <v>USA</v>
      </c>
      <c r="G647" s="3" t="str">
        <f>VLOOKUP(C647,layoffs_location!A:E,5,FALSE)</f>
        <v>North America</v>
      </c>
      <c r="H647" s="3">
        <v>250</v>
      </c>
      <c r="I647" s="8">
        <v>44788</v>
      </c>
      <c r="J647" s="9">
        <v>13</v>
      </c>
      <c r="K647" s="10">
        <v>1923</v>
      </c>
      <c r="L647" s="10">
        <v>1673</v>
      </c>
      <c r="M647" s="3" t="s">
        <v>21</v>
      </c>
      <c r="N647" s="3" t="s">
        <v>28</v>
      </c>
      <c r="O647" s="34">
        <v>791</v>
      </c>
      <c r="P647" s="3">
        <v>2022</v>
      </c>
      <c r="Q647" s="3">
        <f>VLOOKUP(C647,layoffs_location!A:F,6,FALSE)</f>
        <v>41.053430200000001</v>
      </c>
      <c r="R647" s="3">
        <f>VLOOKUP(C647,layoffs_location!A:G,7,FALSE)</f>
        <v>-73.538734099999999</v>
      </c>
    </row>
    <row r="648" spans="1:18" x14ac:dyDescent="0.2">
      <c r="A648" s="3">
        <v>647</v>
      </c>
      <c r="B648" s="3" t="s">
        <v>821</v>
      </c>
      <c r="C648" s="3" t="s">
        <v>115</v>
      </c>
      <c r="D648" s="3" t="str">
        <f>VLOOKUP(C648,layoffs_location!A:B,2,FALSE)</f>
        <v>other</v>
      </c>
      <c r="E648" s="3" t="str">
        <f>VLOOKUP(C648,layoffs_location!A:C,3,FALSE)</f>
        <v>Quebec</v>
      </c>
      <c r="F648" s="3" t="str">
        <f>VLOOKUP(C648,layoffs_location!A:D,4,FALSE)</f>
        <v>Canada</v>
      </c>
      <c r="G648" s="3" t="str">
        <f>VLOOKUP(C648,layoffs_location!A:E,5,FALSE)</f>
        <v>North America</v>
      </c>
      <c r="H648" s="3">
        <v>80</v>
      </c>
      <c r="I648" s="8">
        <v>44789</v>
      </c>
      <c r="J648" s="9">
        <v>14</v>
      </c>
      <c r="K648" s="10">
        <v>571</v>
      </c>
      <c r="L648" s="10">
        <v>491</v>
      </c>
      <c r="M648" s="3" t="s">
        <v>21</v>
      </c>
      <c r="N648" s="3" t="s">
        <v>108</v>
      </c>
      <c r="O648" s="34">
        <v>293</v>
      </c>
      <c r="P648" s="3">
        <v>2022</v>
      </c>
      <c r="Q648" s="3">
        <f>VLOOKUP(C648,layoffs_location!A:F,6,FALSE)</f>
        <v>45.5031824</v>
      </c>
      <c r="R648" s="3">
        <f>VLOOKUP(C648,layoffs_location!A:G,7,FALSE)</f>
        <v>-73.569806499999999</v>
      </c>
    </row>
    <row r="649" spans="1:18" x14ac:dyDescent="0.2">
      <c r="A649" s="3">
        <v>648</v>
      </c>
      <c r="B649" s="3" t="s">
        <v>822</v>
      </c>
      <c r="C649" s="3" t="s">
        <v>47</v>
      </c>
      <c r="D649" s="3" t="str">
        <f>VLOOKUP(C649,layoffs_location!A:B,2,FALSE)</f>
        <v>other</v>
      </c>
      <c r="E649" s="3" t="str">
        <f>VLOOKUP(C649,layoffs_location!A:C,3,FALSE)</f>
        <v>non</v>
      </c>
      <c r="F649" s="3" t="str">
        <f>VLOOKUP(C649,layoffs_location!A:D,4,FALSE)</f>
        <v>Israel</v>
      </c>
      <c r="G649" s="3" t="str">
        <f>VLOOKUP(C649,layoffs_location!A:E,5,FALSE)</f>
        <v>Asia</v>
      </c>
      <c r="H649" s="3">
        <v>12</v>
      </c>
      <c r="I649" s="8">
        <v>44789</v>
      </c>
      <c r="J649" s="9">
        <v>9</v>
      </c>
      <c r="K649" s="10">
        <v>133</v>
      </c>
      <c r="L649" s="10">
        <v>121</v>
      </c>
      <c r="M649" s="3" t="s">
        <v>79</v>
      </c>
      <c r="N649" s="3" t="s">
        <v>108</v>
      </c>
      <c r="O649" s="34">
        <v>205</v>
      </c>
      <c r="P649" s="3">
        <v>2022</v>
      </c>
      <c r="Q649" s="3">
        <f>VLOOKUP(C649,layoffs_location!A:F,6,FALSE)</f>
        <v>32.0852997</v>
      </c>
      <c r="R649" s="3">
        <f>VLOOKUP(C649,layoffs_location!A:G,7,FALSE)</f>
        <v>34.781806400000001</v>
      </c>
    </row>
    <row r="650" spans="1:18" x14ac:dyDescent="0.2">
      <c r="A650" s="3">
        <v>649</v>
      </c>
      <c r="B650" s="3" t="s">
        <v>823</v>
      </c>
      <c r="C650" s="3" t="s">
        <v>824</v>
      </c>
      <c r="D650" s="3" t="str">
        <f>VLOOKUP(C650,layoffs_location!A:B,2,FALSE)</f>
        <v>other</v>
      </c>
      <c r="E650" s="3" t="str">
        <f>VLOOKUP(C650,layoffs_location!A:C,3,FALSE)</f>
        <v>Indiana</v>
      </c>
      <c r="F650" s="3" t="str">
        <f>VLOOKUP(C650,layoffs_location!A:D,4,FALSE)</f>
        <v>USA</v>
      </c>
      <c r="G650" s="3" t="str">
        <f>VLOOKUP(C650,layoffs_location!A:E,5,FALSE)</f>
        <v>North America</v>
      </c>
      <c r="H650" s="3">
        <v>5</v>
      </c>
      <c r="I650" s="8">
        <v>44789</v>
      </c>
      <c r="J650" s="9">
        <v>15</v>
      </c>
      <c r="K650" s="10">
        <v>33</v>
      </c>
      <c r="L650" s="10">
        <v>28</v>
      </c>
      <c r="M650" s="3" t="s">
        <v>84</v>
      </c>
      <c r="N650" s="3" t="s">
        <v>69</v>
      </c>
      <c r="O650" s="34">
        <v>11</v>
      </c>
      <c r="P650" s="3">
        <v>2022</v>
      </c>
      <c r="Q650" s="3">
        <f>VLOOKUP(C650,layoffs_location!A:F,6,FALSE)</f>
        <v>39.7683331</v>
      </c>
      <c r="R650" s="3">
        <f>VLOOKUP(C650,layoffs_location!A:G,7,FALSE)</f>
        <v>-86.158350200000001</v>
      </c>
    </row>
    <row r="651" spans="1:18" x14ac:dyDescent="0.2">
      <c r="A651" s="3">
        <v>650</v>
      </c>
      <c r="B651" s="3" t="s">
        <v>820</v>
      </c>
      <c r="C651" s="3" t="s">
        <v>1415</v>
      </c>
      <c r="D651" s="3" t="str">
        <f>VLOOKUP(C651,layoffs_location!A:B,2,FALSE)</f>
        <v>San Francisco Bay Area</v>
      </c>
      <c r="E651" s="3" t="str">
        <f>VLOOKUP(C651,layoffs_location!A:C,3,FALSE)</f>
        <v>California</v>
      </c>
      <c r="F651" s="3" t="str">
        <f>VLOOKUP(C651,layoffs_location!A:D,4,FALSE)</f>
        <v>USA</v>
      </c>
      <c r="G651" s="3" t="str">
        <f>VLOOKUP(C651,layoffs_location!A:E,5,FALSE)</f>
        <v>North America</v>
      </c>
      <c r="H651" s="3">
        <v>125</v>
      </c>
      <c r="I651" s="8">
        <v>44790</v>
      </c>
      <c r="J651" s="9">
        <v>14</v>
      </c>
      <c r="K651" s="10">
        <v>893</v>
      </c>
      <c r="L651" s="10">
        <v>768</v>
      </c>
      <c r="M651" s="3" t="s">
        <v>139</v>
      </c>
      <c r="N651" s="3" t="s">
        <v>49</v>
      </c>
      <c r="O651" s="34">
        <v>80</v>
      </c>
      <c r="P651" s="3">
        <v>2022</v>
      </c>
      <c r="Q651" s="3">
        <f>VLOOKUP(C651,layoffs_location!A:F,6,FALSE)</f>
        <v>37.354106999999999</v>
      </c>
      <c r="R651" s="3">
        <f>VLOOKUP(C651,layoffs_location!A:G,7,FALSE)</f>
        <v>-121.95523799999999</v>
      </c>
    </row>
    <row r="652" spans="1:18" ht="16" x14ac:dyDescent="0.2">
      <c r="A652" s="3">
        <v>651</v>
      </c>
      <c r="B652" s="3" t="s">
        <v>238</v>
      </c>
      <c r="C652" s="11" t="s">
        <v>1370</v>
      </c>
      <c r="D652" s="3" t="str">
        <f>VLOOKUP(C652,layoffs_location!A:B,2,FALSE)</f>
        <v>San Francisco Bay Area</v>
      </c>
      <c r="E652" s="3" t="str">
        <f>VLOOKUP(C652,layoffs_location!A:C,3,FALSE)</f>
        <v>California</v>
      </c>
      <c r="F652" s="3" t="str">
        <f>VLOOKUP(C652,layoffs_location!A:D,4,FALSE)</f>
        <v>USA</v>
      </c>
      <c r="G652" s="3" t="str">
        <f>VLOOKUP(C652,layoffs_location!A:E,5,FALSE)</f>
        <v>North America</v>
      </c>
      <c r="H652" s="3">
        <v>110</v>
      </c>
      <c r="I652" s="8">
        <v>44791</v>
      </c>
      <c r="J652" s="9">
        <v>5</v>
      </c>
      <c r="K652" s="10">
        <v>2200</v>
      </c>
      <c r="L652" s="10">
        <v>2090</v>
      </c>
      <c r="M652" s="3" t="s">
        <v>239</v>
      </c>
      <c r="N652" s="3" t="s">
        <v>28</v>
      </c>
      <c r="O652" s="34">
        <v>214</v>
      </c>
      <c r="P652" s="3">
        <v>2022</v>
      </c>
      <c r="Q652" s="3">
        <f>VLOOKUP(C652,layoffs_location!A:F,6,FALSE)</f>
        <v>37.779258800000001</v>
      </c>
      <c r="R652" s="3">
        <f>VLOOKUP(C652,layoffs_location!A:G,7,FALSE)</f>
        <v>-122.4193286</v>
      </c>
    </row>
    <row r="653" spans="1:18" x14ac:dyDescent="0.2">
      <c r="A653" s="3">
        <v>652</v>
      </c>
      <c r="B653" s="3" t="s">
        <v>476</v>
      </c>
      <c r="C653" s="3" t="s">
        <v>83</v>
      </c>
      <c r="D653" s="3" t="str">
        <f>VLOOKUP(C653,layoffs_location!A:B,2,FALSE)</f>
        <v>other</v>
      </c>
      <c r="E653" s="3" t="str">
        <f>VLOOKUP(C653,layoffs_location!A:C,3,FALSE)</f>
        <v>Texas</v>
      </c>
      <c r="F653" s="3" t="str">
        <f>VLOOKUP(C653,layoffs_location!A:D,4,FALSE)</f>
        <v>USA</v>
      </c>
      <c r="G653" s="3" t="str">
        <f>VLOOKUP(C653,layoffs_location!A:E,5,FALSE)</f>
        <v>North America</v>
      </c>
      <c r="H653" s="3">
        <v>35</v>
      </c>
      <c r="I653" s="8">
        <v>44791</v>
      </c>
      <c r="J653" s="9">
        <v>17</v>
      </c>
      <c r="K653" s="10">
        <v>206</v>
      </c>
      <c r="L653" s="10">
        <v>171</v>
      </c>
      <c r="M653" s="3" t="s">
        <v>21</v>
      </c>
      <c r="N653" s="3" t="s">
        <v>41</v>
      </c>
      <c r="O653" s="34">
        <v>215</v>
      </c>
      <c r="P653" s="3">
        <v>2022</v>
      </c>
      <c r="Q653" s="3">
        <f>VLOOKUP(C653,layoffs_location!A:F,6,FALSE)</f>
        <v>30.271128600000001</v>
      </c>
      <c r="R653" s="3">
        <f>VLOOKUP(C653,layoffs_location!A:G,7,FALSE)</f>
        <v>-97.743699500000005</v>
      </c>
    </row>
    <row r="654" spans="1:18" x14ac:dyDescent="0.2">
      <c r="A654" s="3">
        <v>653</v>
      </c>
      <c r="B654" s="3" t="s">
        <v>514</v>
      </c>
      <c r="C654" s="3" t="s">
        <v>71</v>
      </c>
      <c r="D654" s="3" t="str">
        <f>VLOOKUP(C654,layoffs_location!A:B,2,FALSE)</f>
        <v>other</v>
      </c>
      <c r="E654" s="3" t="str">
        <f>VLOOKUP(C654,layoffs_location!A:C,3,FALSE)</f>
        <v>Massachusetts</v>
      </c>
      <c r="F654" s="3" t="str">
        <f>VLOOKUP(C654,layoffs_location!A:D,4,FALSE)</f>
        <v>USA</v>
      </c>
      <c r="G654" s="3" t="str">
        <f>VLOOKUP(C654,layoffs_location!A:E,5,FALSE)</f>
        <v>North America</v>
      </c>
      <c r="H654" s="3">
        <v>870</v>
      </c>
      <c r="I654" s="8">
        <v>44792</v>
      </c>
      <c r="J654" s="9">
        <v>5</v>
      </c>
      <c r="K654" s="10">
        <v>17400</v>
      </c>
      <c r="L654" s="10">
        <v>16530</v>
      </c>
      <c r="M654" s="3" t="s">
        <v>30</v>
      </c>
      <c r="N654" s="3" t="s">
        <v>28</v>
      </c>
      <c r="P654" s="3">
        <v>2022</v>
      </c>
      <c r="Q654" s="3">
        <f>VLOOKUP(C654,layoffs_location!A:F,6,FALSE)</f>
        <v>42.355433400000003</v>
      </c>
      <c r="R654" s="3">
        <f>VLOOKUP(C654,layoffs_location!A:G,7,FALSE)</f>
        <v>-71.060511000000005</v>
      </c>
    </row>
    <row r="655" spans="1:18" x14ac:dyDescent="0.2">
      <c r="A655" s="3">
        <v>654</v>
      </c>
      <c r="B655" s="3" t="s">
        <v>819</v>
      </c>
      <c r="C655" s="3" t="s">
        <v>43</v>
      </c>
      <c r="D655" s="3" t="str">
        <f>VLOOKUP(C655,layoffs_location!A:B,2,FALSE)</f>
        <v>Cascadia</v>
      </c>
      <c r="E655" s="3" t="str">
        <f>VLOOKUP(C655,layoffs_location!A:C,3,FALSE)</f>
        <v>Washington</v>
      </c>
      <c r="F655" s="3" t="str">
        <f>VLOOKUP(C655,layoffs_location!A:D,4,FALSE)</f>
        <v>USA</v>
      </c>
      <c r="G655" s="3" t="str">
        <f>VLOOKUP(C655,layoffs_location!A:E,5,FALSE)</f>
        <v>North America</v>
      </c>
      <c r="H655" s="3">
        <v>13</v>
      </c>
      <c r="I655" s="8">
        <v>44793</v>
      </c>
      <c r="J655" s="9">
        <v>3</v>
      </c>
      <c r="K655" s="10">
        <v>433</v>
      </c>
      <c r="L655" s="10">
        <v>420</v>
      </c>
      <c r="M655" s="3" t="s">
        <v>130</v>
      </c>
      <c r="N655" s="3" t="s">
        <v>108</v>
      </c>
      <c r="O655" s="34">
        <v>187</v>
      </c>
      <c r="P655" s="3">
        <v>2022</v>
      </c>
      <c r="Q655" s="3">
        <f>VLOOKUP(C655,layoffs_location!A:F,6,FALSE)</f>
        <v>47.603832099999998</v>
      </c>
      <c r="R655" s="3">
        <f>VLOOKUP(C655,layoffs_location!A:G,7,FALSE)</f>
        <v>-122.330062</v>
      </c>
    </row>
    <row r="656" spans="1:18" x14ac:dyDescent="0.2">
      <c r="A656" s="3">
        <v>655</v>
      </c>
      <c r="B656" s="3" t="s">
        <v>817</v>
      </c>
      <c r="C656" s="3" t="s">
        <v>47</v>
      </c>
      <c r="D656" s="3" t="str">
        <f>VLOOKUP(C656,layoffs_location!A:B,2,FALSE)</f>
        <v>other</v>
      </c>
      <c r="E656" s="3" t="str">
        <f>VLOOKUP(C656,layoffs_location!A:C,3,FALSE)</f>
        <v>non</v>
      </c>
      <c r="F656" s="3" t="str">
        <f>VLOOKUP(C656,layoffs_location!A:D,4,FALSE)</f>
        <v>Israel</v>
      </c>
      <c r="G656" s="3" t="str">
        <f>VLOOKUP(C656,layoffs_location!A:E,5,FALSE)</f>
        <v>Asia</v>
      </c>
      <c r="H656" s="3">
        <v>100</v>
      </c>
      <c r="I656" s="8">
        <v>44794</v>
      </c>
      <c r="J656" s="9">
        <v>14</v>
      </c>
      <c r="K656" s="10">
        <v>714</v>
      </c>
      <c r="L656" s="10">
        <v>614</v>
      </c>
      <c r="M656" s="3" t="s">
        <v>139</v>
      </c>
      <c r="N656" s="3" t="s">
        <v>147</v>
      </c>
      <c r="O656" s="34">
        <v>1</v>
      </c>
      <c r="P656" s="3">
        <v>2022</v>
      </c>
      <c r="Q656" s="3">
        <f>VLOOKUP(C656,layoffs_location!A:F,6,FALSE)</f>
        <v>32.0852997</v>
      </c>
      <c r="R656" s="3">
        <f>VLOOKUP(C656,layoffs_location!A:G,7,FALSE)</f>
        <v>34.781806400000001</v>
      </c>
    </row>
    <row r="657" spans="1:18" x14ac:dyDescent="0.2">
      <c r="A657" s="3">
        <v>656</v>
      </c>
      <c r="B657" s="3" t="s">
        <v>818</v>
      </c>
      <c r="C657" s="3" t="s">
        <v>71</v>
      </c>
      <c r="D657" s="3" t="str">
        <f>VLOOKUP(C657,layoffs_location!A:B,2,FALSE)</f>
        <v>other</v>
      </c>
      <c r="E657" s="3" t="str">
        <f>VLOOKUP(C657,layoffs_location!A:C,3,FALSE)</f>
        <v>Massachusetts</v>
      </c>
      <c r="F657" s="3" t="str">
        <f>VLOOKUP(C657,layoffs_location!A:D,4,FALSE)</f>
        <v>USA</v>
      </c>
      <c r="G657" s="3" t="str">
        <f>VLOOKUP(C657,layoffs_location!A:E,5,FALSE)</f>
        <v>North America</v>
      </c>
      <c r="H657" s="3">
        <v>55</v>
      </c>
      <c r="I657" s="8">
        <v>44794</v>
      </c>
      <c r="J657" s="9">
        <v>10</v>
      </c>
      <c r="K657" s="10">
        <v>550</v>
      </c>
      <c r="L657" s="10">
        <v>495</v>
      </c>
      <c r="M657" s="3" t="s">
        <v>139</v>
      </c>
      <c r="N657" s="3" t="s">
        <v>33</v>
      </c>
      <c r="O657" s="34">
        <v>21</v>
      </c>
      <c r="P657" s="3">
        <v>2022</v>
      </c>
      <c r="Q657" s="3">
        <f>VLOOKUP(C657,layoffs_location!A:F,6,FALSE)</f>
        <v>42.355433400000003</v>
      </c>
      <c r="R657" s="3">
        <f>VLOOKUP(C657,layoffs_location!A:G,7,FALSE)</f>
        <v>-71.060511000000005</v>
      </c>
    </row>
    <row r="658" spans="1:18" x14ac:dyDescent="0.2">
      <c r="A658" s="3">
        <v>657</v>
      </c>
      <c r="B658" s="3" t="s">
        <v>816</v>
      </c>
      <c r="C658" s="3" t="s">
        <v>71</v>
      </c>
      <c r="D658" s="3" t="str">
        <f>VLOOKUP(C658,layoffs_location!A:B,2,FALSE)</f>
        <v>other</v>
      </c>
      <c r="E658" s="3" t="str">
        <f>VLOOKUP(C658,layoffs_location!A:C,3,FALSE)</f>
        <v>Massachusetts</v>
      </c>
      <c r="F658" s="3" t="str">
        <f>VLOOKUP(C658,layoffs_location!A:D,4,FALSE)</f>
        <v>USA</v>
      </c>
      <c r="G658" s="3" t="str">
        <f>VLOOKUP(C658,layoffs_location!A:E,5,FALSE)</f>
        <v>North America</v>
      </c>
      <c r="H658" s="3">
        <v>242</v>
      </c>
      <c r="I658" s="8">
        <v>44796</v>
      </c>
      <c r="J658" s="9">
        <v>26</v>
      </c>
      <c r="K658" s="10">
        <v>930</v>
      </c>
      <c r="L658" s="10">
        <v>688</v>
      </c>
      <c r="M658" s="3" t="s">
        <v>79</v>
      </c>
      <c r="N658" s="3" t="s">
        <v>81</v>
      </c>
      <c r="O658" s="34">
        <v>1000</v>
      </c>
      <c r="P658" s="3">
        <v>2022</v>
      </c>
      <c r="Q658" s="3">
        <f>VLOOKUP(C658,layoffs_location!A:F,6,FALSE)</f>
        <v>42.355433400000003</v>
      </c>
      <c r="R658" s="3">
        <f>VLOOKUP(C658,layoffs_location!A:G,7,FALSE)</f>
        <v>-71.060511000000005</v>
      </c>
    </row>
    <row r="659" spans="1:18" x14ac:dyDescent="0.2">
      <c r="A659" s="3">
        <v>658</v>
      </c>
      <c r="B659" s="3" t="s">
        <v>812</v>
      </c>
      <c r="C659" s="3" t="s">
        <v>39</v>
      </c>
      <c r="D659" s="3" t="str">
        <f>VLOOKUP(C659,layoffs_location!A:B,2,FALSE)</f>
        <v>New York</v>
      </c>
      <c r="E659" s="3" t="str">
        <f>VLOOKUP(C659,layoffs_location!A:C,3,FALSE)</f>
        <v>New York</v>
      </c>
      <c r="F659" s="3" t="str">
        <f>VLOOKUP(C659,layoffs_location!A:D,4,FALSE)</f>
        <v>USA</v>
      </c>
      <c r="G659" s="3" t="str">
        <f>VLOOKUP(C659,layoffs_location!A:E,5,FALSE)</f>
        <v>North America</v>
      </c>
      <c r="H659" s="3">
        <v>138</v>
      </c>
      <c r="I659" s="8">
        <v>44796</v>
      </c>
      <c r="J659" s="9">
        <v>20</v>
      </c>
      <c r="K659" s="10">
        <v>690</v>
      </c>
      <c r="L659" s="10">
        <v>552</v>
      </c>
      <c r="M659" s="3" t="s">
        <v>30</v>
      </c>
      <c r="N659" s="3" t="s">
        <v>22</v>
      </c>
      <c r="O659" s="34">
        <v>472</v>
      </c>
      <c r="P659" s="3">
        <v>2022</v>
      </c>
      <c r="Q659" s="3">
        <f>VLOOKUP(C659,layoffs_location!A:F,6,FALSE)</f>
        <v>40.7127281</v>
      </c>
      <c r="R659" s="3">
        <f>VLOOKUP(C659,layoffs_location!A:G,7,FALSE)</f>
        <v>-74.006015199999993</v>
      </c>
    </row>
    <row r="660" spans="1:18" ht="16" x14ac:dyDescent="0.2">
      <c r="A660" s="3">
        <v>659</v>
      </c>
      <c r="B660" s="3" t="s">
        <v>815</v>
      </c>
      <c r="C660" s="11" t="s">
        <v>1370</v>
      </c>
      <c r="D660" s="3" t="str">
        <f>VLOOKUP(C660,layoffs_location!A:B,2,FALSE)</f>
        <v>San Francisco Bay Area</v>
      </c>
      <c r="E660" s="3" t="str">
        <f>VLOOKUP(C660,layoffs_location!A:C,3,FALSE)</f>
        <v>California</v>
      </c>
      <c r="F660" s="3" t="str">
        <f>VLOOKUP(C660,layoffs_location!A:D,4,FALSE)</f>
        <v>USA</v>
      </c>
      <c r="G660" s="3" t="str">
        <f>VLOOKUP(C660,layoffs_location!A:E,5,FALSE)</f>
        <v>North America</v>
      </c>
      <c r="H660" s="3">
        <v>29</v>
      </c>
      <c r="I660" s="8">
        <v>44796</v>
      </c>
      <c r="J660" s="9">
        <v>50</v>
      </c>
      <c r="K660" s="10">
        <v>58</v>
      </c>
      <c r="L660" s="10">
        <v>29</v>
      </c>
      <c r="M660" s="3" t="s">
        <v>84</v>
      </c>
      <c r="N660" s="3" t="s">
        <v>147</v>
      </c>
      <c r="O660" s="34">
        <v>3</v>
      </c>
      <c r="P660" s="3">
        <v>2022</v>
      </c>
      <c r="Q660" s="3">
        <f>VLOOKUP(C660,layoffs_location!A:F,6,FALSE)</f>
        <v>37.779258800000001</v>
      </c>
      <c r="R660" s="3">
        <f>VLOOKUP(C660,layoffs_location!A:G,7,FALSE)</f>
        <v>-122.4193286</v>
      </c>
    </row>
    <row r="661" spans="1:18" x14ac:dyDescent="0.2">
      <c r="A661" s="3">
        <v>660</v>
      </c>
      <c r="B661" s="3" t="s">
        <v>813</v>
      </c>
      <c r="C661" s="3" t="s">
        <v>179</v>
      </c>
      <c r="D661" s="3" t="str">
        <f>VLOOKUP(C661,layoffs_location!A:B,2,FALSE)</f>
        <v>other</v>
      </c>
      <c r="E661" s="3" t="str">
        <f>VLOOKUP(C661,layoffs_location!A:C,3,FALSE)</f>
        <v>Ontario</v>
      </c>
      <c r="F661" s="3" t="str">
        <f>VLOOKUP(C661,layoffs_location!A:D,4,FALSE)</f>
        <v>Canada</v>
      </c>
      <c r="G661" s="3" t="str">
        <f>VLOOKUP(C661,layoffs_location!A:E,5,FALSE)</f>
        <v>North America</v>
      </c>
      <c r="H661" s="3">
        <v>50</v>
      </c>
      <c r="I661" s="8">
        <v>44796</v>
      </c>
      <c r="J661" s="9">
        <v>8</v>
      </c>
      <c r="K661" s="10">
        <v>625</v>
      </c>
      <c r="L661" s="10">
        <v>575</v>
      </c>
      <c r="M661" s="3" t="s">
        <v>60</v>
      </c>
      <c r="N661" s="3" t="s">
        <v>41</v>
      </c>
      <c r="O661" s="34">
        <v>91</v>
      </c>
      <c r="P661" s="3">
        <v>2022</v>
      </c>
      <c r="Q661" s="3">
        <f>VLOOKUP(C661,layoffs_location!A:F,6,FALSE)</f>
        <v>43.6534817</v>
      </c>
      <c r="R661" s="3">
        <f>VLOOKUP(C661,layoffs_location!A:G,7,FALSE)</f>
        <v>-79.383934699999998</v>
      </c>
    </row>
    <row r="662" spans="1:18" ht="16" x14ac:dyDescent="0.2">
      <c r="A662" s="3">
        <v>661</v>
      </c>
      <c r="B662" s="3" t="s">
        <v>814</v>
      </c>
      <c r="C662" s="11" t="s">
        <v>1370</v>
      </c>
      <c r="D662" s="3" t="str">
        <f>VLOOKUP(C662,layoffs_location!A:B,2,FALSE)</f>
        <v>San Francisco Bay Area</v>
      </c>
      <c r="E662" s="3" t="str">
        <f>VLOOKUP(C662,layoffs_location!A:C,3,FALSE)</f>
        <v>California</v>
      </c>
      <c r="F662" s="3" t="str">
        <f>VLOOKUP(C662,layoffs_location!A:D,4,FALSE)</f>
        <v>USA</v>
      </c>
      <c r="G662" s="3" t="str">
        <f>VLOOKUP(C662,layoffs_location!A:E,5,FALSE)</f>
        <v>North America</v>
      </c>
      <c r="H662" s="3">
        <v>31</v>
      </c>
      <c r="I662" s="8">
        <v>44796</v>
      </c>
      <c r="J662" s="9">
        <v>8</v>
      </c>
      <c r="K662" s="10">
        <v>388</v>
      </c>
      <c r="L662" s="10">
        <v>357</v>
      </c>
      <c r="M662" s="3" t="s">
        <v>84</v>
      </c>
      <c r="N662" s="3" t="s">
        <v>41</v>
      </c>
      <c r="O662" s="34">
        <v>114</v>
      </c>
      <c r="P662" s="3">
        <v>2022</v>
      </c>
      <c r="Q662" s="3">
        <f>VLOOKUP(C662,layoffs_location!A:F,6,FALSE)</f>
        <v>37.779258800000001</v>
      </c>
      <c r="R662" s="3">
        <f>VLOOKUP(C662,layoffs_location!A:G,7,FALSE)</f>
        <v>-122.4193286</v>
      </c>
    </row>
    <row r="663" spans="1:18" x14ac:dyDescent="0.2">
      <c r="A663" s="3">
        <v>662</v>
      </c>
      <c r="B663" s="3" t="s">
        <v>503</v>
      </c>
      <c r="C663" s="3" t="s">
        <v>135</v>
      </c>
      <c r="D663" s="3" t="str">
        <f>VLOOKUP(C663,layoffs_location!A:B,2,FALSE)</f>
        <v>other</v>
      </c>
      <c r="E663" s="3" t="str">
        <f>VLOOKUP(C663,layoffs_location!A:C,3,FALSE)</f>
        <v>Berlin</v>
      </c>
      <c r="F663" s="3" t="str">
        <f>VLOOKUP(C663,layoffs_location!A:D,4,FALSE)</f>
        <v>Germany</v>
      </c>
      <c r="G663" s="3" t="str">
        <f>VLOOKUP(C663,layoffs_location!A:E,5,FALSE)</f>
        <v>Europe</v>
      </c>
      <c r="H663" s="3">
        <v>180</v>
      </c>
      <c r="I663" s="8">
        <v>44796</v>
      </c>
      <c r="J663" s="9">
        <v>16</v>
      </c>
      <c r="K663" s="10">
        <v>1125</v>
      </c>
      <c r="L663" s="10">
        <v>945</v>
      </c>
      <c r="M663" s="3" t="s">
        <v>32</v>
      </c>
      <c r="N663" s="3" t="s">
        <v>108</v>
      </c>
      <c r="O663" s="34">
        <v>646</v>
      </c>
      <c r="P663" s="3">
        <v>2022</v>
      </c>
      <c r="Q663" s="3">
        <f>VLOOKUP(C663,layoffs_location!A:F,6,FALSE)</f>
        <v>52.517036500000003</v>
      </c>
      <c r="R663" s="3">
        <f>VLOOKUP(C663,layoffs_location!A:G,7,FALSE)</f>
        <v>13.3888599</v>
      </c>
    </row>
    <row r="664" spans="1:18" x14ac:dyDescent="0.2">
      <c r="A664" s="3">
        <v>663</v>
      </c>
      <c r="B664" s="3" t="s">
        <v>360</v>
      </c>
      <c r="C664" s="3" t="s">
        <v>83</v>
      </c>
      <c r="D664" s="3" t="str">
        <f>VLOOKUP(C664,layoffs_location!A:B,2,FALSE)</f>
        <v>other</v>
      </c>
      <c r="E664" s="3" t="str">
        <f>VLOOKUP(C664,layoffs_location!A:C,3,FALSE)</f>
        <v>Texas</v>
      </c>
      <c r="F664" s="3" t="str">
        <f>VLOOKUP(C664,layoffs_location!A:D,4,FALSE)</f>
        <v>USA</v>
      </c>
      <c r="G664" s="3" t="str">
        <f>VLOOKUP(C664,layoffs_location!A:E,5,FALSE)</f>
        <v>North America</v>
      </c>
      <c r="H664" s="3">
        <v>15</v>
      </c>
      <c r="I664" s="8">
        <v>44797</v>
      </c>
      <c r="J664" s="9">
        <v>20</v>
      </c>
      <c r="K664" s="10">
        <v>75</v>
      </c>
      <c r="L664" s="10">
        <v>60</v>
      </c>
      <c r="M664" s="3" t="s">
        <v>35</v>
      </c>
      <c r="N664" s="3" t="s">
        <v>69</v>
      </c>
      <c r="O664" s="34">
        <v>24</v>
      </c>
      <c r="P664" s="3">
        <v>2022</v>
      </c>
      <c r="Q664" s="3">
        <f>VLOOKUP(C664,layoffs_location!A:F,6,FALSE)</f>
        <v>30.271128600000001</v>
      </c>
      <c r="R664" s="3">
        <f>VLOOKUP(C664,layoffs_location!A:G,7,FALSE)</f>
        <v>-97.743699500000005</v>
      </c>
    </row>
    <row r="665" spans="1:18" x14ac:dyDescent="0.2">
      <c r="A665" s="3">
        <v>664</v>
      </c>
      <c r="B665" s="3" t="s">
        <v>811</v>
      </c>
      <c r="C665" s="3" t="s">
        <v>1713</v>
      </c>
      <c r="D665" s="3" t="str">
        <f>VLOOKUP(C665,layoffs_location!A:B,2,FALSE)</f>
        <v>San Francisco Bay Area</v>
      </c>
      <c r="E665" s="3" t="str">
        <f>VLOOKUP(C665,layoffs_location!A:C,3,FALSE)</f>
        <v>California</v>
      </c>
      <c r="F665" s="3" t="str">
        <f>VLOOKUP(C665,layoffs_location!A:D,4,FALSE)</f>
        <v>USA</v>
      </c>
      <c r="G665" s="3" t="str">
        <f>VLOOKUP(C665,layoffs_location!A:E,5,FALSE)</f>
        <v>North America</v>
      </c>
      <c r="H665" s="3">
        <v>140</v>
      </c>
      <c r="I665" s="8">
        <v>44797</v>
      </c>
      <c r="J665" s="9">
        <v>100</v>
      </c>
      <c r="K665" s="10">
        <v>140</v>
      </c>
      <c r="L665" s="10">
        <v>0</v>
      </c>
      <c r="M665" s="3" t="s">
        <v>137</v>
      </c>
      <c r="N665" s="3" t="s">
        <v>49</v>
      </c>
      <c r="O665" s="34">
        <v>117</v>
      </c>
      <c r="P665" s="3">
        <v>2022</v>
      </c>
      <c r="Q665" s="3">
        <f>VLOOKUP(C665,layoffs_location!A:F,6,FALSE)</f>
        <v>37.496904000000001</v>
      </c>
      <c r="R665" s="3">
        <f>VLOOKUP(C665,layoffs_location!A:G,7,FALSE)</f>
        <v>-122.33305729999999</v>
      </c>
    </row>
    <row r="666" spans="1:18" x14ac:dyDescent="0.2">
      <c r="A666" s="3">
        <v>665</v>
      </c>
      <c r="B666" s="3" t="s">
        <v>810</v>
      </c>
      <c r="C666" s="3" t="s">
        <v>39</v>
      </c>
      <c r="D666" s="3" t="str">
        <f>VLOOKUP(C666,layoffs_location!A:B,2,FALSE)</f>
        <v>New York</v>
      </c>
      <c r="E666" s="3" t="str">
        <f>VLOOKUP(C666,layoffs_location!A:C,3,FALSE)</f>
        <v>New York</v>
      </c>
      <c r="F666" s="3" t="str">
        <f>VLOOKUP(C666,layoffs_location!A:D,4,FALSE)</f>
        <v>USA</v>
      </c>
      <c r="G666" s="3" t="str">
        <f>VLOOKUP(C666,layoffs_location!A:E,5,FALSE)</f>
        <v>North America</v>
      </c>
      <c r="H666" s="3">
        <v>20</v>
      </c>
      <c r="I666" s="8">
        <v>44799</v>
      </c>
      <c r="J666" s="9">
        <v>7</v>
      </c>
      <c r="K666" s="10">
        <v>286</v>
      </c>
      <c r="L666" s="10">
        <v>266</v>
      </c>
      <c r="M666" s="3" t="s">
        <v>35</v>
      </c>
      <c r="N666" s="3" t="s">
        <v>49</v>
      </c>
      <c r="O666" s="34">
        <v>78</v>
      </c>
      <c r="P666" s="3">
        <v>2022</v>
      </c>
      <c r="Q666" s="3">
        <f>VLOOKUP(C666,layoffs_location!A:F,6,FALSE)</f>
        <v>40.7127281</v>
      </c>
      <c r="R666" s="3">
        <f>VLOOKUP(C666,layoffs_location!A:G,7,FALSE)</f>
        <v>-74.006015199999993</v>
      </c>
    </row>
    <row r="667" spans="1:18" x14ac:dyDescent="0.2">
      <c r="A667" s="3">
        <v>666</v>
      </c>
      <c r="B667" s="3" t="s">
        <v>809</v>
      </c>
      <c r="C667" s="3" t="s">
        <v>260</v>
      </c>
      <c r="D667" s="3" t="str">
        <f>VLOOKUP(C667,layoffs_location!A:B,2,FALSE)</f>
        <v>other</v>
      </c>
      <c r="E667" s="3" t="str">
        <f>VLOOKUP(C667,layoffs_location!A:C,3,FALSE)</f>
        <v>District of Columbia</v>
      </c>
      <c r="F667" s="3" t="str">
        <f>VLOOKUP(C667,layoffs_location!A:D,4,FALSE)</f>
        <v>USA</v>
      </c>
      <c r="G667" s="3" t="str">
        <f>VLOOKUP(C667,layoffs_location!A:E,5,FALSE)</f>
        <v>North America</v>
      </c>
      <c r="H667" s="3">
        <v>95</v>
      </c>
      <c r="I667" s="8">
        <v>44802</v>
      </c>
      <c r="J667" s="9">
        <v>30</v>
      </c>
      <c r="K667" s="10">
        <v>317</v>
      </c>
      <c r="L667" s="10">
        <v>222</v>
      </c>
      <c r="M667" s="3" t="s">
        <v>21</v>
      </c>
      <c r="N667" s="3" t="s">
        <v>49</v>
      </c>
      <c r="O667" s="34">
        <v>44</v>
      </c>
      <c r="P667" s="3">
        <v>2022</v>
      </c>
      <c r="Q667" s="3">
        <f>VLOOKUP(C667,layoffs_location!A:F,6,FALSE)</f>
        <v>38.8950368</v>
      </c>
      <c r="R667" s="3">
        <f>VLOOKUP(C667,layoffs_location!A:G,7,FALSE)</f>
        <v>-77.036542699999998</v>
      </c>
    </row>
    <row r="668" spans="1:18" x14ac:dyDescent="0.2">
      <c r="A668" s="3">
        <v>667</v>
      </c>
      <c r="B668" s="3" t="s">
        <v>807</v>
      </c>
      <c r="C668" s="3" t="s">
        <v>808</v>
      </c>
      <c r="D668" s="3" t="str">
        <f>VLOOKUP(C668,layoffs_location!A:B,2,FALSE)</f>
        <v>other</v>
      </c>
      <c r="E668" s="3" t="str">
        <f>VLOOKUP(C668,layoffs_location!A:C,3,FALSE)</f>
        <v>England</v>
      </c>
      <c r="F668" s="3" t="str">
        <f>VLOOKUP(C668,layoffs_location!A:D,4,FALSE)</f>
        <v>UK</v>
      </c>
      <c r="G668" s="3" t="str">
        <f>VLOOKUP(C668,layoffs_location!A:E,5,FALSE)</f>
        <v>Europe</v>
      </c>
      <c r="H668" s="3">
        <v>38</v>
      </c>
      <c r="I668" s="8">
        <v>44803</v>
      </c>
      <c r="J668" s="9">
        <v>10</v>
      </c>
      <c r="K668" s="10">
        <v>380</v>
      </c>
      <c r="L668" s="10">
        <v>342</v>
      </c>
      <c r="M668" s="3" t="s">
        <v>139</v>
      </c>
      <c r="N668" s="3" t="s">
        <v>41</v>
      </c>
      <c r="O668" s="34">
        <v>123</v>
      </c>
      <c r="P668" s="3">
        <v>2022</v>
      </c>
      <c r="Q668" s="3">
        <f>VLOOKUP(C668,layoffs_location!A:F,6,FALSE)</f>
        <v>51.453802199999998</v>
      </c>
      <c r="R668" s="3">
        <f>VLOOKUP(C668,layoffs_location!A:G,7,FALSE)</f>
        <v>-2.5972985</v>
      </c>
    </row>
    <row r="669" spans="1:18" x14ac:dyDescent="0.2">
      <c r="A669" s="3">
        <v>668</v>
      </c>
      <c r="B669" s="3" t="s">
        <v>806</v>
      </c>
      <c r="C669" s="3" t="s">
        <v>1370</v>
      </c>
      <c r="D669" s="3" t="str">
        <f>VLOOKUP(C669,layoffs_location!A:B,2,FALSE)</f>
        <v>San Francisco Bay Area</v>
      </c>
      <c r="E669" s="3" t="str">
        <f>VLOOKUP(C669,layoffs_location!A:C,3,FALSE)</f>
        <v>California</v>
      </c>
      <c r="F669" s="3" t="str">
        <f>VLOOKUP(C669,layoffs_location!A:D,4,FALSE)</f>
        <v>USA</v>
      </c>
      <c r="G669" s="3" t="str">
        <f>VLOOKUP(C669,layoffs_location!A:E,5,FALSE)</f>
        <v>North America</v>
      </c>
      <c r="H669" s="3">
        <v>29</v>
      </c>
      <c r="I669" s="8">
        <v>44804</v>
      </c>
      <c r="J669" s="9">
        <v>10</v>
      </c>
      <c r="K669" s="10">
        <v>290</v>
      </c>
      <c r="L669" s="10">
        <v>261</v>
      </c>
      <c r="M669" s="3" t="s">
        <v>137</v>
      </c>
      <c r="N669" s="3" t="s">
        <v>108</v>
      </c>
      <c r="O669" s="34">
        <v>169</v>
      </c>
      <c r="P669" s="3">
        <v>2022</v>
      </c>
      <c r="Q669" s="3">
        <f>VLOOKUP(C669,layoffs_location!A:F,6,FALSE)</f>
        <v>37.779258800000001</v>
      </c>
      <c r="R669" s="3">
        <f>VLOOKUP(C669,layoffs_location!A:G,7,FALSE)</f>
        <v>-122.4193286</v>
      </c>
    </row>
    <row r="670" spans="1:18" x14ac:dyDescent="0.2">
      <c r="A670" s="3">
        <v>669</v>
      </c>
      <c r="B670" s="3" t="s">
        <v>804</v>
      </c>
      <c r="C670" s="3" t="s">
        <v>76</v>
      </c>
      <c r="D670" s="3" t="str">
        <f>VLOOKUP(C670,layoffs_location!A:B,2,FALSE)</f>
        <v>other</v>
      </c>
      <c r="E670" s="3" t="str">
        <f>VLOOKUP(C670,layoffs_location!A:C,3,FALSE)</f>
        <v>California</v>
      </c>
      <c r="F670" s="3" t="str">
        <f>VLOOKUP(C670,layoffs_location!A:D,4,FALSE)</f>
        <v>USA</v>
      </c>
      <c r="G670" s="3" t="str">
        <f>VLOOKUP(C670,layoffs_location!A:E,5,FALSE)</f>
        <v>North America</v>
      </c>
      <c r="H670" s="3">
        <v>140</v>
      </c>
      <c r="I670" s="8">
        <v>44804</v>
      </c>
      <c r="J670" s="9">
        <v>16</v>
      </c>
      <c r="K670" s="10">
        <v>875</v>
      </c>
      <c r="L670" s="10">
        <v>735</v>
      </c>
      <c r="M670" s="3" t="s">
        <v>21</v>
      </c>
      <c r="N670" s="3" t="s">
        <v>28</v>
      </c>
      <c r="O670" s="34">
        <v>910</v>
      </c>
      <c r="P670" s="3">
        <v>2022</v>
      </c>
      <c r="Q670" s="3">
        <f>VLOOKUP(C670,layoffs_location!A:F,6,FALSE)</f>
        <v>34.053690899999999</v>
      </c>
      <c r="R670" s="3">
        <f>VLOOKUP(C670,layoffs_location!A:G,7,FALSE)</f>
        <v>-118.242766</v>
      </c>
    </row>
    <row r="671" spans="1:18" x14ac:dyDescent="0.2">
      <c r="A671" s="3">
        <v>670</v>
      </c>
      <c r="B671" s="3" t="s">
        <v>85</v>
      </c>
      <c r="C671" s="3" t="s">
        <v>1473</v>
      </c>
      <c r="D671" s="3" t="str">
        <f>VLOOKUP(C671,layoffs_location!A:B,2,FALSE)</f>
        <v>San Francisco Bay Area</v>
      </c>
      <c r="E671" s="3" t="str">
        <f>VLOOKUP(C671,layoffs_location!A:C,3,FALSE)</f>
        <v>California</v>
      </c>
      <c r="F671" s="3" t="str">
        <f>VLOOKUP(C671,layoffs_location!A:D,4,FALSE)</f>
        <v>USA</v>
      </c>
      <c r="G671" s="3" t="str">
        <f>VLOOKUP(C671,layoffs_location!A:E,5,FALSE)</f>
        <v>North America</v>
      </c>
      <c r="H671" s="3">
        <v>70</v>
      </c>
      <c r="I671" s="8">
        <v>44804</v>
      </c>
      <c r="J671" s="9">
        <v>10</v>
      </c>
      <c r="K671" s="10">
        <v>700</v>
      </c>
      <c r="L671" s="10">
        <v>630</v>
      </c>
      <c r="M671" s="3" t="s">
        <v>35</v>
      </c>
      <c r="N671" s="3" t="s">
        <v>28</v>
      </c>
      <c r="O671" s="34">
        <v>1300</v>
      </c>
      <c r="P671" s="3">
        <v>2022</v>
      </c>
      <c r="Q671" s="3">
        <f>VLOOKUP(C671,layoffs_location!A:F,6,FALSE)</f>
        <v>37.4443293</v>
      </c>
      <c r="R671" s="3">
        <f>VLOOKUP(C671,layoffs_location!A:G,7,FALSE)</f>
        <v>-122.1598465</v>
      </c>
    </row>
    <row r="672" spans="1:18" x14ac:dyDescent="0.2">
      <c r="A672" s="3">
        <v>671</v>
      </c>
      <c r="B672" s="3" t="s">
        <v>721</v>
      </c>
      <c r="C672" s="3" t="s">
        <v>135</v>
      </c>
      <c r="D672" s="3" t="str">
        <f>VLOOKUP(C672,layoffs_location!A:B,2,FALSE)</f>
        <v>other</v>
      </c>
      <c r="E672" s="3" t="str">
        <f>VLOOKUP(C672,layoffs_location!A:C,3,FALSE)</f>
        <v>Berlin</v>
      </c>
      <c r="F672" s="3" t="str">
        <f>VLOOKUP(C672,layoffs_location!A:D,4,FALSE)</f>
        <v>Germany</v>
      </c>
      <c r="G672" s="3" t="str">
        <f>VLOOKUP(C672,layoffs_location!A:E,5,FALSE)</f>
        <v>Europe</v>
      </c>
      <c r="H672" s="3">
        <v>100</v>
      </c>
      <c r="I672" s="8">
        <v>44804</v>
      </c>
      <c r="J672" s="9">
        <v>10</v>
      </c>
      <c r="K672" s="10">
        <v>1000</v>
      </c>
      <c r="L672" s="10">
        <v>900</v>
      </c>
      <c r="M672" s="3" t="s">
        <v>35</v>
      </c>
      <c r="N672" s="3" t="s">
        <v>22</v>
      </c>
      <c r="O672" s="34">
        <v>188</v>
      </c>
      <c r="P672" s="3">
        <v>2022</v>
      </c>
      <c r="Q672" s="3">
        <f>VLOOKUP(C672,layoffs_location!A:F,6,FALSE)</f>
        <v>52.517036500000003</v>
      </c>
      <c r="R672" s="3">
        <f>VLOOKUP(C672,layoffs_location!A:G,7,FALSE)</f>
        <v>13.3888599</v>
      </c>
    </row>
    <row r="673" spans="1:18" x14ac:dyDescent="0.2">
      <c r="A673" s="3">
        <v>672</v>
      </c>
      <c r="B673" s="3" t="s">
        <v>803</v>
      </c>
      <c r="C673" s="3" t="s">
        <v>76</v>
      </c>
      <c r="D673" s="3" t="str">
        <f>VLOOKUP(C673,layoffs_location!A:B,2,FALSE)</f>
        <v>other</v>
      </c>
      <c r="E673" s="3" t="str">
        <f>VLOOKUP(C673,layoffs_location!A:C,3,FALSE)</f>
        <v>California</v>
      </c>
      <c r="F673" s="3" t="str">
        <f>VLOOKUP(C673,layoffs_location!A:D,4,FALSE)</f>
        <v>USA</v>
      </c>
      <c r="G673" s="3" t="str">
        <f>VLOOKUP(C673,layoffs_location!A:E,5,FALSE)</f>
        <v>North America</v>
      </c>
      <c r="H673" s="3">
        <v>1280</v>
      </c>
      <c r="I673" s="8">
        <v>44804</v>
      </c>
      <c r="J673" s="9">
        <v>20</v>
      </c>
      <c r="K673" s="10">
        <v>6400</v>
      </c>
      <c r="L673" s="10">
        <v>5120</v>
      </c>
      <c r="M673" s="3" t="s">
        <v>16</v>
      </c>
      <c r="N673" s="3" t="s">
        <v>28</v>
      </c>
      <c r="O673" s="34">
        <v>4900</v>
      </c>
      <c r="P673" s="3">
        <v>2022</v>
      </c>
      <c r="Q673" s="3">
        <f>VLOOKUP(C673,layoffs_location!A:F,6,FALSE)</f>
        <v>34.053690899999999</v>
      </c>
      <c r="R673" s="3">
        <f>VLOOKUP(C673,layoffs_location!A:G,7,FALSE)</f>
        <v>-118.242766</v>
      </c>
    </row>
    <row r="674" spans="1:18" x14ac:dyDescent="0.2">
      <c r="A674" s="3">
        <v>673</v>
      </c>
      <c r="B674" s="3" t="s">
        <v>805</v>
      </c>
      <c r="C674" s="3" t="s">
        <v>71</v>
      </c>
      <c r="D674" s="3" t="str">
        <f>VLOOKUP(C674,layoffs_location!A:B,2,FALSE)</f>
        <v>other</v>
      </c>
      <c r="E674" s="3" t="str">
        <f>VLOOKUP(C674,layoffs_location!A:C,3,FALSE)</f>
        <v>Massachusetts</v>
      </c>
      <c r="F674" s="3" t="str">
        <f>VLOOKUP(C674,layoffs_location!A:D,4,FALSE)</f>
        <v>USA</v>
      </c>
      <c r="G674" s="3" t="str">
        <f>VLOOKUP(C674,layoffs_location!A:E,5,FALSE)</f>
        <v>North America</v>
      </c>
      <c r="H674" s="3">
        <v>30</v>
      </c>
      <c r="I674" s="8">
        <v>44804</v>
      </c>
      <c r="J674" s="9">
        <v>20</v>
      </c>
      <c r="K674" s="10">
        <v>150</v>
      </c>
      <c r="L674" s="10">
        <v>120</v>
      </c>
      <c r="M674" s="3" t="s">
        <v>21</v>
      </c>
      <c r="N674" s="3" t="s">
        <v>28</v>
      </c>
      <c r="O674" s="34">
        <v>173</v>
      </c>
      <c r="P674" s="3">
        <v>2022</v>
      </c>
      <c r="Q674" s="3">
        <f>VLOOKUP(C674,layoffs_location!A:F,6,FALSE)</f>
        <v>42.355433400000003</v>
      </c>
      <c r="R674" s="3">
        <f>VLOOKUP(C674,layoffs_location!A:G,7,FALSE)</f>
        <v>-71.060511000000005</v>
      </c>
    </row>
    <row r="675" spans="1:18" x14ac:dyDescent="0.2">
      <c r="A675" s="3">
        <v>674</v>
      </c>
      <c r="B675" s="3" t="s">
        <v>801</v>
      </c>
      <c r="C675" s="3" t="s">
        <v>187</v>
      </c>
      <c r="D675" s="3" t="str">
        <f>VLOOKUP(C675,layoffs_location!A:B,2,FALSE)</f>
        <v>other</v>
      </c>
      <c r="E675" s="3" t="str">
        <f>VLOOKUP(C675,layoffs_location!A:C,3,FALSE)</f>
        <v>State of São Paulo</v>
      </c>
      <c r="F675" s="3" t="str">
        <f>VLOOKUP(C675,layoffs_location!A:D,4,FALSE)</f>
        <v>Brazil</v>
      </c>
      <c r="G675" s="3" t="str">
        <f>VLOOKUP(C675,layoffs_location!A:E,5,FALSE)</f>
        <v>South America</v>
      </c>
      <c r="H675" s="3">
        <v>100</v>
      </c>
      <c r="I675" s="8">
        <v>44805</v>
      </c>
      <c r="J675" s="9">
        <v>15</v>
      </c>
      <c r="K675" s="10">
        <v>667</v>
      </c>
      <c r="L675" s="10">
        <v>567</v>
      </c>
      <c r="M675" s="3" t="s">
        <v>117</v>
      </c>
      <c r="N675" s="3" t="s">
        <v>22</v>
      </c>
      <c r="O675" s="34">
        <v>250</v>
      </c>
      <c r="P675" s="3">
        <v>2022</v>
      </c>
      <c r="Q675" s="3">
        <f>VLOOKUP(C675,layoffs_location!A:F,6,FALSE)</f>
        <v>-23.550650699999998</v>
      </c>
      <c r="R675" s="3">
        <f>VLOOKUP(C675,layoffs_location!A:G,7,FALSE)</f>
        <v>-46.633382400000002</v>
      </c>
    </row>
    <row r="676" spans="1:18" x14ac:dyDescent="0.2">
      <c r="A676" s="3">
        <v>675</v>
      </c>
      <c r="B676" s="3" t="s">
        <v>505</v>
      </c>
      <c r="C676" s="3" t="s">
        <v>1370</v>
      </c>
      <c r="D676" s="3" t="str">
        <f>VLOOKUP(C676,layoffs_location!A:B,2,FALSE)</f>
        <v>San Francisco Bay Area</v>
      </c>
      <c r="E676" s="3" t="str">
        <f>VLOOKUP(C676,layoffs_location!A:C,3,FALSE)</f>
        <v>California</v>
      </c>
      <c r="F676" s="3" t="str">
        <f>VLOOKUP(C676,layoffs_location!A:D,4,FALSE)</f>
        <v>USA</v>
      </c>
      <c r="G676" s="3" t="str">
        <f>VLOOKUP(C676,layoffs_location!A:E,5,FALSE)</f>
        <v>North America</v>
      </c>
      <c r="H676" s="3">
        <v>90</v>
      </c>
      <c r="I676" s="8">
        <v>44805</v>
      </c>
      <c r="J676" s="9">
        <v>8</v>
      </c>
      <c r="K676" s="10">
        <v>1125</v>
      </c>
      <c r="L676" s="10">
        <v>1035</v>
      </c>
      <c r="M676" s="3" t="s">
        <v>21</v>
      </c>
      <c r="N676" s="3" t="s">
        <v>36</v>
      </c>
      <c r="O676" s="34">
        <v>379</v>
      </c>
      <c r="P676" s="3">
        <v>2022</v>
      </c>
      <c r="Q676" s="3">
        <f>VLOOKUP(C676,layoffs_location!A:F,6,FALSE)</f>
        <v>37.779258800000001</v>
      </c>
      <c r="R676" s="3">
        <f>VLOOKUP(C676,layoffs_location!A:G,7,FALSE)</f>
        <v>-122.4193286</v>
      </c>
    </row>
    <row r="677" spans="1:18" x14ac:dyDescent="0.2">
      <c r="A677" s="3">
        <v>676</v>
      </c>
      <c r="B677" s="3" t="s">
        <v>802</v>
      </c>
      <c r="C677" s="3" t="s">
        <v>135</v>
      </c>
      <c r="D677" s="3" t="str">
        <f>VLOOKUP(C677,layoffs_location!A:B,2,FALSE)</f>
        <v>other</v>
      </c>
      <c r="E677" s="3" t="str">
        <f>VLOOKUP(C677,layoffs_location!A:C,3,FALSE)</f>
        <v>Berlin</v>
      </c>
      <c r="F677" s="3" t="str">
        <f>VLOOKUP(C677,layoffs_location!A:D,4,FALSE)</f>
        <v>Germany</v>
      </c>
      <c r="G677" s="3" t="str">
        <f>VLOOKUP(C677,layoffs_location!A:E,5,FALSE)</f>
        <v>Europe</v>
      </c>
      <c r="H677" s="3">
        <v>55</v>
      </c>
      <c r="I677" s="8">
        <v>44805</v>
      </c>
      <c r="J677" s="9">
        <v>15</v>
      </c>
      <c r="K677" s="10">
        <v>367</v>
      </c>
      <c r="L677" s="10">
        <v>312</v>
      </c>
      <c r="M677" s="3" t="s">
        <v>399</v>
      </c>
      <c r="N677" s="3" t="s">
        <v>22</v>
      </c>
      <c r="O677" s="34">
        <v>95</v>
      </c>
      <c r="P677" s="3">
        <v>2022</v>
      </c>
      <c r="Q677" s="3">
        <f>VLOOKUP(C677,layoffs_location!A:F,6,FALSE)</f>
        <v>52.517036500000003</v>
      </c>
      <c r="R677" s="3">
        <f>VLOOKUP(C677,layoffs_location!A:G,7,FALSE)</f>
        <v>13.3888599</v>
      </c>
    </row>
    <row r="678" spans="1:18" x14ac:dyDescent="0.2">
      <c r="A678" s="3">
        <v>677</v>
      </c>
      <c r="B678" s="3" t="s">
        <v>800</v>
      </c>
      <c r="C678" s="3" t="s">
        <v>655</v>
      </c>
      <c r="D678" s="3" t="str">
        <f>VLOOKUP(C678,layoffs_location!A:B,2,FALSE)</f>
        <v>other</v>
      </c>
      <c r="E678" s="3" t="str">
        <f>VLOOKUP(C678,layoffs_location!A:C,3,FALSE)</f>
        <v>non</v>
      </c>
      <c r="F678" s="3" t="str">
        <f>VLOOKUP(C678,layoffs_location!A:D,4,FALSE)</f>
        <v>Nigeria</v>
      </c>
      <c r="G678" s="3" t="str">
        <f>VLOOKUP(C678,layoffs_location!A:E,5,FALSE)</f>
        <v>Africa</v>
      </c>
      <c r="H678" s="3">
        <v>23</v>
      </c>
      <c r="I678" s="8">
        <v>44806</v>
      </c>
      <c r="J678" s="9">
        <v>5</v>
      </c>
      <c r="K678" s="10">
        <v>460</v>
      </c>
      <c r="L678" s="10">
        <v>437</v>
      </c>
      <c r="M678" s="3" t="s">
        <v>35</v>
      </c>
      <c r="N678" s="3" t="s">
        <v>49</v>
      </c>
      <c r="O678" s="34">
        <v>91</v>
      </c>
      <c r="P678" s="3">
        <v>2022</v>
      </c>
      <c r="Q678" s="3">
        <f>VLOOKUP(C678,layoffs_location!A:F,6,FALSE)</f>
        <v>6.4550574999999997</v>
      </c>
      <c r="R678" s="3">
        <f>VLOOKUP(C678,layoffs_location!A:G,7,FALSE)</f>
        <v>3.3941794999999999</v>
      </c>
    </row>
    <row r="679" spans="1:18" x14ac:dyDescent="0.2">
      <c r="A679" s="3">
        <v>678</v>
      </c>
      <c r="B679" s="3" t="s">
        <v>798</v>
      </c>
      <c r="C679" s="3" t="s">
        <v>145</v>
      </c>
      <c r="D679" s="3" t="str">
        <f>VLOOKUP(C679,layoffs_location!A:B,2,FALSE)</f>
        <v>Cascadia</v>
      </c>
      <c r="E679" s="3" t="str">
        <f>VLOOKUP(C679,layoffs_location!A:C,3,FALSE)</f>
        <v>Oregon</v>
      </c>
      <c r="F679" s="3" t="str">
        <f>VLOOKUP(C679,layoffs_location!A:D,4,FALSE)</f>
        <v>USA</v>
      </c>
      <c r="G679" s="3" t="str">
        <f>VLOOKUP(C679,layoffs_location!A:E,5,FALSE)</f>
        <v>North America</v>
      </c>
      <c r="H679" s="3">
        <v>40</v>
      </c>
      <c r="I679" s="8">
        <v>44810</v>
      </c>
      <c r="J679" s="9">
        <v>33</v>
      </c>
      <c r="K679" s="10">
        <v>121</v>
      </c>
      <c r="L679" s="10">
        <v>81</v>
      </c>
      <c r="M679" s="3" t="s">
        <v>21</v>
      </c>
      <c r="N679" s="3" t="s">
        <v>49</v>
      </c>
      <c r="O679" s="34">
        <v>42</v>
      </c>
      <c r="P679" s="3">
        <v>2022</v>
      </c>
      <c r="Q679" s="3">
        <f>VLOOKUP(C679,layoffs_location!A:F,6,FALSE)</f>
        <v>45.520247099999999</v>
      </c>
      <c r="R679" s="3">
        <f>VLOOKUP(C679,layoffs_location!A:G,7,FALSE)</f>
        <v>-122.674194</v>
      </c>
    </row>
    <row r="680" spans="1:18" x14ac:dyDescent="0.2">
      <c r="A680" s="3">
        <v>679</v>
      </c>
      <c r="B680" s="3" t="s">
        <v>799</v>
      </c>
      <c r="C680" s="3" t="s">
        <v>47</v>
      </c>
      <c r="D680" s="3" t="str">
        <f>VLOOKUP(C680,layoffs_location!A:B,2,FALSE)</f>
        <v>other</v>
      </c>
      <c r="E680" s="3" t="str">
        <f>VLOOKUP(C680,layoffs_location!A:C,3,FALSE)</f>
        <v>non</v>
      </c>
      <c r="F680" s="3" t="str">
        <f>VLOOKUP(C680,layoffs_location!A:D,4,FALSE)</f>
        <v>Israel</v>
      </c>
      <c r="G680" s="3" t="str">
        <f>VLOOKUP(C680,layoffs_location!A:E,5,FALSE)</f>
        <v>Asia</v>
      </c>
      <c r="H680" s="3">
        <v>30</v>
      </c>
      <c r="I680" s="8">
        <v>44810</v>
      </c>
      <c r="J680" s="9">
        <v>33</v>
      </c>
      <c r="K680" s="10">
        <v>91</v>
      </c>
      <c r="L680" s="10">
        <v>61</v>
      </c>
      <c r="M680" s="3" t="s">
        <v>478</v>
      </c>
      <c r="N680" s="3" t="s">
        <v>41</v>
      </c>
      <c r="O680" s="34">
        <v>41</v>
      </c>
      <c r="P680" s="3">
        <v>2022</v>
      </c>
      <c r="Q680" s="3">
        <f>VLOOKUP(C680,layoffs_location!A:F,6,FALSE)</f>
        <v>32.0852997</v>
      </c>
      <c r="R680" s="3">
        <f>VLOOKUP(C680,layoffs_location!A:G,7,FALSE)</f>
        <v>34.781806400000001</v>
      </c>
    </row>
    <row r="681" spans="1:18" x14ac:dyDescent="0.2">
      <c r="A681" s="3">
        <v>680</v>
      </c>
      <c r="B681" s="3" t="s">
        <v>797</v>
      </c>
      <c r="C681" s="3" t="s">
        <v>1370</v>
      </c>
      <c r="D681" s="3" t="str">
        <f>VLOOKUP(C681,layoffs_location!A:B,2,FALSE)</f>
        <v>San Francisco Bay Area</v>
      </c>
      <c r="E681" s="3" t="str">
        <f>VLOOKUP(C681,layoffs_location!A:C,3,FALSE)</f>
        <v>California</v>
      </c>
      <c r="F681" s="3" t="str">
        <f>VLOOKUP(C681,layoffs_location!A:D,4,FALSE)</f>
        <v>USA</v>
      </c>
      <c r="G681" s="3" t="str">
        <f>VLOOKUP(C681,layoffs_location!A:E,5,FALSE)</f>
        <v>North America</v>
      </c>
      <c r="H681" s="3">
        <v>27</v>
      </c>
      <c r="I681" s="8">
        <v>44811</v>
      </c>
      <c r="J681" s="9">
        <v>3</v>
      </c>
      <c r="K681" s="10">
        <v>900</v>
      </c>
      <c r="L681" s="10">
        <v>873</v>
      </c>
      <c r="M681" s="3" t="s">
        <v>92</v>
      </c>
      <c r="N681" s="3" t="s">
        <v>17</v>
      </c>
      <c r="O681" s="34">
        <v>143</v>
      </c>
      <c r="P681" s="3">
        <v>2022</v>
      </c>
      <c r="Q681" s="3">
        <f>VLOOKUP(C681,layoffs_location!A:F,6,FALSE)</f>
        <v>37.779258800000001</v>
      </c>
      <c r="R681" s="3">
        <f>VLOOKUP(C681,layoffs_location!A:G,7,FALSE)</f>
        <v>-122.4193286</v>
      </c>
    </row>
    <row r="682" spans="1:18" ht="16" x14ac:dyDescent="0.2">
      <c r="A682" s="3">
        <v>681</v>
      </c>
      <c r="B682" s="3" t="s">
        <v>691</v>
      </c>
      <c r="C682" s="11" t="s">
        <v>1370</v>
      </c>
      <c r="D682" s="3" t="str">
        <f>VLOOKUP(C682,layoffs_location!A:B,2,FALSE)</f>
        <v>San Francisco Bay Area</v>
      </c>
      <c r="E682" s="3" t="str">
        <f>VLOOKUP(C682,layoffs_location!A:C,3,FALSE)</f>
        <v>California</v>
      </c>
      <c r="F682" s="3" t="str">
        <f>VLOOKUP(C682,layoffs_location!A:D,4,FALSE)</f>
        <v>USA</v>
      </c>
      <c r="G682" s="3" t="str">
        <f>VLOOKUP(C682,layoffs_location!A:E,5,FALSE)</f>
        <v>North America</v>
      </c>
      <c r="H682" s="3">
        <v>49</v>
      </c>
      <c r="I682" s="8">
        <v>44811</v>
      </c>
      <c r="J682" s="9">
        <v>5</v>
      </c>
      <c r="K682" s="10">
        <v>980</v>
      </c>
      <c r="L682" s="10">
        <v>931</v>
      </c>
      <c r="M682" s="3" t="s">
        <v>274</v>
      </c>
      <c r="N682" s="3" t="s">
        <v>108</v>
      </c>
      <c r="O682" s="34">
        <v>240</v>
      </c>
      <c r="P682" s="3">
        <v>2022</v>
      </c>
      <c r="Q682" s="3">
        <f>VLOOKUP(C682,layoffs_location!A:F,6,FALSE)</f>
        <v>37.779258800000001</v>
      </c>
      <c r="R682" s="3">
        <f>VLOOKUP(C682,layoffs_location!A:G,7,FALSE)</f>
        <v>-122.4193286</v>
      </c>
    </row>
    <row r="683" spans="1:18" x14ac:dyDescent="0.2">
      <c r="A683" s="3">
        <v>682</v>
      </c>
      <c r="B683" s="3" t="s">
        <v>255</v>
      </c>
      <c r="C683" s="3" t="s">
        <v>121</v>
      </c>
      <c r="D683" s="3" t="str">
        <f>VLOOKUP(C683,layoffs_location!A:B,2,FALSE)</f>
        <v>other</v>
      </c>
      <c r="E683" s="3" t="str">
        <f>VLOOKUP(C683,layoffs_location!A:C,3,FALSE)</f>
        <v>North Carolina</v>
      </c>
      <c r="F683" s="3" t="str">
        <f>VLOOKUP(C683,layoffs_location!A:D,4,FALSE)</f>
        <v>USA</v>
      </c>
      <c r="G683" s="3" t="str">
        <f>VLOOKUP(C683,layoffs_location!A:E,5,FALSE)</f>
        <v>North America</v>
      </c>
      <c r="H683" s="3">
        <v>45</v>
      </c>
      <c r="I683" s="8">
        <v>44811</v>
      </c>
      <c r="J683" s="9">
        <v>5</v>
      </c>
      <c r="K683" s="10">
        <v>900</v>
      </c>
      <c r="L683" s="10">
        <v>855</v>
      </c>
      <c r="M683" s="3" t="s">
        <v>48</v>
      </c>
      <c r="N683" s="3" t="s">
        <v>63</v>
      </c>
      <c r="O683" s="34">
        <v>469</v>
      </c>
      <c r="P683" s="3">
        <v>2022</v>
      </c>
      <c r="Q683" s="3">
        <f>VLOOKUP(C683,layoffs_location!A:F,6,FALSE)</f>
        <v>35.780397700000002</v>
      </c>
      <c r="R683" s="3">
        <f>VLOOKUP(C683,layoffs_location!A:G,7,FALSE)</f>
        <v>-78.639098899999993</v>
      </c>
    </row>
    <row r="684" spans="1:18" x14ac:dyDescent="0.2">
      <c r="A684" s="3">
        <v>683</v>
      </c>
      <c r="B684" s="3" t="s">
        <v>796</v>
      </c>
      <c r="C684" s="3" t="s">
        <v>715</v>
      </c>
      <c r="D684" s="3" t="str">
        <f>VLOOKUP(C684,layoffs_location!A:B,2,FALSE)</f>
        <v>other</v>
      </c>
      <c r="E684" s="3" t="str">
        <f>VLOOKUP(C684,layoffs_location!A:C,3,FALSE)</f>
        <v>non</v>
      </c>
      <c r="F684" s="3" t="str">
        <f>VLOOKUP(C684,layoffs_location!A:D,4,FALSE)</f>
        <v>Denmark</v>
      </c>
      <c r="G684" s="3" t="str">
        <f>VLOOKUP(C684,layoffs_location!A:E,5,FALSE)</f>
        <v>Europe</v>
      </c>
      <c r="H684" s="3">
        <v>150</v>
      </c>
      <c r="I684" s="8">
        <v>44811</v>
      </c>
      <c r="J684" s="9">
        <v>100</v>
      </c>
      <c r="K684" s="10">
        <v>150</v>
      </c>
      <c r="L684" s="10">
        <v>0</v>
      </c>
      <c r="M684" s="3" t="s">
        <v>77</v>
      </c>
      <c r="N684" s="3" t="s">
        <v>22</v>
      </c>
      <c r="O684" s="34">
        <v>173</v>
      </c>
      <c r="P684" s="3">
        <v>2022</v>
      </c>
      <c r="Q684" s="3">
        <f>VLOOKUP(C684,layoffs_location!A:F,6,FALSE)</f>
        <v>55.686724300000002</v>
      </c>
      <c r="R684" s="3">
        <f>VLOOKUP(C684,layoffs_location!A:G,7,FALSE)</f>
        <v>12.570072400000001</v>
      </c>
    </row>
    <row r="685" spans="1:18" x14ac:dyDescent="0.2">
      <c r="A685" s="3">
        <v>684</v>
      </c>
      <c r="B685" s="3" t="s">
        <v>793</v>
      </c>
      <c r="C685" s="3" t="s">
        <v>794</v>
      </c>
      <c r="D685" s="3" t="str">
        <f>VLOOKUP(C685,layoffs_location!A:B,2,FALSE)</f>
        <v>other</v>
      </c>
      <c r="E685" s="3" t="str">
        <f>VLOOKUP(C685,layoffs_location!A:C,3,FALSE)</f>
        <v>non</v>
      </c>
      <c r="F685" s="3" t="str">
        <f>VLOOKUP(C685,layoffs_location!A:D,4,FALSE)</f>
        <v>Thailand</v>
      </c>
      <c r="G685" s="3" t="str">
        <f>VLOOKUP(C685,layoffs_location!A:E,5,FALSE)</f>
        <v>Asia</v>
      </c>
      <c r="H685" s="3">
        <v>55</v>
      </c>
      <c r="I685" s="8">
        <v>44812</v>
      </c>
      <c r="J685" s="9">
        <v>8</v>
      </c>
      <c r="K685" s="10">
        <v>688</v>
      </c>
      <c r="L685" s="10">
        <v>633</v>
      </c>
      <c r="M685" s="3" t="s">
        <v>30</v>
      </c>
      <c r="N685" s="3" t="s">
        <v>22</v>
      </c>
      <c r="O685" s="34">
        <v>120</v>
      </c>
      <c r="P685" s="3">
        <v>2022</v>
      </c>
      <c r="Q685" s="3">
        <f>VLOOKUP(C685,layoffs_location!A:F,6,FALSE)</f>
        <v>13.7524938</v>
      </c>
      <c r="R685" s="3">
        <f>VLOOKUP(C685,layoffs_location!A:G,7,FALSE)</f>
        <v>100.49350889999999</v>
      </c>
    </row>
    <row r="686" spans="1:18" x14ac:dyDescent="0.2">
      <c r="A686" s="3">
        <v>685</v>
      </c>
      <c r="B686" s="3" t="s">
        <v>792</v>
      </c>
      <c r="C686" s="3" t="s">
        <v>47</v>
      </c>
      <c r="D686" s="3" t="str">
        <f>VLOOKUP(C686,layoffs_location!A:B,2,FALSE)</f>
        <v>other</v>
      </c>
      <c r="E686" s="3" t="str">
        <f>VLOOKUP(C686,layoffs_location!A:C,3,FALSE)</f>
        <v>non</v>
      </c>
      <c r="F686" s="3" t="str">
        <f>VLOOKUP(C686,layoffs_location!A:D,4,FALSE)</f>
        <v>Israel</v>
      </c>
      <c r="G686" s="3" t="str">
        <f>VLOOKUP(C686,layoffs_location!A:E,5,FALSE)</f>
        <v>Asia</v>
      </c>
      <c r="H686" s="3">
        <v>11</v>
      </c>
      <c r="I686" s="8">
        <v>44816</v>
      </c>
      <c r="J686" s="9">
        <v>28</v>
      </c>
      <c r="K686" s="10">
        <v>39</v>
      </c>
      <c r="L686" s="10">
        <v>28</v>
      </c>
      <c r="M686" s="3" t="s">
        <v>84</v>
      </c>
      <c r="N686" s="3" t="s">
        <v>69</v>
      </c>
      <c r="O686" s="34">
        <v>17</v>
      </c>
      <c r="P686" s="3">
        <v>2022</v>
      </c>
      <c r="Q686" s="3">
        <f>VLOOKUP(C686,layoffs_location!A:F,6,FALSE)</f>
        <v>32.0852997</v>
      </c>
      <c r="R686" s="3">
        <f>VLOOKUP(C686,layoffs_location!A:G,7,FALSE)</f>
        <v>34.781806400000001</v>
      </c>
    </row>
    <row r="687" spans="1:18" x14ac:dyDescent="0.2">
      <c r="A687" s="3">
        <v>686</v>
      </c>
      <c r="B687" s="3" t="s">
        <v>789</v>
      </c>
      <c r="C687" s="3" t="s">
        <v>58</v>
      </c>
      <c r="D687" s="3" t="str">
        <f>VLOOKUP(C687,layoffs_location!A:B,2,FALSE)</f>
        <v>other</v>
      </c>
      <c r="E687" s="3" t="str">
        <f>VLOOKUP(C687,layoffs_location!A:C,3,FALSE)</f>
        <v>England</v>
      </c>
      <c r="F687" s="3" t="str">
        <f>VLOOKUP(C687,layoffs_location!A:D,4,FALSE)</f>
        <v>UK</v>
      </c>
      <c r="G687" s="3" t="str">
        <f>VLOOKUP(C687,layoffs_location!A:E,5,FALSE)</f>
        <v>Europe</v>
      </c>
      <c r="H687" s="3">
        <v>100</v>
      </c>
      <c r="I687" s="8">
        <v>44817</v>
      </c>
      <c r="J687" s="9">
        <v>5</v>
      </c>
      <c r="K687" s="10">
        <v>2000</v>
      </c>
      <c r="L687" s="10">
        <v>1900</v>
      </c>
      <c r="M687" s="3" t="s">
        <v>35</v>
      </c>
      <c r="N687" s="3" t="s">
        <v>108</v>
      </c>
      <c r="O687" s="34">
        <v>1800</v>
      </c>
      <c r="P687" s="3">
        <v>2022</v>
      </c>
      <c r="Q687" s="3">
        <f>VLOOKUP(C687,layoffs_location!A:F,6,FALSE)</f>
        <v>51.489333500000001</v>
      </c>
      <c r="R687" s="3">
        <f>VLOOKUP(C687,layoffs_location!A:G,7,FALSE)</f>
        <v>-0.14405508452768701</v>
      </c>
    </row>
    <row r="688" spans="1:18" ht="16" x14ac:dyDescent="0.2">
      <c r="A688" s="3">
        <v>687</v>
      </c>
      <c r="B688" s="3" t="s">
        <v>791</v>
      </c>
      <c r="C688" s="11" t="s">
        <v>1370</v>
      </c>
      <c r="D688" s="3" t="str">
        <f>VLOOKUP(C688,layoffs_location!A:B,2,FALSE)</f>
        <v>San Francisco Bay Area</v>
      </c>
      <c r="E688" s="3" t="str">
        <f>VLOOKUP(C688,layoffs_location!A:C,3,FALSE)</f>
        <v>California</v>
      </c>
      <c r="F688" s="3" t="str">
        <f>VLOOKUP(C688,layoffs_location!A:D,4,FALSE)</f>
        <v>USA</v>
      </c>
      <c r="G688" s="3" t="str">
        <f>VLOOKUP(C688,layoffs_location!A:E,5,FALSE)</f>
        <v>North America</v>
      </c>
      <c r="H688" s="3">
        <v>80</v>
      </c>
      <c r="I688" s="8">
        <v>44817</v>
      </c>
      <c r="J688" s="9">
        <v>17</v>
      </c>
      <c r="K688" s="10">
        <v>471</v>
      </c>
      <c r="L688" s="10">
        <v>391</v>
      </c>
      <c r="M688" s="3" t="s">
        <v>54</v>
      </c>
      <c r="N688" s="3" t="s">
        <v>63</v>
      </c>
      <c r="O688" s="34">
        <v>413</v>
      </c>
      <c r="P688" s="3">
        <v>2022</v>
      </c>
      <c r="Q688" s="3">
        <f>VLOOKUP(C688,layoffs_location!A:F,6,FALSE)</f>
        <v>37.779258800000001</v>
      </c>
      <c r="R688" s="3">
        <f>VLOOKUP(C688,layoffs_location!A:G,7,FALSE)</f>
        <v>-122.4193286</v>
      </c>
    </row>
    <row r="689" spans="1:18" x14ac:dyDescent="0.2">
      <c r="A689" s="3">
        <v>688</v>
      </c>
      <c r="B689" s="3" t="s">
        <v>788</v>
      </c>
      <c r="C689" s="3" t="s">
        <v>71</v>
      </c>
      <c r="D689" s="3" t="str">
        <f>VLOOKUP(C689,layoffs_location!A:B,2,FALSE)</f>
        <v>other</v>
      </c>
      <c r="E689" s="3" t="str">
        <f>VLOOKUP(C689,layoffs_location!A:C,3,FALSE)</f>
        <v>Massachusetts</v>
      </c>
      <c r="F689" s="3" t="str">
        <f>VLOOKUP(C689,layoffs_location!A:D,4,FALSE)</f>
        <v>USA</v>
      </c>
      <c r="G689" s="3" t="str">
        <f>VLOOKUP(C689,layoffs_location!A:E,5,FALSE)</f>
        <v>North America</v>
      </c>
      <c r="H689" s="3">
        <v>160</v>
      </c>
      <c r="I689" s="8">
        <v>44817</v>
      </c>
      <c r="J689" s="9">
        <v>75</v>
      </c>
      <c r="K689" s="10">
        <v>213</v>
      </c>
      <c r="L689" s="10">
        <v>53</v>
      </c>
      <c r="M689" s="3" t="s">
        <v>21</v>
      </c>
      <c r="N689" s="3" t="s">
        <v>28</v>
      </c>
      <c r="O689" s="34">
        <v>445</v>
      </c>
      <c r="P689" s="3">
        <v>2022</v>
      </c>
      <c r="Q689" s="3">
        <f>VLOOKUP(C689,layoffs_location!A:F,6,FALSE)</f>
        <v>42.355433400000003</v>
      </c>
      <c r="R689" s="3">
        <f>VLOOKUP(C689,layoffs_location!A:G,7,FALSE)</f>
        <v>-71.060511000000005</v>
      </c>
    </row>
    <row r="690" spans="1:18" x14ac:dyDescent="0.2">
      <c r="A690" s="3">
        <v>689</v>
      </c>
      <c r="B690" s="3" t="s">
        <v>790</v>
      </c>
      <c r="C690" s="3" t="s">
        <v>39</v>
      </c>
      <c r="D690" s="3" t="str">
        <f>VLOOKUP(C690,layoffs_location!A:B,2,FALSE)</f>
        <v>New York</v>
      </c>
      <c r="E690" s="3" t="str">
        <f>VLOOKUP(C690,layoffs_location!A:C,3,FALSE)</f>
        <v>New York</v>
      </c>
      <c r="F690" s="3" t="str">
        <f>VLOOKUP(C690,layoffs_location!A:D,4,FALSE)</f>
        <v>USA</v>
      </c>
      <c r="G690" s="3" t="str">
        <f>VLOOKUP(C690,layoffs_location!A:E,5,FALSE)</f>
        <v>North America</v>
      </c>
      <c r="H690" s="3">
        <v>100</v>
      </c>
      <c r="I690" s="8">
        <v>44817</v>
      </c>
      <c r="J690" s="9">
        <v>6</v>
      </c>
      <c r="K690" s="10">
        <v>1667</v>
      </c>
      <c r="L690" s="10">
        <v>1567</v>
      </c>
      <c r="M690" s="3" t="s">
        <v>130</v>
      </c>
      <c r="N690" s="3" t="s">
        <v>28</v>
      </c>
      <c r="O690" s="34">
        <v>445</v>
      </c>
      <c r="P690" s="3">
        <v>2022</v>
      </c>
      <c r="Q690" s="3">
        <f>VLOOKUP(C690,layoffs_location!A:F,6,FALSE)</f>
        <v>40.7127281</v>
      </c>
      <c r="R690" s="3">
        <f>VLOOKUP(C690,layoffs_location!A:G,7,FALSE)</f>
        <v>-74.006015199999993</v>
      </c>
    </row>
    <row r="691" spans="1:18" x14ac:dyDescent="0.2">
      <c r="A691" s="3">
        <v>690</v>
      </c>
      <c r="B691" s="3" t="s">
        <v>645</v>
      </c>
      <c r="C691" s="3" t="s">
        <v>135</v>
      </c>
      <c r="D691" s="3" t="str">
        <f>VLOOKUP(C691,layoffs_location!A:B,2,FALSE)</f>
        <v>other</v>
      </c>
      <c r="E691" s="3" t="str">
        <f>VLOOKUP(C691,layoffs_location!A:C,3,FALSE)</f>
        <v>Berlin</v>
      </c>
      <c r="F691" s="3" t="str">
        <f>VLOOKUP(C691,layoffs_location!A:D,4,FALSE)</f>
        <v>Germany</v>
      </c>
      <c r="G691" s="3" t="str">
        <f>VLOOKUP(C691,layoffs_location!A:E,5,FALSE)</f>
        <v>Europe</v>
      </c>
      <c r="H691" s="3">
        <v>50</v>
      </c>
      <c r="I691" s="8">
        <v>44818</v>
      </c>
      <c r="J691" s="9">
        <v>5</v>
      </c>
      <c r="K691" s="10">
        <v>1000</v>
      </c>
      <c r="L691" s="10">
        <v>950</v>
      </c>
      <c r="M691" s="3" t="s">
        <v>60</v>
      </c>
      <c r="N691" s="3" t="s">
        <v>108</v>
      </c>
      <c r="O691" s="34">
        <v>604</v>
      </c>
      <c r="P691" s="3">
        <v>2022</v>
      </c>
      <c r="Q691" s="3">
        <f>VLOOKUP(C691,layoffs_location!A:F,6,FALSE)</f>
        <v>52.517036500000003</v>
      </c>
      <c r="R691" s="3">
        <f>VLOOKUP(C691,layoffs_location!A:G,7,FALSE)</f>
        <v>13.3888599</v>
      </c>
    </row>
    <row r="692" spans="1:18" x14ac:dyDescent="0.2">
      <c r="A692" s="3">
        <v>691</v>
      </c>
      <c r="B692" s="3" t="s">
        <v>787</v>
      </c>
      <c r="C692" s="3" t="s">
        <v>135</v>
      </c>
      <c r="D692" s="3" t="str">
        <f>VLOOKUP(C692,layoffs_location!A:B,2,FALSE)</f>
        <v>other</v>
      </c>
      <c r="E692" s="3" t="str">
        <f>VLOOKUP(C692,layoffs_location!A:C,3,FALSE)</f>
        <v>Berlin</v>
      </c>
      <c r="F692" s="3" t="str">
        <f>VLOOKUP(C692,layoffs_location!A:D,4,FALSE)</f>
        <v>Germany</v>
      </c>
      <c r="G692" s="3" t="str">
        <f>VLOOKUP(C692,layoffs_location!A:E,5,FALSE)</f>
        <v>Europe</v>
      </c>
      <c r="H692" s="3">
        <v>59</v>
      </c>
      <c r="I692" s="8">
        <v>44818</v>
      </c>
      <c r="J692" s="9">
        <v>30</v>
      </c>
      <c r="K692" s="10">
        <v>197</v>
      </c>
      <c r="L692" s="10">
        <v>138</v>
      </c>
      <c r="M692" s="3" t="s">
        <v>130</v>
      </c>
      <c r="N692" s="3" t="s">
        <v>49</v>
      </c>
      <c r="O692" s="34">
        <v>137</v>
      </c>
      <c r="P692" s="3">
        <v>2022</v>
      </c>
      <c r="Q692" s="3">
        <f>VLOOKUP(C692,layoffs_location!A:F,6,FALSE)</f>
        <v>52.517036500000003</v>
      </c>
      <c r="R692" s="3">
        <f>VLOOKUP(C692,layoffs_location!A:G,7,FALSE)</f>
        <v>13.3888599</v>
      </c>
    </row>
    <row r="693" spans="1:18" ht="16" x14ac:dyDescent="0.2">
      <c r="A693" s="3">
        <v>692</v>
      </c>
      <c r="B693" s="3" t="s">
        <v>441</v>
      </c>
      <c r="C693" s="11" t="s">
        <v>1370</v>
      </c>
      <c r="D693" s="3" t="str">
        <f>VLOOKUP(C693,layoffs_location!A:B,2,FALSE)</f>
        <v>San Francisco Bay Area</v>
      </c>
      <c r="E693" s="3" t="str">
        <f>VLOOKUP(C693,layoffs_location!A:C,3,FALSE)</f>
        <v>California</v>
      </c>
      <c r="F693" s="3" t="str">
        <f>VLOOKUP(C693,layoffs_location!A:D,4,FALSE)</f>
        <v>USA</v>
      </c>
      <c r="G693" s="3" t="str">
        <f>VLOOKUP(C693,layoffs_location!A:E,5,FALSE)</f>
        <v>North America</v>
      </c>
      <c r="H693" s="3">
        <v>800</v>
      </c>
      <c r="I693" s="8">
        <v>44818</v>
      </c>
      <c r="J693" s="9">
        <v>11</v>
      </c>
      <c r="K693" s="10">
        <v>7273</v>
      </c>
      <c r="L693" s="10">
        <v>6473</v>
      </c>
      <c r="M693" s="3" t="s">
        <v>60</v>
      </c>
      <c r="N693" s="3" t="s">
        <v>28</v>
      </c>
      <c r="O693" s="34">
        <v>614</v>
      </c>
      <c r="P693" s="3">
        <v>2022</v>
      </c>
      <c r="Q693" s="3">
        <f>VLOOKUP(C693,layoffs_location!A:F,6,FALSE)</f>
        <v>37.779258800000001</v>
      </c>
      <c r="R693" s="3">
        <f>VLOOKUP(C693,layoffs_location!A:G,7,FALSE)</f>
        <v>-122.4193286</v>
      </c>
    </row>
    <row r="694" spans="1:18" x14ac:dyDescent="0.2">
      <c r="A694" s="3">
        <v>693</v>
      </c>
      <c r="B694" s="3" t="s">
        <v>785</v>
      </c>
      <c r="C694" s="3" t="s">
        <v>51</v>
      </c>
      <c r="D694" s="3" t="str">
        <f>VLOOKUP(C694,layoffs_location!A:B,2,FALSE)</f>
        <v>other</v>
      </c>
      <c r="E694" s="3" t="str">
        <f>VLOOKUP(C694,layoffs_location!A:C,3,FALSE)</f>
        <v>non</v>
      </c>
      <c r="F694" s="3" t="str">
        <f>VLOOKUP(C694,layoffs_location!A:D,4,FALSE)</f>
        <v>Sweden</v>
      </c>
      <c r="G694" s="3" t="str">
        <f>VLOOKUP(C694,layoffs_location!A:E,5,FALSE)</f>
        <v>Europe</v>
      </c>
      <c r="H694" s="3">
        <v>70</v>
      </c>
      <c r="I694" s="8">
        <v>44819</v>
      </c>
      <c r="J694" s="9">
        <v>15</v>
      </c>
      <c r="K694" s="10">
        <v>467</v>
      </c>
      <c r="L694" s="10">
        <v>397</v>
      </c>
      <c r="M694" s="3" t="s">
        <v>54</v>
      </c>
      <c r="N694" s="3" t="s">
        <v>28</v>
      </c>
      <c r="O694" s="34">
        <v>126</v>
      </c>
      <c r="P694" s="7">
        <v>2024</v>
      </c>
      <c r="Q694" s="3">
        <f>VLOOKUP(C694,layoffs_location!A:F,6,FALSE)</f>
        <v>59.325117200000001</v>
      </c>
      <c r="R694" s="3">
        <f>VLOOKUP(C694,layoffs_location!A:G,7,FALSE)</f>
        <v>18.0710935</v>
      </c>
    </row>
    <row r="695" spans="1:18" x14ac:dyDescent="0.2">
      <c r="A695" s="3">
        <v>694</v>
      </c>
      <c r="B695" s="3" t="s">
        <v>784</v>
      </c>
      <c r="C695" s="3" t="s">
        <v>39</v>
      </c>
      <c r="D695" s="3" t="str">
        <f>VLOOKUP(C695,layoffs_location!A:B,2,FALSE)</f>
        <v>New York</v>
      </c>
      <c r="E695" s="3" t="str">
        <f>VLOOKUP(C695,layoffs_location!A:C,3,FALSE)</f>
        <v>New York</v>
      </c>
      <c r="F695" s="3" t="str">
        <f>VLOOKUP(C695,layoffs_location!A:D,4,FALSE)</f>
        <v>USA</v>
      </c>
      <c r="G695" s="3" t="str">
        <f>VLOOKUP(C695,layoffs_location!A:E,5,FALSE)</f>
        <v>North America</v>
      </c>
      <c r="H695" s="3">
        <v>193</v>
      </c>
      <c r="I695" s="8">
        <v>44819</v>
      </c>
      <c r="J695" s="9">
        <v>11</v>
      </c>
      <c r="K695" s="10">
        <v>1755</v>
      </c>
      <c r="L695" s="10">
        <v>1562</v>
      </c>
      <c r="M695" s="3" t="s">
        <v>274</v>
      </c>
      <c r="N695" s="3" t="s">
        <v>28</v>
      </c>
      <c r="O695" s="34">
        <v>42</v>
      </c>
      <c r="P695" s="3">
        <v>2022</v>
      </c>
      <c r="Q695" s="3">
        <f>VLOOKUP(C695,layoffs_location!A:F,6,FALSE)</f>
        <v>40.7127281</v>
      </c>
      <c r="R695" s="3">
        <f>VLOOKUP(C695,layoffs_location!A:G,7,FALSE)</f>
        <v>-74.006015199999993</v>
      </c>
    </row>
    <row r="696" spans="1:18" x14ac:dyDescent="0.2">
      <c r="A696" s="3">
        <v>695</v>
      </c>
      <c r="B696" s="3" t="s">
        <v>786</v>
      </c>
      <c r="C696" s="3" t="s">
        <v>1724</v>
      </c>
      <c r="D696" s="3" t="str">
        <f>VLOOKUP(C696,layoffs_location!A:B,2,FALSE)</f>
        <v>San Francisco Bay Area</v>
      </c>
      <c r="E696" s="3" t="str">
        <f>VLOOKUP(C696,layoffs_location!A:C,3,FALSE)</f>
        <v>California</v>
      </c>
      <c r="F696" s="3" t="str">
        <f>VLOOKUP(C696,layoffs_location!A:D,4,FALSE)</f>
        <v>USA</v>
      </c>
      <c r="G696" s="3" t="str">
        <f>VLOOKUP(C696,layoffs_location!A:E,5,FALSE)</f>
        <v>North America</v>
      </c>
      <c r="H696" s="3">
        <v>35</v>
      </c>
      <c r="I696" s="8">
        <v>44819</v>
      </c>
      <c r="J696" s="9">
        <v>20</v>
      </c>
      <c r="K696" s="10">
        <v>175</v>
      </c>
      <c r="L696" s="10">
        <v>140</v>
      </c>
      <c r="M696" s="3" t="s">
        <v>84</v>
      </c>
      <c r="N696" s="3" t="s">
        <v>41</v>
      </c>
      <c r="O696" s="34">
        <v>67</v>
      </c>
      <c r="P696" s="3">
        <v>2022</v>
      </c>
      <c r="Q696" s="3">
        <f>VLOOKUP(C696,layoffs_location!A:F,6,FALSE)</f>
        <v>37.504936000000001</v>
      </c>
      <c r="R696" s="3">
        <f>VLOOKUP(C696,layoffs_location!A:G,7,FALSE)</f>
        <v>-122.26182300000001</v>
      </c>
    </row>
    <row r="697" spans="1:18" x14ac:dyDescent="0.2">
      <c r="A697" s="3">
        <v>696</v>
      </c>
      <c r="B697" s="3" t="s">
        <v>782</v>
      </c>
      <c r="C697" s="3" t="s">
        <v>13</v>
      </c>
      <c r="D697" s="3" t="str">
        <f>VLOOKUP(C697,layoffs_location!A:B,2,FALSE)</f>
        <v>other</v>
      </c>
      <c r="E697" s="3" t="str">
        <f>VLOOKUP(C697,layoffs_location!A:C,3,FALSE)</f>
        <v>Karnataka</v>
      </c>
      <c r="F697" s="3" t="str">
        <f>VLOOKUP(C697,layoffs_location!A:D,4,FALSE)</f>
        <v>India</v>
      </c>
      <c r="G697" s="3" t="str">
        <f>VLOOKUP(C697,layoffs_location!A:E,5,FALSE)</f>
        <v>Asia</v>
      </c>
      <c r="H697" s="3">
        <v>190</v>
      </c>
      <c r="I697" s="8">
        <v>44820</v>
      </c>
      <c r="J697" s="9">
        <v>20</v>
      </c>
      <c r="K697" s="10">
        <v>950</v>
      </c>
      <c r="L697" s="10">
        <v>760</v>
      </c>
      <c r="M697" s="3" t="s">
        <v>35</v>
      </c>
      <c r="N697" s="3" t="s">
        <v>41</v>
      </c>
      <c r="O697" s="34">
        <v>140</v>
      </c>
      <c r="P697" s="3">
        <v>2022</v>
      </c>
      <c r="Q697" s="3">
        <f>VLOOKUP(C697,layoffs_location!A:F,6,FALSE)</f>
        <v>12.98815675</v>
      </c>
      <c r="R697" s="3">
        <f>VLOOKUP(C697,layoffs_location!A:G,7,FALSE)</f>
        <v>77.622600037959998</v>
      </c>
    </row>
    <row r="698" spans="1:18" x14ac:dyDescent="0.2">
      <c r="A698" s="3">
        <v>697</v>
      </c>
      <c r="B698" s="3" t="s">
        <v>783</v>
      </c>
      <c r="C698" s="3" t="s">
        <v>58</v>
      </c>
      <c r="D698" s="3" t="str">
        <f>VLOOKUP(C698,layoffs_location!A:B,2,FALSE)</f>
        <v>other</v>
      </c>
      <c r="E698" s="3" t="str">
        <f>VLOOKUP(C698,layoffs_location!A:C,3,FALSE)</f>
        <v>England</v>
      </c>
      <c r="F698" s="3" t="str">
        <f>VLOOKUP(C698,layoffs_location!A:D,4,FALSE)</f>
        <v>UK</v>
      </c>
      <c r="G698" s="3" t="str">
        <f>VLOOKUP(C698,layoffs_location!A:E,5,FALSE)</f>
        <v>Europe</v>
      </c>
      <c r="H698" s="3">
        <v>40</v>
      </c>
      <c r="I698" s="8">
        <v>44820</v>
      </c>
      <c r="J698" s="9">
        <v>10</v>
      </c>
      <c r="K698" s="10">
        <v>400</v>
      </c>
      <c r="L698" s="10">
        <v>360</v>
      </c>
      <c r="M698" s="3" t="s">
        <v>35</v>
      </c>
      <c r="N698" s="3" t="s">
        <v>36</v>
      </c>
      <c r="O698" s="34">
        <v>271</v>
      </c>
      <c r="P698" s="3">
        <v>2022</v>
      </c>
      <c r="Q698" s="3">
        <f>VLOOKUP(C698,layoffs_location!A:F,6,FALSE)</f>
        <v>51.489333500000001</v>
      </c>
      <c r="R698" s="3">
        <f>VLOOKUP(C698,layoffs_location!A:G,7,FALSE)</f>
        <v>-0.14405508452768701</v>
      </c>
    </row>
    <row r="699" spans="1:18" x14ac:dyDescent="0.2">
      <c r="A699" s="3">
        <v>698</v>
      </c>
      <c r="B699" s="3" t="s">
        <v>781</v>
      </c>
      <c r="C699" s="3" t="s">
        <v>71</v>
      </c>
      <c r="D699" s="3" t="str">
        <f>VLOOKUP(C699,layoffs_location!A:B,2,FALSE)</f>
        <v>other</v>
      </c>
      <c r="E699" s="3" t="str">
        <f>VLOOKUP(C699,layoffs_location!A:C,3,FALSE)</f>
        <v>Massachusetts</v>
      </c>
      <c r="F699" s="3" t="str">
        <f>VLOOKUP(C699,layoffs_location!A:D,4,FALSE)</f>
        <v>USA</v>
      </c>
      <c r="G699" s="3" t="str">
        <f>VLOOKUP(C699,layoffs_location!A:E,5,FALSE)</f>
        <v>North America</v>
      </c>
      <c r="H699" s="3">
        <v>29</v>
      </c>
      <c r="I699" s="8">
        <v>44823</v>
      </c>
      <c r="J699" s="9">
        <v>43</v>
      </c>
      <c r="K699" s="10">
        <v>67</v>
      </c>
      <c r="L699" s="10">
        <v>38</v>
      </c>
      <c r="M699" s="3" t="s">
        <v>21</v>
      </c>
      <c r="N699" s="3" t="s">
        <v>49</v>
      </c>
      <c r="O699" s="34">
        <v>75</v>
      </c>
      <c r="P699" s="3">
        <v>2022</v>
      </c>
      <c r="Q699" s="3">
        <f>VLOOKUP(C699,layoffs_location!A:F,6,FALSE)</f>
        <v>42.355433400000003</v>
      </c>
      <c r="R699" s="3">
        <f>VLOOKUP(C699,layoffs_location!A:G,7,FALSE)</f>
        <v>-71.060511000000005</v>
      </c>
    </row>
    <row r="700" spans="1:18" x14ac:dyDescent="0.2">
      <c r="A700" s="3">
        <v>699</v>
      </c>
      <c r="B700" s="3">
        <v>99</v>
      </c>
      <c r="C700" s="3" t="s">
        <v>187</v>
      </c>
      <c r="D700" s="3" t="str">
        <f>VLOOKUP(C700,layoffs_location!A:B,2,FALSE)</f>
        <v>other</v>
      </c>
      <c r="E700" s="3" t="str">
        <f>VLOOKUP(C700,layoffs_location!A:C,3,FALSE)</f>
        <v>State of São Paulo</v>
      </c>
      <c r="F700" s="3" t="str">
        <f>VLOOKUP(C700,layoffs_location!A:D,4,FALSE)</f>
        <v>Brazil</v>
      </c>
      <c r="G700" s="3" t="str">
        <f>VLOOKUP(C700,layoffs_location!A:E,5,FALSE)</f>
        <v>South America</v>
      </c>
      <c r="H700" s="3">
        <v>75</v>
      </c>
      <c r="I700" s="8">
        <v>44824</v>
      </c>
      <c r="J700" s="9">
        <v>2</v>
      </c>
      <c r="K700" s="10">
        <v>3750</v>
      </c>
      <c r="L700" s="10">
        <v>3675</v>
      </c>
      <c r="M700" s="3" t="s">
        <v>32</v>
      </c>
      <c r="N700" s="3" t="s">
        <v>33</v>
      </c>
      <c r="O700" s="34">
        <v>244</v>
      </c>
      <c r="P700" s="7">
        <v>2024</v>
      </c>
      <c r="Q700" s="3">
        <f>VLOOKUP(C700,layoffs_location!A:F,6,FALSE)</f>
        <v>-23.550650699999998</v>
      </c>
      <c r="R700" s="3">
        <f>VLOOKUP(C700,layoffs_location!A:G,7,FALSE)</f>
        <v>-46.633382400000002</v>
      </c>
    </row>
    <row r="701" spans="1:18" x14ac:dyDescent="0.2">
      <c r="A701" s="3">
        <v>700</v>
      </c>
      <c r="B701" s="3" t="s">
        <v>780</v>
      </c>
      <c r="C701" s="3" t="s">
        <v>179</v>
      </c>
      <c r="D701" s="3" t="str">
        <f>VLOOKUP(C701,layoffs_location!A:B,2,FALSE)</f>
        <v>other</v>
      </c>
      <c r="E701" s="3" t="str">
        <f>VLOOKUP(C701,layoffs_location!A:C,3,FALSE)</f>
        <v>Ontario</v>
      </c>
      <c r="F701" s="3" t="str">
        <f>VLOOKUP(C701,layoffs_location!A:D,4,FALSE)</f>
        <v>Canada</v>
      </c>
      <c r="G701" s="3" t="str">
        <f>VLOOKUP(C701,layoffs_location!A:E,5,FALSE)</f>
        <v>North America</v>
      </c>
      <c r="H701" s="3">
        <v>78</v>
      </c>
      <c r="I701" s="8">
        <v>44824</v>
      </c>
      <c r="J701" s="9">
        <v>16</v>
      </c>
      <c r="K701" s="10">
        <v>488</v>
      </c>
      <c r="L701" s="10">
        <v>410</v>
      </c>
      <c r="M701" s="3" t="s">
        <v>274</v>
      </c>
      <c r="N701" s="3" t="s">
        <v>41</v>
      </c>
      <c r="O701" s="34">
        <v>190</v>
      </c>
      <c r="P701" s="7">
        <v>2024</v>
      </c>
      <c r="Q701" s="3">
        <f>VLOOKUP(C701,layoffs_location!A:F,6,FALSE)</f>
        <v>43.6534817</v>
      </c>
      <c r="R701" s="3">
        <f>VLOOKUP(C701,layoffs_location!A:G,7,FALSE)</f>
        <v>-79.383934699999998</v>
      </c>
    </row>
    <row r="702" spans="1:18" x14ac:dyDescent="0.2">
      <c r="A702" s="3">
        <v>701</v>
      </c>
      <c r="B702" s="3" t="s">
        <v>779</v>
      </c>
      <c r="C702" s="3" t="s">
        <v>39</v>
      </c>
      <c r="D702" s="3" t="str">
        <f>VLOOKUP(C702,layoffs_location!A:B,2,FALSE)</f>
        <v>New York</v>
      </c>
      <c r="E702" s="3" t="str">
        <f>VLOOKUP(C702,layoffs_location!A:C,3,FALSE)</f>
        <v>New York</v>
      </c>
      <c r="F702" s="3" t="str">
        <f>VLOOKUP(C702,layoffs_location!A:D,4,FALSE)</f>
        <v>USA</v>
      </c>
      <c r="G702" s="3" t="str">
        <f>VLOOKUP(C702,layoffs_location!A:E,5,FALSE)</f>
        <v>North America</v>
      </c>
      <c r="H702" s="3">
        <v>271</v>
      </c>
      <c r="I702" s="8">
        <v>44824</v>
      </c>
      <c r="J702" s="9">
        <v>6.6913580246913584</v>
      </c>
      <c r="K702" s="10">
        <v>4050</v>
      </c>
      <c r="L702" s="10">
        <v>3779</v>
      </c>
      <c r="M702" s="3" t="s">
        <v>137</v>
      </c>
      <c r="N702" s="3" t="s">
        <v>28</v>
      </c>
      <c r="O702" s="34">
        <v>1600</v>
      </c>
      <c r="P702" s="3">
        <v>2022</v>
      </c>
      <c r="Q702" s="3">
        <f>VLOOKUP(C702,layoffs_location!A:F,6,FALSE)</f>
        <v>40.7127281</v>
      </c>
      <c r="R702" s="3">
        <f>VLOOKUP(C702,layoffs_location!A:G,7,FALSE)</f>
        <v>-74.006015199999993</v>
      </c>
    </row>
    <row r="703" spans="1:18" x14ac:dyDescent="0.2">
      <c r="A703" s="3">
        <v>702</v>
      </c>
      <c r="B703" s="3" t="s">
        <v>778</v>
      </c>
      <c r="C703" s="3" t="s">
        <v>1473</v>
      </c>
      <c r="D703" s="3" t="str">
        <f>VLOOKUP(C703,layoffs_location!A:B,2,FALSE)</f>
        <v>San Francisco Bay Area</v>
      </c>
      <c r="E703" s="3" t="str">
        <f>VLOOKUP(C703,layoffs_location!A:C,3,FALSE)</f>
        <v>California</v>
      </c>
      <c r="F703" s="3" t="str">
        <f>VLOOKUP(C703,layoffs_location!A:D,4,FALSE)</f>
        <v>USA</v>
      </c>
      <c r="G703" s="3" t="str">
        <f>VLOOKUP(C703,layoffs_location!A:E,5,FALSE)</f>
        <v>North America</v>
      </c>
      <c r="H703" s="3">
        <v>100</v>
      </c>
      <c r="I703" s="8">
        <v>44825</v>
      </c>
      <c r="J703" s="9">
        <v>100</v>
      </c>
      <c r="K703" s="10">
        <v>100</v>
      </c>
      <c r="L703" s="10">
        <v>0</v>
      </c>
      <c r="M703" s="3" t="s">
        <v>192</v>
      </c>
      <c r="N703" s="3" t="s">
        <v>22</v>
      </c>
      <c r="O703" s="34">
        <v>1</v>
      </c>
      <c r="P703" s="3">
        <v>2022</v>
      </c>
      <c r="Q703" s="3">
        <f>VLOOKUP(C703,layoffs_location!A:F,6,FALSE)</f>
        <v>37.4443293</v>
      </c>
      <c r="R703" s="3">
        <f>VLOOKUP(C703,layoffs_location!A:G,7,FALSE)</f>
        <v>-122.1598465</v>
      </c>
    </row>
    <row r="704" spans="1:18" x14ac:dyDescent="0.2">
      <c r="A704" s="3">
        <v>703</v>
      </c>
      <c r="B704" s="3" t="s">
        <v>777</v>
      </c>
      <c r="C704" s="3" t="s">
        <v>39</v>
      </c>
      <c r="D704" s="3" t="str">
        <f>VLOOKUP(C704,layoffs_location!A:B,2,FALSE)</f>
        <v>New York</v>
      </c>
      <c r="E704" s="3" t="str">
        <f>VLOOKUP(C704,layoffs_location!A:C,3,FALSE)</f>
        <v>New York</v>
      </c>
      <c r="F704" s="3" t="str">
        <f>VLOOKUP(C704,layoffs_location!A:D,4,FALSE)</f>
        <v>USA</v>
      </c>
      <c r="G704" s="3" t="str">
        <f>VLOOKUP(C704,layoffs_location!A:E,5,FALSE)</f>
        <v>North America</v>
      </c>
      <c r="H704" s="3">
        <v>110</v>
      </c>
      <c r="I704" s="8">
        <v>44826</v>
      </c>
      <c r="J704" s="9">
        <v>33</v>
      </c>
      <c r="K704" s="10">
        <v>333</v>
      </c>
      <c r="L704" s="10">
        <v>223</v>
      </c>
      <c r="M704" s="3" t="s">
        <v>117</v>
      </c>
      <c r="N704" s="3" t="s">
        <v>1696</v>
      </c>
      <c r="O704" s="34">
        <v>1400</v>
      </c>
      <c r="P704" s="3">
        <v>2022</v>
      </c>
      <c r="Q704" s="3">
        <f>VLOOKUP(C704,layoffs_location!A:F,6,FALSE)</f>
        <v>40.7127281</v>
      </c>
      <c r="R704" s="3">
        <f>VLOOKUP(C704,layoffs_location!A:G,7,FALSE)</f>
        <v>-74.006015199999993</v>
      </c>
    </row>
    <row r="705" spans="1:18" x14ac:dyDescent="0.2">
      <c r="A705" s="3">
        <v>704</v>
      </c>
      <c r="B705" s="3" t="s">
        <v>775</v>
      </c>
      <c r="C705" s="3" t="s">
        <v>154</v>
      </c>
      <c r="D705" s="3" t="str">
        <f>VLOOKUP(C705,layoffs_location!A:B,2,FALSE)</f>
        <v>other</v>
      </c>
      <c r="E705" s="3" t="str">
        <f>VLOOKUP(C705,layoffs_location!A:C,3,FALSE)</f>
        <v>Illinois</v>
      </c>
      <c r="F705" s="3" t="str">
        <f>VLOOKUP(C705,layoffs_location!A:D,4,FALSE)</f>
        <v>USA</v>
      </c>
      <c r="G705" s="3" t="str">
        <f>VLOOKUP(C705,layoffs_location!A:E,5,FALSE)</f>
        <v>North America</v>
      </c>
      <c r="H705" s="3">
        <v>26</v>
      </c>
      <c r="I705" s="8">
        <v>44827</v>
      </c>
      <c r="J705" s="9">
        <v>4</v>
      </c>
      <c r="K705" s="10">
        <v>650</v>
      </c>
      <c r="L705" s="10">
        <v>624</v>
      </c>
      <c r="M705" s="3" t="s">
        <v>77</v>
      </c>
      <c r="N705" s="3" t="s">
        <v>41</v>
      </c>
      <c r="O705" s="34">
        <v>166</v>
      </c>
      <c r="P705" s="3">
        <v>2022</v>
      </c>
      <c r="Q705" s="3">
        <f>VLOOKUP(C705,layoffs_location!A:F,6,FALSE)</f>
        <v>41.875561599999997</v>
      </c>
      <c r="R705" s="3">
        <f>VLOOKUP(C705,layoffs_location!A:G,7,FALSE)</f>
        <v>-87.6244212</v>
      </c>
    </row>
    <row r="706" spans="1:18" x14ac:dyDescent="0.2">
      <c r="A706" s="3">
        <v>705</v>
      </c>
      <c r="B706" s="3" t="s">
        <v>774</v>
      </c>
      <c r="C706" s="3" t="s">
        <v>135</v>
      </c>
      <c r="D706" s="3" t="str">
        <f>VLOOKUP(C706,layoffs_location!A:B,2,FALSE)</f>
        <v>other</v>
      </c>
      <c r="E706" s="3" t="str">
        <f>VLOOKUP(C706,layoffs_location!A:C,3,FALSE)</f>
        <v>Berlin</v>
      </c>
      <c r="F706" s="3" t="str">
        <f>VLOOKUP(C706,layoffs_location!A:D,4,FALSE)</f>
        <v>Germany</v>
      </c>
      <c r="G706" s="3" t="str">
        <f>VLOOKUP(C706,layoffs_location!A:E,5,FALSE)</f>
        <v>Europe</v>
      </c>
      <c r="H706" s="3">
        <v>70</v>
      </c>
      <c r="I706" s="8">
        <v>44827</v>
      </c>
      <c r="J706" s="9">
        <v>15</v>
      </c>
      <c r="K706" s="10">
        <v>467</v>
      </c>
      <c r="L706" s="10">
        <v>397</v>
      </c>
      <c r="M706" s="3" t="s">
        <v>35</v>
      </c>
      <c r="N706" s="3" t="s">
        <v>49</v>
      </c>
      <c r="O706" s="34">
        <v>150</v>
      </c>
      <c r="P706" s="3">
        <v>2022</v>
      </c>
      <c r="Q706" s="3">
        <f>VLOOKUP(C706,layoffs_location!A:F,6,FALSE)</f>
        <v>52.517036500000003</v>
      </c>
      <c r="R706" s="3">
        <f>VLOOKUP(C706,layoffs_location!A:G,7,FALSE)</f>
        <v>13.3888599</v>
      </c>
    </row>
    <row r="707" spans="1:18" x14ac:dyDescent="0.2">
      <c r="A707" s="3">
        <v>706</v>
      </c>
      <c r="B707" s="3" t="s">
        <v>776</v>
      </c>
      <c r="C707" s="3" t="s">
        <v>271</v>
      </c>
      <c r="D707" s="3" t="str">
        <f>VLOOKUP(C707,layoffs_location!A:B,2,FALSE)</f>
        <v>Cascadia</v>
      </c>
      <c r="E707" s="3" t="str">
        <f>VLOOKUP(C707,layoffs_location!A:C,3,FALSE)</f>
        <v>British Columbia</v>
      </c>
      <c r="F707" s="3" t="str">
        <f>VLOOKUP(C707,layoffs_location!A:D,4,FALSE)</f>
        <v>Canada</v>
      </c>
      <c r="G707" s="3" t="str">
        <f>VLOOKUP(C707,layoffs_location!A:E,5,FALSE)</f>
        <v>North America</v>
      </c>
      <c r="H707" s="3">
        <v>24</v>
      </c>
      <c r="I707" s="8">
        <v>44827</v>
      </c>
      <c r="J707" s="9">
        <v>5</v>
      </c>
      <c r="K707" s="10">
        <v>480</v>
      </c>
      <c r="L707" s="10">
        <v>456</v>
      </c>
      <c r="M707" s="3" t="s">
        <v>139</v>
      </c>
      <c r="N707" s="3" t="s">
        <v>108</v>
      </c>
      <c r="O707" s="34">
        <v>474</v>
      </c>
      <c r="P707" s="3">
        <v>2022</v>
      </c>
      <c r="Q707" s="3">
        <f>VLOOKUP(C707,layoffs_location!A:F,6,FALSE)</f>
        <v>49.260872399999997</v>
      </c>
      <c r="R707" s="3">
        <f>VLOOKUP(C707,layoffs_location!A:G,7,FALSE)</f>
        <v>-123.113952</v>
      </c>
    </row>
    <row r="708" spans="1:18" x14ac:dyDescent="0.2">
      <c r="A708" s="3">
        <v>707</v>
      </c>
      <c r="B708" s="3" t="s">
        <v>773</v>
      </c>
      <c r="C708" s="3" t="s">
        <v>1370</v>
      </c>
      <c r="D708" s="3" t="str">
        <f>VLOOKUP(C708,layoffs_location!A:B,2,FALSE)</f>
        <v>San Francisco Bay Area</v>
      </c>
      <c r="E708" s="3" t="str">
        <f>VLOOKUP(C708,layoffs_location!A:C,3,FALSE)</f>
        <v>California</v>
      </c>
      <c r="F708" s="3" t="str">
        <f>VLOOKUP(C708,layoffs_location!A:D,4,FALSE)</f>
        <v>USA</v>
      </c>
      <c r="G708" s="3" t="str">
        <f>VLOOKUP(C708,layoffs_location!A:E,5,FALSE)</f>
        <v>North America</v>
      </c>
      <c r="H708" s="3">
        <v>40</v>
      </c>
      <c r="I708" s="8">
        <v>44831</v>
      </c>
      <c r="J708" s="9">
        <v>12</v>
      </c>
      <c r="K708" s="10">
        <v>333</v>
      </c>
      <c r="L708" s="10">
        <v>293</v>
      </c>
      <c r="M708" s="3" t="s">
        <v>137</v>
      </c>
      <c r="N708" s="3" t="s">
        <v>49</v>
      </c>
      <c r="O708" s="34">
        <v>180</v>
      </c>
      <c r="P708" s="3">
        <v>2022</v>
      </c>
      <c r="Q708" s="3">
        <f>VLOOKUP(C708,layoffs_location!A:F,6,FALSE)</f>
        <v>37.779258800000001</v>
      </c>
      <c r="R708" s="3">
        <f>VLOOKUP(C708,layoffs_location!A:G,7,FALSE)</f>
        <v>-122.4193286</v>
      </c>
    </row>
    <row r="709" spans="1:18" x14ac:dyDescent="0.2">
      <c r="A709" s="3">
        <v>708</v>
      </c>
      <c r="B709" s="3" t="s">
        <v>431</v>
      </c>
      <c r="C709" s="3" t="s">
        <v>1370</v>
      </c>
      <c r="D709" s="3" t="str">
        <f>VLOOKUP(C709,layoffs_location!A:B,2,FALSE)</f>
        <v>San Francisco Bay Area</v>
      </c>
      <c r="E709" s="3" t="str">
        <f>VLOOKUP(C709,layoffs_location!A:C,3,FALSE)</f>
        <v>California</v>
      </c>
      <c r="F709" s="3" t="str">
        <f>VLOOKUP(C709,layoffs_location!A:D,4,FALSE)</f>
        <v>USA</v>
      </c>
      <c r="G709" s="3" t="str">
        <f>VLOOKUP(C709,layoffs_location!A:E,5,FALSE)</f>
        <v>North America</v>
      </c>
      <c r="H709" s="3">
        <v>671</v>
      </c>
      <c r="I709" s="8">
        <v>44832</v>
      </c>
      <c r="J709" s="9">
        <v>9</v>
      </c>
      <c r="K709" s="10">
        <v>7456</v>
      </c>
      <c r="L709" s="10">
        <v>6785</v>
      </c>
      <c r="M709" s="3" t="s">
        <v>92</v>
      </c>
      <c r="N709" s="3" t="s">
        <v>28</v>
      </c>
      <c r="O709" s="34">
        <v>536</v>
      </c>
      <c r="P709" s="3">
        <v>2022</v>
      </c>
      <c r="Q709" s="3">
        <f>VLOOKUP(C709,layoffs_location!A:F,6,FALSE)</f>
        <v>37.779258800000001</v>
      </c>
      <c r="R709" s="3">
        <f>VLOOKUP(C709,layoffs_location!A:G,7,FALSE)</f>
        <v>-122.4193286</v>
      </c>
    </row>
    <row r="710" spans="1:18" ht="16" x14ac:dyDescent="0.2">
      <c r="A710" s="3">
        <v>709</v>
      </c>
      <c r="B710" s="3" t="s">
        <v>277</v>
      </c>
      <c r="C710" s="11" t="s">
        <v>1370</v>
      </c>
      <c r="D710" s="3" t="str">
        <f>VLOOKUP(C710,layoffs_location!A:B,2,FALSE)</f>
        <v>San Francisco Bay Area</v>
      </c>
      <c r="E710" s="3" t="str">
        <f>VLOOKUP(C710,layoffs_location!A:C,3,FALSE)</f>
        <v>California</v>
      </c>
      <c r="F710" s="3" t="str">
        <f>VLOOKUP(C710,layoffs_location!A:D,4,FALSE)</f>
        <v>USA</v>
      </c>
      <c r="G710" s="3" t="str">
        <f>VLOOKUP(C710,layoffs_location!A:E,5,FALSE)</f>
        <v>North America</v>
      </c>
      <c r="H710" s="3">
        <v>40</v>
      </c>
      <c r="I710" s="8">
        <v>44833</v>
      </c>
      <c r="J710" s="9">
        <v>20</v>
      </c>
      <c r="K710" s="10">
        <v>200</v>
      </c>
      <c r="L710" s="10">
        <v>160</v>
      </c>
      <c r="M710" s="3" t="s">
        <v>239</v>
      </c>
      <c r="N710" s="3" t="s">
        <v>108</v>
      </c>
      <c r="O710" s="34">
        <v>173</v>
      </c>
      <c r="P710" s="3">
        <v>2022</v>
      </c>
      <c r="Q710" s="3">
        <f>VLOOKUP(C710,layoffs_location!A:F,6,FALSE)</f>
        <v>37.779258800000001</v>
      </c>
      <c r="R710" s="3">
        <f>VLOOKUP(C710,layoffs_location!A:G,7,FALSE)</f>
        <v>-122.4193286</v>
      </c>
    </row>
    <row r="711" spans="1:18" ht="16" x14ac:dyDescent="0.2">
      <c r="A711" s="3">
        <v>710</v>
      </c>
      <c r="B711" s="3" t="s">
        <v>772</v>
      </c>
      <c r="C711" s="11" t="s">
        <v>1370</v>
      </c>
      <c r="D711" s="3" t="str">
        <f>VLOOKUP(C711,layoffs_location!A:B,2,FALSE)</f>
        <v>San Francisco Bay Area</v>
      </c>
      <c r="E711" s="3" t="str">
        <f>VLOOKUP(C711,layoffs_location!A:C,3,FALSE)</f>
        <v>California</v>
      </c>
      <c r="F711" s="3" t="str">
        <f>VLOOKUP(C711,layoffs_location!A:D,4,FALSE)</f>
        <v>USA</v>
      </c>
      <c r="G711" s="3" t="str">
        <f>VLOOKUP(C711,layoffs_location!A:E,5,FALSE)</f>
        <v>North America</v>
      </c>
      <c r="H711" s="3">
        <v>78</v>
      </c>
      <c r="I711" s="8">
        <v>44834</v>
      </c>
      <c r="J711" s="9">
        <v>10</v>
      </c>
      <c r="K711" s="10">
        <v>780</v>
      </c>
      <c r="L711" s="10">
        <v>702</v>
      </c>
      <c r="M711" s="3" t="s">
        <v>32</v>
      </c>
      <c r="N711" s="3" t="s">
        <v>33</v>
      </c>
      <c r="O711" s="34">
        <v>8</v>
      </c>
      <c r="P711" s="3">
        <v>2022</v>
      </c>
      <c r="Q711" s="3">
        <f>VLOOKUP(C711,layoffs_location!A:F,6,FALSE)</f>
        <v>37.779258800000001</v>
      </c>
      <c r="R711" s="3">
        <f>VLOOKUP(C711,layoffs_location!A:G,7,FALSE)</f>
        <v>-122.4193286</v>
      </c>
    </row>
    <row r="712" spans="1:18" x14ac:dyDescent="0.2">
      <c r="A712" s="3">
        <v>711</v>
      </c>
      <c r="B712" s="3" t="s">
        <v>527</v>
      </c>
      <c r="C712" s="3" t="s">
        <v>1705</v>
      </c>
      <c r="D712" s="3" t="str">
        <f>VLOOKUP(C712,layoffs_location!A:B,2,FALSE)</f>
        <v>San Francisco Bay Area</v>
      </c>
      <c r="E712" s="3" t="str">
        <f>VLOOKUP(C712,layoffs_location!A:C,3,FALSE)</f>
        <v>California</v>
      </c>
      <c r="F712" s="3" t="str">
        <f>VLOOKUP(C712,layoffs_location!A:D,4,FALSE)</f>
        <v>USA</v>
      </c>
      <c r="G712" s="3" t="str">
        <f>VLOOKUP(C712,layoffs_location!A:E,5,FALSE)</f>
        <v>North America</v>
      </c>
      <c r="H712" s="3">
        <v>200</v>
      </c>
      <c r="I712" s="8">
        <v>44838</v>
      </c>
      <c r="J712" s="9">
        <v>9</v>
      </c>
      <c r="K712" s="10">
        <v>2222</v>
      </c>
      <c r="L712" s="10">
        <v>2022</v>
      </c>
      <c r="M712" s="3" t="s">
        <v>274</v>
      </c>
      <c r="N712" s="3" t="s">
        <v>28</v>
      </c>
      <c r="O712" s="34">
        <v>253</v>
      </c>
      <c r="P712" s="3">
        <v>2022</v>
      </c>
      <c r="Q712" s="3">
        <f>VLOOKUP(C712,layoffs_location!A:F,6,FALSE)</f>
        <v>37.287166999999997</v>
      </c>
      <c r="R712" s="3">
        <f>VLOOKUP(C712,layoffs_location!A:G,7,FALSE)</f>
        <v>-121.94995900000001</v>
      </c>
    </row>
    <row r="713" spans="1:18" x14ac:dyDescent="0.2">
      <c r="A713" s="3">
        <v>712</v>
      </c>
      <c r="B713" s="3" t="s">
        <v>771</v>
      </c>
      <c r="C713" s="3" t="s">
        <v>113</v>
      </c>
      <c r="D713" s="3" t="str">
        <f>VLOOKUP(C713,layoffs_location!A:B,2,FALSE)</f>
        <v>other</v>
      </c>
      <c r="E713" s="3" t="str">
        <f>VLOOKUP(C713,layoffs_location!A:C,3,FALSE)</f>
        <v>Utah</v>
      </c>
      <c r="F713" s="3" t="str">
        <f>VLOOKUP(C713,layoffs_location!A:D,4,FALSE)</f>
        <v>USA</v>
      </c>
      <c r="G713" s="3" t="str">
        <f>VLOOKUP(C713,layoffs_location!A:E,5,FALSE)</f>
        <v>North America</v>
      </c>
      <c r="H713" s="3">
        <v>40</v>
      </c>
      <c r="I713" s="8">
        <v>44838</v>
      </c>
      <c r="J713" s="9">
        <v>13</v>
      </c>
      <c r="K713" s="10">
        <v>308</v>
      </c>
      <c r="L713" s="10">
        <v>268</v>
      </c>
      <c r="M713" s="3" t="s">
        <v>137</v>
      </c>
      <c r="N713" s="3" t="s">
        <v>49</v>
      </c>
      <c r="O713" s="34">
        <v>35</v>
      </c>
      <c r="P713" s="3">
        <v>2022</v>
      </c>
      <c r="Q713" s="3">
        <f>VLOOKUP(C713,layoffs_location!A:F,6,FALSE)</f>
        <v>40.759619800000003</v>
      </c>
      <c r="R713" s="3">
        <f>VLOOKUP(C713,layoffs_location!A:G,7,FALSE)</f>
        <v>-111.886797</v>
      </c>
    </row>
    <row r="714" spans="1:18" x14ac:dyDescent="0.2">
      <c r="A714" s="3">
        <v>713</v>
      </c>
      <c r="B714" s="3" t="s">
        <v>313</v>
      </c>
      <c r="C714" s="3" t="s">
        <v>231</v>
      </c>
      <c r="D714" s="3" t="str">
        <f>VLOOKUP(C714,layoffs_location!A:B,2,FALSE)</f>
        <v>other</v>
      </c>
      <c r="E714" s="3" t="str">
        <f>VLOOKUP(C714,layoffs_location!A:C,3,FALSE)</f>
        <v>New South Wales</v>
      </c>
      <c r="F714" s="3" t="str">
        <f>VLOOKUP(C714,layoffs_location!A:D,4,FALSE)</f>
        <v>Australia</v>
      </c>
      <c r="G714" s="3" t="str">
        <f>VLOOKUP(C714,layoffs_location!A:E,5,FALSE)</f>
        <v>Oceana</v>
      </c>
      <c r="H714" s="3">
        <v>65</v>
      </c>
      <c r="I714" s="8">
        <v>44838</v>
      </c>
      <c r="J714" s="9">
        <v>16</v>
      </c>
      <c r="K714" s="10">
        <v>406</v>
      </c>
      <c r="L714" s="10">
        <v>341</v>
      </c>
      <c r="M714" s="3" t="s">
        <v>32</v>
      </c>
      <c r="N714" s="3" t="s">
        <v>49</v>
      </c>
      <c r="O714" s="34">
        <v>105</v>
      </c>
      <c r="P714" s="3">
        <v>2022</v>
      </c>
      <c r="Q714" s="3">
        <f>VLOOKUP(C714,layoffs_location!A:F,6,FALSE)</f>
        <v>-33.869843899999999</v>
      </c>
      <c r="R714" s="3">
        <f>VLOOKUP(C714,layoffs_location!A:G,7,FALSE)</f>
        <v>151.2082848</v>
      </c>
    </row>
    <row r="715" spans="1:18" x14ac:dyDescent="0.2">
      <c r="A715" s="3">
        <v>714</v>
      </c>
      <c r="B715" s="3" t="s">
        <v>770</v>
      </c>
      <c r="C715" s="3" t="s">
        <v>154</v>
      </c>
      <c r="D715" s="3" t="str">
        <f>VLOOKUP(C715,layoffs_location!A:B,2,FALSE)</f>
        <v>other</v>
      </c>
      <c r="E715" s="3" t="str">
        <f>VLOOKUP(C715,layoffs_location!A:C,3,FALSE)</f>
        <v>Illinois</v>
      </c>
      <c r="F715" s="3" t="str">
        <f>VLOOKUP(C715,layoffs_location!A:D,4,FALSE)</f>
        <v>USA</v>
      </c>
      <c r="G715" s="3" t="str">
        <f>VLOOKUP(C715,layoffs_location!A:E,5,FALSE)</f>
        <v>North America</v>
      </c>
      <c r="H715" s="3">
        <v>50</v>
      </c>
      <c r="I715" s="8">
        <v>44839</v>
      </c>
      <c r="J715" s="9">
        <v>25</v>
      </c>
      <c r="K715" s="10">
        <v>200</v>
      </c>
      <c r="L715" s="10">
        <v>150</v>
      </c>
      <c r="M715" s="3" t="s">
        <v>84</v>
      </c>
      <c r="N715" s="3" t="s">
        <v>41</v>
      </c>
      <c r="O715" s="34">
        <v>29</v>
      </c>
      <c r="P715" s="3">
        <v>2022</v>
      </c>
      <c r="Q715" s="3">
        <f>VLOOKUP(C715,layoffs_location!A:F,6,FALSE)</f>
        <v>41.875561599999997</v>
      </c>
      <c r="R715" s="3">
        <f>VLOOKUP(C715,layoffs_location!A:G,7,FALSE)</f>
        <v>-87.6244212</v>
      </c>
    </row>
    <row r="716" spans="1:18" x14ac:dyDescent="0.2">
      <c r="A716" s="3">
        <v>715</v>
      </c>
      <c r="B716" s="3" t="s">
        <v>768</v>
      </c>
      <c r="C716" s="3" t="s">
        <v>244</v>
      </c>
      <c r="D716" s="3" t="str">
        <f>VLOOKUP(C716,layoffs_location!A:B,2,FALSE)</f>
        <v>other</v>
      </c>
      <c r="E716" s="3" t="str">
        <f>VLOOKUP(C716,layoffs_location!A:C,3,FALSE)</f>
        <v>non</v>
      </c>
      <c r="F716" s="3" t="str">
        <f>VLOOKUP(C716,layoffs_location!A:D,4,FALSE)</f>
        <v>Singapore</v>
      </c>
      <c r="G716" s="3" t="str">
        <f>VLOOKUP(C716,layoffs_location!A:E,5,FALSE)</f>
        <v>Asia</v>
      </c>
      <c r="H716" s="3">
        <v>2000</v>
      </c>
      <c r="I716" s="8">
        <v>44840</v>
      </c>
      <c r="J716" s="9">
        <v>30</v>
      </c>
      <c r="K716" s="10">
        <v>6667</v>
      </c>
      <c r="L716" s="10">
        <v>4667</v>
      </c>
      <c r="M716" s="3" t="s">
        <v>117</v>
      </c>
      <c r="N716" s="3" t="s">
        <v>22</v>
      </c>
      <c r="O716" s="34">
        <v>156</v>
      </c>
      <c r="P716" s="3">
        <v>2022</v>
      </c>
      <c r="Q716" s="3">
        <f>VLOOKUP(C716,layoffs_location!A:F,6,FALSE)</f>
        <v>1.2899175000000001</v>
      </c>
      <c r="R716" s="3">
        <f>VLOOKUP(C716,layoffs_location!A:G,7,FALSE)</f>
        <v>103.8519072</v>
      </c>
    </row>
    <row r="717" spans="1:18" x14ac:dyDescent="0.2">
      <c r="A717" s="3">
        <v>716</v>
      </c>
      <c r="B717" s="3" t="s">
        <v>489</v>
      </c>
      <c r="C717" s="3" t="s">
        <v>1710</v>
      </c>
      <c r="D717" s="3" t="str">
        <f>VLOOKUP(C717,layoffs_location!A:B,2,FALSE)</f>
        <v>San Francisco Bay Area</v>
      </c>
      <c r="E717" s="3" t="str">
        <f>VLOOKUP(C717,layoffs_location!A:C,3,FALSE)</f>
        <v>California</v>
      </c>
      <c r="F717" s="3" t="str">
        <f>VLOOKUP(C717,layoffs_location!A:D,4,FALSE)</f>
        <v>USA</v>
      </c>
      <c r="G717" s="3" t="str">
        <f>VLOOKUP(C717,layoffs_location!A:E,5,FALSE)</f>
        <v>North America</v>
      </c>
      <c r="H717" s="3">
        <v>50</v>
      </c>
      <c r="I717" s="8">
        <v>44840</v>
      </c>
      <c r="J717" s="9">
        <v>6</v>
      </c>
      <c r="K717" s="10">
        <v>833</v>
      </c>
      <c r="L717" s="10">
        <v>783</v>
      </c>
      <c r="M717" s="3" t="s">
        <v>77</v>
      </c>
      <c r="N717" s="3" t="s">
        <v>17</v>
      </c>
      <c r="O717" s="34">
        <v>1900</v>
      </c>
      <c r="P717" s="3">
        <v>2022</v>
      </c>
      <c r="Q717" s="3">
        <f>VLOOKUP(C717,layoffs_location!A:F,6,FALSE)</f>
        <v>37.486323900000002</v>
      </c>
      <c r="R717" s="3">
        <f>VLOOKUP(C717,layoffs_location!A:G,7,FALSE)</f>
        <v>-122.232523</v>
      </c>
    </row>
    <row r="718" spans="1:18" x14ac:dyDescent="0.2">
      <c r="A718" s="3">
        <v>717</v>
      </c>
      <c r="B718" s="3" t="s">
        <v>769</v>
      </c>
      <c r="C718" s="3" t="s">
        <v>39</v>
      </c>
      <c r="D718" s="3" t="str">
        <f>VLOOKUP(C718,layoffs_location!A:B,2,FALSE)</f>
        <v>New York</v>
      </c>
      <c r="E718" s="3" t="str">
        <f>VLOOKUP(C718,layoffs_location!A:C,3,FALSE)</f>
        <v>New York</v>
      </c>
      <c r="F718" s="3" t="str">
        <f>VLOOKUP(C718,layoffs_location!A:D,4,FALSE)</f>
        <v>USA</v>
      </c>
      <c r="G718" s="3" t="str">
        <f>VLOOKUP(C718,layoffs_location!A:E,5,FALSE)</f>
        <v>North America</v>
      </c>
      <c r="H718" s="3">
        <v>500</v>
      </c>
      <c r="I718" s="8">
        <v>44840</v>
      </c>
      <c r="J718" s="9">
        <v>12</v>
      </c>
      <c r="K718" s="10">
        <v>4167</v>
      </c>
      <c r="L718" s="10">
        <v>3667</v>
      </c>
      <c r="M718" s="3" t="s">
        <v>399</v>
      </c>
      <c r="N718" s="3" t="s">
        <v>28</v>
      </c>
      <c r="O718" s="34">
        <v>1900</v>
      </c>
      <c r="P718" s="3">
        <v>2022</v>
      </c>
      <c r="Q718" s="3">
        <f>VLOOKUP(C718,layoffs_location!A:F,6,FALSE)</f>
        <v>40.7127281</v>
      </c>
      <c r="R718" s="3">
        <f>VLOOKUP(C718,layoffs_location!A:G,7,FALSE)</f>
        <v>-74.006015199999993</v>
      </c>
    </row>
    <row r="719" spans="1:18" x14ac:dyDescent="0.2">
      <c r="A719" s="3">
        <v>718</v>
      </c>
      <c r="B719" s="3" t="s">
        <v>767</v>
      </c>
      <c r="C719" s="3" t="s">
        <v>1711</v>
      </c>
      <c r="D719" s="3" t="str">
        <f>VLOOKUP(C719,layoffs_location!A:B,2,FALSE)</f>
        <v>San Francisco Bay Area</v>
      </c>
      <c r="E719" s="3" t="str">
        <f>VLOOKUP(C719,layoffs_location!A:C,3,FALSE)</f>
        <v>California</v>
      </c>
      <c r="F719" s="3" t="str">
        <f>VLOOKUP(C719,layoffs_location!A:D,4,FALSE)</f>
        <v>USA</v>
      </c>
      <c r="G719" s="3" t="str">
        <f>VLOOKUP(C719,layoffs_location!A:E,5,FALSE)</f>
        <v>North America</v>
      </c>
      <c r="H719" s="3">
        <v>120</v>
      </c>
      <c r="I719" s="8">
        <v>44841</v>
      </c>
      <c r="J719" s="9">
        <v>4</v>
      </c>
      <c r="K719" s="10">
        <v>3000</v>
      </c>
      <c r="L719" s="10">
        <v>2880</v>
      </c>
      <c r="M719" s="3" t="s">
        <v>21</v>
      </c>
      <c r="N719" s="3" t="s">
        <v>28</v>
      </c>
      <c r="O719" s="34">
        <v>585</v>
      </c>
      <c r="P719" s="3">
        <v>2022</v>
      </c>
      <c r="Q719" s="3">
        <f>VLOOKUP(C719,layoffs_location!A:F,6,FALSE)</f>
        <v>37.974779499999997</v>
      </c>
      <c r="R719" s="3">
        <f>VLOOKUP(C719,layoffs_location!A:G,7,FALSE)</f>
        <v>-122.5316686</v>
      </c>
    </row>
    <row r="720" spans="1:18" x14ac:dyDescent="0.2">
      <c r="A720" s="3">
        <v>719</v>
      </c>
      <c r="B720" s="3" t="s">
        <v>764</v>
      </c>
      <c r="C720" s="3" t="s">
        <v>1713</v>
      </c>
      <c r="D720" s="3" t="str">
        <f>VLOOKUP(C720,layoffs_location!A:B,2,FALSE)</f>
        <v>San Francisco Bay Area</v>
      </c>
      <c r="E720" s="3" t="str">
        <f>VLOOKUP(C720,layoffs_location!A:C,3,FALSE)</f>
        <v>California</v>
      </c>
      <c r="F720" s="3" t="str">
        <f>VLOOKUP(C720,layoffs_location!A:D,4,FALSE)</f>
        <v>USA</v>
      </c>
      <c r="G720" s="3" t="str">
        <f>VLOOKUP(C720,layoffs_location!A:E,5,FALSE)</f>
        <v>North America</v>
      </c>
      <c r="H720" s="3">
        <v>180</v>
      </c>
      <c r="I720" s="8">
        <v>44844</v>
      </c>
      <c r="J720" s="9">
        <v>11</v>
      </c>
      <c r="K720" s="10">
        <v>1636</v>
      </c>
      <c r="L720" s="10">
        <v>1456</v>
      </c>
      <c r="M720" s="3" t="s">
        <v>130</v>
      </c>
      <c r="N720" s="3" t="s">
        <v>28</v>
      </c>
      <c r="O720" s="34">
        <v>1100</v>
      </c>
      <c r="P720" s="3">
        <v>2022</v>
      </c>
      <c r="Q720" s="3">
        <f>VLOOKUP(C720,layoffs_location!A:F,6,FALSE)</f>
        <v>37.496904000000001</v>
      </c>
      <c r="R720" s="3">
        <f>VLOOKUP(C720,layoffs_location!A:G,7,FALSE)</f>
        <v>-122.33305729999999</v>
      </c>
    </row>
    <row r="721" spans="1:18" x14ac:dyDescent="0.2">
      <c r="A721" s="3">
        <v>720</v>
      </c>
      <c r="B721" s="3" t="s">
        <v>765</v>
      </c>
      <c r="C721" s="3" t="s">
        <v>1694</v>
      </c>
      <c r="D721" s="3" t="str">
        <f>VLOOKUP(C721,layoffs_location!A:B,2,FALSE)</f>
        <v>San Francisco Bay Area</v>
      </c>
      <c r="E721" s="3" t="str">
        <f>VLOOKUP(C721,layoffs_location!A:C,3,FALSE)</f>
        <v>California</v>
      </c>
      <c r="F721" s="3" t="str">
        <f>VLOOKUP(C721,layoffs_location!A:D,4,FALSE)</f>
        <v>USA</v>
      </c>
      <c r="G721" s="3" t="str">
        <f>VLOOKUP(C721,layoffs_location!A:E,5,FALSE)</f>
        <v>North America</v>
      </c>
      <c r="H721" s="3">
        <v>96</v>
      </c>
      <c r="I721" s="8">
        <v>44844</v>
      </c>
      <c r="J721" s="9">
        <v>96</v>
      </c>
      <c r="K721" s="10">
        <v>100</v>
      </c>
      <c r="L721" s="10">
        <v>4</v>
      </c>
      <c r="M721" s="3" t="s">
        <v>239</v>
      </c>
      <c r="N721" s="3" t="s">
        <v>108</v>
      </c>
      <c r="O721" s="34">
        <v>103</v>
      </c>
      <c r="P721" s="3">
        <v>2022</v>
      </c>
      <c r="Q721" s="3">
        <f>VLOOKUP(C721,layoffs_location!A:F,6,FALSE)</f>
        <v>37.336166300000002</v>
      </c>
      <c r="R721" s="3">
        <f>VLOOKUP(C721,layoffs_location!A:G,7,FALSE)</f>
        <v>-121.890591</v>
      </c>
    </row>
    <row r="722" spans="1:18" x14ac:dyDescent="0.2">
      <c r="A722" s="3">
        <v>721</v>
      </c>
      <c r="B722" s="3" t="s">
        <v>766</v>
      </c>
      <c r="C722" s="3" t="s">
        <v>39</v>
      </c>
      <c r="D722" s="3" t="str">
        <f>VLOOKUP(C722,layoffs_location!A:B,2,FALSE)</f>
        <v>New York</v>
      </c>
      <c r="E722" s="3" t="str">
        <f>VLOOKUP(C722,layoffs_location!A:C,3,FALSE)</f>
        <v>New York</v>
      </c>
      <c r="F722" s="3" t="str">
        <f>VLOOKUP(C722,layoffs_location!A:D,4,FALSE)</f>
        <v>USA</v>
      </c>
      <c r="G722" s="3" t="str">
        <f>VLOOKUP(C722,layoffs_location!A:E,5,FALSE)</f>
        <v>North America</v>
      </c>
      <c r="H722" s="3">
        <v>67</v>
      </c>
      <c r="I722" s="8">
        <v>44844</v>
      </c>
      <c r="J722" s="9">
        <v>20</v>
      </c>
      <c r="K722" s="10">
        <v>335</v>
      </c>
      <c r="L722" s="10">
        <v>268</v>
      </c>
      <c r="M722" s="3" t="s">
        <v>21</v>
      </c>
      <c r="N722" s="3" t="s">
        <v>41</v>
      </c>
      <c r="O722" s="34">
        <v>315</v>
      </c>
      <c r="P722" s="3">
        <v>2022</v>
      </c>
      <c r="Q722" s="3">
        <f>VLOOKUP(C722,layoffs_location!A:F,6,FALSE)</f>
        <v>40.7127281</v>
      </c>
      <c r="R722" s="3">
        <f>VLOOKUP(C722,layoffs_location!A:G,7,FALSE)</f>
        <v>-74.006015199999993</v>
      </c>
    </row>
    <row r="723" spans="1:18" ht="16" x14ac:dyDescent="0.2">
      <c r="A723" s="3">
        <v>722</v>
      </c>
      <c r="B723" s="3" t="s">
        <v>760</v>
      </c>
      <c r="C723" s="11" t="s">
        <v>1370</v>
      </c>
      <c r="D723" s="3" t="str">
        <f>VLOOKUP(C723,layoffs_location!A:B,2,FALSE)</f>
        <v>San Francisco Bay Area</v>
      </c>
      <c r="E723" s="3" t="str">
        <f>VLOOKUP(C723,layoffs_location!A:C,3,FALSE)</f>
        <v>California</v>
      </c>
      <c r="F723" s="3" t="str">
        <f>VLOOKUP(C723,layoffs_location!A:D,4,FALSE)</f>
        <v>USA</v>
      </c>
      <c r="G723" s="3" t="str">
        <f>VLOOKUP(C723,layoffs_location!A:E,5,FALSE)</f>
        <v>North America</v>
      </c>
      <c r="H723" s="3">
        <v>136</v>
      </c>
      <c r="I723" s="8">
        <v>44845</v>
      </c>
      <c r="J723" s="9">
        <v>11</v>
      </c>
      <c r="K723" s="10">
        <v>1236</v>
      </c>
      <c r="L723" s="10">
        <v>1100</v>
      </c>
      <c r="M723" s="3" t="s">
        <v>35</v>
      </c>
      <c r="N723" s="3" t="s">
        <v>108</v>
      </c>
      <c r="O723" s="34">
        <v>1500</v>
      </c>
      <c r="P723" s="3">
        <v>2022</v>
      </c>
      <c r="Q723" s="3">
        <f>VLOOKUP(C723,layoffs_location!A:F,6,FALSE)</f>
        <v>37.779258800000001</v>
      </c>
      <c r="R723" s="3">
        <f>VLOOKUP(C723,layoffs_location!A:G,7,FALSE)</f>
        <v>-122.4193286</v>
      </c>
    </row>
    <row r="724" spans="1:18" x14ac:dyDescent="0.2">
      <c r="A724" s="3">
        <v>723</v>
      </c>
      <c r="B724" s="3" t="s">
        <v>763</v>
      </c>
      <c r="C724" s="3" t="s">
        <v>715</v>
      </c>
      <c r="D724" s="3" t="str">
        <f>VLOOKUP(C724,layoffs_location!A:B,2,FALSE)</f>
        <v>other</v>
      </c>
      <c r="E724" s="3" t="str">
        <f>VLOOKUP(C724,layoffs_location!A:C,3,FALSE)</f>
        <v>non</v>
      </c>
      <c r="F724" s="3" t="str">
        <f>VLOOKUP(C724,layoffs_location!A:D,4,FALSE)</f>
        <v>Denmark</v>
      </c>
      <c r="G724" s="3" t="str">
        <f>VLOOKUP(C724,layoffs_location!A:E,5,FALSE)</f>
        <v>Europe</v>
      </c>
      <c r="H724" s="3">
        <v>35</v>
      </c>
      <c r="I724" s="8">
        <v>44845</v>
      </c>
      <c r="J724" s="9">
        <v>35</v>
      </c>
      <c r="K724" s="10">
        <v>100</v>
      </c>
      <c r="L724" s="10">
        <v>65</v>
      </c>
      <c r="M724" s="3" t="s">
        <v>130</v>
      </c>
      <c r="N724" s="3" t="s">
        <v>147</v>
      </c>
      <c r="O724" s="34">
        <v>2</v>
      </c>
      <c r="P724" s="3">
        <v>2022</v>
      </c>
      <c r="Q724" s="3">
        <f>VLOOKUP(C724,layoffs_location!A:F,6,FALSE)</f>
        <v>55.686724300000002</v>
      </c>
      <c r="R724" s="3">
        <f>VLOOKUP(C724,layoffs_location!A:G,7,FALSE)</f>
        <v>12.570072400000001</v>
      </c>
    </row>
    <row r="725" spans="1:18" x14ac:dyDescent="0.2">
      <c r="A725" s="3">
        <v>724</v>
      </c>
      <c r="B725" s="3" t="s">
        <v>759</v>
      </c>
      <c r="C725" s="3" t="s">
        <v>39</v>
      </c>
      <c r="D725" s="3" t="str">
        <f>VLOOKUP(C725,layoffs_location!A:B,2,FALSE)</f>
        <v>New York</v>
      </c>
      <c r="E725" s="3" t="str">
        <f>VLOOKUP(C725,layoffs_location!A:C,3,FALSE)</f>
        <v>New York</v>
      </c>
      <c r="F725" s="3" t="str">
        <f>VLOOKUP(C725,layoffs_location!A:D,4,FALSE)</f>
        <v>USA</v>
      </c>
      <c r="G725" s="3" t="str">
        <f>VLOOKUP(C725,layoffs_location!A:E,5,FALSE)</f>
        <v>North America</v>
      </c>
      <c r="H725" s="3">
        <v>500</v>
      </c>
      <c r="I725" s="8">
        <v>44845</v>
      </c>
      <c r="J725" s="9">
        <v>10</v>
      </c>
      <c r="K725" s="10">
        <v>5000</v>
      </c>
      <c r="L725" s="10">
        <v>4500</v>
      </c>
      <c r="M725" s="3" t="s">
        <v>21</v>
      </c>
      <c r="N725" s="3" t="s">
        <v>63</v>
      </c>
      <c r="O725" s="34">
        <v>657</v>
      </c>
      <c r="P725" s="3">
        <v>2022</v>
      </c>
      <c r="Q725" s="3">
        <f>VLOOKUP(C725,layoffs_location!A:F,6,FALSE)</f>
        <v>40.7127281</v>
      </c>
      <c r="R725" s="3">
        <f>VLOOKUP(C725,layoffs_location!A:G,7,FALSE)</f>
        <v>-74.006015199999993</v>
      </c>
    </row>
    <row r="726" spans="1:18" ht="16" x14ac:dyDescent="0.2">
      <c r="A726" s="3">
        <v>725</v>
      </c>
      <c r="B726" s="3" t="s">
        <v>761</v>
      </c>
      <c r="C726" s="11" t="s">
        <v>1370</v>
      </c>
      <c r="D726" s="3" t="str">
        <f>VLOOKUP(C726,layoffs_location!A:B,2,FALSE)</f>
        <v>San Francisco Bay Area</v>
      </c>
      <c r="E726" s="3" t="str">
        <f>VLOOKUP(C726,layoffs_location!A:C,3,FALSE)</f>
        <v>California</v>
      </c>
      <c r="F726" s="3" t="str">
        <f>VLOOKUP(C726,layoffs_location!A:D,4,FALSE)</f>
        <v>USA</v>
      </c>
      <c r="G726" s="3" t="str">
        <f>VLOOKUP(C726,layoffs_location!A:E,5,FALSE)</f>
        <v>North America</v>
      </c>
      <c r="H726" s="3">
        <v>100</v>
      </c>
      <c r="I726" s="8">
        <v>44845</v>
      </c>
      <c r="J726" s="9">
        <v>30</v>
      </c>
      <c r="K726" s="10">
        <v>333</v>
      </c>
      <c r="L726" s="10">
        <v>233</v>
      </c>
      <c r="M726" s="3" t="s">
        <v>137</v>
      </c>
      <c r="N726" s="3" t="s">
        <v>41</v>
      </c>
      <c r="O726" s="34">
        <v>217</v>
      </c>
      <c r="P726" s="3">
        <v>2022</v>
      </c>
      <c r="Q726" s="3">
        <f>VLOOKUP(C726,layoffs_location!A:F,6,FALSE)</f>
        <v>37.779258800000001</v>
      </c>
      <c r="R726" s="3">
        <f>VLOOKUP(C726,layoffs_location!A:G,7,FALSE)</f>
        <v>-122.4193286</v>
      </c>
    </row>
    <row r="727" spans="1:18" x14ac:dyDescent="0.2">
      <c r="A727" s="3">
        <v>726</v>
      </c>
      <c r="B727" s="3" t="s">
        <v>762</v>
      </c>
      <c r="C727" s="3" t="s">
        <v>1408</v>
      </c>
      <c r="D727" s="3" t="str">
        <f>VLOOKUP(C727,layoffs_location!A:B,2,FALSE)</f>
        <v>San Francisco Bay Area</v>
      </c>
      <c r="E727" s="3" t="str">
        <f>VLOOKUP(C727,layoffs_location!A:C,3,FALSE)</f>
        <v>California</v>
      </c>
      <c r="F727" s="3" t="str">
        <f>VLOOKUP(C727,layoffs_location!A:D,4,FALSE)</f>
        <v>USA</v>
      </c>
      <c r="G727" s="3" t="str">
        <f>VLOOKUP(C727,layoffs_location!A:E,5,FALSE)</f>
        <v>North America</v>
      </c>
      <c r="H727" s="3">
        <v>55</v>
      </c>
      <c r="I727" s="8">
        <v>44845</v>
      </c>
      <c r="J727" s="9">
        <v>13</v>
      </c>
      <c r="K727" s="10">
        <v>423</v>
      </c>
      <c r="L727" s="10">
        <v>368</v>
      </c>
      <c r="M727" s="3" t="s">
        <v>68</v>
      </c>
      <c r="N727" s="3" t="s">
        <v>22</v>
      </c>
      <c r="O727" s="34">
        <v>235</v>
      </c>
      <c r="P727" s="3">
        <v>2022</v>
      </c>
      <c r="Q727" s="3">
        <f>VLOOKUP(C727,layoffs_location!A:F,6,FALSE)</f>
        <v>37.3893889</v>
      </c>
      <c r="R727" s="3">
        <f>VLOOKUP(C727,layoffs_location!A:G,7,FALSE)</f>
        <v>-122.0832101</v>
      </c>
    </row>
    <row r="728" spans="1:18" x14ac:dyDescent="0.2">
      <c r="A728" s="3">
        <v>727</v>
      </c>
      <c r="B728" s="3" t="s">
        <v>758</v>
      </c>
      <c r="C728" s="3" t="s">
        <v>1370</v>
      </c>
      <c r="D728" s="3" t="str">
        <f>VLOOKUP(C728,layoffs_location!A:B,2,FALSE)</f>
        <v>San Francisco Bay Area</v>
      </c>
      <c r="E728" s="3" t="str">
        <f>VLOOKUP(C728,layoffs_location!A:C,3,FALSE)</f>
        <v>California</v>
      </c>
      <c r="F728" s="3" t="str">
        <f>VLOOKUP(C728,layoffs_location!A:D,4,FALSE)</f>
        <v>USA</v>
      </c>
      <c r="G728" s="3" t="str">
        <f>VLOOKUP(C728,layoffs_location!A:E,5,FALSE)</f>
        <v>North America</v>
      </c>
      <c r="H728" s="3">
        <v>150</v>
      </c>
      <c r="I728" s="8">
        <v>44846</v>
      </c>
      <c r="J728" s="9">
        <v>10</v>
      </c>
      <c r="K728" s="10">
        <v>1500</v>
      </c>
      <c r="L728" s="10">
        <v>1350</v>
      </c>
      <c r="M728" s="3" t="s">
        <v>92</v>
      </c>
      <c r="N728" s="3" t="s">
        <v>36</v>
      </c>
      <c r="O728" s="34">
        <v>426</v>
      </c>
      <c r="P728" s="3">
        <v>2022</v>
      </c>
      <c r="Q728" s="3">
        <f>VLOOKUP(C728,layoffs_location!A:F,6,FALSE)</f>
        <v>37.779258800000001</v>
      </c>
      <c r="R728" s="3">
        <f>VLOOKUP(C728,layoffs_location!A:G,7,FALSE)</f>
        <v>-122.4193286</v>
      </c>
    </row>
    <row r="729" spans="1:18" x14ac:dyDescent="0.2">
      <c r="A729" s="3">
        <v>728</v>
      </c>
      <c r="B729" s="3" t="s">
        <v>757</v>
      </c>
      <c r="C729" s="3" t="s">
        <v>13</v>
      </c>
      <c r="D729" s="3" t="str">
        <f>VLOOKUP(C729,layoffs_location!A:B,2,FALSE)</f>
        <v>other</v>
      </c>
      <c r="E729" s="3" t="str">
        <f>VLOOKUP(C729,layoffs_location!A:C,3,FALSE)</f>
        <v>Karnataka</v>
      </c>
      <c r="F729" s="3" t="str">
        <f>VLOOKUP(C729,layoffs_location!A:D,4,FALSE)</f>
        <v>India</v>
      </c>
      <c r="G729" s="3" t="str">
        <f>VLOOKUP(C729,layoffs_location!A:E,5,FALSE)</f>
        <v>Asia</v>
      </c>
      <c r="H729" s="3">
        <v>2500</v>
      </c>
      <c r="I729" s="8">
        <v>44846</v>
      </c>
      <c r="J729" s="9">
        <v>5</v>
      </c>
      <c r="K729" s="10">
        <v>50000</v>
      </c>
      <c r="L729" s="10">
        <v>47500</v>
      </c>
      <c r="M729" s="3" t="s">
        <v>68</v>
      </c>
      <c r="N729" s="3" t="s">
        <v>1696</v>
      </c>
      <c r="P729" s="3">
        <v>2022</v>
      </c>
      <c r="Q729" s="3">
        <f>VLOOKUP(C729,layoffs_location!A:F,6,FALSE)</f>
        <v>12.98815675</v>
      </c>
      <c r="R729" s="3">
        <f>VLOOKUP(C729,layoffs_location!A:G,7,FALSE)</f>
        <v>77.622600037959998</v>
      </c>
    </row>
    <row r="730" spans="1:18" x14ac:dyDescent="0.2">
      <c r="A730" s="3">
        <v>729</v>
      </c>
      <c r="B730" s="3" t="s">
        <v>225</v>
      </c>
      <c r="C730" s="3" t="s">
        <v>13</v>
      </c>
      <c r="D730" s="3" t="str">
        <f>VLOOKUP(C730,layoffs_location!A:B,2,FALSE)</f>
        <v>other</v>
      </c>
      <c r="E730" s="3" t="str">
        <f>VLOOKUP(C730,layoffs_location!A:C,3,FALSE)</f>
        <v>Karnataka</v>
      </c>
      <c r="F730" s="3" t="str">
        <f>VLOOKUP(C730,layoffs_location!A:D,4,FALSE)</f>
        <v>India</v>
      </c>
      <c r="G730" s="3" t="str">
        <f>VLOOKUP(C730,layoffs_location!A:E,5,FALSE)</f>
        <v>Asia</v>
      </c>
      <c r="H730" s="3">
        <v>130</v>
      </c>
      <c r="I730" s="8">
        <v>44846</v>
      </c>
      <c r="J730" s="9">
        <v>75</v>
      </c>
      <c r="K730" s="10">
        <v>173</v>
      </c>
      <c r="L730" s="10">
        <v>43</v>
      </c>
      <c r="M730" s="3" t="s">
        <v>68</v>
      </c>
      <c r="N730" s="3" t="s">
        <v>69</v>
      </c>
      <c r="O730" s="34">
        <v>17</v>
      </c>
      <c r="P730" s="3">
        <v>2022</v>
      </c>
      <c r="Q730" s="3">
        <f>VLOOKUP(C730,layoffs_location!A:F,6,FALSE)</f>
        <v>12.98815675</v>
      </c>
      <c r="R730" s="3">
        <f>VLOOKUP(C730,layoffs_location!A:G,7,FALSE)</f>
        <v>77.622600037959998</v>
      </c>
    </row>
    <row r="731" spans="1:18" x14ac:dyDescent="0.2">
      <c r="A731" s="3">
        <v>730</v>
      </c>
      <c r="B731" s="3" t="s">
        <v>756</v>
      </c>
      <c r="C731" s="3" t="s">
        <v>39</v>
      </c>
      <c r="D731" s="3" t="str">
        <f>VLOOKUP(C731,layoffs_location!A:B,2,FALSE)</f>
        <v>New York</v>
      </c>
      <c r="E731" s="3" t="str">
        <f>VLOOKUP(C731,layoffs_location!A:C,3,FALSE)</f>
        <v>New York</v>
      </c>
      <c r="F731" s="3" t="str">
        <f>VLOOKUP(C731,layoffs_location!A:D,4,FALSE)</f>
        <v>USA</v>
      </c>
      <c r="G731" s="3" t="str">
        <f>VLOOKUP(C731,layoffs_location!A:E,5,FALSE)</f>
        <v>North America</v>
      </c>
      <c r="H731" s="3">
        <v>65</v>
      </c>
      <c r="I731" s="8">
        <v>44847</v>
      </c>
      <c r="J731" s="9">
        <v>100</v>
      </c>
      <c r="K731" s="10">
        <v>65</v>
      </c>
      <c r="L731" s="10">
        <v>0</v>
      </c>
      <c r="M731" s="3" t="s">
        <v>16</v>
      </c>
      <c r="N731" s="3" t="s">
        <v>33</v>
      </c>
      <c r="O731" s="34">
        <v>10</v>
      </c>
      <c r="P731" s="3">
        <v>2022</v>
      </c>
      <c r="Q731" s="3">
        <f>VLOOKUP(C731,layoffs_location!A:F,6,FALSE)</f>
        <v>40.7127281</v>
      </c>
      <c r="R731" s="3">
        <f>VLOOKUP(C731,layoffs_location!A:G,7,FALSE)</f>
        <v>-74.006015199999993</v>
      </c>
    </row>
    <row r="732" spans="1:18" x14ac:dyDescent="0.2">
      <c r="A732" s="3">
        <v>731</v>
      </c>
      <c r="B732" s="3" t="s">
        <v>75</v>
      </c>
      <c r="C732" s="3" t="s">
        <v>76</v>
      </c>
      <c r="D732" s="3" t="str">
        <f>VLOOKUP(C732,layoffs_location!A:B,2,FALSE)</f>
        <v>other</v>
      </c>
      <c r="E732" s="3" t="str">
        <f>VLOOKUP(C732,layoffs_location!A:C,3,FALSE)</f>
        <v>California</v>
      </c>
      <c r="F732" s="3" t="str">
        <f>VLOOKUP(C732,layoffs_location!A:D,4,FALSE)</f>
        <v>USA</v>
      </c>
      <c r="G732" s="3" t="str">
        <f>VLOOKUP(C732,layoffs_location!A:E,5,FALSE)</f>
        <v>North America</v>
      </c>
      <c r="H732" s="3">
        <v>200</v>
      </c>
      <c r="I732" s="8">
        <v>44848</v>
      </c>
      <c r="J732" s="9">
        <v>19</v>
      </c>
      <c r="K732" s="10">
        <v>1053</v>
      </c>
      <c r="L732" s="10">
        <v>853</v>
      </c>
      <c r="M732" s="3" t="s">
        <v>77</v>
      </c>
      <c r="N732" s="3" t="s">
        <v>28</v>
      </c>
      <c r="O732" s="34">
        <v>122</v>
      </c>
      <c r="P732" s="3">
        <v>2022</v>
      </c>
      <c r="Q732" s="3">
        <f>VLOOKUP(C732,layoffs_location!A:F,6,FALSE)</f>
        <v>34.053690899999999</v>
      </c>
      <c r="R732" s="3">
        <f>VLOOKUP(C732,layoffs_location!A:G,7,FALSE)</f>
        <v>-118.242766</v>
      </c>
    </row>
    <row r="733" spans="1:18" x14ac:dyDescent="0.2">
      <c r="A733" s="3">
        <v>732</v>
      </c>
      <c r="B733" s="3" t="s">
        <v>755</v>
      </c>
      <c r="C733" s="3" t="s">
        <v>1473</v>
      </c>
      <c r="D733" s="3" t="str">
        <f>VLOOKUP(C733,layoffs_location!A:B,2,FALSE)</f>
        <v>San Francisco Bay Area</v>
      </c>
      <c r="E733" s="3" t="str">
        <f>VLOOKUP(C733,layoffs_location!A:C,3,FALSE)</f>
        <v>California</v>
      </c>
      <c r="F733" s="3" t="str">
        <f>VLOOKUP(C733,layoffs_location!A:D,4,FALSE)</f>
        <v>USA</v>
      </c>
      <c r="G733" s="3" t="str">
        <f>VLOOKUP(C733,layoffs_location!A:E,5,FALSE)</f>
        <v>North America</v>
      </c>
      <c r="H733" s="3">
        <v>24</v>
      </c>
      <c r="I733" s="8">
        <v>44850</v>
      </c>
      <c r="J733" s="9">
        <v>21</v>
      </c>
      <c r="K733" s="10">
        <v>114</v>
      </c>
      <c r="L733" s="10">
        <v>90</v>
      </c>
      <c r="M733" s="3" t="s">
        <v>54</v>
      </c>
      <c r="N733" s="3" t="s">
        <v>22</v>
      </c>
      <c r="O733" s="34">
        <v>235</v>
      </c>
      <c r="P733" s="3">
        <v>2022</v>
      </c>
      <c r="Q733" s="3">
        <f>VLOOKUP(C733,layoffs_location!A:F,6,FALSE)</f>
        <v>37.4443293</v>
      </c>
      <c r="R733" s="3">
        <f>VLOOKUP(C733,layoffs_location!A:G,7,FALSE)</f>
        <v>-122.1598465</v>
      </c>
    </row>
    <row r="734" spans="1:18" x14ac:dyDescent="0.2">
      <c r="A734" s="3">
        <v>733</v>
      </c>
      <c r="B734" s="3" t="s">
        <v>80</v>
      </c>
      <c r="C734" s="3" t="s">
        <v>1370</v>
      </c>
      <c r="D734" s="3" t="str">
        <f>VLOOKUP(C734,layoffs_location!A:B,2,FALSE)</f>
        <v>San Francisco Bay Area</v>
      </c>
      <c r="E734" s="3" t="str">
        <f>VLOOKUP(C734,layoffs_location!A:C,3,FALSE)</f>
        <v>California</v>
      </c>
      <c r="F734" s="3" t="str">
        <f>VLOOKUP(C734,layoffs_location!A:D,4,FALSE)</f>
        <v>USA</v>
      </c>
      <c r="G734" s="3" t="str">
        <f>VLOOKUP(C734,layoffs_location!A:E,5,FALSE)</f>
        <v>North America</v>
      </c>
      <c r="H734" s="3">
        <v>84</v>
      </c>
      <c r="I734" s="8">
        <v>44852</v>
      </c>
      <c r="J734" s="9">
        <v>7</v>
      </c>
      <c r="K734" s="10">
        <v>1200</v>
      </c>
      <c r="L734" s="10">
        <v>1116</v>
      </c>
      <c r="M734" s="3" t="s">
        <v>30</v>
      </c>
      <c r="N734" s="3" t="s">
        <v>81</v>
      </c>
      <c r="O734" s="34">
        <v>1700</v>
      </c>
      <c r="P734" s="3">
        <v>2022</v>
      </c>
      <c r="Q734" s="3">
        <f>VLOOKUP(C734,layoffs_location!A:F,6,FALSE)</f>
        <v>37.779258800000001</v>
      </c>
      <c r="R734" s="3">
        <f>VLOOKUP(C734,layoffs_location!A:G,7,FALSE)</f>
        <v>-122.4193286</v>
      </c>
    </row>
    <row r="735" spans="1:18" x14ac:dyDescent="0.2">
      <c r="A735" s="3">
        <v>734</v>
      </c>
      <c r="B735" s="3" t="s">
        <v>381</v>
      </c>
      <c r="C735" s="3" t="s">
        <v>43</v>
      </c>
      <c r="D735" s="3" t="str">
        <f>VLOOKUP(C735,layoffs_location!A:B,2,FALSE)</f>
        <v>Cascadia</v>
      </c>
      <c r="E735" s="3" t="str">
        <f>VLOOKUP(C735,layoffs_location!A:C,3,FALSE)</f>
        <v>Washington</v>
      </c>
      <c r="F735" s="3" t="str">
        <f>VLOOKUP(C735,layoffs_location!A:D,4,FALSE)</f>
        <v>USA</v>
      </c>
      <c r="G735" s="3" t="str">
        <f>VLOOKUP(C735,layoffs_location!A:E,5,FALSE)</f>
        <v>North America</v>
      </c>
      <c r="H735" s="3">
        <v>56</v>
      </c>
      <c r="I735" s="8">
        <v>44852</v>
      </c>
      <c r="J735" s="9">
        <v>21</v>
      </c>
      <c r="K735" s="10">
        <v>267</v>
      </c>
      <c r="L735" s="10">
        <v>211</v>
      </c>
      <c r="M735" s="3" t="s">
        <v>30</v>
      </c>
      <c r="N735" s="3" t="s">
        <v>28</v>
      </c>
      <c r="O735" s="34">
        <v>71</v>
      </c>
      <c r="P735" s="3">
        <v>2022</v>
      </c>
      <c r="Q735" s="3">
        <f>VLOOKUP(C735,layoffs_location!A:F,6,FALSE)</f>
        <v>47.603832099999998</v>
      </c>
      <c r="R735" s="3">
        <f>VLOOKUP(C735,layoffs_location!A:G,7,FALSE)</f>
        <v>-122.330062</v>
      </c>
    </row>
    <row r="736" spans="1:18" x14ac:dyDescent="0.2">
      <c r="A736" s="3">
        <v>735</v>
      </c>
      <c r="B736" s="3" t="s">
        <v>753</v>
      </c>
      <c r="C736" s="3" t="s">
        <v>1370</v>
      </c>
      <c r="D736" s="3" t="str">
        <f>VLOOKUP(C736,layoffs_location!A:B,2,FALSE)</f>
        <v>San Francisco Bay Area</v>
      </c>
      <c r="E736" s="3" t="str">
        <f>VLOOKUP(C736,layoffs_location!A:C,3,FALSE)</f>
        <v>California</v>
      </c>
      <c r="F736" s="3" t="str">
        <f>VLOOKUP(C736,layoffs_location!A:D,4,FALSE)</f>
        <v>USA</v>
      </c>
      <c r="G736" s="3" t="str">
        <f>VLOOKUP(C736,layoffs_location!A:E,5,FALSE)</f>
        <v>North America</v>
      </c>
      <c r="H736" s="3">
        <v>32</v>
      </c>
      <c r="I736" s="8">
        <v>44853</v>
      </c>
      <c r="J736" s="9">
        <v>30</v>
      </c>
      <c r="K736" s="10">
        <v>107</v>
      </c>
      <c r="L736" s="10">
        <v>75</v>
      </c>
      <c r="M736" s="3" t="s">
        <v>35</v>
      </c>
      <c r="N736" s="3" t="s">
        <v>49</v>
      </c>
      <c r="O736" s="34">
        <v>177</v>
      </c>
      <c r="P736" s="3">
        <v>2022</v>
      </c>
      <c r="Q736" s="3">
        <f>VLOOKUP(C736,layoffs_location!A:F,6,FALSE)</f>
        <v>37.779258800000001</v>
      </c>
      <c r="R736" s="3">
        <f>VLOOKUP(C736,layoffs_location!A:G,7,FALSE)</f>
        <v>-122.4193286</v>
      </c>
    </row>
    <row r="737" spans="1:18" x14ac:dyDescent="0.2">
      <c r="A737" s="3">
        <v>736</v>
      </c>
      <c r="B737" s="3" t="s">
        <v>395</v>
      </c>
      <c r="C737" s="3" t="s">
        <v>362</v>
      </c>
      <c r="D737" s="3" t="str">
        <f>VLOOKUP(C737,layoffs_location!A:B,2,FALSE)</f>
        <v>other</v>
      </c>
      <c r="E737" s="3" t="str">
        <f>VLOOKUP(C737,layoffs_location!A:C,3,FALSE)</f>
        <v>Pennsylvania</v>
      </c>
      <c r="F737" s="3" t="str">
        <f>VLOOKUP(C737,layoffs_location!A:D,4,FALSE)</f>
        <v>USA</v>
      </c>
      <c r="G737" s="3" t="str">
        <f>VLOOKUP(C737,layoffs_location!A:E,5,FALSE)</f>
        <v>North America</v>
      </c>
      <c r="H737" s="3">
        <v>250</v>
      </c>
      <c r="I737" s="8">
        <v>44853</v>
      </c>
      <c r="J737" s="9">
        <v>1.8518518518518521</v>
      </c>
      <c r="K737" s="10">
        <v>13500</v>
      </c>
      <c r="L737" s="10">
        <v>13250</v>
      </c>
      <c r="M737" s="3" t="s">
        <v>77</v>
      </c>
      <c r="N737" s="3" t="s">
        <v>17</v>
      </c>
      <c r="O737" s="34">
        <v>3400</v>
      </c>
      <c r="P737" s="3">
        <v>2022</v>
      </c>
      <c r="Q737" s="3">
        <f>VLOOKUP(C737,layoffs_location!A:F,6,FALSE)</f>
        <v>39.9527237</v>
      </c>
      <c r="R737" s="3">
        <f>VLOOKUP(C737,layoffs_location!A:G,7,FALSE)</f>
        <v>-75.163526200000007</v>
      </c>
    </row>
    <row r="738" spans="1:18" x14ac:dyDescent="0.2">
      <c r="A738" s="3">
        <v>737</v>
      </c>
      <c r="B738" s="3" t="s">
        <v>754</v>
      </c>
      <c r="C738" s="3" t="s">
        <v>58</v>
      </c>
      <c r="D738" s="3" t="str">
        <f>VLOOKUP(C738,layoffs_location!A:B,2,FALSE)</f>
        <v>other</v>
      </c>
      <c r="E738" s="3" t="str">
        <f>VLOOKUP(C738,layoffs_location!A:C,3,FALSE)</f>
        <v>England</v>
      </c>
      <c r="F738" s="3" t="str">
        <f>VLOOKUP(C738,layoffs_location!A:D,4,FALSE)</f>
        <v>UK</v>
      </c>
      <c r="G738" s="3" t="str">
        <f>VLOOKUP(C738,layoffs_location!A:E,5,FALSE)</f>
        <v>Europe</v>
      </c>
      <c r="H738" s="3">
        <v>20</v>
      </c>
      <c r="I738" s="8">
        <v>44853</v>
      </c>
      <c r="J738" s="9">
        <v>12</v>
      </c>
      <c r="K738" s="10">
        <v>167</v>
      </c>
      <c r="L738" s="10">
        <v>147</v>
      </c>
      <c r="M738" s="3" t="s">
        <v>139</v>
      </c>
      <c r="N738" s="3" t="s">
        <v>49</v>
      </c>
      <c r="O738" s="34">
        <v>88</v>
      </c>
      <c r="P738" s="3">
        <v>2022</v>
      </c>
      <c r="Q738" s="3">
        <f>VLOOKUP(C738,layoffs_location!A:F,6,FALSE)</f>
        <v>51.489333500000001</v>
      </c>
      <c r="R738" s="3">
        <f>VLOOKUP(C738,layoffs_location!A:G,7,FALSE)</f>
        <v>-0.14405508452768701</v>
      </c>
    </row>
    <row r="739" spans="1:18" x14ac:dyDescent="0.2">
      <c r="A739" s="3">
        <v>738</v>
      </c>
      <c r="B739" s="3" t="s">
        <v>749</v>
      </c>
      <c r="C739" s="3" t="s">
        <v>750</v>
      </c>
      <c r="D739" s="3" t="str">
        <f>VLOOKUP(C739,layoffs_location!A:B,2,FALSE)</f>
        <v>other</v>
      </c>
      <c r="E739" s="3" t="str">
        <f>VLOOKUP(C739,layoffs_location!A:C,3,FALSE)</f>
        <v>State of Minas Gerais</v>
      </c>
      <c r="F739" s="3" t="str">
        <f>VLOOKUP(C739,layoffs_location!A:D,4,FALSE)</f>
        <v>Brazil</v>
      </c>
      <c r="G739" s="3" t="str">
        <f>VLOOKUP(C739,layoffs_location!A:E,5,FALSE)</f>
        <v>South America</v>
      </c>
      <c r="H739" s="3">
        <v>227</v>
      </c>
      <c r="I739" s="8">
        <v>44854</v>
      </c>
      <c r="J739" s="9">
        <v>12</v>
      </c>
      <c r="K739" s="10">
        <v>1892</v>
      </c>
      <c r="L739" s="10">
        <v>1665</v>
      </c>
      <c r="M739" s="3" t="s">
        <v>130</v>
      </c>
      <c r="N739" s="3" t="s">
        <v>41</v>
      </c>
      <c r="O739" s="34">
        <v>127</v>
      </c>
      <c r="P739" s="3">
        <v>2022</v>
      </c>
      <c r="Q739" s="3">
        <f>VLOOKUP(C739,layoffs_location!A:F,6,FALSE)</f>
        <v>-19.922731800000001</v>
      </c>
      <c r="R739" s="3">
        <f>VLOOKUP(C739,layoffs_location!A:G,7,FALSE)</f>
        <v>-43.9450948</v>
      </c>
    </row>
    <row r="740" spans="1:18" ht="16" x14ac:dyDescent="0.2">
      <c r="A740" s="3">
        <v>739</v>
      </c>
      <c r="B740" s="3" t="s">
        <v>752</v>
      </c>
      <c r="C740" s="11" t="s">
        <v>1370</v>
      </c>
      <c r="D740" s="3" t="str">
        <f>VLOOKUP(C740,layoffs_location!A:B,2,FALSE)</f>
        <v>San Francisco Bay Area</v>
      </c>
      <c r="E740" s="3" t="str">
        <f>VLOOKUP(C740,layoffs_location!A:C,3,FALSE)</f>
        <v>California</v>
      </c>
      <c r="F740" s="3" t="str">
        <f>VLOOKUP(C740,layoffs_location!A:D,4,FALSE)</f>
        <v>USA</v>
      </c>
      <c r="G740" s="3" t="str">
        <f>VLOOKUP(C740,layoffs_location!A:E,5,FALSE)</f>
        <v>North America</v>
      </c>
      <c r="H740" s="3">
        <v>23</v>
      </c>
      <c r="I740" s="8">
        <v>44854</v>
      </c>
      <c r="J740" s="9">
        <v>11</v>
      </c>
      <c r="K740" s="10">
        <v>209</v>
      </c>
      <c r="L740" s="10">
        <v>186</v>
      </c>
      <c r="M740" s="3" t="s">
        <v>48</v>
      </c>
      <c r="N740" s="3" t="s">
        <v>41</v>
      </c>
      <c r="O740" s="34">
        <v>203</v>
      </c>
      <c r="P740" s="3">
        <v>2022</v>
      </c>
      <c r="Q740" s="3">
        <f>VLOOKUP(C740,layoffs_location!A:F,6,FALSE)</f>
        <v>37.779258800000001</v>
      </c>
      <c r="R740" s="3">
        <f>VLOOKUP(C740,layoffs_location!A:G,7,FALSE)</f>
        <v>-122.4193286</v>
      </c>
    </row>
    <row r="741" spans="1:18" x14ac:dyDescent="0.2">
      <c r="A741" s="3">
        <v>740</v>
      </c>
      <c r="B741" s="3" t="s">
        <v>751</v>
      </c>
      <c r="C741" s="3" t="s">
        <v>1370</v>
      </c>
      <c r="D741" s="3" t="str">
        <f>VLOOKUP(C741,layoffs_location!A:B,2,FALSE)</f>
        <v>San Francisco Bay Area</v>
      </c>
      <c r="E741" s="3" t="str">
        <f>VLOOKUP(C741,layoffs_location!A:C,3,FALSE)</f>
        <v>California</v>
      </c>
      <c r="F741" s="3" t="str">
        <f>VLOOKUP(C741,layoffs_location!A:D,4,FALSE)</f>
        <v>USA</v>
      </c>
      <c r="G741" s="3" t="str">
        <f>VLOOKUP(C741,layoffs_location!A:E,5,FALSE)</f>
        <v>North America</v>
      </c>
      <c r="H741" s="3">
        <v>64</v>
      </c>
      <c r="I741" s="8">
        <v>44854</v>
      </c>
      <c r="J741" s="9">
        <v>46</v>
      </c>
      <c r="K741" s="10">
        <v>139</v>
      </c>
      <c r="L741" s="10">
        <v>75</v>
      </c>
      <c r="M741" s="3" t="s">
        <v>137</v>
      </c>
      <c r="N741" s="3" t="s">
        <v>41</v>
      </c>
      <c r="O741" s="34">
        <v>151</v>
      </c>
      <c r="P741" s="3">
        <v>2022</v>
      </c>
      <c r="Q741" s="3">
        <f>VLOOKUP(C741,layoffs_location!A:F,6,FALSE)</f>
        <v>37.779258800000001</v>
      </c>
      <c r="R741" s="3">
        <f>VLOOKUP(C741,layoffs_location!A:G,7,FALSE)</f>
        <v>-122.4193286</v>
      </c>
    </row>
    <row r="742" spans="1:18" x14ac:dyDescent="0.2">
      <c r="A742" s="3">
        <v>741</v>
      </c>
      <c r="B742" s="3" t="s">
        <v>746</v>
      </c>
      <c r="C742" s="3" t="s">
        <v>135</v>
      </c>
      <c r="D742" s="3" t="str">
        <f>VLOOKUP(C742,layoffs_location!A:B,2,FALSE)</f>
        <v>other</v>
      </c>
      <c r="E742" s="3" t="str">
        <f>VLOOKUP(C742,layoffs_location!A:C,3,FALSE)</f>
        <v>Berlin</v>
      </c>
      <c r="F742" s="3" t="str">
        <f>VLOOKUP(C742,layoffs_location!A:D,4,FALSE)</f>
        <v>Germany</v>
      </c>
      <c r="G742" s="3" t="str">
        <f>VLOOKUP(C742,layoffs_location!A:E,5,FALSE)</f>
        <v>Europe</v>
      </c>
      <c r="H742" s="3">
        <v>43</v>
      </c>
      <c r="I742" s="8">
        <v>44855</v>
      </c>
      <c r="J742" s="9">
        <v>33</v>
      </c>
      <c r="K742" s="10">
        <v>130</v>
      </c>
      <c r="L742" s="10">
        <v>87</v>
      </c>
      <c r="M742" s="3" t="s">
        <v>35</v>
      </c>
      <c r="N742" s="3" t="s">
        <v>22</v>
      </c>
      <c r="O742" s="34">
        <v>30</v>
      </c>
      <c r="P742" s="3">
        <v>2022</v>
      </c>
      <c r="Q742" s="3">
        <f>VLOOKUP(C742,layoffs_location!A:F,6,FALSE)</f>
        <v>52.517036500000003</v>
      </c>
      <c r="R742" s="3">
        <f>VLOOKUP(C742,layoffs_location!A:G,7,FALSE)</f>
        <v>13.3888599</v>
      </c>
    </row>
    <row r="743" spans="1:18" x14ac:dyDescent="0.2">
      <c r="A743" s="3">
        <v>742</v>
      </c>
      <c r="B743" s="3" t="s">
        <v>745</v>
      </c>
      <c r="C743" s="3" t="s">
        <v>83</v>
      </c>
      <c r="D743" s="3" t="str">
        <f>VLOOKUP(C743,layoffs_location!A:B,2,FALSE)</f>
        <v>other</v>
      </c>
      <c r="E743" s="3" t="str">
        <f>VLOOKUP(C743,layoffs_location!A:C,3,FALSE)</f>
        <v>Texas</v>
      </c>
      <c r="F743" s="3" t="str">
        <f>VLOOKUP(C743,layoffs_location!A:D,4,FALSE)</f>
        <v>USA</v>
      </c>
      <c r="G743" s="3" t="str">
        <f>VLOOKUP(C743,layoffs_location!A:E,5,FALSE)</f>
        <v>North America</v>
      </c>
      <c r="H743" s="3">
        <v>120</v>
      </c>
      <c r="I743" s="8">
        <v>44855</v>
      </c>
      <c r="J743" s="9">
        <v>10</v>
      </c>
      <c r="K743" s="10">
        <v>1200</v>
      </c>
      <c r="L743" s="10">
        <v>1080</v>
      </c>
      <c r="M743" s="3" t="s">
        <v>92</v>
      </c>
      <c r="N743" s="3" t="s">
        <v>1696</v>
      </c>
      <c r="O743" s="34">
        <v>138</v>
      </c>
      <c r="P743" s="3">
        <v>2022</v>
      </c>
      <c r="Q743" s="3">
        <f>VLOOKUP(C743,layoffs_location!A:F,6,FALSE)</f>
        <v>30.271128600000001</v>
      </c>
      <c r="R743" s="3">
        <f>VLOOKUP(C743,layoffs_location!A:G,7,FALSE)</f>
        <v>-97.743699500000005</v>
      </c>
    </row>
    <row r="744" spans="1:18" x14ac:dyDescent="0.2">
      <c r="A744" s="3">
        <v>743</v>
      </c>
      <c r="B744" s="3" t="s">
        <v>747</v>
      </c>
      <c r="C744" s="3" t="s">
        <v>748</v>
      </c>
      <c r="D744" s="3" t="str">
        <f>VLOOKUP(C744,layoffs_location!A:B,2,FALSE)</f>
        <v>other</v>
      </c>
      <c r="E744" s="3" t="str">
        <f>VLOOKUP(C744,layoffs_location!A:C,3,FALSE)</f>
        <v>Delhi</v>
      </c>
      <c r="F744" s="3" t="str">
        <f>VLOOKUP(C744,layoffs_location!A:D,4,FALSE)</f>
        <v>India</v>
      </c>
      <c r="G744" s="3" t="str">
        <f>VLOOKUP(C744,layoffs_location!A:E,5,FALSE)</f>
        <v>Asia</v>
      </c>
      <c r="H744" s="3">
        <v>30</v>
      </c>
      <c r="I744" s="8">
        <v>44855</v>
      </c>
      <c r="J744" s="9">
        <v>30</v>
      </c>
      <c r="K744" s="10">
        <v>100</v>
      </c>
      <c r="L744" s="10">
        <v>70</v>
      </c>
      <c r="M744" s="3" t="s">
        <v>21</v>
      </c>
      <c r="N744" s="3" t="s">
        <v>69</v>
      </c>
      <c r="O744" s="34">
        <v>4</v>
      </c>
      <c r="P744" s="3">
        <v>2022</v>
      </c>
      <c r="Q744" s="3">
        <f>VLOOKUP(C744,layoffs_location!A:F,6,FALSE)</f>
        <v>28.613895400000001</v>
      </c>
      <c r="R744" s="3">
        <f>VLOOKUP(C744,layoffs_location!A:G,7,FALSE)</f>
        <v>77.209005700000006</v>
      </c>
    </row>
    <row r="745" spans="1:18" x14ac:dyDescent="0.2">
      <c r="A745" s="3">
        <v>744</v>
      </c>
      <c r="B745" s="3" t="s">
        <v>744</v>
      </c>
      <c r="C745" s="3" t="s">
        <v>47</v>
      </c>
      <c r="D745" s="3" t="str">
        <f>VLOOKUP(C745,layoffs_location!A:B,2,FALSE)</f>
        <v>other</v>
      </c>
      <c r="E745" s="3" t="str">
        <f>VLOOKUP(C745,layoffs_location!A:C,3,FALSE)</f>
        <v>non</v>
      </c>
      <c r="F745" s="3" t="str">
        <f>VLOOKUP(C745,layoffs_location!A:D,4,FALSE)</f>
        <v>Israel</v>
      </c>
      <c r="G745" s="3" t="str">
        <f>VLOOKUP(C745,layoffs_location!A:E,5,FALSE)</f>
        <v>Asia</v>
      </c>
      <c r="H745" s="3">
        <v>23</v>
      </c>
      <c r="I745" s="8">
        <v>44857</v>
      </c>
      <c r="J745" s="9">
        <v>38</v>
      </c>
      <c r="K745" s="10">
        <v>61</v>
      </c>
      <c r="L745" s="10">
        <v>38</v>
      </c>
      <c r="M745" s="3" t="s">
        <v>21</v>
      </c>
      <c r="N745" s="3" t="s">
        <v>22</v>
      </c>
      <c r="O745" s="34">
        <v>36</v>
      </c>
      <c r="P745" s="3">
        <v>2022</v>
      </c>
      <c r="Q745" s="3">
        <f>VLOOKUP(C745,layoffs_location!A:F,6,FALSE)</f>
        <v>32.0852997</v>
      </c>
      <c r="R745" s="3">
        <f>VLOOKUP(C745,layoffs_location!A:G,7,FALSE)</f>
        <v>34.781806400000001</v>
      </c>
    </row>
    <row r="746" spans="1:18" x14ac:dyDescent="0.2">
      <c r="A746" s="3">
        <v>745</v>
      </c>
      <c r="B746" s="3" t="s">
        <v>742</v>
      </c>
      <c r="C746" s="3" t="s">
        <v>743</v>
      </c>
      <c r="D746" s="3" t="str">
        <f>VLOOKUP(C746,layoffs_location!A:B,2,FALSE)</f>
        <v>other</v>
      </c>
      <c r="E746" s="3" t="str">
        <f>VLOOKUP(C746,layoffs_location!A:C,3,FALSE)</f>
        <v>non</v>
      </c>
      <c r="F746" s="3" t="str">
        <f>VLOOKUP(C746,layoffs_location!A:D,4,FALSE)</f>
        <v>Israel</v>
      </c>
      <c r="G746" s="3" t="str">
        <f>VLOOKUP(C746,layoffs_location!A:E,5,FALSE)</f>
        <v>Asia</v>
      </c>
      <c r="H746" s="3">
        <v>62</v>
      </c>
      <c r="I746" s="8">
        <v>44857</v>
      </c>
      <c r="J746" s="9">
        <v>16</v>
      </c>
      <c r="K746" s="10">
        <v>388</v>
      </c>
      <c r="L746" s="10">
        <v>326</v>
      </c>
      <c r="M746" s="3" t="s">
        <v>21</v>
      </c>
      <c r="N746" s="3" t="s">
        <v>22</v>
      </c>
      <c r="O746" s="34">
        <v>86</v>
      </c>
      <c r="P746" s="3">
        <v>2022</v>
      </c>
      <c r="Q746" s="3">
        <f>VLOOKUP(C746,layoffs_location!A:F,6,FALSE)</f>
        <v>31.788471850000001</v>
      </c>
      <c r="R746" s="3">
        <f>VLOOKUP(C746,layoffs_location!A:G,7,FALSE)</f>
        <v>35.218794410944902</v>
      </c>
    </row>
    <row r="747" spans="1:18" x14ac:dyDescent="0.2">
      <c r="A747" s="3">
        <v>746</v>
      </c>
      <c r="B747" s="3" t="s">
        <v>413</v>
      </c>
      <c r="C747" s="3" t="s">
        <v>1327</v>
      </c>
      <c r="D747" s="3" t="str">
        <f>VLOOKUP(C747,layoffs_location!A:B,2,FALSE)</f>
        <v>San Francisco Bay Area</v>
      </c>
      <c r="E747" s="3" t="str">
        <f>VLOOKUP(C747,layoffs_location!A:C,3,FALSE)</f>
        <v>California</v>
      </c>
      <c r="F747" s="3" t="str">
        <f>VLOOKUP(C747,layoffs_location!A:D,4,FALSE)</f>
        <v>USA</v>
      </c>
      <c r="G747" s="3" t="str">
        <f>VLOOKUP(C747,layoffs_location!A:E,5,FALSE)</f>
        <v>North America</v>
      </c>
      <c r="H747" s="3">
        <v>400</v>
      </c>
      <c r="I747" s="8">
        <v>44858</v>
      </c>
      <c r="J747" s="9">
        <v>20</v>
      </c>
      <c r="K747" s="10">
        <v>2000</v>
      </c>
      <c r="L747" s="10">
        <v>1600</v>
      </c>
      <c r="M747" s="3" t="s">
        <v>21</v>
      </c>
      <c r="N747" s="3" t="s">
        <v>41</v>
      </c>
      <c r="O747" s="34">
        <v>462</v>
      </c>
      <c r="P747" s="3">
        <v>2022</v>
      </c>
      <c r="Q747" s="3" t="str">
        <f>VLOOKUP(C747,layoffs_location!A:F,6,FALSE)</f>
        <v xml:space="preserve">	37,910076</v>
      </c>
      <c r="R747" s="3">
        <f>VLOOKUP(C747,layoffs_location!A:G,7,FALSE)</f>
        <v>-122.065186</v>
      </c>
    </row>
    <row r="748" spans="1:18" x14ac:dyDescent="0.2">
      <c r="A748" s="3">
        <v>747</v>
      </c>
      <c r="B748" s="3" t="s">
        <v>741</v>
      </c>
      <c r="C748" s="3" t="s">
        <v>71</v>
      </c>
      <c r="D748" s="3" t="str">
        <f>VLOOKUP(C748,layoffs_location!A:B,2,FALSE)</f>
        <v>other</v>
      </c>
      <c r="E748" s="3" t="str">
        <f>VLOOKUP(C748,layoffs_location!A:C,3,FALSE)</f>
        <v>Massachusetts</v>
      </c>
      <c r="F748" s="3" t="str">
        <f>VLOOKUP(C748,layoffs_location!A:D,4,FALSE)</f>
        <v>USA</v>
      </c>
      <c r="G748" s="3" t="str">
        <f>VLOOKUP(C748,layoffs_location!A:E,5,FALSE)</f>
        <v>North America</v>
      </c>
      <c r="H748" s="3">
        <v>198</v>
      </c>
      <c r="I748" s="8">
        <v>44858</v>
      </c>
      <c r="J748" s="9">
        <v>14</v>
      </c>
      <c r="K748" s="10">
        <v>1414</v>
      </c>
      <c r="L748" s="10">
        <v>1216</v>
      </c>
      <c r="M748" s="3" t="s">
        <v>139</v>
      </c>
      <c r="N748" s="3" t="s">
        <v>63</v>
      </c>
      <c r="O748" s="34">
        <v>849</v>
      </c>
      <c r="P748" s="3">
        <v>2022</v>
      </c>
      <c r="Q748" s="3">
        <f>VLOOKUP(C748,layoffs_location!A:F,6,FALSE)</f>
        <v>42.355433400000003</v>
      </c>
      <c r="R748" s="3">
        <f>VLOOKUP(C748,layoffs_location!A:G,7,FALSE)</f>
        <v>-71.060511000000005</v>
      </c>
    </row>
    <row r="749" spans="1:18" x14ac:dyDescent="0.2">
      <c r="A749" s="3">
        <v>748</v>
      </c>
      <c r="B749" s="3" t="s">
        <v>541</v>
      </c>
      <c r="C749" s="3" t="s">
        <v>187</v>
      </c>
      <c r="D749" s="3" t="str">
        <f>VLOOKUP(C749,layoffs_location!A:B,2,FALSE)</f>
        <v>other</v>
      </c>
      <c r="E749" s="3" t="str">
        <f>VLOOKUP(C749,layoffs_location!A:C,3,FALSE)</f>
        <v>State of São Paulo</v>
      </c>
      <c r="F749" s="3" t="str">
        <f>VLOOKUP(C749,layoffs_location!A:D,4,FALSE)</f>
        <v>Brazil</v>
      </c>
      <c r="G749" s="3" t="str">
        <f>VLOOKUP(C749,layoffs_location!A:E,5,FALSE)</f>
        <v>South America</v>
      </c>
      <c r="H749" s="3">
        <v>50</v>
      </c>
      <c r="I749" s="8">
        <v>44858</v>
      </c>
      <c r="J749" s="9">
        <v>4</v>
      </c>
      <c r="K749" s="10">
        <v>1250</v>
      </c>
      <c r="L749" s="10">
        <v>1200</v>
      </c>
      <c r="M749" s="3" t="s">
        <v>60</v>
      </c>
      <c r="N749" s="3" t="s">
        <v>108</v>
      </c>
      <c r="O749" s="34">
        <v>336</v>
      </c>
      <c r="P749" s="3">
        <v>2022</v>
      </c>
      <c r="Q749" s="3">
        <f>VLOOKUP(C749,layoffs_location!A:F,6,FALSE)</f>
        <v>-23.550650699999998</v>
      </c>
      <c r="R749" s="3">
        <f>VLOOKUP(C749,layoffs_location!A:G,7,FALSE)</f>
        <v>-46.633382400000002</v>
      </c>
    </row>
    <row r="750" spans="1:18" x14ac:dyDescent="0.2">
      <c r="A750" s="3">
        <v>749</v>
      </c>
      <c r="B750" s="3" t="s">
        <v>739</v>
      </c>
      <c r="C750" s="3" t="s">
        <v>1370</v>
      </c>
      <c r="D750" s="3" t="str">
        <f>VLOOKUP(C750,layoffs_location!A:B,2,FALSE)</f>
        <v>San Francisco Bay Area</v>
      </c>
      <c r="E750" s="3" t="str">
        <f>VLOOKUP(C750,layoffs_location!A:C,3,FALSE)</f>
        <v>California</v>
      </c>
      <c r="F750" s="3" t="str">
        <f>VLOOKUP(C750,layoffs_location!A:D,4,FALSE)</f>
        <v>USA</v>
      </c>
      <c r="G750" s="3" t="str">
        <f>VLOOKUP(C750,layoffs_location!A:E,5,FALSE)</f>
        <v>North America</v>
      </c>
      <c r="H750" s="3">
        <v>30</v>
      </c>
      <c r="I750" s="8">
        <v>44859</v>
      </c>
      <c r="J750" s="9">
        <v>12</v>
      </c>
      <c r="K750" s="10">
        <v>250</v>
      </c>
      <c r="L750" s="10">
        <v>220</v>
      </c>
      <c r="M750" s="3" t="s">
        <v>35</v>
      </c>
      <c r="N750" s="3" t="s">
        <v>41</v>
      </c>
      <c r="O750" s="34">
        <v>142</v>
      </c>
      <c r="P750" s="3">
        <v>2022</v>
      </c>
      <c r="Q750" s="3">
        <f>VLOOKUP(C750,layoffs_location!A:F,6,FALSE)</f>
        <v>37.779258800000001</v>
      </c>
      <c r="R750" s="3">
        <f>VLOOKUP(C750,layoffs_location!A:G,7,FALSE)</f>
        <v>-122.4193286</v>
      </c>
    </row>
    <row r="751" spans="1:18" x14ac:dyDescent="0.2">
      <c r="A751" s="3">
        <v>750</v>
      </c>
      <c r="B751" s="3" t="s">
        <v>738</v>
      </c>
      <c r="C751" s="63" t="s">
        <v>1370</v>
      </c>
      <c r="D751" s="3" t="str">
        <f>VLOOKUP(C751,layoffs_location!A:B,2,FALSE)</f>
        <v>San Francisco Bay Area</v>
      </c>
      <c r="E751" s="3" t="str">
        <f>VLOOKUP(C751,layoffs_location!A:C,3,FALSE)</f>
        <v>California</v>
      </c>
      <c r="F751" s="3" t="str">
        <f>VLOOKUP(C751,layoffs_location!A:D,4,FALSE)</f>
        <v>USA</v>
      </c>
      <c r="G751" s="3" t="str">
        <f>VLOOKUP(C751,layoffs_location!A:E,5,FALSE)</f>
        <v>North America</v>
      </c>
      <c r="H751" s="3">
        <v>150</v>
      </c>
      <c r="I751" s="8">
        <v>44859</v>
      </c>
      <c r="J751" s="9">
        <v>42</v>
      </c>
      <c r="K751" s="10">
        <v>357</v>
      </c>
      <c r="L751" s="10">
        <v>207</v>
      </c>
      <c r="M751" s="3" t="s">
        <v>35</v>
      </c>
      <c r="N751" s="3" t="s">
        <v>108</v>
      </c>
      <c r="O751" s="34">
        <v>553</v>
      </c>
      <c r="P751" s="3">
        <v>2022</v>
      </c>
      <c r="Q751" s="3">
        <f>VLOOKUP(C751,layoffs_location!A:F,6,FALSE)</f>
        <v>37.779258800000001</v>
      </c>
      <c r="R751" s="3">
        <f>VLOOKUP(C751,layoffs_location!A:G,7,FALSE)</f>
        <v>-122.4193286</v>
      </c>
    </row>
    <row r="752" spans="1:18" x14ac:dyDescent="0.2">
      <c r="A752" s="3">
        <v>751</v>
      </c>
      <c r="B752" s="3" t="s">
        <v>740</v>
      </c>
      <c r="C752" s="3" t="s">
        <v>47</v>
      </c>
      <c r="D752" s="3" t="str">
        <f>VLOOKUP(C752,layoffs_location!A:B,2,FALSE)</f>
        <v>other</v>
      </c>
      <c r="E752" s="3" t="str">
        <f>VLOOKUP(C752,layoffs_location!A:C,3,FALSE)</f>
        <v>non</v>
      </c>
      <c r="F752" s="3" t="str">
        <f>VLOOKUP(C752,layoffs_location!A:D,4,FALSE)</f>
        <v>Israel</v>
      </c>
      <c r="G752" s="3" t="str">
        <f>VLOOKUP(C752,layoffs_location!A:E,5,FALSE)</f>
        <v>Asia</v>
      </c>
      <c r="H752" s="3">
        <v>17</v>
      </c>
      <c r="I752" s="8">
        <v>44859</v>
      </c>
      <c r="J752" s="9">
        <v>50</v>
      </c>
      <c r="K752" s="10">
        <v>34</v>
      </c>
      <c r="L752" s="10">
        <v>17</v>
      </c>
      <c r="M752" s="3" t="s">
        <v>84</v>
      </c>
      <c r="N752" s="3" t="s">
        <v>147</v>
      </c>
      <c r="O752" s="34">
        <v>15</v>
      </c>
      <c r="P752" s="3">
        <v>2022</v>
      </c>
      <c r="Q752" s="3">
        <f>VLOOKUP(C752,layoffs_location!A:F,6,FALSE)</f>
        <v>32.0852997</v>
      </c>
      <c r="R752" s="3">
        <f>VLOOKUP(C752,layoffs_location!A:G,7,FALSE)</f>
        <v>34.781806400000001</v>
      </c>
    </row>
    <row r="753" spans="1:18" x14ac:dyDescent="0.2">
      <c r="A753" s="3">
        <v>752</v>
      </c>
      <c r="B753" s="3" t="s">
        <v>737</v>
      </c>
      <c r="C753" s="3" t="s">
        <v>730</v>
      </c>
      <c r="D753" s="3" t="str">
        <f>VLOOKUP(C753,layoffs_location!A:B,2,FALSE)</f>
        <v>other</v>
      </c>
      <c r="E753" s="3" t="str">
        <f>VLOOKUP(C753,layoffs_location!A:C,3,FALSE)</f>
        <v>Pennsylvania</v>
      </c>
      <c r="F753" s="3" t="str">
        <f>VLOOKUP(C753,layoffs_location!A:D,4,FALSE)</f>
        <v>USA</v>
      </c>
      <c r="G753" s="3" t="str">
        <f>VLOOKUP(C753,layoffs_location!A:E,5,FALSE)</f>
        <v>North America</v>
      </c>
      <c r="H753" s="3">
        <v>173</v>
      </c>
      <c r="I753" s="8">
        <v>44860</v>
      </c>
      <c r="J753" s="9">
        <v>6.0701754385964906</v>
      </c>
      <c r="K753" s="10">
        <v>2850</v>
      </c>
      <c r="L753" s="10">
        <v>2677</v>
      </c>
      <c r="M753" s="3" t="s">
        <v>32</v>
      </c>
      <c r="N753" s="3" t="s">
        <v>22</v>
      </c>
      <c r="O753" s="34">
        <v>3600</v>
      </c>
      <c r="P753" s="3">
        <v>2022</v>
      </c>
      <c r="Q753" s="3">
        <f>VLOOKUP(C753,layoffs_location!A:F,6,FALSE)</f>
        <v>40.441694099999999</v>
      </c>
      <c r="R753" s="3">
        <f>VLOOKUP(C753,layoffs_location!A:G,7,FALSE)</f>
        <v>-79.990086099999999</v>
      </c>
    </row>
    <row r="754" spans="1:18" x14ac:dyDescent="0.2">
      <c r="A754" s="3">
        <v>753</v>
      </c>
      <c r="B754" s="3" t="s">
        <v>736</v>
      </c>
      <c r="C754" s="3" t="s">
        <v>71</v>
      </c>
      <c r="D754" s="3" t="str">
        <f>VLOOKUP(C754,layoffs_location!A:B,2,FALSE)</f>
        <v>other</v>
      </c>
      <c r="E754" s="3" t="str">
        <f>VLOOKUP(C754,layoffs_location!A:C,3,FALSE)</f>
        <v>Massachusetts</v>
      </c>
      <c r="F754" s="3" t="str">
        <f>VLOOKUP(C754,layoffs_location!A:D,4,FALSE)</f>
        <v>USA</v>
      </c>
      <c r="G754" s="3" t="str">
        <f>VLOOKUP(C754,layoffs_location!A:E,5,FALSE)</f>
        <v>North America</v>
      </c>
      <c r="H754" s="3">
        <v>200</v>
      </c>
      <c r="I754" s="8">
        <v>44860</v>
      </c>
      <c r="J754" s="9">
        <v>17</v>
      </c>
      <c r="K754" s="10">
        <v>1176</v>
      </c>
      <c r="L754" s="10">
        <v>976</v>
      </c>
      <c r="M754" s="3" t="s">
        <v>139</v>
      </c>
      <c r="N754" s="3" t="s">
        <v>63</v>
      </c>
      <c r="O754" s="34">
        <v>750</v>
      </c>
      <c r="P754" s="3">
        <v>2022</v>
      </c>
      <c r="Q754" s="3">
        <f>VLOOKUP(C754,layoffs_location!A:F,6,FALSE)</f>
        <v>42.355433400000003</v>
      </c>
      <c r="R754" s="3">
        <f>VLOOKUP(C754,layoffs_location!A:G,7,FALSE)</f>
        <v>-71.060511000000005</v>
      </c>
    </row>
    <row r="755" spans="1:18" x14ac:dyDescent="0.2">
      <c r="A755" s="3">
        <v>754</v>
      </c>
      <c r="B755" s="3" t="s">
        <v>733</v>
      </c>
      <c r="C755" s="3" t="s">
        <v>734</v>
      </c>
      <c r="D755" s="3" t="str">
        <f>VLOOKUP(C755,layoffs_location!A:B,2,FALSE)</f>
        <v>other</v>
      </c>
      <c r="E755" s="3" t="str">
        <f>VLOOKUP(C755,layoffs_location!A:C,3,FALSE)</f>
        <v>California</v>
      </c>
      <c r="F755" s="3" t="str">
        <f>VLOOKUP(C755,layoffs_location!A:D,4,FALSE)</f>
        <v>USA</v>
      </c>
      <c r="G755" s="3" t="str">
        <f>VLOOKUP(C755,layoffs_location!A:E,5,FALSE)</f>
        <v>North America</v>
      </c>
      <c r="H755" s="3">
        <v>400</v>
      </c>
      <c r="I755" s="8">
        <v>44860</v>
      </c>
      <c r="J755" s="9">
        <v>15</v>
      </c>
      <c r="K755" s="10">
        <v>2667</v>
      </c>
      <c r="L755" s="10">
        <v>2267</v>
      </c>
      <c r="M755" s="3" t="s">
        <v>399</v>
      </c>
      <c r="N755" s="3" t="s">
        <v>28</v>
      </c>
      <c r="O755" s="34">
        <v>114</v>
      </c>
      <c r="P755" s="3">
        <v>2022</v>
      </c>
      <c r="Q755" s="3">
        <f>VLOOKUP(C755,layoffs_location!A:F,6,FALSE)</f>
        <v>35.354020900000002</v>
      </c>
      <c r="R755" s="3">
        <f>VLOOKUP(C755,layoffs_location!A:G,7,FALSE)</f>
        <v>-120.375716</v>
      </c>
    </row>
    <row r="756" spans="1:18" x14ac:dyDescent="0.2">
      <c r="A756" s="3">
        <v>755</v>
      </c>
      <c r="B756" s="3" t="s">
        <v>735</v>
      </c>
      <c r="C756" s="3" t="s">
        <v>43</v>
      </c>
      <c r="D756" s="3" t="str">
        <f>VLOOKUP(C756,layoffs_location!A:B,2,FALSE)</f>
        <v>Cascadia</v>
      </c>
      <c r="E756" s="3" t="str">
        <f>VLOOKUP(C756,layoffs_location!A:C,3,FALSE)</f>
        <v>Washington</v>
      </c>
      <c r="F756" s="3" t="str">
        <f>VLOOKUP(C756,layoffs_location!A:D,4,FALSE)</f>
        <v>USA</v>
      </c>
      <c r="G756" s="3" t="str">
        <f>VLOOKUP(C756,layoffs_location!A:E,5,FALSE)</f>
        <v>North America</v>
      </c>
      <c r="H756" s="3">
        <v>300</v>
      </c>
      <c r="I756" s="8">
        <v>44860</v>
      </c>
      <c r="J756" s="9">
        <v>5</v>
      </c>
      <c r="K756" s="10">
        <v>6000</v>
      </c>
      <c r="L756" s="10">
        <v>5700</v>
      </c>
      <c r="M756" s="3" t="s">
        <v>137</v>
      </c>
      <c r="N756" s="3" t="s">
        <v>28</v>
      </c>
      <c r="O756" s="34">
        <v>97</v>
      </c>
      <c r="P756" s="3">
        <v>2022</v>
      </c>
      <c r="Q756" s="3">
        <f>VLOOKUP(C756,layoffs_location!A:F,6,FALSE)</f>
        <v>47.603832099999998</v>
      </c>
      <c r="R756" s="3">
        <f>VLOOKUP(C756,layoffs_location!A:G,7,FALSE)</f>
        <v>-122.330062</v>
      </c>
    </row>
    <row r="757" spans="1:18" x14ac:dyDescent="0.2">
      <c r="A757" s="3">
        <v>756</v>
      </c>
      <c r="B757" s="3" t="s">
        <v>732</v>
      </c>
      <c r="C757" s="3" t="s">
        <v>76</v>
      </c>
      <c r="D757" s="3" t="str">
        <f>VLOOKUP(C757,layoffs_location!A:B,2,FALSE)</f>
        <v>other</v>
      </c>
      <c r="E757" s="3" t="str">
        <f>VLOOKUP(C757,layoffs_location!A:C,3,FALSE)</f>
        <v>California</v>
      </c>
      <c r="F757" s="3" t="str">
        <f>VLOOKUP(C757,layoffs_location!A:D,4,FALSE)</f>
        <v>USA</v>
      </c>
      <c r="G757" s="3" t="str">
        <f>VLOOKUP(C757,layoffs_location!A:E,5,FALSE)</f>
        <v>North America</v>
      </c>
      <c r="H757" s="3">
        <v>84</v>
      </c>
      <c r="I757" s="8">
        <v>44861</v>
      </c>
      <c r="J757" s="9">
        <v>17</v>
      </c>
      <c r="K757" s="10">
        <v>494</v>
      </c>
      <c r="L757" s="10">
        <v>410</v>
      </c>
      <c r="M757" s="3" t="s">
        <v>35</v>
      </c>
      <c r="N757" s="3" t="s">
        <v>49</v>
      </c>
      <c r="O757" s="34">
        <v>277</v>
      </c>
      <c r="P757" s="3">
        <v>2022</v>
      </c>
      <c r="Q757" s="3">
        <f>VLOOKUP(C757,layoffs_location!A:F,6,FALSE)</f>
        <v>34.053690899999999</v>
      </c>
      <c r="R757" s="3">
        <f>VLOOKUP(C757,layoffs_location!A:G,7,FALSE)</f>
        <v>-118.242766</v>
      </c>
    </row>
    <row r="758" spans="1:18" x14ac:dyDescent="0.2">
      <c r="A758" s="3">
        <v>757</v>
      </c>
      <c r="B758" s="3" t="s">
        <v>731</v>
      </c>
      <c r="C758" s="3" t="s">
        <v>115</v>
      </c>
      <c r="D758" s="3" t="str">
        <f>VLOOKUP(C758,layoffs_location!A:B,2,FALSE)</f>
        <v>other</v>
      </c>
      <c r="E758" s="3" t="str">
        <f>VLOOKUP(C758,layoffs_location!A:C,3,FALSE)</f>
        <v>Quebec</v>
      </c>
      <c r="F758" s="3" t="str">
        <f>VLOOKUP(C758,layoffs_location!A:D,4,FALSE)</f>
        <v>Canada</v>
      </c>
      <c r="G758" s="3" t="str">
        <f>VLOOKUP(C758,layoffs_location!A:E,5,FALSE)</f>
        <v>North America</v>
      </c>
      <c r="H758" s="3">
        <v>210</v>
      </c>
      <c r="I758" s="8">
        <v>44861</v>
      </c>
      <c r="J758" s="9">
        <v>43</v>
      </c>
      <c r="K758" s="10">
        <v>488</v>
      </c>
      <c r="L758" s="10">
        <v>278</v>
      </c>
      <c r="M758" s="3" t="s">
        <v>622</v>
      </c>
      <c r="N758" s="3" t="s">
        <v>49</v>
      </c>
      <c r="O758" s="34">
        <v>163</v>
      </c>
      <c r="P758" s="3">
        <v>2022</v>
      </c>
      <c r="Q758" s="3">
        <f>VLOOKUP(C758,layoffs_location!A:F,6,FALSE)</f>
        <v>45.5031824</v>
      </c>
      <c r="R758" s="3">
        <f>VLOOKUP(C758,layoffs_location!A:G,7,FALSE)</f>
        <v>-73.569806499999999</v>
      </c>
    </row>
    <row r="759" spans="1:18" x14ac:dyDescent="0.2">
      <c r="A759" s="3">
        <v>758</v>
      </c>
      <c r="B759" s="3" t="s">
        <v>376</v>
      </c>
      <c r="C759" s="3" t="s">
        <v>43</v>
      </c>
      <c r="D759" s="3" t="str">
        <f>VLOOKUP(C759,layoffs_location!A:B,2,FALSE)</f>
        <v>Cascadia</v>
      </c>
      <c r="E759" s="3" t="str">
        <f>VLOOKUP(C759,layoffs_location!A:C,3,FALSE)</f>
        <v>Washington</v>
      </c>
      <c r="F759" s="3" t="str">
        <f>VLOOKUP(C759,layoffs_location!A:D,4,FALSE)</f>
        <v>USA</v>
      </c>
      <c r="G759" s="3" t="str">
        <f>VLOOKUP(C759,layoffs_location!A:E,5,FALSE)</f>
        <v>North America</v>
      </c>
      <c r="H759" s="3">
        <v>150</v>
      </c>
      <c r="I759" s="8">
        <v>44862</v>
      </c>
      <c r="J759" s="9">
        <v>4.497975910840122E-2</v>
      </c>
      <c r="K759" s="10">
        <v>333483</v>
      </c>
      <c r="L759" s="10">
        <v>333333</v>
      </c>
      <c r="M759" s="3" t="s">
        <v>30</v>
      </c>
      <c r="N759" s="3" t="s">
        <v>28</v>
      </c>
      <c r="O759" s="34">
        <v>108</v>
      </c>
      <c r="P759" s="3">
        <v>2022</v>
      </c>
      <c r="Q759" s="3">
        <f>VLOOKUP(C759,layoffs_location!A:F,6,FALSE)</f>
        <v>47.603832099999998</v>
      </c>
      <c r="R759" s="3">
        <f>VLOOKUP(C759,layoffs_location!A:G,7,FALSE)</f>
        <v>-122.330062</v>
      </c>
    </row>
    <row r="760" spans="1:18" x14ac:dyDescent="0.2">
      <c r="A760" s="3">
        <v>759</v>
      </c>
      <c r="B760" s="3" t="s">
        <v>729</v>
      </c>
      <c r="C760" s="3" t="s">
        <v>730</v>
      </c>
      <c r="D760" s="3" t="str">
        <f>VLOOKUP(C760,layoffs_location!A:B,2,FALSE)</f>
        <v>other</v>
      </c>
      <c r="E760" s="3" t="str">
        <f>VLOOKUP(C760,layoffs_location!A:C,3,FALSE)</f>
        <v>Pennsylvania</v>
      </c>
      <c r="F760" s="3" t="str">
        <f>VLOOKUP(C760,layoffs_location!A:D,4,FALSE)</f>
        <v>USA</v>
      </c>
      <c r="G760" s="3" t="str">
        <f>VLOOKUP(C760,layoffs_location!A:E,5,FALSE)</f>
        <v>North America</v>
      </c>
      <c r="H760" s="3">
        <v>100</v>
      </c>
      <c r="I760" s="8">
        <v>44862</v>
      </c>
      <c r="J760" s="9">
        <v>100</v>
      </c>
      <c r="K760" s="10">
        <v>100</v>
      </c>
      <c r="L760" s="10">
        <v>0</v>
      </c>
      <c r="M760" s="3" t="s">
        <v>77</v>
      </c>
      <c r="N760" s="3" t="s">
        <v>49</v>
      </c>
      <c r="O760" s="34">
        <v>35</v>
      </c>
      <c r="P760" s="3">
        <v>2022</v>
      </c>
      <c r="Q760" s="3">
        <f>VLOOKUP(C760,layoffs_location!A:F,6,FALSE)</f>
        <v>40.441694099999999</v>
      </c>
      <c r="R760" s="3">
        <f>VLOOKUP(C760,layoffs_location!A:G,7,FALSE)</f>
        <v>-79.990086099999999</v>
      </c>
    </row>
    <row r="761" spans="1:18" x14ac:dyDescent="0.2">
      <c r="A761" s="3">
        <v>760</v>
      </c>
      <c r="B761" s="3" t="s">
        <v>461</v>
      </c>
      <c r="C761" s="3" t="s">
        <v>1473</v>
      </c>
      <c r="D761" s="3" t="str">
        <f>VLOOKUP(C761,layoffs_location!A:B,2,FALSE)</f>
        <v>San Francisco Bay Area</v>
      </c>
      <c r="E761" s="3" t="str">
        <f>VLOOKUP(C761,layoffs_location!A:C,3,FALSE)</f>
        <v>California</v>
      </c>
      <c r="F761" s="3" t="str">
        <f>VLOOKUP(C761,layoffs_location!A:D,4,FALSE)</f>
        <v>USA</v>
      </c>
      <c r="G761" s="3" t="str">
        <f>VLOOKUP(C761,layoffs_location!A:E,5,FALSE)</f>
        <v>North America</v>
      </c>
      <c r="H761" s="3">
        <v>25</v>
      </c>
      <c r="I761" s="8">
        <v>44865</v>
      </c>
      <c r="J761" s="9">
        <v>20</v>
      </c>
      <c r="K761" s="10">
        <v>125</v>
      </c>
      <c r="L761" s="10">
        <v>100</v>
      </c>
      <c r="M761" s="3" t="s">
        <v>35</v>
      </c>
      <c r="N761" s="3" t="s">
        <v>49</v>
      </c>
      <c r="O761" s="34">
        <v>85</v>
      </c>
      <c r="P761" s="3">
        <v>2022</v>
      </c>
      <c r="Q761" s="3">
        <f>VLOOKUP(C761,layoffs_location!A:F,6,FALSE)</f>
        <v>37.4443293</v>
      </c>
      <c r="R761" s="3">
        <f>VLOOKUP(C761,layoffs_location!A:G,7,FALSE)</f>
        <v>-122.1598465</v>
      </c>
    </row>
    <row r="762" spans="1:18" x14ac:dyDescent="0.2">
      <c r="A762" s="3">
        <v>761</v>
      </c>
      <c r="B762" s="3" t="s">
        <v>728</v>
      </c>
      <c r="C762" s="3" t="s">
        <v>39</v>
      </c>
      <c r="D762" s="3" t="str">
        <f>VLOOKUP(C762,layoffs_location!A:B,2,FALSE)</f>
        <v>New York</v>
      </c>
      <c r="E762" s="3" t="str">
        <f>VLOOKUP(C762,layoffs_location!A:C,3,FALSE)</f>
        <v>New York</v>
      </c>
      <c r="F762" s="3" t="str">
        <f>VLOOKUP(C762,layoffs_location!A:D,4,FALSE)</f>
        <v>USA</v>
      </c>
      <c r="G762" s="3" t="str">
        <f>VLOOKUP(C762,layoffs_location!A:E,5,FALSE)</f>
        <v>North America</v>
      </c>
      <c r="H762" s="3">
        <v>30</v>
      </c>
      <c r="I762" s="8">
        <v>44865</v>
      </c>
      <c r="J762" s="9">
        <v>27</v>
      </c>
      <c r="K762" s="10">
        <v>111</v>
      </c>
      <c r="L762" s="10">
        <v>81</v>
      </c>
      <c r="M762" s="3" t="s">
        <v>35</v>
      </c>
      <c r="N762" s="3" t="s">
        <v>49</v>
      </c>
      <c r="O762" s="34">
        <v>11</v>
      </c>
      <c r="P762" s="3">
        <v>2022</v>
      </c>
      <c r="Q762" s="3">
        <f>VLOOKUP(C762,layoffs_location!A:F,6,FALSE)</f>
        <v>40.7127281</v>
      </c>
      <c r="R762" s="3">
        <f>VLOOKUP(C762,layoffs_location!A:G,7,FALSE)</f>
        <v>-74.006015199999993</v>
      </c>
    </row>
    <row r="763" spans="1:18" x14ac:dyDescent="0.2">
      <c r="A763" s="3">
        <v>762</v>
      </c>
      <c r="B763" s="3" t="s">
        <v>727</v>
      </c>
      <c r="C763" s="3" t="s">
        <v>51</v>
      </c>
      <c r="D763" s="3" t="str">
        <f>VLOOKUP(C763,layoffs_location!A:B,2,FALSE)</f>
        <v>other</v>
      </c>
      <c r="E763" s="3" t="str">
        <f>VLOOKUP(C763,layoffs_location!A:C,3,FALSE)</f>
        <v>non</v>
      </c>
      <c r="F763" s="3" t="str">
        <f>VLOOKUP(C763,layoffs_location!A:D,4,FALSE)</f>
        <v>Sweden</v>
      </c>
      <c r="G763" s="3" t="str">
        <f>VLOOKUP(C763,layoffs_location!A:E,5,FALSE)</f>
        <v>Europe</v>
      </c>
      <c r="H763" s="3">
        <v>300</v>
      </c>
      <c r="I763" s="8">
        <v>44865</v>
      </c>
      <c r="J763" s="9">
        <v>10</v>
      </c>
      <c r="K763" s="10">
        <v>3000</v>
      </c>
      <c r="L763" s="10">
        <v>2700</v>
      </c>
      <c r="M763" s="3" t="s">
        <v>21</v>
      </c>
      <c r="N763" s="3" t="s">
        <v>108</v>
      </c>
      <c r="O763" s="34">
        <v>568</v>
      </c>
      <c r="P763" s="3">
        <v>2022</v>
      </c>
      <c r="Q763" s="3">
        <f>VLOOKUP(C763,layoffs_location!A:F,6,FALSE)</f>
        <v>59.325117200000001</v>
      </c>
      <c r="R763" s="3">
        <f>VLOOKUP(C763,layoffs_location!A:G,7,FALSE)</f>
        <v>18.0710935</v>
      </c>
    </row>
    <row r="764" spans="1:18" x14ac:dyDescent="0.2">
      <c r="A764" s="3">
        <v>763</v>
      </c>
      <c r="B764" s="3" t="s">
        <v>723</v>
      </c>
      <c r="C764" s="3" t="s">
        <v>1370</v>
      </c>
      <c r="D764" s="3" t="str">
        <f>VLOOKUP(C764,layoffs_location!A:B,2,FALSE)</f>
        <v>San Francisco Bay Area</v>
      </c>
      <c r="E764" s="3" t="str">
        <f>VLOOKUP(C764,layoffs_location!A:C,3,FALSE)</f>
        <v>California</v>
      </c>
      <c r="F764" s="3" t="str">
        <f>VLOOKUP(C764,layoffs_location!A:D,4,FALSE)</f>
        <v>USA</v>
      </c>
      <c r="G764" s="3" t="str">
        <f>VLOOKUP(C764,layoffs_location!A:E,5,FALSE)</f>
        <v>North America</v>
      </c>
      <c r="H764" s="3">
        <v>100</v>
      </c>
      <c r="I764" s="8">
        <v>44866</v>
      </c>
      <c r="J764" s="9">
        <v>33</v>
      </c>
      <c r="K764" s="10">
        <v>303</v>
      </c>
      <c r="L764" s="10">
        <v>203</v>
      </c>
      <c r="M764" s="3" t="s">
        <v>84</v>
      </c>
      <c r="N764" s="3" t="s">
        <v>41</v>
      </c>
      <c r="O764" s="34">
        <v>148</v>
      </c>
      <c r="P764" s="3">
        <v>2022</v>
      </c>
      <c r="Q764" s="3">
        <f>VLOOKUP(C764,layoffs_location!A:F,6,FALSE)</f>
        <v>37.779258800000001</v>
      </c>
      <c r="R764" s="3">
        <f>VLOOKUP(C764,layoffs_location!A:G,7,FALSE)</f>
        <v>-122.4193286</v>
      </c>
    </row>
    <row r="765" spans="1:18" x14ac:dyDescent="0.2">
      <c r="A765" s="3">
        <v>764</v>
      </c>
      <c r="B765" s="3" t="s">
        <v>535</v>
      </c>
      <c r="C765" s="3" t="s">
        <v>271</v>
      </c>
      <c r="D765" s="3" t="str">
        <f>VLOOKUP(C765,layoffs_location!A:B,2,FALSE)</f>
        <v>Cascadia</v>
      </c>
      <c r="E765" s="3" t="str">
        <f>VLOOKUP(C765,layoffs_location!A:C,3,FALSE)</f>
        <v>British Columbia</v>
      </c>
      <c r="F765" s="3" t="str">
        <f>VLOOKUP(C765,layoffs_location!A:D,4,FALSE)</f>
        <v>Canada</v>
      </c>
      <c r="G765" s="3" t="str">
        <f>VLOOKUP(C765,layoffs_location!A:E,5,FALSE)</f>
        <v>North America</v>
      </c>
      <c r="H765" s="3">
        <v>50</v>
      </c>
      <c r="I765" s="8">
        <v>44866</v>
      </c>
      <c r="J765" s="9">
        <v>5</v>
      </c>
      <c r="K765" s="10">
        <v>1000</v>
      </c>
      <c r="L765" s="10">
        <v>950</v>
      </c>
      <c r="M765" s="3" t="s">
        <v>130</v>
      </c>
      <c r="N765" s="3" t="s">
        <v>41</v>
      </c>
      <c r="O765" s="34">
        <v>300</v>
      </c>
      <c r="P765" s="3">
        <v>2022</v>
      </c>
      <c r="Q765" s="3">
        <f>VLOOKUP(C765,layoffs_location!A:F,6,FALSE)</f>
        <v>49.260872399999997</v>
      </c>
      <c r="R765" s="3">
        <f>VLOOKUP(C765,layoffs_location!A:G,7,FALSE)</f>
        <v>-123.113952</v>
      </c>
    </row>
    <row r="766" spans="1:18" x14ac:dyDescent="0.2">
      <c r="A766" s="3">
        <v>765</v>
      </c>
      <c r="B766" s="3" t="s">
        <v>724</v>
      </c>
      <c r="C766" s="3" t="s">
        <v>725</v>
      </c>
      <c r="D766" s="3" t="str">
        <f>VLOOKUP(C766,layoffs_location!A:B,2,FALSE)</f>
        <v>other</v>
      </c>
      <c r="E766" s="3" t="str">
        <f>VLOOKUP(C766,layoffs_location!A:C,3,FALSE)</f>
        <v>non</v>
      </c>
      <c r="F766" s="3" t="str">
        <f>VLOOKUP(C766,layoffs_location!A:D,4,FALSE)</f>
        <v>Norway</v>
      </c>
      <c r="G766" s="3" t="str">
        <f>VLOOKUP(C766,layoffs_location!A:E,5,FALSE)</f>
        <v>Europe</v>
      </c>
      <c r="H766" s="3">
        <v>70</v>
      </c>
      <c r="I766" s="8">
        <v>44866</v>
      </c>
      <c r="J766" s="9">
        <v>18</v>
      </c>
      <c r="K766" s="10">
        <v>389</v>
      </c>
      <c r="L766" s="10">
        <v>319</v>
      </c>
      <c r="M766" s="3" t="s">
        <v>77</v>
      </c>
      <c r="N766" s="3" t="s">
        <v>22</v>
      </c>
      <c r="O766" s="34">
        <v>377</v>
      </c>
      <c r="P766" s="3">
        <v>2022</v>
      </c>
      <c r="Q766" s="3">
        <f>VLOOKUP(C766,layoffs_location!A:F,6,FALSE)</f>
        <v>59.913330100000003</v>
      </c>
      <c r="R766" s="3">
        <f>VLOOKUP(C766,layoffs_location!A:G,7,FALSE)</f>
        <v>10.7389701</v>
      </c>
    </row>
    <row r="767" spans="1:18" x14ac:dyDescent="0.2">
      <c r="A767" s="3">
        <v>766</v>
      </c>
      <c r="B767" s="3" t="s">
        <v>482</v>
      </c>
      <c r="C767" s="3" t="s">
        <v>1713</v>
      </c>
      <c r="D767" s="3" t="str">
        <f>VLOOKUP(C767,layoffs_location!A:B,2,FALSE)</f>
        <v>San Francisco Bay Area</v>
      </c>
      <c r="E767" s="3" t="str">
        <f>VLOOKUP(C767,layoffs_location!A:C,3,FALSE)</f>
        <v>California</v>
      </c>
      <c r="F767" s="3" t="str">
        <f>VLOOKUP(C767,layoffs_location!A:D,4,FALSE)</f>
        <v>USA</v>
      </c>
      <c r="G767" s="3" t="str">
        <f>VLOOKUP(C767,layoffs_location!A:E,5,FALSE)</f>
        <v>North America</v>
      </c>
      <c r="H767" s="3">
        <v>140</v>
      </c>
      <c r="I767" s="8">
        <v>44866</v>
      </c>
      <c r="J767" s="9">
        <v>7</v>
      </c>
      <c r="K767" s="10">
        <v>2000</v>
      </c>
      <c r="L767" s="10">
        <v>1860</v>
      </c>
      <c r="M767" s="3" t="s">
        <v>35</v>
      </c>
      <c r="N767" s="3" t="s">
        <v>28</v>
      </c>
      <c r="O767" s="34">
        <v>144</v>
      </c>
      <c r="P767" s="3">
        <v>2022</v>
      </c>
      <c r="Q767" s="3">
        <f>VLOOKUP(C767,layoffs_location!A:F,6,FALSE)</f>
        <v>37.496904000000001</v>
      </c>
      <c r="R767" s="3">
        <f>VLOOKUP(C767,layoffs_location!A:G,7,FALSE)</f>
        <v>-122.33305729999999</v>
      </c>
    </row>
    <row r="768" spans="1:18" x14ac:dyDescent="0.2">
      <c r="A768" s="3">
        <v>767</v>
      </c>
      <c r="B768" s="3" t="s">
        <v>140</v>
      </c>
      <c r="C768" s="3" t="s">
        <v>1714</v>
      </c>
      <c r="D768" s="3" t="str">
        <f>VLOOKUP(C768,layoffs_location!A:B,2,FALSE)</f>
        <v>San Francisco Bay Area</v>
      </c>
      <c r="E768" s="3" t="str">
        <f>VLOOKUP(C768,layoffs_location!A:C,3,FALSE)</f>
        <v>California</v>
      </c>
      <c r="F768" s="3" t="str">
        <f>VLOOKUP(C768,layoffs_location!A:D,4,FALSE)</f>
        <v>USA</v>
      </c>
      <c r="G768" s="3" t="str">
        <f>VLOOKUP(C768,layoffs_location!A:E,5,FALSE)</f>
        <v>North America</v>
      </c>
      <c r="H768" s="3">
        <v>142</v>
      </c>
      <c r="I768" s="8">
        <v>44867</v>
      </c>
      <c r="J768" s="9">
        <v>10</v>
      </c>
      <c r="K768" s="10">
        <v>1420</v>
      </c>
      <c r="L768" s="10">
        <v>1278</v>
      </c>
      <c r="M768" s="3" t="s">
        <v>35</v>
      </c>
      <c r="N768" s="3" t="s">
        <v>17</v>
      </c>
      <c r="O768" s="34">
        <v>468</v>
      </c>
      <c r="P768" s="3">
        <v>2022</v>
      </c>
      <c r="Q768" s="3">
        <f>VLOOKUP(C768,layoffs_location!A:F,6,FALSE)</f>
        <v>37.773972000000001</v>
      </c>
      <c r="R768" s="3">
        <f>VLOOKUP(C768,layoffs_location!A:G,7,FALSE)</f>
        <v>-122.431297</v>
      </c>
    </row>
    <row r="769" spans="1:18" x14ac:dyDescent="0.2">
      <c r="A769" s="3">
        <v>768</v>
      </c>
      <c r="B769" s="3" t="s">
        <v>720</v>
      </c>
      <c r="C769" s="3" t="s">
        <v>47</v>
      </c>
      <c r="D769" s="3" t="str">
        <f>VLOOKUP(C769,layoffs_location!A:B,2,FALSE)</f>
        <v>other</v>
      </c>
      <c r="E769" s="3" t="str">
        <f>VLOOKUP(C769,layoffs_location!A:C,3,FALSE)</f>
        <v>non</v>
      </c>
      <c r="F769" s="3" t="str">
        <f>VLOOKUP(C769,layoffs_location!A:D,4,FALSE)</f>
        <v>Israel</v>
      </c>
      <c r="G769" s="3" t="str">
        <f>VLOOKUP(C769,layoffs_location!A:E,5,FALSE)</f>
        <v>Asia</v>
      </c>
      <c r="H769" s="3">
        <v>100</v>
      </c>
      <c r="I769" s="8">
        <v>44867</v>
      </c>
      <c r="J769" s="9">
        <v>10</v>
      </c>
      <c r="K769" s="10">
        <v>1000</v>
      </c>
      <c r="L769" s="10">
        <v>900</v>
      </c>
      <c r="M769" s="3" t="s">
        <v>139</v>
      </c>
      <c r="N769" s="3" t="s">
        <v>41</v>
      </c>
      <c r="O769" s="34">
        <v>92</v>
      </c>
      <c r="P769" s="3">
        <v>2022</v>
      </c>
      <c r="Q769" s="3">
        <f>VLOOKUP(C769,layoffs_location!A:F,6,FALSE)</f>
        <v>32.0852997</v>
      </c>
      <c r="R769" s="3">
        <f>VLOOKUP(C769,layoffs_location!A:G,7,FALSE)</f>
        <v>34.781806400000001</v>
      </c>
    </row>
    <row r="770" spans="1:18" x14ac:dyDescent="0.2">
      <c r="A770" s="3">
        <v>769</v>
      </c>
      <c r="B770" s="3" t="s">
        <v>718</v>
      </c>
      <c r="C770" s="3" t="s">
        <v>1370</v>
      </c>
      <c r="D770" s="3" t="str">
        <f>VLOOKUP(C770,layoffs_location!A:B,2,FALSE)</f>
        <v>San Francisco Bay Area</v>
      </c>
      <c r="E770" s="3" t="str">
        <f>VLOOKUP(C770,layoffs_location!A:C,3,FALSE)</f>
        <v>California</v>
      </c>
      <c r="F770" s="3" t="str">
        <f>VLOOKUP(C770,layoffs_location!A:D,4,FALSE)</f>
        <v>USA</v>
      </c>
      <c r="G770" s="3" t="str">
        <f>VLOOKUP(C770,layoffs_location!A:E,5,FALSE)</f>
        <v>North America</v>
      </c>
      <c r="H770" s="3">
        <v>156</v>
      </c>
      <c r="I770" s="8">
        <v>44867</v>
      </c>
      <c r="J770" s="9">
        <v>12</v>
      </c>
      <c r="K770" s="10">
        <v>1300</v>
      </c>
      <c r="L770" s="10">
        <v>1144</v>
      </c>
      <c r="M770" s="3" t="s">
        <v>35</v>
      </c>
      <c r="N770" s="3" t="s">
        <v>81</v>
      </c>
      <c r="O770" s="34">
        <v>2300</v>
      </c>
      <c r="P770" s="3">
        <v>2022</v>
      </c>
      <c r="Q770" s="3">
        <f>VLOOKUP(C770,layoffs_location!A:F,6,FALSE)</f>
        <v>37.779258800000001</v>
      </c>
      <c r="R770" s="3">
        <f>VLOOKUP(C770,layoffs_location!A:G,7,FALSE)</f>
        <v>-122.4193286</v>
      </c>
    </row>
    <row r="771" spans="1:18" x14ac:dyDescent="0.2">
      <c r="A771" s="3">
        <v>770</v>
      </c>
      <c r="B771" s="3" t="s">
        <v>719</v>
      </c>
      <c r="C771" s="3" t="s">
        <v>271</v>
      </c>
      <c r="D771" s="3" t="str">
        <f>VLOOKUP(C771,layoffs_location!A:B,2,FALSE)</f>
        <v>Cascadia</v>
      </c>
      <c r="E771" s="3" t="str">
        <f>VLOOKUP(C771,layoffs_location!A:C,3,FALSE)</f>
        <v>British Columbia</v>
      </c>
      <c r="F771" s="3" t="str">
        <f>VLOOKUP(C771,layoffs_location!A:D,4,FALSE)</f>
        <v>Canada</v>
      </c>
      <c r="G771" s="3" t="str">
        <f>VLOOKUP(C771,layoffs_location!A:E,5,FALSE)</f>
        <v>North America</v>
      </c>
      <c r="H771" s="3">
        <v>134</v>
      </c>
      <c r="I771" s="8">
        <v>44867</v>
      </c>
      <c r="J771" s="9">
        <v>22</v>
      </c>
      <c r="K771" s="10">
        <v>609</v>
      </c>
      <c r="L771" s="10">
        <v>475</v>
      </c>
      <c r="M771" s="3" t="s">
        <v>117</v>
      </c>
      <c r="N771" s="3" t="s">
        <v>108</v>
      </c>
      <c r="O771" s="34">
        <v>607</v>
      </c>
      <c r="P771" s="3">
        <v>2022</v>
      </c>
      <c r="Q771" s="3">
        <f>VLOOKUP(C771,layoffs_location!A:F,6,FALSE)</f>
        <v>49.260872399999997</v>
      </c>
      <c r="R771" s="3">
        <f>VLOOKUP(C771,layoffs_location!A:G,7,FALSE)</f>
        <v>-123.113952</v>
      </c>
    </row>
    <row r="772" spans="1:18" x14ac:dyDescent="0.2">
      <c r="A772" s="3">
        <v>771</v>
      </c>
      <c r="B772" s="3" t="s">
        <v>722</v>
      </c>
      <c r="C772" s="3" t="s">
        <v>1719</v>
      </c>
      <c r="D772" s="3" t="str">
        <f>VLOOKUP(C772,layoffs_location!A:B,2,FALSE)</f>
        <v>San Francisco Bay Area</v>
      </c>
      <c r="E772" s="3" t="str">
        <f>VLOOKUP(C772,layoffs_location!A:C,3,FALSE)</f>
        <v>California</v>
      </c>
      <c r="F772" s="3" t="str">
        <f>VLOOKUP(C772,layoffs_location!A:D,4,FALSE)</f>
        <v>USA</v>
      </c>
      <c r="G772" s="3" t="str">
        <f>VLOOKUP(C772,layoffs_location!A:E,5,FALSE)</f>
        <v>North America</v>
      </c>
      <c r="H772" s="3">
        <v>50</v>
      </c>
      <c r="I772" s="8">
        <v>44867</v>
      </c>
      <c r="J772" s="9">
        <v>50</v>
      </c>
      <c r="K772" s="10">
        <v>100</v>
      </c>
      <c r="L772" s="10">
        <v>50</v>
      </c>
      <c r="M772" s="3" t="s">
        <v>77</v>
      </c>
      <c r="N772" s="3" t="s">
        <v>41</v>
      </c>
      <c r="O772" s="34">
        <v>103</v>
      </c>
      <c r="P772" s="3">
        <v>2022</v>
      </c>
      <c r="Q772" s="3">
        <f>VLOOKUP(C772,layoffs_location!A:F,6,FALSE)</f>
        <v>37.006507800000001</v>
      </c>
      <c r="R772" s="3">
        <f>VLOOKUP(C772,layoffs_location!A:G,7,FALSE)</f>
        <v>-121.56317230000001</v>
      </c>
    </row>
    <row r="773" spans="1:18" ht="16" x14ac:dyDescent="0.2">
      <c r="A773" s="3">
        <v>772</v>
      </c>
      <c r="B773" s="3" t="s">
        <v>334</v>
      </c>
      <c r="C773" s="11" t="s">
        <v>1370</v>
      </c>
      <c r="D773" s="3" t="str">
        <f>VLOOKUP(C773,layoffs_location!A:B,2,FALSE)</f>
        <v>San Francisco Bay Area</v>
      </c>
      <c r="E773" s="3" t="str">
        <f>VLOOKUP(C773,layoffs_location!A:C,3,FALSE)</f>
        <v>California</v>
      </c>
      <c r="F773" s="3" t="str">
        <f>VLOOKUP(C773,layoffs_location!A:D,4,FALSE)</f>
        <v>USA</v>
      </c>
      <c r="G773" s="3" t="str">
        <f>VLOOKUP(C773,layoffs_location!A:E,5,FALSE)</f>
        <v>North America</v>
      </c>
      <c r="H773" s="3">
        <v>550</v>
      </c>
      <c r="I773" s="8">
        <v>44867</v>
      </c>
      <c r="J773" s="9">
        <v>18</v>
      </c>
      <c r="K773" s="10">
        <v>3056</v>
      </c>
      <c r="L773" s="10">
        <v>2506</v>
      </c>
      <c r="M773" s="3" t="s">
        <v>137</v>
      </c>
      <c r="N773" s="3" t="s">
        <v>28</v>
      </c>
      <c r="P773" s="3">
        <v>2022</v>
      </c>
      <c r="Q773" s="3">
        <f>VLOOKUP(C773,layoffs_location!A:F,6,FALSE)</f>
        <v>37.779258800000001</v>
      </c>
      <c r="R773" s="3">
        <f>VLOOKUP(C773,layoffs_location!A:G,7,FALSE)</f>
        <v>-122.4193286</v>
      </c>
    </row>
    <row r="774" spans="1:18" x14ac:dyDescent="0.2">
      <c r="A774" s="3">
        <v>773</v>
      </c>
      <c r="B774" s="3" t="s">
        <v>721</v>
      </c>
      <c r="C774" s="3" t="s">
        <v>135</v>
      </c>
      <c r="D774" s="3" t="str">
        <f>VLOOKUP(C774,layoffs_location!A:B,2,FALSE)</f>
        <v>other</v>
      </c>
      <c r="E774" s="3" t="str">
        <f>VLOOKUP(C774,layoffs_location!A:C,3,FALSE)</f>
        <v>Berlin</v>
      </c>
      <c r="F774" s="3" t="str">
        <f>VLOOKUP(C774,layoffs_location!A:D,4,FALSE)</f>
        <v>Germany</v>
      </c>
      <c r="G774" s="3" t="str">
        <f>VLOOKUP(C774,layoffs_location!A:E,5,FALSE)</f>
        <v>Europe</v>
      </c>
      <c r="H774" s="3">
        <v>100</v>
      </c>
      <c r="I774" s="8">
        <v>44867</v>
      </c>
      <c r="J774" s="9">
        <v>15</v>
      </c>
      <c r="K774" s="10">
        <v>667</v>
      </c>
      <c r="L774" s="10">
        <v>567</v>
      </c>
      <c r="M774" s="3" t="s">
        <v>35</v>
      </c>
      <c r="N774" s="3" t="s">
        <v>22</v>
      </c>
      <c r="O774" s="34">
        <v>188</v>
      </c>
      <c r="P774" s="3">
        <v>2022</v>
      </c>
      <c r="Q774" s="3">
        <f>VLOOKUP(C774,layoffs_location!A:F,6,FALSE)</f>
        <v>52.517036500000003</v>
      </c>
      <c r="R774" s="3">
        <f>VLOOKUP(C774,layoffs_location!A:G,7,FALSE)</f>
        <v>13.3888599</v>
      </c>
    </row>
    <row r="775" spans="1:18" x14ac:dyDescent="0.2">
      <c r="A775" s="3">
        <v>774</v>
      </c>
      <c r="B775" s="3" t="s">
        <v>488</v>
      </c>
      <c r="C775" s="3" t="s">
        <v>135</v>
      </c>
      <c r="D775" s="3" t="str">
        <f>VLOOKUP(C775,layoffs_location!A:B,2,FALSE)</f>
        <v>other</v>
      </c>
      <c r="E775" s="3" t="str">
        <f>VLOOKUP(C775,layoffs_location!A:C,3,FALSE)</f>
        <v>Berlin</v>
      </c>
      <c r="F775" s="3" t="str">
        <f>VLOOKUP(C775,layoffs_location!A:D,4,FALSE)</f>
        <v>Germany</v>
      </c>
      <c r="G775" s="3" t="str">
        <f>VLOOKUP(C775,layoffs_location!A:E,5,FALSE)</f>
        <v>Europe</v>
      </c>
      <c r="H775" s="3">
        <v>100</v>
      </c>
      <c r="I775" s="8">
        <v>44868</v>
      </c>
      <c r="J775" s="9">
        <v>2.5</v>
      </c>
      <c r="K775" s="10">
        <v>4000</v>
      </c>
      <c r="L775" s="10">
        <v>3900</v>
      </c>
      <c r="M775" s="3" t="s">
        <v>77</v>
      </c>
      <c r="N775" s="3" t="s">
        <v>28</v>
      </c>
      <c r="O775" s="34">
        <v>8300</v>
      </c>
      <c r="P775" s="3">
        <v>2022</v>
      </c>
      <c r="Q775" s="3">
        <f>VLOOKUP(C775,layoffs_location!A:F,6,FALSE)</f>
        <v>52.517036500000003</v>
      </c>
      <c r="R775" s="3">
        <f>VLOOKUP(C775,layoffs_location!A:G,7,FALSE)</f>
        <v>13.3888599</v>
      </c>
    </row>
    <row r="776" spans="1:18" ht="16" x14ac:dyDescent="0.2">
      <c r="A776" s="3">
        <v>775</v>
      </c>
      <c r="B776" s="3" t="s">
        <v>328</v>
      </c>
      <c r="C776" s="11" t="s">
        <v>1370</v>
      </c>
      <c r="D776" s="3" t="str">
        <f>VLOOKUP(C776,layoffs_location!A:B,2,FALSE)</f>
        <v>San Francisco Bay Area</v>
      </c>
      <c r="E776" s="3" t="str">
        <f>VLOOKUP(C776,layoffs_location!A:C,3,FALSE)</f>
        <v>California</v>
      </c>
      <c r="F776" s="3" t="str">
        <f>VLOOKUP(C776,layoffs_location!A:D,4,FALSE)</f>
        <v>USA</v>
      </c>
      <c r="G776" s="3" t="str">
        <f>VLOOKUP(C776,layoffs_location!A:E,5,FALSE)</f>
        <v>North America</v>
      </c>
      <c r="H776" s="3">
        <v>700</v>
      </c>
      <c r="I776" s="8">
        <v>44868</v>
      </c>
      <c r="J776" s="9">
        <v>13</v>
      </c>
      <c r="K776" s="10">
        <v>5385</v>
      </c>
      <c r="L776" s="10">
        <v>4685</v>
      </c>
      <c r="M776" s="3" t="s">
        <v>32</v>
      </c>
      <c r="N776" s="3" t="s">
        <v>28</v>
      </c>
      <c r="O776" s="34">
        <v>4900</v>
      </c>
      <c r="P776" s="3">
        <v>2022</v>
      </c>
      <c r="Q776" s="3">
        <f>VLOOKUP(C776,layoffs_location!A:F,6,FALSE)</f>
        <v>37.779258800000001</v>
      </c>
      <c r="R776" s="3">
        <f>VLOOKUP(C776,layoffs_location!A:G,7,FALSE)</f>
        <v>-122.4193286</v>
      </c>
    </row>
    <row r="777" spans="1:18" x14ac:dyDescent="0.2">
      <c r="A777" s="3">
        <v>776</v>
      </c>
      <c r="B777" s="3" t="s">
        <v>714</v>
      </c>
      <c r="C777" s="3" t="s">
        <v>715</v>
      </c>
      <c r="D777" s="3" t="str">
        <f>VLOOKUP(C777,layoffs_location!A:B,2,FALSE)</f>
        <v>other</v>
      </c>
      <c r="E777" s="3" t="str">
        <f>VLOOKUP(C777,layoffs_location!A:C,3,FALSE)</f>
        <v>non</v>
      </c>
      <c r="F777" s="3" t="str">
        <f>VLOOKUP(C777,layoffs_location!A:D,4,FALSE)</f>
        <v>Denmark</v>
      </c>
      <c r="G777" s="3" t="str">
        <f>VLOOKUP(C777,layoffs_location!A:E,5,FALSE)</f>
        <v>Europe</v>
      </c>
      <c r="H777" s="3">
        <v>150</v>
      </c>
      <c r="I777" s="8">
        <v>44868</v>
      </c>
      <c r="J777" s="9">
        <v>15</v>
      </c>
      <c r="K777" s="10">
        <v>1000</v>
      </c>
      <c r="L777" s="10">
        <v>850</v>
      </c>
      <c r="M777" s="3" t="s">
        <v>35</v>
      </c>
      <c r="N777" s="3" t="s">
        <v>41</v>
      </c>
      <c r="O777" s="34">
        <v>428</v>
      </c>
      <c r="P777" s="3">
        <v>2022</v>
      </c>
      <c r="Q777" s="3">
        <f>VLOOKUP(C777,layoffs_location!A:F,6,FALSE)</f>
        <v>55.686724300000002</v>
      </c>
      <c r="R777" s="3">
        <f>VLOOKUP(C777,layoffs_location!A:G,7,FALSE)</f>
        <v>12.570072400000001</v>
      </c>
    </row>
    <row r="778" spans="1:18" ht="16" x14ac:dyDescent="0.2">
      <c r="A778" s="3">
        <v>777</v>
      </c>
      <c r="B778" s="3" t="s">
        <v>717</v>
      </c>
      <c r="C778" s="11" t="s">
        <v>1370</v>
      </c>
      <c r="D778" s="3" t="str">
        <f>VLOOKUP(C778,layoffs_location!A:B,2,FALSE)</f>
        <v>San Francisco Bay Area</v>
      </c>
      <c r="E778" s="3" t="str">
        <f>VLOOKUP(C778,layoffs_location!A:C,3,FALSE)</f>
        <v>California</v>
      </c>
      <c r="F778" s="3" t="str">
        <f>VLOOKUP(C778,layoffs_location!A:D,4,FALSE)</f>
        <v>USA</v>
      </c>
      <c r="G778" s="3" t="str">
        <f>VLOOKUP(C778,layoffs_location!A:E,5,FALSE)</f>
        <v>North America</v>
      </c>
      <c r="H778" s="3">
        <v>60</v>
      </c>
      <c r="I778" s="8">
        <v>44868</v>
      </c>
      <c r="J778" s="9">
        <v>20</v>
      </c>
      <c r="K778" s="10">
        <v>300</v>
      </c>
      <c r="L778" s="10">
        <v>240</v>
      </c>
      <c r="M778" s="3" t="s">
        <v>90</v>
      </c>
      <c r="N778" s="3" t="s">
        <v>36</v>
      </c>
      <c r="O778" s="34">
        <v>154</v>
      </c>
      <c r="P778" s="3">
        <v>2022</v>
      </c>
      <c r="Q778" s="3">
        <f>VLOOKUP(C778,layoffs_location!A:F,6,FALSE)</f>
        <v>37.779258800000001</v>
      </c>
      <c r="R778" s="3">
        <f>VLOOKUP(C778,layoffs_location!A:G,7,FALSE)</f>
        <v>-122.4193286</v>
      </c>
    </row>
    <row r="779" spans="1:18" ht="16" x14ac:dyDescent="0.2">
      <c r="A779" s="3">
        <v>778</v>
      </c>
      <c r="B779" s="3" t="s">
        <v>713</v>
      </c>
      <c r="C779" s="11" t="s">
        <v>1370</v>
      </c>
      <c r="D779" s="3" t="str">
        <f>VLOOKUP(C779,layoffs_location!A:B,2,FALSE)</f>
        <v>San Francisco Bay Area</v>
      </c>
      <c r="E779" s="3" t="str">
        <f>VLOOKUP(C779,layoffs_location!A:C,3,FALSE)</f>
        <v>California</v>
      </c>
      <c r="F779" s="3" t="str">
        <f>VLOOKUP(C779,layoffs_location!A:D,4,FALSE)</f>
        <v>USA</v>
      </c>
      <c r="G779" s="3" t="str">
        <f>VLOOKUP(C779,layoffs_location!A:E,5,FALSE)</f>
        <v>North America</v>
      </c>
      <c r="H779" s="3">
        <v>1000</v>
      </c>
      <c r="I779" s="8">
        <v>44868</v>
      </c>
      <c r="J779" s="9">
        <v>14</v>
      </c>
      <c r="K779" s="10">
        <v>7143</v>
      </c>
      <c r="L779" s="10">
        <v>6143</v>
      </c>
      <c r="M779" s="3" t="s">
        <v>35</v>
      </c>
      <c r="N779" s="3" t="s">
        <v>17</v>
      </c>
      <c r="O779" s="34">
        <v>2300</v>
      </c>
      <c r="P779" s="3">
        <v>2022</v>
      </c>
      <c r="Q779" s="3">
        <f>VLOOKUP(C779,layoffs_location!A:F,6,FALSE)</f>
        <v>37.779258800000001</v>
      </c>
      <c r="R779" s="3">
        <f>VLOOKUP(C779,layoffs_location!A:G,7,FALSE)</f>
        <v>-122.4193286</v>
      </c>
    </row>
    <row r="780" spans="1:18" x14ac:dyDescent="0.2">
      <c r="A780" s="3">
        <v>779</v>
      </c>
      <c r="B780" s="3" t="s">
        <v>711</v>
      </c>
      <c r="C780" s="3" t="s">
        <v>712</v>
      </c>
      <c r="D780" s="3" t="str">
        <f>VLOOKUP(C780,layoffs_location!A:B,2,FALSE)</f>
        <v>other</v>
      </c>
      <c r="E780" s="3" t="str">
        <f>VLOOKUP(C780,layoffs_location!A:C,3,FALSE)</f>
        <v>Nebraska</v>
      </c>
      <c r="F780" s="3" t="str">
        <f>VLOOKUP(C780,layoffs_location!A:D,4,FALSE)</f>
        <v>USA</v>
      </c>
      <c r="G780" s="3" t="str">
        <f>VLOOKUP(C780,layoffs_location!A:E,5,FALSE)</f>
        <v>North America</v>
      </c>
      <c r="H780" s="3">
        <v>59</v>
      </c>
      <c r="I780" s="8">
        <v>44869</v>
      </c>
      <c r="J780" s="9">
        <v>22</v>
      </c>
      <c r="K780" s="10">
        <v>268</v>
      </c>
      <c r="L780" s="10">
        <v>209</v>
      </c>
      <c r="M780" s="3" t="s">
        <v>117</v>
      </c>
      <c r="N780" s="3" t="s">
        <v>22</v>
      </c>
      <c r="O780" s="34">
        <v>60</v>
      </c>
      <c r="P780" s="3">
        <v>2022</v>
      </c>
      <c r="Q780" s="3">
        <f>VLOOKUP(C780,layoffs_location!A:F,6,FALSE)</f>
        <v>40.676526000000003</v>
      </c>
      <c r="R780" s="3">
        <f>VLOOKUP(C780,layoffs_location!A:G,7,FALSE)</f>
        <v>-95.858694</v>
      </c>
    </row>
    <row r="781" spans="1:18" x14ac:dyDescent="0.2">
      <c r="A781" s="3">
        <v>780</v>
      </c>
      <c r="B781" s="3" t="s">
        <v>710</v>
      </c>
      <c r="C781" s="3" t="s">
        <v>445</v>
      </c>
      <c r="D781" s="3" t="str">
        <f>VLOOKUP(C781,layoffs_location!A:B,2,FALSE)</f>
        <v>other</v>
      </c>
      <c r="E781" s="3" t="str">
        <f>VLOOKUP(C781,layoffs_location!A:C,3,FALSE)</f>
        <v>non</v>
      </c>
      <c r="F781" s="3" t="str">
        <f>VLOOKUP(C781,layoffs_location!A:D,4,FALSE)</f>
        <v>Indonesia</v>
      </c>
      <c r="G781" s="3" t="str">
        <f>VLOOKUP(C781,layoffs_location!A:E,5,FALSE)</f>
        <v>Asia</v>
      </c>
      <c r="H781" s="3">
        <v>70</v>
      </c>
      <c r="I781" s="8">
        <v>44869</v>
      </c>
      <c r="J781" s="9">
        <v>8</v>
      </c>
      <c r="K781" s="10">
        <v>875</v>
      </c>
      <c r="L781" s="10">
        <v>805</v>
      </c>
      <c r="M781" s="3" t="s">
        <v>35</v>
      </c>
      <c r="N781" s="3" t="s">
        <v>22</v>
      </c>
      <c r="O781" s="34">
        <v>180</v>
      </c>
      <c r="P781" s="3">
        <v>2022</v>
      </c>
      <c r="Q781" s="3">
        <f>VLOOKUP(C781,layoffs_location!A:F,6,FALSE)</f>
        <v>-6.1752469999999997</v>
      </c>
      <c r="R781" s="3">
        <f>VLOOKUP(C781,layoffs_location!A:G,7,FALSE)</f>
        <v>106.8270488</v>
      </c>
    </row>
    <row r="782" spans="1:18" x14ac:dyDescent="0.2">
      <c r="A782" s="3">
        <v>781</v>
      </c>
      <c r="B782" s="3" t="s">
        <v>709</v>
      </c>
      <c r="C782" s="3" t="s">
        <v>135</v>
      </c>
      <c r="D782" s="3" t="str">
        <f>VLOOKUP(C782,layoffs_location!A:B,2,FALSE)</f>
        <v>other</v>
      </c>
      <c r="E782" s="3" t="str">
        <f>VLOOKUP(C782,layoffs_location!A:C,3,FALSE)</f>
        <v>Berlin</v>
      </c>
      <c r="F782" s="3" t="str">
        <f>VLOOKUP(C782,layoffs_location!A:D,4,FALSE)</f>
        <v>Germany</v>
      </c>
      <c r="G782" s="3" t="str">
        <f>VLOOKUP(C782,layoffs_location!A:E,5,FALSE)</f>
        <v>Europe</v>
      </c>
      <c r="H782" s="3">
        <v>200</v>
      </c>
      <c r="I782" s="8">
        <v>44869</v>
      </c>
      <c r="J782" s="9">
        <v>100</v>
      </c>
      <c r="K782" s="10">
        <v>200</v>
      </c>
      <c r="L782" s="10">
        <v>0</v>
      </c>
      <c r="M782" s="3" t="s">
        <v>60</v>
      </c>
      <c r="N782" s="3" t="s">
        <v>33</v>
      </c>
      <c r="O782" s="34">
        <v>5</v>
      </c>
      <c r="P782" s="3">
        <v>2022</v>
      </c>
      <c r="Q782" s="3">
        <f>VLOOKUP(C782,layoffs_location!A:F,6,FALSE)</f>
        <v>52.517036500000003</v>
      </c>
      <c r="R782" s="3">
        <f>VLOOKUP(C782,layoffs_location!A:G,7,FALSE)</f>
        <v>13.3888599</v>
      </c>
    </row>
    <row r="783" spans="1:18" ht="16" x14ac:dyDescent="0.2">
      <c r="A783" s="3">
        <v>782</v>
      </c>
      <c r="B783" s="3" t="s">
        <v>418</v>
      </c>
      <c r="C783" s="11" t="s">
        <v>1370</v>
      </c>
      <c r="D783" s="3" t="str">
        <f>VLOOKUP(C783,layoffs_location!A:B,2,FALSE)</f>
        <v>San Francisco Bay Area</v>
      </c>
      <c r="E783" s="3" t="str">
        <f>VLOOKUP(C783,layoffs_location!A:C,3,FALSE)</f>
        <v>California</v>
      </c>
      <c r="F783" s="3" t="str">
        <f>VLOOKUP(C783,layoffs_location!A:D,4,FALSE)</f>
        <v>USA</v>
      </c>
      <c r="G783" s="3" t="str">
        <f>VLOOKUP(C783,layoffs_location!A:E,5,FALSE)</f>
        <v>North America</v>
      </c>
      <c r="H783" s="3">
        <v>3700</v>
      </c>
      <c r="I783" s="8">
        <v>44869</v>
      </c>
      <c r="J783" s="9">
        <v>50</v>
      </c>
      <c r="K783" s="10">
        <v>7400</v>
      </c>
      <c r="L783" s="10">
        <v>3700</v>
      </c>
      <c r="M783" s="3" t="s">
        <v>16</v>
      </c>
      <c r="N783" s="3" t="s">
        <v>28</v>
      </c>
      <c r="O783" s="34">
        <v>12900</v>
      </c>
      <c r="P783" s="3">
        <v>2022</v>
      </c>
      <c r="Q783" s="3">
        <f>VLOOKUP(C783,layoffs_location!A:F,6,FALSE)</f>
        <v>37.779258800000001</v>
      </c>
      <c r="R783" s="3">
        <f>VLOOKUP(C783,layoffs_location!A:G,7,FALSE)</f>
        <v>-122.4193286</v>
      </c>
    </row>
    <row r="784" spans="1:18" x14ac:dyDescent="0.2">
      <c r="A784" s="3">
        <v>783</v>
      </c>
      <c r="B784" s="3" t="s">
        <v>708</v>
      </c>
      <c r="C784" s="3" t="s">
        <v>39</v>
      </c>
      <c r="D784" s="3" t="str">
        <f>VLOOKUP(C784,layoffs_location!A:B,2,FALSE)</f>
        <v>New York</v>
      </c>
      <c r="E784" s="3" t="str">
        <f>VLOOKUP(C784,layoffs_location!A:C,3,FALSE)</f>
        <v>New York</v>
      </c>
      <c r="F784" s="3" t="str">
        <f>VLOOKUP(C784,layoffs_location!A:D,4,FALSE)</f>
        <v>USA</v>
      </c>
      <c r="G784" s="3" t="str">
        <f>VLOOKUP(C784,layoffs_location!A:E,5,FALSE)</f>
        <v>North America</v>
      </c>
      <c r="H784" s="3">
        <v>110</v>
      </c>
      <c r="I784" s="8">
        <v>44871</v>
      </c>
      <c r="J784" s="9">
        <v>5</v>
      </c>
      <c r="K784" s="10">
        <v>2200</v>
      </c>
      <c r="L784" s="10">
        <v>2090</v>
      </c>
      <c r="M784" s="3" t="s">
        <v>139</v>
      </c>
      <c r="N784" s="3" t="s">
        <v>28</v>
      </c>
      <c r="O784" s="34">
        <v>30</v>
      </c>
      <c r="P784" s="3">
        <v>2022</v>
      </c>
      <c r="Q784" s="3">
        <f>VLOOKUP(C784,layoffs_location!A:F,6,FALSE)</f>
        <v>40.7127281</v>
      </c>
      <c r="R784" s="3">
        <f>VLOOKUP(C784,layoffs_location!A:G,7,FALSE)</f>
        <v>-74.006015199999993</v>
      </c>
    </row>
    <row r="785" spans="1:18" x14ac:dyDescent="0.2">
      <c r="A785" s="3">
        <v>784</v>
      </c>
      <c r="B785" s="3" t="s">
        <v>707</v>
      </c>
      <c r="C785" s="3" t="s">
        <v>187</v>
      </c>
      <c r="D785" s="3" t="str">
        <f>VLOOKUP(C785,layoffs_location!A:B,2,FALSE)</f>
        <v>other</v>
      </c>
      <c r="E785" s="3" t="str">
        <f>VLOOKUP(C785,layoffs_location!A:C,3,FALSE)</f>
        <v>State of São Paulo</v>
      </c>
      <c r="F785" s="3" t="str">
        <f>VLOOKUP(C785,layoffs_location!A:D,4,FALSE)</f>
        <v>Brazil</v>
      </c>
      <c r="G785" s="3" t="str">
        <f>VLOOKUP(C785,layoffs_location!A:E,5,FALSE)</f>
        <v>South America</v>
      </c>
      <c r="H785" s="3">
        <v>190</v>
      </c>
      <c r="I785" s="8">
        <v>44872</v>
      </c>
      <c r="J785" s="9">
        <v>12</v>
      </c>
      <c r="K785" s="10">
        <v>1583</v>
      </c>
      <c r="L785" s="10">
        <v>1393</v>
      </c>
      <c r="M785" s="3" t="s">
        <v>35</v>
      </c>
      <c r="N785" s="3" t="s">
        <v>1696</v>
      </c>
      <c r="O785" s="34">
        <v>280</v>
      </c>
      <c r="P785" s="3">
        <v>2022</v>
      </c>
      <c r="Q785" s="3">
        <f>VLOOKUP(C785,layoffs_location!A:F,6,FALSE)</f>
        <v>-23.550650699999998</v>
      </c>
      <c r="R785" s="3">
        <f>VLOOKUP(C785,layoffs_location!A:G,7,FALSE)</f>
        <v>-46.633382400000002</v>
      </c>
    </row>
    <row r="786" spans="1:18" ht="16" x14ac:dyDescent="0.2">
      <c r="A786" s="3">
        <v>785</v>
      </c>
      <c r="B786" s="3" t="s">
        <v>1686</v>
      </c>
      <c r="C786" s="11" t="s">
        <v>1370</v>
      </c>
      <c r="D786" s="3" t="str">
        <f>VLOOKUP(C786,layoffs_location!A:B,2,FALSE)</f>
        <v>San Francisco Bay Area</v>
      </c>
      <c r="E786" s="3" t="str">
        <f>VLOOKUP(C786,layoffs_location!A:C,3,FALSE)</f>
        <v>California</v>
      </c>
      <c r="F786" s="3" t="str">
        <f>VLOOKUP(C786,layoffs_location!A:D,4,FALSE)</f>
        <v>USA</v>
      </c>
      <c r="G786" s="3" t="str">
        <f>VLOOKUP(C786,layoffs_location!A:E,5,FALSE)</f>
        <v>North America</v>
      </c>
      <c r="H786" s="3">
        <v>1000</v>
      </c>
      <c r="I786" s="8">
        <v>44872</v>
      </c>
      <c r="J786" s="9">
        <v>1</v>
      </c>
      <c r="K786" s="10">
        <v>100000</v>
      </c>
      <c r="L786" s="10">
        <v>99000</v>
      </c>
      <c r="M786" s="3" t="s">
        <v>92</v>
      </c>
      <c r="N786" s="3" t="s">
        <v>28</v>
      </c>
      <c r="O786" s="34">
        <v>65</v>
      </c>
      <c r="P786" s="3">
        <v>2022</v>
      </c>
      <c r="Q786" s="3">
        <f>VLOOKUP(C786,layoffs_location!A:F,6,FALSE)</f>
        <v>37.779258800000001</v>
      </c>
      <c r="R786" s="3">
        <f>VLOOKUP(C786,layoffs_location!A:G,7,FALSE)</f>
        <v>-122.4193286</v>
      </c>
    </row>
    <row r="787" spans="1:18" x14ac:dyDescent="0.2">
      <c r="A787" s="3">
        <v>786</v>
      </c>
      <c r="B787" s="3" t="s">
        <v>706</v>
      </c>
      <c r="C787" s="3" t="s">
        <v>13</v>
      </c>
      <c r="D787" s="3" t="str">
        <f>VLOOKUP(C787,layoffs_location!A:B,2,FALSE)</f>
        <v>other</v>
      </c>
      <c r="E787" s="3" t="str">
        <f>VLOOKUP(C787,layoffs_location!A:C,3,FALSE)</f>
        <v>Karnataka</v>
      </c>
      <c r="F787" s="3" t="str">
        <f>VLOOKUP(C787,layoffs_location!A:D,4,FALSE)</f>
        <v>India</v>
      </c>
      <c r="G787" s="3" t="str">
        <f>VLOOKUP(C787,layoffs_location!A:E,5,FALSE)</f>
        <v>Asia</v>
      </c>
      <c r="H787" s="3">
        <v>350</v>
      </c>
      <c r="I787" s="8">
        <v>44872</v>
      </c>
      <c r="J787" s="9">
        <v>10</v>
      </c>
      <c r="K787" s="10">
        <v>3500</v>
      </c>
      <c r="L787" s="10">
        <v>3150</v>
      </c>
      <c r="M787" s="3" t="s">
        <v>68</v>
      </c>
      <c r="N787" s="3" t="s">
        <v>17</v>
      </c>
      <c r="O787" s="34">
        <v>838</v>
      </c>
      <c r="P787" s="3">
        <v>2022</v>
      </c>
      <c r="Q787" s="3">
        <f>VLOOKUP(C787,layoffs_location!A:F,6,FALSE)</f>
        <v>12.98815675</v>
      </c>
      <c r="R787" s="3">
        <f>VLOOKUP(C787,layoffs_location!A:G,7,FALSE)</f>
        <v>77.622600037959998</v>
      </c>
    </row>
    <row r="788" spans="1:18" x14ac:dyDescent="0.2">
      <c r="A788" s="3">
        <v>787</v>
      </c>
      <c r="B788" s="3" t="s">
        <v>273</v>
      </c>
      <c r="C788" s="3" t="s">
        <v>1370</v>
      </c>
      <c r="D788" s="3" t="str">
        <f>VLOOKUP(C788,layoffs_location!A:B,2,FALSE)</f>
        <v>San Francisco Bay Area</v>
      </c>
      <c r="E788" s="3" t="str">
        <f>VLOOKUP(C788,layoffs_location!A:C,3,FALSE)</f>
        <v>California</v>
      </c>
      <c r="F788" s="3" t="str">
        <f>VLOOKUP(C788,layoffs_location!A:D,4,FALSE)</f>
        <v>USA</v>
      </c>
      <c r="G788" s="3" t="str">
        <f>VLOOKUP(C788,layoffs_location!A:E,5,FALSE)</f>
        <v>North America</v>
      </c>
      <c r="H788" s="3">
        <v>350</v>
      </c>
      <c r="I788" s="8">
        <v>44872</v>
      </c>
      <c r="J788" s="9">
        <v>5</v>
      </c>
      <c r="K788" s="10">
        <v>7000</v>
      </c>
      <c r="L788" s="10">
        <v>6650</v>
      </c>
      <c r="M788" s="3" t="s">
        <v>274</v>
      </c>
      <c r="N788" s="3" t="s">
        <v>33</v>
      </c>
      <c r="O788" s="34">
        <v>85</v>
      </c>
      <c r="P788" s="3">
        <v>2022</v>
      </c>
      <c r="Q788" s="3">
        <f>VLOOKUP(C788,layoffs_location!A:F,6,FALSE)</f>
        <v>37.779258800000001</v>
      </c>
      <c r="R788" s="3">
        <f>VLOOKUP(C788,layoffs_location!A:G,7,FALSE)</f>
        <v>-122.4193286</v>
      </c>
    </row>
    <row r="789" spans="1:18" x14ac:dyDescent="0.2">
      <c r="A789" s="3">
        <v>788</v>
      </c>
      <c r="B789" s="3" t="s">
        <v>1690</v>
      </c>
      <c r="C789" s="3" t="s">
        <v>71</v>
      </c>
      <c r="D789" s="3" t="str">
        <f>VLOOKUP(C789,layoffs_location!A:B,2,FALSE)</f>
        <v>other</v>
      </c>
      <c r="E789" s="3" t="str">
        <f>VLOOKUP(C789,layoffs_location!A:C,3,FALSE)</f>
        <v>Massachusetts</v>
      </c>
      <c r="F789" s="3" t="str">
        <f>VLOOKUP(C789,layoffs_location!A:D,4,FALSE)</f>
        <v>USA</v>
      </c>
      <c r="G789" s="3" t="str">
        <f>VLOOKUP(C789,layoffs_location!A:E,5,FALSE)</f>
        <v>North America</v>
      </c>
      <c r="H789" s="3">
        <v>65</v>
      </c>
      <c r="I789" s="8">
        <v>44873</v>
      </c>
      <c r="J789" s="9">
        <v>50</v>
      </c>
      <c r="K789" s="10">
        <v>130</v>
      </c>
      <c r="L789" s="10">
        <v>65</v>
      </c>
      <c r="M789" s="3" t="s">
        <v>21</v>
      </c>
      <c r="N789" s="3" t="s">
        <v>49</v>
      </c>
      <c r="O789" s="34">
        <v>257</v>
      </c>
      <c r="P789" s="3">
        <v>2022</v>
      </c>
      <c r="Q789" s="3">
        <f>VLOOKUP(C789,layoffs_location!A:F,6,FALSE)</f>
        <v>42.355433400000003</v>
      </c>
      <c r="R789" s="3">
        <f>VLOOKUP(C789,layoffs_location!A:G,7,FALSE)</f>
        <v>-71.060511000000005</v>
      </c>
    </row>
    <row r="790" spans="1:18" x14ac:dyDescent="0.2">
      <c r="A790" s="3">
        <v>789</v>
      </c>
      <c r="B790" s="3" t="s">
        <v>701</v>
      </c>
      <c r="C790" s="3" t="s">
        <v>76</v>
      </c>
      <c r="D790" s="3" t="str">
        <f>VLOOKUP(C790,layoffs_location!A:B,2,FALSE)</f>
        <v>other</v>
      </c>
      <c r="E790" s="3" t="str">
        <f>VLOOKUP(C790,layoffs_location!A:C,3,FALSE)</f>
        <v>California</v>
      </c>
      <c r="F790" s="3" t="str">
        <f>VLOOKUP(C790,layoffs_location!A:D,4,FALSE)</f>
        <v>USA</v>
      </c>
      <c r="G790" s="3" t="str">
        <f>VLOOKUP(C790,layoffs_location!A:E,5,FALSE)</f>
        <v>North America</v>
      </c>
      <c r="H790" s="3">
        <v>144</v>
      </c>
      <c r="I790" s="8">
        <v>44874</v>
      </c>
      <c r="J790" s="9">
        <v>22</v>
      </c>
      <c r="K790" s="10">
        <v>655</v>
      </c>
      <c r="L790" s="10">
        <v>511</v>
      </c>
      <c r="M790" s="3" t="s">
        <v>72</v>
      </c>
      <c r="N790" s="3" t="s">
        <v>1696</v>
      </c>
      <c r="O790" s="34">
        <v>686</v>
      </c>
      <c r="P790" s="3">
        <v>2022</v>
      </c>
      <c r="Q790" s="3">
        <f>VLOOKUP(C790,layoffs_location!A:F,6,FALSE)</f>
        <v>34.053690899999999</v>
      </c>
      <c r="R790" s="3">
        <f>VLOOKUP(C790,layoffs_location!A:G,7,FALSE)</f>
        <v>-118.242766</v>
      </c>
    </row>
    <row r="791" spans="1:18" x14ac:dyDescent="0.2">
      <c r="A791" s="3">
        <v>790</v>
      </c>
      <c r="B791" s="3" t="s">
        <v>700</v>
      </c>
      <c r="C791" s="3" t="s">
        <v>43</v>
      </c>
      <c r="D791" s="3" t="str">
        <f>VLOOKUP(C791,layoffs_location!A:B,2,FALSE)</f>
        <v>Cascadia</v>
      </c>
      <c r="E791" s="3" t="str">
        <f>VLOOKUP(C791,layoffs_location!A:C,3,FALSE)</f>
        <v>Washington</v>
      </c>
      <c r="F791" s="3" t="str">
        <f>VLOOKUP(C791,layoffs_location!A:D,4,FALSE)</f>
        <v>USA</v>
      </c>
      <c r="G791" s="3" t="str">
        <f>VLOOKUP(C791,layoffs_location!A:E,5,FALSE)</f>
        <v>North America</v>
      </c>
      <c r="H791" s="3">
        <v>300</v>
      </c>
      <c r="I791" s="8">
        <v>44874</v>
      </c>
      <c r="J791" s="9">
        <v>40</v>
      </c>
      <c r="K791" s="10">
        <v>750</v>
      </c>
      <c r="L791" s="10">
        <v>450</v>
      </c>
      <c r="M791" s="3" t="s">
        <v>137</v>
      </c>
      <c r="N791" s="3" t="s">
        <v>41</v>
      </c>
      <c r="O791" s="34">
        <v>310</v>
      </c>
      <c r="P791" s="3">
        <v>2022</v>
      </c>
      <c r="Q791" s="3">
        <f>VLOOKUP(C791,layoffs_location!A:F,6,FALSE)</f>
        <v>47.603832099999998</v>
      </c>
      <c r="R791" s="3">
        <f>VLOOKUP(C791,layoffs_location!A:G,7,FALSE)</f>
        <v>-122.330062</v>
      </c>
    </row>
    <row r="792" spans="1:18" ht="16" x14ac:dyDescent="0.2">
      <c r="A792" s="3">
        <v>791</v>
      </c>
      <c r="B792" s="3" t="s">
        <v>705</v>
      </c>
      <c r="C792" s="11" t="s">
        <v>1370</v>
      </c>
      <c r="D792" s="3" t="str">
        <f>VLOOKUP(C792,layoffs_location!A:B,2,FALSE)</f>
        <v>San Francisco Bay Area</v>
      </c>
      <c r="E792" s="3" t="str">
        <f>VLOOKUP(C792,layoffs_location!A:C,3,FALSE)</f>
        <v>California</v>
      </c>
      <c r="F792" s="3" t="str">
        <f>VLOOKUP(C792,layoffs_location!A:D,4,FALSE)</f>
        <v>USA</v>
      </c>
      <c r="G792" s="3" t="str">
        <f>VLOOKUP(C792,layoffs_location!A:E,5,FALSE)</f>
        <v>North America</v>
      </c>
      <c r="H792" s="3">
        <v>35</v>
      </c>
      <c r="I792" s="8">
        <v>44874</v>
      </c>
      <c r="J792" s="9">
        <v>7</v>
      </c>
      <c r="K792" s="10">
        <v>500</v>
      </c>
      <c r="L792" s="10">
        <v>465</v>
      </c>
      <c r="M792" s="3" t="s">
        <v>16</v>
      </c>
      <c r="N792" s="3" t="s">
        <v>33</v>
      </c>
      <c r="O792" s="34">
        <v>244</v>
      </c>
      <c r="P792" s="3">
        <v>2022</v>
      </c>
      <c r="Q792" s="3">
        <f>VLOOKUP(C792,layoffs_location!A:F,6,FALSE)</f>
        <v>37.779258800000001</v>
      </c>
      <c r="R792" s="3">
        <f>VLOOKUP(C792,layoffs_location!A:G,7,FALSE)</f>
        <v>-122.4193286</v>
      </c>
    </row>
    <row r="793" spans="1:18" x14ac:dyDescent="0.2">
      <c r="A793" s="3">
        <v>792</v>
      </c>
      <c r="B793" s="3" t="s">
        <v>703</v>
      </c>
      <c r="C793" s="3" t="s">
        <v>1710</v>
      </c>
      <c r="D793" s="3" t="str">
        <f>VLOOKUP(C793,layoffs_location!A:B,2,FALSE)</f>
        <v>San Francisco Bay Area</v>
      </c>
      <c r="E793" s="3" t="str">
        <f>VLOOKUP(C793,layoffs_location!A:C,3,FALSE)</f>
        <v>California</v>
      </c>
      <c r="F793" s="3" t="str">
        <f>VLOOKUP(C793,layoffs_location!A:D,4,FALSE)</f>
        <v>USA</v>
      </c>
      <c r="G793" s="3" t="str">
        <f>VLOOKUP(C793,layoffs_location!A:E,5,FALSE)</f>
        <v>North America</v>
      </c>
      <c r="H793" s="3">
        <v>130</v>
      </c>
      <c r="I793" s="8">
        <v>44874</v>
      </c>
      <c r="J793" s="9">
        <v>15</v>
      </c>
      <c r="K793" s="10">
        <v>867</v>
      </c>
      <c r="L793" s="10">
        <v>737</v>
      </c>
      <c r="M793" s="3" t="s">
        <v>130</v>
      </c>
      <c r="N793" s="3" t="s">
        <v>33</v>
      </c>
      <c r="O793" s="34">
        <v>6</v>
      </c>
      <c r="P793" s="3">
        <v>2022</v>
      </c>
      <c r="Q793" s="3">
        <f>VLOOKUP(C793,layoffs_location!A:F,6,FALSE)</f>
        <v>37.486323900000002</v>
      </c>
      <c r="R793" s="3">
        <f>VLOOKUP(C793,layoffs_location!A:G,7,FALSE)</f>
        <v>-122.232523</v>
      </c>
    </row>
    <row r="794" spans="1:18" x14ac:dyDescent="0.2">
      <c r="A794" s="3">
        <v>793</v>
      </c>
      <c r="B794" s="3" t="s">
        <v>385</v>
      </c>
      <c r="C794" s="3" t="s">
        <v>1443</v>
      </c>
      <c r="D794" s="3" t="str">
        <f>VLOOKUP(C794,layoffs_location!A:B,2,FALSE)</f>
        <v>San Francisco Bay Area</v>
      </c>
      <c r="E794" s="3" t="str">
        <f>VLOOKUP(C794,layoffs_location!A:C,3,FALSE)</f>
        <v>California</v>
      </c>
      <c r="F794" s="3" t="str">
        <f>VLOOKUP(C794,layoffs_location!A:D,4,FALSE)</f>
        <v>USA</v>
      </c>
      <c r="G794" s="3" t="str">
        <f>VLOOKUP(C794,layoffs_location!A:E,5,FALSE)</f>
        <v>North America</v>
      </c>
      <c r="H794" s="3">
        <v>11000</v>
      </c>
      <c r="I794" s="8">
        <v>44874</v>
      </c>
      <c r="J794" s="9">
        <v>13</v>
      </c>
      <c r="K794" s="10">
        <v>84615</v>
      </c>
      <c r="L794" s="10">
        <v>73615</v>
      </c>
      <c r="M794" s="3" t="s">
        <v>16</v>
      </c>
      <c r="N794" s="3" t="s">
        <v>28</v>
      </c>
      <c r="O794" s="34">
        <v>26000</v>
      </c>
      <c r="P794" s="3">
        <v>2022</v>
      </c>
      <c r="Q794" s="3">
        <f>VLOOKUP(C794,layoffs_location!A:F,6,FALSE)</f>
        <v>37.451967099999997</v>
      </c>
      <c r="R794" s="3">
        <f>VLOOKUP(C794,layoffs_location!A:G,7,FALSE)</f>
        <v>-122.177992</v>
      </c>
    </row>
    <row r="795" spans="1:18" x14ac:dyDescent="0.2">
      <c r="A795" s="3">
        <v>794</v>
      </c>
      <c r="B795" s="3" t="s">
        <v>512</v>
      </c>
      <c r="C795" s="3" t="s">
        <v>47</v>
      </c>
      <c r="D795" s="3" t="str">
        <f>VLOOKUP(C795,layoffs_location!A:B,2,FALSE)</f>
        <v>other</v>
      </c>
      <c r="E795" s="3" t="str">
        <f>VLOOKUP(C795,layoffs_location!A:C,3,FALSE)</f>
        <v>non</v>
      </c>
      <c r="F795" s="3" t="str">
        <f>VLOOKUP(C795,layoffs_location!A:D,4,FALSE)</f>
        <v>Israel</v>
      </c>
      <c r="G795" s="3" t="str">
        <f>VLOOKUP(C795,layoffs_location!A:E,5,FALSE)</f>
        <v>Asia</v>
      </c>
      <c r="H795" s="3">
        <v>25</v>
      </c>
      <c r="I795" s="8">
        <v>44874</v>
      </c>
      <c r="J795" s="9">
        <v>15</v>
      </c>
      <c r="K795" s="10">
        <v>167</v>
      </c>
      <c r="L795" s="10">
        <v>142</v>
      </c>
      <c r="M795" s="3" t="s">
        <v>130</v>
      </c>
      <c r="N795" s="3" t="s">
        <v>41</v>
      </c>
      <c r="O795" s="34">
        <v>69</v>
      </c>
      <c r="P795" s="3">
        <v>2022</v>
      </c>
      <c r="Q795" s="3">
        <f>VLOOKUP(C795,layoffs_location!A:F,6,FALSE)</f>
        <v>32.0852997</v>
      </c>
      <c r="R795" s="3">
        <f>VLOOKUP(C795,layoffs_location!A:G,7,FALSE)</f>
        <v>34.781806400000001</v>
      </c>
    </row>
    <row r="796" spans="1:18" x14ac:dyDescent="0.2">
      <c r="A796" s="3">
        <v>795</v>
      </c>
      <c r="B796" s="3" t="s">
        <v>704</v>
      </c>
      <c r="C796" s="3" t="s">
        <v>13</v>
      </c>
      <c r="D796" s="3" t="str">
        <f>VLOOKUP(C796,layoffs_location!A:B,2,FALSE)</f>
        <v>other</v>
      </c>
      <c r="E796" s="3" t="str">
        <f>VLOOKUP(C796,layoffs_location!A:C,3,FALSE)</f>
        <v>Karnataka</v>
      </c>
      <c r="F796" s="3" t="str">
        <f>VLOOKUP(C796,layoffs_location!A:D,4,FALSE)</f>
        <v>India</v>
      </c>
      <c r="G796" s="3" t="str">
        <f>VLOOKUP(C796,layoffs_location!A:E,5,FALSE)</f>
        <v>Asia</v>
      </c>
      <c r="H796" s="3">
        <v>36</v>
      </c>
      <c r="I796" s="8">
        <v>44874</v>
      </c>
      <c r="J796" s="9">
        <v>10</v>
      </c>
      <c r="K796" s="10">
        <v>360</v>
      </c>
      <c r="L796" s="10">
        <v>324</v>
      </c>
      <c r="M796" s="3" t="s">
        <v>21</v>
      </c>
      <c r="N796" s="3" t="s">
        <v>69</v>
      </c>
      <c r="O796" s="34">
        <v>20</v>
      </c>
      <c r="P796" s="3">
        <v>2022</v>
      </c>
      <c r="Q796" s="3">
        <f>VLOOKUP(C796,layoffs_location!A:F,6,FALSE)</f>
        <v>12.98815675</v>
      </c>
      <c r="R796" s="3">
        <f>VLOOKUP(C796,layoffs_location!A:G,7,FALSE)</f>
        <v>77.622600037959998</v>
      </c>
    </row>
    <row r="797" spans="1:18" x14ac:dyDescent="0.2">
      <c r="A797" s="3">
        <v>796</v>
      </c>
      <c r="B797" s="3" t="s">
        <v>343</v>
      </c>
      <c r="C797" s="3" t="s">
        <v>43</v>
      </c>
      <c r="D797" s="3" t="str">
        <f>VLOOKUP(C797,layoffs_location!A:B,2,FALSE)</f>
        <v>Cascadia</v>
      </c>
      <c r="E797" s="3" t="str">
        <f>VLOOKUP(C797,layoffs_location!A:C,3,FALSE)</f>
        <v>Washington</v>
      </c>
      <c r="F797" s="3" t="str">
        <f>VLOOKUP(C797,layoffs_location!A:D,4,FALSE)</f>
        <v>USA</v>
      </c>
      <c r="G797" s="3" t="str">
        <f>VLOOKUP(C797,layoffs_location!A:E,5,FALSE)</f>
        <v>North America</v>
      </c>
      <c r="H797" s="3">
        <v>862</v>
      </c>
      <c r="I797" s="8">
        <v>44874</v>
      </c>
      <c r="J797" s="9">
        <v>13</v>
      </c>
      <c r="K797" s="10">
        <v>6631</v>
      </c>
      <c r="L797" s="10">
        <v>5769</v>
      </c>
      <c r="M797" s="3" t="s">
        <v>137</v>
      </c>
      <c r="N797" s="3" t="s">
        <v>28</v>
      </c>
      <c r="O797" s="34">
        <v>320</v>
      </c>
      <c r="P797" s="3">
        <v>2022</v>
      </c>
      <c r="Q797" s="3">
        <f>VLOOKUP(C797,layoffs_location!A:F,6,FALSE)</f>
        <v>47.603832099999998</v>
      </c>
      <c r="R797" s="3">
        <f>VLOOKUP(C797,layoffs_location!A:G,7,FALSE)</f>
        <v>-122.330062</v>
      </c>
    </row>
    <row r="798" spans="1:18" x14ac:dyDescent="0.2">
      <c r="A798" s="3">
        <v>797</v>
      </c>
      <c r="B798" s="3" t="s">
        <v>702</v>
      </c>
      <c r="C798" s="3" t="s">
        <v>452</v>
      </c>
      <c r="D798" s="3" t="str">
        <f>VLOOKUP(C798,layoffs_location!A:B,2,FALSE)</f>
        <v>other</v>
      </c>
      <c r="E798" s="3" t="str">
        <f>VLOOKUP(C798,layoffs_location!A:C,3,FALSE)</f>
        <v>Ohio</v>
      </c>
      <c r="F798" s="3" t="str">
        <f>VLOOKUP(C798,layoffs_location!A:D,4,FALSE)</f>
        <v>USA</v>
      </c>
      <c r="G798" s="3" t="str">
        <f>VLOOKUP(C798,layoffs_location!A:E,5,FALSE)</f>
        <v>North America</v>
      </c>
      <c r="H798" s="3">
        <v>137</v>
      </c>
      <c r="I798" s="8">
        <v>44874</v>
      </c>
      <c r="J798" s="9">
        <v>20</v>
      </c>
      <c r="K798" s="10">
        <v>685</v>
      </c>
      <c r="L798" s="10">
        <v>548</v>
      </c>
      <c r="M798" s="3" t="s">
        <v>35</v>
      </c>
      <c r="N798" s="3" t="s">
        <v>28</v>
      </c>
      <c r="O798" s="34">
        <v>527</v>
      </c>
      <c r="P798" s="3">
        <v>2022</v>
      </c>
      <c r="Q798" s="3">
        <f>VLOOKUP(C798,layoffs_location!A:F,6,FALSE)</f>
        <v>39.962260100000002</v>
      </c>
      <c r="R798" s="3">
        <f>VLOOKUP(C798,layoffs_location!A:G,7,FALSE)</f>
        <v>-83.000706500000007</v>
      </c>
    </row>
    <row r="799" spans="1:18" x14ac:dyDescent="0.2">
      <c r="A799" s="3">
        <v>798</v>
      </c>
      <c r="B799" s="3" t="s">
        <v>172</v>
      </c>
      <c r="C799" s="3" t="s">
        <v>1370</v>
      </c>
      <c r="D799" s="3" t="str">
        <f>VLOOKUP(C799,layoffs_location!A:B,2,FALSE)</f>
        <v>San Francisco Bay Area</v>
      </c>
      <c r="E799" s="3" t="str">
        <f>VLOOKUP(C799,layoffs_location!A:C,3,FALSE)</f>
        <v>California</v>
      </c>
      <c r="F799" s="3" t="str">
        <f>VLOOKUP(C799,layoffs_location!A:D,4,FALSE)</f>
        <v>USA</v>
      </c>
      <c r="G799" s="3" t="str">
        <f>VLOOKUP(C799,layoffs_location!A:E,5,FALSE)</f>
        <v>North America</v>
      </c>
      <c r="H799" s="3">
        <v>100</v>
      </c>
      <c r="I799" s="8">
        <v>44875</v>
      </c>
      <c r="J799" s="9">
        <v>6</v>
      </c>
      <c r="K799" s="10">
        <v>1667</v>
      </c>
      <c r="L799" s="10">
        <v>1567</v>
      </c>
      <c r="M799" s="3" t="s">
        <v>35</v>
      </c>
      <c r="N799" s="3" t="s">
        <v>28</v>
      </c>
      <c r="O799" s="34">
        <v>665</v>
      </c>
      <c r="P799" s="3">
        <v>2022</v>
      </c>
      <c r="Q799" s="3">
        <f>VLOOKUP(C799,layoffs_location!A:F,6,FALSE)</f>
        <v>37.779258800000001</v>
      </c>
      <c r="R799" s="3">
        <f>VLOOKUP(C799,layoffs_location!A:G,7,FALSE)</f>
        <v>-122.4193286</v>
      </c>
    </row>
    <row r="800" spans="1:18" x14ac:dyDescent="0.2">
      <c r="A800" s="3">
        <v>799</v>
      </c>
      <c r="B800" s="3" t="s">
        <v>695</v>
      </c>
      <c r="C800" s="3" t="s">
        <v>445</v>
      </c>
      <c r="D800" s="3" t="str">
        <f>VLOOKUP(C800,layoffs_location!A:B,2,FALSE)</f>
        <v>other</v>
      </c>
      <c r="E800" s="3" t="str">
        <f>VLOOKUP(C800,layoffs_location!A:C,3,FALSE)</f>
        <v>non</v>
      </c>
      <c r="F800" s="3" t="str">
        <f>VLOOKUP(C800,layoffs_location!A:D,4,FALSE)</f>
        <v>Indonesia</v>
      </c>
      <c r="G800" s="3" t="str">
        <f>VLOOKUP(C800,layoffs_location!A:E,5,FALSE)</f>
        <v>Asia</v>
      </c>
      <c r="H800" s="3">
        <v>1300</v>
      </c>
      <c r="I800" s="8">
        <v>44875</v>
      </c>
      <c r="J800" s="9">
        <v>12</v>
      </c>
      <c r="K800" s="10">
        <v>10833</v>
      </c>
      <c r="L800" s="10">
        <v>9533</v>
      </c>
      <c r="M800" s="3" t="s">
        <v>32</v>
      </c>
      <c r="N800" s="3" t="s">
        <v>28</v>
      </c>
      <c r="O800" s="34">
        <v>1300</v>
      </c>
      <c r="P800" s="3">
        <v>2022</v>
      </c>
      <c r="Q800" s="3">
        <f>VLOOKUP(C800,layoffs_location!A:F,6,FALSE)</f>
        <v>-6.1752469999999997</v>
      </c>
      <c r="R800" s="3">
        <f>VLOOKUP(C800,layoffs_location!A:G,7,FALSE)</f>
        <v>106.8270488</v>
      </c>
    </row>
    <row r="801" spans="1:18" x14ac:dyDescent="0.2">
      <c r="A801" s="3">
        <v>800</v>
      </c>
      <c r="B801" s="3" t="s">
        <v>697</v>
      </c>
      <c r="C801" s="3" t="s">
        <v>1370</v>
      </c>
      <c r="D801" s="3" t="str">
        <f>VLOOKUP(C801,layoffs_location!A:B,2,FALSE)</f>
        <v>San Francisco Bay Area</v>
      </c>
      <c r="E801" s="3" t="str">
        <f>VLOOKUP(C801,layoffs_location!A:C,3,FALSE)</f>
        <v>California</v>
      </c>
      <c r="F801" s="3" t="str">
        <f>VLOOKUP(C801,layoffs_location!A:D,4,FALSE)</f>
        <v>USA</v>
      </c>
      <c r="G801" s="3" t="str">
        <f>VLOOKUP(C801,layoffs_location!A:E,5,FALSE)</f>
        <v>North America</v>
      </c>
      <c r="H801" s="3">
        <v>65</v>
      </c>
      <c r="I801" s="8">
        <v>44875</v>
      </c>
      <c r="J801" s="9">
        <v>27</v>
      </c>
      <c r="K801" s="10">
        <v>241</v>
      </c>
      <c r="L801" s="10">
        <v>176</v>
      </c>
      <c r="M801" s="3" t="s">
        <v>79</v>
      </c>
      <c r="N801" s="3" t="s">
        <v>108</v>
      </c>
      <c r="O801" s="34">
        <v>119</v>
      </c>
      <c r="P801" s="3">
        <v>2022</v>
      </c>
      <c r="Q801" s="3">
        <f>VLOOKUP(C801,layoffs_location!A:F,6,FALSE)</f>
        <v>37.779258800000001</v>
      </c>
      <c r="R801" s="3">
        <f>VLOOKUP(C801,layoffs_location!A:G,7,FALSE)</f>
        <v>-122.4193286</v>
      </c>
    </row>
    <row r="802" spans="1:18" ht="16" x14ac:dyDescent="0.2">
      <c r="A802" s="3">
        <v>801</v>
      </c>
      <c r="B802" s="3" t="s">
        <v>696</v>
      </c>
      <c r="C802" s="11" t="s">
        <v>1370</v>
      </c>
      <c r="D802" s="3" t="str">
        <f>VLOOKUP(C802,layoffs_location!A:B,2,FALSE)</f>
        <v>San Francisco Bay Area</v>
      </c>
      <c r="E802" s="3" t="str">
        <f>VLOOKUP(C802,layoffs_location!A:C,3,FALSE)</f>
        <v>California</v>
      </c>
      <c r="F802" s="3" t="str">
        <f>VLOOKUP(C802,layoffs_location!A:D,4,FALSE)</f>
        <v>USA</v>
      </c>
      <c r="G802" s="3" t="str">
        <f>VLOOKUP(C802,layoffs_location!A:E,5,FALSE)</f>
        <v>North America</v>
      </c>
      <c r="H802" s="3">
        <v>400</v>
      </c>
      <c r="I802" s="8">
        <v>44875</v>
      </c>
      <c r="J802" s="9">
        <v>30</v>
      </c>
      <c r="K802" s="10">
        <v>1333</v>
      </c>
      <c r="L802" s="10">
        <v>933</v>
      </c>
      <c r="M802" s="3" t="s">
        <v>16</v>
      </c>
      <c r="N802" s="3" t="s">
        <v>22</v>
      </c>
      <c r="O802" s="34">
        <v>1500</v>
      </c>
      <c r="P802" s="3">
        <v>2022</v>
      </c>
      <c r="Q802" s="3">
        <f>VLOOKUP(C802,layoffs_location!A:F,6,FALSE)</f>
        <v>37.779258800000001</v>
      </c>
      <c r="R802" s="3">
        <f>VLOOKUP(C802,layoffs_location!A:G,7,FALSE)</f>
        <v>-122.4193286</v>
      </c>
    </row>
    <row r="803" spans="1:18" x14ac:dyDescent="0.2">
      <c r="A803" s="3">
        <v>802</v>
      </c>
      <c r="B803" s="3" t="s">
        <v>698</v>
      </c>
      <c r="C803" s="3" t="s">
        <v>699</v>
      </c>
      <c r="D803" s="3" t="str">
        <f>VLOOKUP(C803,layoffs_location!A:B,2,FALSE)</f>
        <v>other</v>
      </c>
      <c r="E803" s="3" t="str">
        <f>VLOOKUP(C803,layoffs_location!A:C,3,FALSE)</f>
        <v>Utah</v>
      </c>
      <c r="F803" s="3" t="str">
        <f>VLOOKUP(C803,layoffs_location!A:D,4,FALSE)</f>
        <v>USA</v>
      </c>
      <c r="G803" s="3" t="str">
        <f>VLOOKUP(C803,layoffs_location!A:E,5,FALSE)</f>
        <v>North America</v>
      </c>
      <c r="H803" s="3">
        <v>20</v>
      </c>
      <c r="I803" s="8">
        <v>44875</v>
      </c>
      <c r="J803" s="9">
        <v>48</v>
      </c>
      <c r="K803" s="10">
        <v>42</v>
      </c>
      <c r="L803" s="10">
        <v>22</v>
      </c>
      <c r="M803" s="3" t="s">
        <v>117</v>
      </c>
      <c r="N803" s="3" t="s">
        <v>69</v>
      </c>
      <c r="O803" s="34">
        <v>11</v>
      </c>
      <c r="P803" s="3">
        <v>2022</v>
      </c>
      <c r="Q803" s="3">
        <f>VLOOKUP(C803,layoffs_location!A:F,6,FALSE)</f>
        <v>40.3881114</v>
      </c>
      <c r="R803" s="3">
        <f>VLOOKUP(C803,layoffs_location!A:G,7,FALSE)</f>
        <v>-111.84860190000001</v>
      </c>
    </row>
    <row r="804" spans="1:18" x14ac:dyDescent="0.2">
      <c r="A804" s="3">
        <v>803</v>
      </c>
      <c r="B804" s="3" t="s">
        <v>571</v>
      </c>
      <c r="C804" s="3" t="s">
        <v>1415</v>
      </c>
      <c r="D804" s="3" t="str">
        <f>VLOOKUP(C804,layoffs_location!A:B,2,FALSE)</f>
        <v>San Francisco Bay Area</v>
      </c>
      <c r="E804" s="3" t="str">
        <f>VLOOKUP(C804,layoffs_location!A:C,3,FALSE)</f>
        <v>California</v>
      </c>
      <c r="F804" s="3" t="str">
        <f>VLOOKUP(C804,layoffs_location!A:D,4,FALSE)</f>
        <v>USA</v>
      </c>
      <c r="G804" s="3" t="str">
        <f>VLOOKUP(C804,layoffs_location!A:E,5,FALSE)</f>
        <v>North America</v>
      </c>
      <c r="H804" s="3">
        <v>45</v>
      </c>
      <c r="I804" s="8">
        <v>44875</v>
      </c>
      <c r="J804" s="9">
        <v>10</v>
      </c>
      <c r="K804" s="10">
        <v>450</v>
      </c>
      <c r="L804" s="10">
        <v>405</v>
      </c>
      <c r="M804" s="3" t="s">
        <v>60</v>
      </c>
      <c r="N804" s="3" t="s">
        <v>28</v>
      </c>
      <c r="O804" s="34">
        <v>326</v>
      </c>
      <c r="P804" s="3">
        <v>2022</v>
      </c>
      <c r="Q804" s="3">
        <f>VLOOKUP(C804,layoffs_location!A:F,6,FALSE)</f>
        <v>37.354106999999999</v>
      </c>
      <c r="R804" s="3">
        <f>VLOOKUP(C804,layoffs_location!A:G,7,FALSE)</f>
        <v>-121.95523799999999</v>
      </c>
    </row>
    <row r="805" spans="1:18" x14ac:dyDescent="0.2">
      <c r="A805" s="3">
        <v>804</v>
      </c>
      <c r="B805" s="3" t="s">
        <v>694</v>
      </c>
      <c r="C805" s="3" t="s">
        <v>135</v>
      </c>
      <c r="D805" s="3" t="str">
        <f>VLOOKUP(C805,layoffs_location!A:B,2,FALSE)</f>
        <v>other</v>
      </c>
      <c r="E805" s="3" t="str">
        <f>VLOOKUP(C805,layoffs_location!A:C,3,FALSE)</f>
        <v>Berlin</v>
      </c>
      <c r="F805" s="3" t="str">
        <f>VLOOKUP(C805,layoffs_location!A:D,4,FALSE)</f>
        <v>Germany</v>
      </c>
      <c r="G805" s="3" t="str">
        <f>VLOOKUP(C805,layoffs_location!A:E,5,FALSE)</f>
        <v>Europe</v>
      </c>
      <c r="H805" s="3">
        <v>60</v>
      </c>
      <c r="I805" s="8">
        <v>44876</v>
      </c>
      <c r="J805" s="9">
        <v>8</v>
      </c>
      <c r="K805" s="10">
        <v>750</v>
      </c>
      <c r="L805" s="10">
        <v>690</v>
      </c>
      <c r="M805" s="3" t="s">
        <v>90</v>
      </c>
      <c r="N805" s="3" t="s">
        <v>108</v>
      </c>
      <c r="O805" s="34">
        <v>593</v>
      </c>
      <c r="P805" s="3">
        <v>2022</v>
      </c>
      <c r="Q805" s="3">
        <f>VLOOKUP(C805,layoffs_location!A:F,6,FALSE)</f>
        <v>52.517036500000003</v>
      </c>
      <c r="R805" s="3">
        <f>VLOOKUP(C805,layoffs_location!A:G,7,FALSE)</f>
        <v>13.3888599</v>
      </c>
    </row>
    <row r="806" spans="1:18" x14ac:dyDescent="0.2">
      <c r="A806" s="3">
        <v>805</v>
      </c>
      <c r="B806" s="3" t="s">
        <v>693</v>
      </c>
      <c r="C806" s="3" t="s">
        <v>1729</v>
      </c>
      <c r="D806" s="3" t="str">
        <f>VLOOKUP(C806,layoffs_location!A:B,2,FALSE)</f>
        <v>San Francisco Bay Area</v>
      </c>
      <c r="E806" s="3" t="str">
        <f>VLOOKUP(C806,layoffs_location!A:C,3,FALSE)</f>
        <v>California</v>
      </c>
      <c r="F806" s="3" t="str">
        <f>VLOOKUP(C806,layoffs_location!A:D,4,FALSE)</f>
        <v>USA</v>
      </c>
      <c r="G806" s="3" t="str">
        <f>VLOOKUP(C806,layoffs_location!A:E,5,FALSE)</f>
        <v>North America</v>
      </c>
      <c r="H806" s="3">
        <v>100</v>
      </c>
      <c r="I806" s="8">
        <v>44876</v>
      </c>
      <c r="J806" s="9">
        <v>30</v>
      </c>
      <c r="K806" s="10">
        <v>333</v>
      </c>
      <c r="L806" s="10">
        <v>233</v>
      </c>
      <c r="M806" s="3" t="s">
        <v>137</v>
      </c>
      <c r="N806" s="3" t="s">
        <v>108</v>
      </c>
      <c r="O806" s="34">
        <v>597</v>
      </c>
      <c r="P806" s="3">
        <v>2022</v>
      </c>
      <c r="Q806" s="3">
        <f>VLOOKUP(C806,layoffs_location!A:F,6,FALSE)</f>
        <v>37.668820500000002</v>
      </c>
      <c r="R806" s="3">
        <f>VLOOKUP(C806,layoffs_location!A:G,7,FALSE)</f>
        <v>-122.08079600000001</v>
      </c>
    </row>
    <row r="807" spans="1:18" x14ac:dyDescent="0.2">
      <c r="A807" s="3">
        <v>806</v>
      </c>
      <c r="B807" s="3" t="s">
        <v>692</v>
      </c>
      <c r="C807" s="3" t="s">
        <v>1415</v>
      </c>
      <c r="D807" s="3" t="str">
        <f>VLOOKUP(C807,layoffs_location!A:B,2,FALSE)</f>
        <v>San Francisco Bay Area</v>
      </c>
      <c r="E807" s="3" t="str">
        <f>VLOOKUP(C807,layoffs_location!A:C,3,FALSE)</f>
        <v>California</v>
      </c>
      <c r="F807" s="3" t="str">
        <f>VLOOKUP(C807,layoffs_location!A:D,4,FALSE)</f>
        <v>USA</v>
      </c>
      <c r="G807" s="3" t="str">
        <f>VLOOKUP(C807,layoffs_location!A:E,5,FALSE)</f>
        <v>North America</v>
      </c>
      <c r="H807" s="3">
        <v>40</v>
      </c>
      <c r="I807" s="8">
        <v>44879</v>
      </c>
      <c r="J807" s="9">
        <v>8</v>
      </c>
      <c r="K807" s="10">
        <v>500</v>
      </c>
      <c r="L807" s="10">
        <v>460</v>
      </c>
      <c r="M807" s="3" t="s">
        <v>54</v>
      </c>
      <c r="N807" s="3" t="s">
        <v>22</v>
      </c>
      <c r="O807" s="34">
        <v>100</v>
      </c>
      <c r="P807" s="3">
        <v>2022</v>
      </c>
      <c r="Q807" s="3">
        <f>VLOOKUP(C807,layoffs_location!A:F,6,FALSE)</f>
        <v>37.354106999999999</v>
      </c>
      <c r="R807" s="3">
        <f>VLOOKUP(C807,layoffs_location!A:G,7,FALSE)</f>
        <v>-121.95523799999999</v>
      </c>
    </row>
    <row r="808" spans="1:18" x14ac:dyDescent="0.2">
      <c r="A808" s="3">
        <v>807</v>
      </c>
      <c r="B808" s="3" t="s">
        <v>687</v>
      </c>
      <c r="C808" s="3" t="s">
        <v>688</v>
      </c>
      <c r="D808" s="3" t="str">
        <f>VLOOKUP(C808,layoffs_location!A:B,2,FALSE)</f>
        <v>other</v>
      </c>
      <c r="E808" s="3" t="str">
        <f>VLOOKUP(C808,layoffs_location!A:C,3,FALSE)</f>
        <v>Utah</v>
      </c>
      <c r="F808" s="3" t="str">
        <f>VLOOKUP(C808,layoffs_location!A:D,4,FALSE)</f>
        <v>USA</v>
      </c>
      <c r="G808" s="3" t="str">
        <f>VLOOKUP(C808,layoffs_location!A:E,5,FALSE)</f>
        <v>North America</v>
      </c>
      <c r="H808" s="3">
        <v>300</v>
      </c>
      <c r="I808" s="8">
        <v>44879</v>
      </c>
      <c r="J808" s="9">
        <v>20</v>
      </c>
      <c r="K808" s="10">
        <v>1500</v>
      </c>
      <c r="L808" s="10">
        <v>1200</v>
      </c>
      <c r="M808" s="3" t="s">
        <v>399</v>
      </c>
      <c r="N808" s="3" t="s">
        <v>1696</v>
      </c>
      <c r="O808" s="34">
        <v>200</v>
      </c>
      <c r="P808" s="3">
        <v>2022</v>
      </c>
      <c r="Q808" s="3">
        <f>VLOOKUP(C808,layoffs_location!A:F,6,FALSE)</f>
        <v>40.107508899999999</v>
      </c>
      <c r="R808" s="3">
        <f>VLOOKUP(C808,layoffs_location!A:G,7,FALSE)</f>
        <v>-89.3768539</v>
      </c>
    </row>
    <row r="809" spans="1:18" x14ac:dyDescent="0.2">
      <c r="A809" s="3">
        <v>808</v>
      </c>
      <c r="B809" s="3" t="s">
        <v>686</v>
      </c>
      <c r="C809" s="3" t="s">
        <v>74</v>
      </c>
      <c r="D809" s="3" t="str">
        <f>VLOOKUP(C809,layoffs_location!A:B,2,FALSE)</f>
        <v>other</v>
      </c>
      <c r="E809" s="3" t="str">
        <f>VLOOKUP(C809,layoffs_location!A:C,3,FALSE)</f>
        <v>California</v>
      </c>
      <c r="F809" s="3" t="str">
        <f>VLOOKUP(C809,layoffs_location!A:D,4,FALSE)</f>
        <v>USA</v>
      </c>
      <c r="G809" s="3" t="str">
        <f>VLOOKUP(C809,layoffs_location!A:E,5,FALSE)</f>
        <v>North America</v>
      </c>
      <c r="H809" s="3">
        <v>500</v>
      </c>
      <c r="I809" s="8">
        <v>44879</v>
      </c>
      <c r="J809" s="9">
        <v>5</v>
      </c>
      <c r="K809" s="10">
        <v>10000</v>
      </c>
      <c r="L809" s="10">
        <v>9500</v>
      </c>
      <c r="M809" s="3" t="s">
        <v>21</v>
      </c>
      <c r="N809" s="3" t="s">
        <v>28</v>
      </c>
      <c r="O809" s="34">
        <v>28</v>
      </c>
      <c r="P809" s="3">
        <v>2022</v>
      </c>
      <c r="Q809" s="3">
        <f>VLOOKUP(C809,layoffs_location!A:F,6,FALSE)</f>
        <v>32.717420199999999</v>
      </c>
      <c r="R809" s="3">
        <f>VLOOKUP(C809,layoffs_location!A:G,7,FALSE)</f>
        <v>-117.162772</v>
      </c>
    </row>
    <row r="810" spans="1:18" ht="16" x14ac:dyDescent="0.2">
      <c r="A810" s="3">
        <v>809</v>
      </c>
      <c r="B810" s="3" t="s">
        <v>691</v>
      </c>
      <c r="C810" s="11" t="s">
        <v>1370</v>
      </c>
      <c r="D810" s="3" t="str">
        <f>VLOOKUP(C810,layoffs_location!A:B,2,FALSE)</f>
        <v>San Francisco Bay Area</v>
      </c>
      <c r="E810" s="3" t="str">
        <f>VLOOKUP(C810,layoffs_location!A:C,3,FALSE)</f>
        <v>California</v>
      </c>
      <c r="F810" s="3" t="str">
        <f>VLOOKUP(C810,layoffs_location!A:D,4,FALSE)</f>
        <v>USA</v>
      </c>
      <c r="G810" s="3" t="str">
        <f>VLOOKUP(C810,layoffs_location!A:E,5,FALSE)</f>
        <v>North America</v>
      </c>
      <c r="H810" s="3">
        <v>124</v>
      </c>
      <c r="I810" s="8">
        <v>44879</v>
      </c>
      <c r="J810" s="9">
        <v>13</v>
      </c>
      <c r="K810" s="10">
        <v>954</v>
      </c>
      <c r="L810" s="10">
        <v>830</v>
      </c>
      <c r="M810" s="3" t="s">
        <v>274</v>
      </c>
      <c r="N810" s="3" t="s">
        <v>108</v>
      </c>
      <c r="O810" s="34">
        <v>240</v>
      </c>
      <c r="P810" s="3">
        <v>2022</v>
      </c>
      <c r="Q810" s="3">
        <f>VLOOKUP(C810,layoffs_location!A:F,6,FALSE)</f>
        <v>37.779258800000001</v>
      </c>
      <c r="R810" s="3">
        <f>VLOOKUP(C810,layoffs_location!A:G,7,FALSE)</f>
        <v>-122.4193286</v>
      </c>
    </row>
    <row r="811" spans="1:18" x14ac:dyDescent="0.2">
      <c r="A811" s="3">
        <v>810</v>
      </c>
      <c r="B811" s="3" t="s">
        <v>690</v>
      </c>
      <c r="C811" s="3" t="s">
        <v>159</v>
      </c>
      <c r="D811" s="3" t="str">
        <f>VLOOKUP(C811,layoffs_location!A:B,2,FALSE)</f>
        <v>other</v>
      </c>
      <c r="E811" s="3" t="str">
        <f>VLOOKUP(C811,layoffs_location!A:C,3,FALSE)</f>
        <v>non</v>
      </c>
      <c r="F811" s="3" t="str">
        <f>VLOOKUP(C811,layoffs_location!A:D,4,FALSE)</f>
        <v>Estonia</v>
      </c>
      <c r="G811" s="3" t="str">
        <f>VLOOKUP(C811,layoffs_location!A:E,5,FALSE)</f>
        <v>Europe</v>
      </c>
      <c r="H811" s="3">
        <v>143</v>
      </c>
      <c r="I811" s="8">
        <v>44879</v>
      </c>
      <c r="J811" s="9">
        <v>15</v>
      </c>
      <c r="K811" s="10">
        <v>953</v>
      </c>
      <c r="L811" s="10">
        <v>810</v>
      </c>
      <c r="M811" s="3" t="s">
        <v>92</v>
      </c>
      <c r="N811" s="3" t="s">
        <v>1696</v>
      </c>
      <c r="O811" s="34">
        <v>90</v>
      </c>
      <c r="P811" s="3">
        <v>2022</v>
      </c>
      <c r="Q811" s="3">
        <f>VLOOKUP(C811,layoffs_location!A:F,6,FALSE)</f>
        <v>59.437215500000001</v>
      </c>
      <c r="R811" s="3">
        <f>VLOOKUP(C811,layoffs_location!A:G,7,FALSE)</f>
        <v>24.745368800000001</v>
      </c>
    </row>
    <row r="812" spans="1:18" x14ac:dyDescent="0.2">
      <c r="A812" s="3">
        <v>811</v>
      </c>
      <c r="B812" s="3" t="s">
        <v>689</v>
      </c>
      <c r="C812" s="3" t="s">
        <v>39</v>
      </c>
      <c r="D812" s="3" t="str">
        <f>VLOOKUP(C812,layoffs_location!A:B,2,FALSE)</f>
        <v>New York</v>
      </c>
      <c r="E812" s="3" t="str">
        <f>VLOOKUP(C812,layoffs_location!A:C,3,FALSE)</f>
        <v>New York</v>
      </c>
      <c r="F812" s="3" t="str">
        <f>VLOOKUP(C812,layoffs_location!A:D,4,FALSE)</f>
        <v>USA</v>
      </c>
      <c r="G812" s="3" t="str">
        <f>VLOOKUP(C812,layoffs_location!A:E,5,FALSE)</f>
        <v>North America</v>
      </c>
      <c r="H812" s="3">
        <v>170</v>
      </c>
      <c r="I812" s="8">
        <v>44879</v>
      </c>
      <c r="J812" s="9">
        <v>85</v>
      </c>
      <c r="K812" s="10">
        <v>200</v>
      </c>
      <c r="L812" s="10">
        <v>30</v>
      </c>
      <c r="M812" s="3" t="s">
        <v>137</v>
      </c>
      <c r="N812" s="3" t="s">
        <v>41</v>
      </c>
      <c r="O812" s="34">
        <v>405</v>
      </c>
      <c r="P812" s="3">
        <v>2022</v>
      </c>
      <c r="Q812" s="3">
        <f>VLOOKUP(C812,layoffs_location!A:F,6,FALSE)</f>
        <v>40.7127281</v>
      </c>
      <c r="R812" s="3">
        <f>VLOOKUP(C812,layoffs_location!A:G,7,FALSE)</f>
        <v>-74.006015199999993</v>
      </c>
    </row>
    <row r="813" spans="1:18" ht="16" x14ac:dyDescent="0.2">
      <c r="A813" s="3">
        <v>812</v>
      </c>
      <c r="B813" s="3" t="s">
        <v>681</v>
      </c>
      <c r="C813" s="11" t="s">
        <v>1370</v>
      </c>
      <c r="D813" s="3" t="str">
        <f>VLOOKUP(C813,layoffs_location!A:B,2,FALSE)</f>
        <v>San Francisco Bay Area</v>
      </c>
      <c r="E813" s="3" t="str">
        <f>VLOOKUP(C813,layoffs_location!A:C,3,FALSE)</f>
        <v>California</v>
      </c>
      <c r="F813" s="3" t="str">
        <f>VLOOKUP(C813,layoffs_location!A:D,4,FALSE)</f>
        <v>USA</v>
      </c>
      <c r="G813" s="3" t="str">
        <f>VLOOKUP(C813,layoffs_location!A:E,5,FALSE)</f>
        <v>North America</v>
      </c>
      <c r="H813" s="3">
        <v>180</v>
      </c>
      <c r="I813" s="8">
        <v>44880</v>
      </c>
      <c r="J813" s="9">
        <v>9</v>
      </c>
      <c r="K813" s="10">
        <v>2000</v>
      </c>
      <c r="L813" s="10">
        <v>1820</v>
      </c>
      <c r="M813" s="3" t="s">
        <v>60</v>
      </c>
      <c r="N813" s="3" t="s">
        <v>28</v>
      </c>
      <c r="O813" s="34">
        <v>453</v>
      </c>
      <c r="P813" s="3">
        <v>2022</v>
      </c>
      <c r="Q813" s="3">
        <f>VLOOKUP(C813,layoffs_location!A:F,6,FALSE)</f>
        <v>37.779258800000001</v>
      </c>
      <c r="R813" s="3">
        <f>VLOOKUP(C813,layoffs_location!A:G,7,FALSE)</f>
        <v>-122.4193286</v>
      </c>
    </row>
    <row r="814" spans="1:18" x14ac:dyDescent="0.2">
      <c r="A814" s="3">
        <v>813</v>
      </c>
      <c r="B814" s="3" t="s">
        <v>685</v>
      </c>
      <c r="C814" s="3" t="s">
        <v>1370</v>
      </c>
      <c r="D814" s="3" t="str">
        <f>VLOOKUP(C814,layoffs_location!A:B,2,FALSE)</f>
        <v>San Francisco Bay Area</v>
      </c>
      <c r="E814" s="3" t="str">
        <f>VLOOKUP(C814,layoffs_location!A:C,3,FALSE)</f>
        <v>California</v>
      </c>
      <c r="F814" s="3" t="str">
        <f>VLOOKUP(C814,layoffs_location!A:D,4,FALSE)</f>
        <v>USA</v>
      </c>
      <c r="G814" s="3" t="str">
        <f>VLOOKUP(C814,layoffs_location!A:E,5,FALSE)</f>
        <v>North America</v>
      </c>
      <c r="H814" s="3">
        <v>31</v>
      </c>
      <c r="I814" s="8">
        <v>44880</v>
      </c>
      <c r="J814" s="9">
        <v>10</v>
      </c>
      <c r="K814" s="10">
        <v>310</v>
      </c>
      <c r="L814" s="10">
        <v>279</v>
      </c>
      <c r="M814" s="3" t="s">
        <v>92</v>
      </c>
      <c r="N814" s="3" t="s">
        <v>41</v>
      </c>
      <c r="O814" s="34">
        <v>164</v>
      </c>
      <c r="P814" s="3">
        <v>2022</v>
      </c>
      <c r="Q814" s="3">
        <f>VLOOKUP(C814,layoffs_location!A:F,6,FALSE)</f>
        <v>37.779258800000001</v>
      </c>
      <c r="R814" s="3">
        <f>VLOOKUP(C814,layoffs_location!A:G,7,FALSE)</f>
        <v>-122.4193286</v>
      </c>
    </row>
    <row r="815" spans="1:18" x14ac:dyDescent="0.2">
      <c r="A815" s="3">
        <v>814</v>
      </c>
      <c r="B815" s="3" t="s">
        <v>683</v>
      </c>
      <c r="C815" s="3" t="s">
        <v>267</v>
      </c>
      <c r="D815" s="3" t="str">
        <f>VLOOKUP(C815,layoffs_location!A:B,2,FALSE)</f>
        <v>other</v>
      </c>
      <c r="E815" s="3" t="str">
        <f>VLOOKUP(C815,layoffs_location!A:C,3,FALSE)</f>
        <v>Victoria</v>
      </c>
      <c r="F815" s="3" t="str">
        <f>VLOOKUP(C815,layoffs_location!A:D,4,FALSE)</f>
        <v>Australia</v>
      </c>
      <c r="G815" s="3" t="str">
        <f>VLOOKUP(C815,layoffs_location!A:E,5,FALSE)</f>
        <v>Oceana</v>
      </c>
      <c r="H815" s="3">
        <v>120</v>
      </c>
      <c r="I815" s="8">
        <v>44880</v>
      </c>
      <c r="J815" s="9">
        <v>100</v>
      </c>
      <c r="K815" s="10">
        <v>120</v>
      </c>
      <c r="L815" s="10">
        <v>0</v>
      </c>
      <c r="M815" s="3" t="s">
        <v>77</v>
      </c>
      <c r="N815" s="3" t="s">
        <v>28</v>
      </c>
      <c r="P815" s="3">
        <v>2022</v>
      </c>
      <c r="Q815" s="3">
        <f>VLOOKUP(C815,layoffs_location!A:F,6,FALSE)</f>
        <v>-37.814245399999997</v>
      </c>
      <c r="R815" s="3">
        <f>VLOOKUP(C815,layoffs_location!A:G,7,FALSE)</f>
        <v>144.9631732</v>
      </c>
    </row>
    <row r="816" spans="1:18" x14ac:dyDescent="0.2">
      <c r="A816" s="3">
        <v>815</v>
      </c>
      <c r="B816" s="3" t="s">
        <v>684</v>
      </c>
      <c r="C816" s="3" t="s">
        <v>588</v>
      </c>
      <c r="D816" s="3" t="str">
        <f>VLOOKUP(C816,layoffs_location!A:B,2,FALSE)</f>
        <v>other</v>
      </c>
      <c r="E816" s="3" t="str">
        <f>VLOOKUP(C816,layoffs_location!A:C,3,FALSE)</f>
        <v>Hamburg</v>
      </c>
      <c r="F816" s="3" t="str">
        <f>VLOOKUP(C816,layoffs_location!A:D,4,FALSE)</f>
        <v>Germany</v>
      </c>
      <c r="G816" s="3" t="str">
        <f>VLOOKUP(C816,layoffs_location!A:E,5,FALSE)</f>
        <v>Europe</v>
      </c>
      <c r="H816" s="3">
        <v>50</v>
      </c>
      <c r="I816" s="8">
        <v>44880</v>
      </c>
      <c r="J816" s="9">
        <v>16</v>
      </c>
      <c r="K816" s="10">
        <v>313</v>
      </c>
      <c r="L816" s="10">
        <v>263</v>
      </c>
      <c r="M816" s="3" t="s">
        <v>60</v>
      </c>
      <c r="N816" s="3" t="s">
        <v>22</v>
      </c>
      <c r="O816" s="34">
        <v>28</v>
      </c>
      <c r="P816" s="3">
        <v>2022</v>
      </c>
      <c r="Q816" s="3">
        <f>VLOOKUP(C816,layoffs_location!A:F,6,FALSE)</f>
        <v>53.550341000000003</v>
      </c>
      <c r="R816" s="3">
        <f>VLOOKUP(C816,layoffs_location!A:G,7,FALSE)</f>
        <v>10.000654000000001</v>
      </c>
    </row>
    <row r="817" spans="1:18" x14ac:dyDescent="0.2">
      <c r="A817" s="3">
        <v>816</v>
      </c>
      <c r="B817" s="3" t="s">
        <v>682</v>
      </c>
      <c r="C817" s="3" t="s">
        <v>39</v>
      </c>
      <c r="D817" s="3" t="str">
        <f>VLOOKUP(C817,layoffs_location!A:B,2,FALSE)</f>
        <v>New York</v>
      </c>
      <c r="E817" s="3" t="str">
        <f>VLOOKUP(C817,layoffs_location!A:C,3,FALSE)</f>
        <v>New York</v>
      </c>
      <c r="F817" s="3" t="str">
        <f>VLOOKUP(C817,layoffs_location!A:D,4,FALSE)</f>
        <v>USA</v>
      </c>
      <c r="G817" s="3" t="str">
        <f>VLOOKUP(C817,layoffs_location!A:E,5,FALSE)</f>
        <v>North America</v>
      </c>
      <c r="H817" s="3">
        <v>170</v>
      </c>
      <c r="I817" s="8">
        <v>44880</v>
      </c>
      <c r="J817" s="9">
        <v>17</v>
      </c>
      <c r="K817" s="10">
        <v>1000</v>
      </c>
      <c r="L817" s="10">
        <v>830</v>
      </c>
      <c r="M817" s="3" t="s">
        <v>139</v>
      </c>
      <c r="N817" s="3" t="s">
        <v>36</v>
      </c>
      <c r="O817" s="34">
        <v>507</v>
      </c>
      <c r="P817" s="3">
        <v>2022</v>
      </c>
      <c r="Q817" s="3">
        <f>VLOOKUP(C817,layoffs_location!A:F,6,FALSE)</f>
        <v>40.7127281</v>
      </c>
      <c r="R817" s="3">
        <f>VLOOKUP(C817,layoffs_location!A:G,7,FALSE)</f>
        <v>-74.006015199999993</v>
      </c>
    </row>
    <row r="818" spans="1:18" x14ac:dyDescent="0.2">
      <c r="A818" s="3">
        <v>817</v>
      </c>
      <c r="B818" s="3" t="s">
        <v>680</v>
      </c>
      <c r="C818" s="3" t="s">
        <v>39</v>
      </c>
      <c r="D818" s="3" t="str">
        <f>VLOOKUP(C818,layoffs_location!A:B,2,FALSE)</f>
        <v>New York</v>
      </c>
      <c r="E818" s="3" t="str">
        <f>VLOOKUP(C818,layoffs_location!A:C,3,FALSE)</f>
        <v>New York</v>
      </c>
      <c r="F818" s="3" t="str">
        <f>VLOOKUP(C818,layoffs_location!A:D,4,FALSE)</f>
        <v>USA</v>
      </c>
      <c r="G818" s="3" t="str">
        <f>VLOOKUP(C818,layoffs_location!A:E,5,FALSE)</f>
        <v>North America</v>
      </c>
      <c r="H818" s="3">
        <v>241</v>
      </c>
      <c r="I818" s="8">
        <v>44880</v>
      </c>
      <c r="J818" s="9">
        <v>6</v>
      </c>
      <c r="K818" s="10">
        <v>4017</v>
      </c>
      <c r="L818" s="10">
        <v>3776</v>
      </c>
      <c r="M818" s="3" t="s">
        <v>79</v>
      </c>
      <c r="N818" s="3" t="s">
        <v>28</v>
      </c>
      <c r="P818" s="3">
        <v>2022</v>
      </c>
      <c r="Q818" s="3">
        <f>VLOOKUP(C818,layoffs_location!A:F,6,FALSE)</f>
        <v>40.7127281</v>
      </c>
      <c r="R818" s="3">
        <f>VLOOKUP(C818,layoffs_location!A:G,7,FALSE)</f>
        <v>-74.006015199999993</v>
      </c>
    </row>
    <row r="819" spans="1:18" x14ac:dyDescent="0.2">
      <c r="A819" s="3">
        <v>818</v>
      </c>
      <c r="B819" s="3" t="s">
        <v>376</v>
      </c>
      <c r="C819" s="3" t="s">
        <v>43</v>
      </c>
      <c r="D819" s="3" t="str">
        <f>VLOOKUP(C819,layoffs_location!A:B,2,FALSE)</f>
        <v>Cascadia</v>
      </c>
      <c r="E819" s="3" t="str">
        <f>VLOOKUP(C819,layoffs_location!A:C,3,FALSE)</f>
        <v>Washington</v>
      </c>
      <c r="F819" s="3" t="str">
        <f>VLOOKUP(C819,layoffs_location!A:D,4,FALSE)</f>
        <v>USA</v>
      </c>
      <c r="G819" s="3" t="str">
        <f>VLOOKUP(C819,layoffs_location!A:E,5,FALSE)</f>
        <v>North America</v>
      </c>
      <c r="H819" s="3">
        <v>10000</v>
      </c>
      <c r="I819" s="8">
        <v>44881</v>
      </c>
      <c r="J819" s="9">
        <v>3</v>
      </c>
      <c r="K819" s="10">
        <v>333333</v>
      </c>
      <c r="L819" s="10">
        <v>323333</v>
      </c>
      <c r="M819" s="3" t="s">
        <v>30</v>
      </c>
      <c r="N819" s="3" t="s">
        <v>28</v>
      </c>
      <c r="O819" s="34">
        <v>108</v>
      </c>
      <c r="P819" s="3">
        <v>2022</v>
      </c>
      <c r="Q819" s="3">
        <f>VLOOKUP(C819,layoffs_location!A:F,6,FALSE)</f>
        <v>47.603832099999998</v>
      </c>
      <c r="R819" s="3">
        <f>VLOOKUP(C819,layoffs_location!A:G,7,FALSE)</f>
        <v>-122.330062</v>
      </c>
    </row>
    <row r="820" spans="1:18" x14ac:dyDescent="0.2">
      <c r="A820" s="3">
        <v>819</v>
      </c>
      <c r="B820" s="3" t="s">
        <v>674</v>
      </c>
      <c r="C820" s="3" t="s">
        <v>1694</v>
      </c>
      <c r="D820" s="3" t="str">
        <f>VLOOKUP(C820,layoffs_location!A:B,2,FALSE)</f>
        <v>San Francisco Bay Area</v>
      </c>
      <c r="E820" s="3" t="str">
        <f>VLOOKUP(C820,layoffs_location!A:C,3,FALSE)</f>
        <v>California</v>
      </c>
      <c r="F820" s="3" t="str">
        <f>VLOOKUP(C820,layoffs_location!A:D,4,FALSE)</f>
        <v>USA</v>
      </c>
      <c r="G820" s="3" t="str">
        <f>VLOOKUP(C820,layoffs_location!A:E,5,FALSE)</f>
        <v>North America</v>
      </c>
      <c r="H820" s="3">
        <v>4100</v>
      </c>
      <c r="I820" s="8">
        <v>44881</v>
      </c>
      <c r="J820" s="9">
        <v>5</v>
      </c>
      <c r="K820" s="10">
        <v>82000</v>
      </c>
      <c r="L820" s="10">
        <v>77900</v>
      </c>
      <c r="M820" s="3" t="s">
        <v>239</v>
      </c>
      <c r="N820" s="3" t="s">
        <v>28</v>
      </c>
      <c r="O820" s="34">
        <v>2</v>
      </c>
      <c r="P820" s="3">
        <v>2022</v>
      </c>
      <c r="Q820" s="3">
        <f>VLOOKUP(C820,layoffs_location!A:F,6,FALSE)</f>
        <v>37.336166300000002</v>
      </c>
      <c r="R820" s="3">
        <f>VLOOKUP(C820,layoffs_location!A:G,7,FALSE)</f>
        <v>-121.890591</v>
      </c>
    </row>
    <row r="821" spans="1:18" x14ac:dyDescent="0.2">
      <c r="A821" s="3">
        <v>820</v>
      </c>
      <c r="B821" s="3" t="s">
        <v>677</v>
      </c>
      <c r="C821" s="3" t="s">
        <v>678</v>
      </c>
      <c r="D821" s="3" t="str">
        <f>VLOOKUP(C821,layoffs_location!A:B,2,FALSE)</f>
        <v>other</v>
      </c>
      <c r="E821" s="3" t="str">
        <f>VLOOKUP(C821,layoffs_location!A:C,3,FALSE)</f>
        <v>Ohio</v>
      </c>
      <c r="F821" s="3" t="str">
        <f>VLOOKUP(C821,layoffs_location!A:D,4,FALSE)</f>
        <v>USA</v>
      </c>
      <c r="G821" s="3" t="str">
        <f>VLOOKUP(C821,layoffs_location!A:E,5,FALSE)</f>
        <v>North America</v>
      </c>
      <c r="H821" s="3">
        <v>76</v>
      </c>
      <c r="I821" s="8">
        <v>44881</v>
      </c>
      <c r="J821" s="9">
        <v>23</v>
      </c>
      <c r="K821" s="10">
        <v>330</v>
      </c>
      <c r="L821" s="10">
        <v>254</v>
      </c>
      <c r="M821" s="3" t="s">
        <v>60</v>
      </c>
      <c r="N821" s="3" t="s">
        <v>49</v>
      </c>
      <c r="O821" s="34">
        <v>56</v>
      </c>
      <c r="P821" s="3">
        <v>2022</v>
      </c>
      <c r="Q821" s="3">
        <f>VLOOKUP(C821,layoffs_location!A:F,6,FALSE)</f>
        <v>39.158168000000003</v>
      </c>
      <c r="R821" s="3">
        <f>VLOOKUP(C821,layoffs_location!A:G,7,FALSE)</f>
        <v>-75.524368199999998</v>
      </c>
    </row>
    <row r="822" spans="1:18" x14ac:dyDescent="0.2">
      <c r="A822" s="3">
        <v>821</v>
      </c>
      <c r="B822" s="3" t="s">
        <v>349</v>
      </c>
      <c r="C822" s="3" t="s">
        <v>71</v>
      </c>
      <c r="D822" s="3" t="str">
        <f>VLOOKUP(C822,layoffs_location!A:B,2,FALSE)</f>
        <v>other</v>
      </c>
      <c r="E822" s="3" t="str">
        <f>VLOOKUP(C822,layoffs_location!A:C,3,FALSE)</f>
        <v>Massachusetts</v>
      </c>
      <c r="F822" s="3" t="str">
        <f>VLOOKUP(C822,layoffs_location!A:D,4,FALSE)</f>
        <v>USA</v>
      </c>
      <c r="G822" s="3" t="str">
        <f>VLOOKUP(C822,layoffs_location!A:E,5,FALSE)</f>
        <v>North America</v>
      </c>
      <c r="H822" s="3">
        <v>59</v>
      </c>
      <c r="I822" s="8">
        <v>44881</v>
      </c>
      <c r="J822" s="9">
        <v>22</v>
      </c>
      <c r="K822" s="10">
        <v>268</v>
      </c>
      <c r="L822" s="10">
        <v>209</v>
      </c>
      <c r="M822" s="3" t="s">
        <v>21</v>
      </c>
      <c r="N822" s="3" t="s">
        <v>28</v>
      </c>
      <c r="O822" s="34">
        <v>409</v>
      </c>
      <c r="P822" s="3">
        <v>2022</v>
      </c>
      <c r="Q822" s="3">
        <f>VLOOKUP(C822,layoffs_location!A:F,6,FALSE)</f>
        <v>42.355433400000003</v>
      </c>
      <c r="R822" s="3">
        <f>VLOOKUP(C822,layoffs_location!A:G,7,FALSE)</f>
        <v>-71.060511000000005</v>
      </c>
    </row>
    <row r="823" spans="1:18" x14ac:dyDescent="0.2">
      <c r="A823" s="3">
        <v>822</v>
      </c>
      <c r="B823" s="3" t="s">
        <v>676</v>
      </c>
      <c r="C823" s="3" t="s">
        <v>71</v>
      </c>
      <c r="D823" s="3" t="str">
        <f>VLOOKUP(C823,layoffs_location!A:B,2,FALSE)</f>
        <v>other</v>
      </c>
      <c r="E823" s="3" t="str">
        <f>VLOOKUP(C823,layoffs_location!A:C,3,FALSE)</f>
        <v>Massachusetts</v>
      </c>
      <c r="F823" s="3" t="str">
        <f>VLOOKUP(C823,layoffs_location!A:D,4,FALSE)</f>
        <v>USA</v>
      </c>
      <c r="G823" s="3" t="str">
        <f>VLOOKUP(C823,layoffs_location!A:E,5,FALSE)</f>
        <v>North America</v>
      </c>
      <c r="H823" s="3">
        <v>90</v>
      </c>
      <c r="I823" s="8">
        <v>44881</v>
      </c>
      <c r="J823" s="9">
        <v>11</v>
      </c>
      <c r="K823" s="10">
        <v>818</v>
      </c>
      <c r="L823" s="10">
        <v>728</v>
      </c>
      <c r="M823" s="3" t="s">
        <v>30</v>
      </c>
      <c r="N823" s="3" t="s">
        <v>63</v>
      </c>
      <c r="O823" s="34">
        <v>452</v>
      </c>
      <c r="P823" s="3">
        <v>2022</v>
      </c>
      <c r="Q823" s="3">
        <f>VLOOKUP(C823,layoffs_location!A:F,6,FALSE)</f>
        <v>42.355433400000003</v>
      </c>
      <c r="R823" s="3">
        <f>VLOOKUP(C823,layoffs_location!A:G,7,FALSE)</f>
        <v>-71.060511000000005</v>
      </c>
    </row>
    <row r="824" spans="1:18" x14ac:dyDescent="0.2">
      <c r="A824" s="3">
        <v>823</v>
      </c>
      <c r="B824" s="3" t="s">
        <v>295</v>
      </c>
      <c r="C824" s="3" t="s">
        <v>39</v>
      </c>
      <c r="D824" s="3" t="str">
        <f>VLOOKUP(C824,layoffs_location!A:B,2,FALSE)</f>
        <v>New York</v>
      </c>
      <c r="E824" s="3" t="str">
        <f>VLOOKUP(C824,layoffs_location!A:C,3,FALSE)</f>
        <v>New York</v>
      </c>
      <c r="F824" s="3" t="str">
        <f>VLOOKUP(C824,layoffs_location!A:D,4,FALSE)</f>
        <v>USA</v>
      </c>
      <c r="G824" s="3" t="str">
        <f>VLOOKUP(C824,layoffs_location!A:E,5,FALSE)</f>
        <v>North America</v>
      </c>
      <c r="H824" s="3">
        <v>120</v>
      </c>
      <c r="I824" s="8">
        <v>44881</v>
      </c>
      <c r="J824" s="9">
        <v>10</v>
      </c>
      <c r="K824" s="10">
        <v>1200</v>
      </c>
      <c r="L824" s="10">
        <v>1080</v>
      </c>
      <c r="M824" s="3" t="s">
        <v>60</v>
      </c>
      <c r="N824" s="3" t="s">
        <v>28</v>
      </c>
      <c r="O824" s="34">
        <v>235</v>
      </c>
      <c r="P824" s="3">
        <v>2022</v>
      </c>
      <c r="Q824" s="3">
        <f>VLOOKUP(C824,layoffs_location!A:F,6,FALSE)</f>
        <v>40.7127281</v>
      </c>
      <c r="R824" s="3">
        <f>VLOOKUP(C824,layoffs_location!A:G,7,FALSE)</f>
        <v>-74.006015199999993</v>
      </c>
    </row>
    <row r="825" spans="1:18" x14ac:dyDescent="0.2">
      <c r="A825" s="3">
        <v>824</v>
      </c>
      <c r="B825" s="3" t="s">
        <v>163</v>
      </c>
      <c r="C825" s="3" t="s">
        <v>164</v>
      </c>
      <c r="D825" s="3" t="str">
        <f>VLOOKUP(C825,layoffs_location!A:B,2,FALSE)</f>
        <v>other</v>
      </c>
      <c r="E825" s="3" t="str">
        <f>VLOOKUP(C825,layoffs_location!A:C,3,FALSE)</f>
        <v>non</v>
      </c>
      <c r="F825" s="3" t="str">
        <f>VLOOKUP(C825,layoffs_location!A:D,4,FALSE)</f>
        <v>Kenya</v>
      </c>
      <c r="G825" s="3" t="str">
        <f>VLOOKUP(C825,layoffs_location!A:E,5,FALSE)</f>
        <v>Africa</v>
      </c>
      <c r="H825" s="3">
        <v>211</v>
      </c>
      <c r="I825" s="8">
        <v>44881</v>
      </c>
      <c r="J825" s="9">
        <v>21</v>
      </c>
      <c r="K825" s="10">
        <v>1005</v>
      </c>
      <c r="L825" s="10">
        <v>794</v>
      </c>
      <c r="M825" s="3" t="s">
        <v>77</v>
      </c>
      <c r="N825" s="3" t="s">
        <v>41</v>
      </c>
      <c r="O825" s="34">
        <v>157</v>
      </c>
      <c r="P825" s="3">
        <v>2022</v>
      </c>
      <c r="Q825" s="3">
        <f>VLOOKUP(C825,layoffs_location!A:F,6,FALSE)</f>
        <v>-1.2832532999999999</v>
      </c>
      <c r="R825" s="3">
        <f>VLOOKUP(C825,layoffs_location!A:G,7,FALSE)</f>
        <v>36.817244899999999</v>
      </c>
    </row>
    <row r="826" spans="1:18" x14ac:dyDescent="0.2">
      <c r="A826" s="3">
        <v>825</v>
      </c>
      <c r="B826" s="3" t="s">
        <v>675</v>
      </c>
      <c r="C826" s="3" t="s">
        <v>217</v>
      </c>
      <c r="D826" s="3" t="str">
        <f>VLOOKUP(C826,layoffs_location!A:B,2,FALSE)</f>
        <v>other</v>
      </c>
      <c r="E826" s="3" t="str">
        <f>VLOOKUP(C826,layoffs_location!A:C,3,FALSE)</f>
        <v>non</v>
      </c>
      <c r="F826" s="3" t="str">
        <f>VLOOKUP(C826,layoffs_location!A:D,4,FALSE)</f>
        <v>Ireland</v>
      </c>
      <c r="G826" s="3" t="str">
        <f>VLOOKUP(C826,layoffs_location!A:E,5,FALSE)</f>
        <v>Europe</v>
      </c>
      <c r="H826" s="3">
        <v>200</v>
      </c>
      <c r="I826" s="8">
        <v>44881</v>
      </c>
      <c r="J826" s="9">
        <v>40</v>
      </c>
      <c r="K826" s="10">
        <v>500</v>
      </c>
      <c r="L826" s="10">
        <v>300</v>
      </c>
      <c r="M826" s="3" t="s">
        <v>130</v>
      </c>
      <c r="N826" s="3" t="s">
        <v>22</v>
      </c>
      <c r="O826" s="34">
        <v>889</v>
      </c>
      <c r="P826" s="3">
        <v>2022</v>
      </c>
      <c r="Q826" s="3">
        <f>VLOOKUP(C826,layoffs_location!A:F,6,FALSE)</f>
        <v>53.349379499999998</v>
      </c>
      <c r="R826" s="3">
        <f>VLOOKUP(C826,layoffs_location!A:G,7,FALSE)</f>
        <v>-6.2605592999999997</v>
      </c>
    </row>
    <row r="827" spans="1:18" x14ac:dyDescent="0.2">
      <c r="A827" s="3">
        <v>826</v>
      </c>
      <c r="B827" s="3" t="s">
        <v>679</v>
      </c>
      <c r="C827" s="3" t="s">
        <v>39</v>
      </c>
      <c r="D827" s="3" t="str">
        <f>VLOOKUP(C827,layoffs_location!A:B,2,FALSE)</f>
        <v>New York</v>
      </c>
      <c r="E827" s="3" t="str">
        <f>VLOOKUP(C827,layoffs_location!A:C,3,FALSE)</f>
        <v>New York</v>
      </c>
      <c r="F827" s="3" t="str">
        <f>VLOOKUP(C827,layoffs_location!A:D,4,FALSE)</f>
        <v>USA</v>
      </c>
      <c r="G827" s="3" t="str">
        <f>VLOOKUP(C827,layoffs_location!A:E,5,FALSE)</f>
        <v>North America</v>
      </c>
      <c r="H827" s="3">
        <v>70</v>
      </c>
      <c r="I827" s="8">
        <v>44881</v>
      </c>
      <c r="J827" s="9">
        <v>9</v>
      </c>
      <c r="K827" s="10">
        <v>778</v>
      </c>
      <c r="L827" s="10">
        <v>708</v>
      </c>
      <c r="M827" s="3" t="s">
        <v>130</v>
      </c>
      <c r="N827" s="3" t="s">
        <v>22</v>
      </c>
      <c r="O827" s="34">
        <v>436</v>
      </c>
      <c r="P827" s="3">
        <v>2022</v>
      </c>
      <c r="Q827" s="3">
        <f>VLOOKUP(C827,layoffs_location!A:F,6,FALSE)</f>
        <v>40.7127281</v>
      </c>
      <c r="R827" s="3">
        <f>VLOOKUP(C827,layoffs_location!A:G,7,FALSE)</f>
        <v>-74.006015199999993</v>
      </c>
    </row>
    <row r="828" spans="1:18" x14ac:dyDescent="0.2">
      <c r="A828" s="3">
        <v>827</v>
      </c>
      <c r="B828" s="3" t="s">
        <v>673</v>
      </c>
      <c r="C828" s="3" t="s">
        <v>217</v>
      </c>
      <c r="D828" s="3" t="str">
        <f>VLOOKUP(C828,layoffs_location!A:B,2,FALSE)</f>
        <v>other</v>
      </c>
      <c r="E828" s="3" t="str">
        <f>VLOOKUP(C828,layoffs_location!A:C,3,FALSE)</f>
        <v>non</v>
      </c>
      <c r="F828" s="3" t="str">
        <f>VLOOKUP(C828,layoffs_location!A:D,4,FALSE)</f>
        <v>Ireland</v>
      </c>
      <c r="G828" s="3" t="str">
        <f>VLOOKUP(C828,layoffs_location!A:E,5,FALSE)</f>
        <v>Europe</v>
      </c>
      <c r="H828" s="3">
        <v>9</v>
      </c>
      <c r="I828" s="8">
        <v>44882</v>
      </c>
      <c r="J828" s="9">
        <v>9</v>
      </c>
      <c r="K828" s="10">
        <v>100</v>
      </c>
      <c r="L828" s="10">
        <v>91</v>
      </c>
      <c r="M828" s="3" t="s">
        <v>130</v>
      </c>
      <c r="N828" s="3" t="s">
        <v>69</v>
      </c>
      <c r="O828" s="34">
        <v>35</v>
      </c>
      <c r="P828" s="3">
        <v>2022</v>
      </c>
      <c r="Q828" s="3">
        <f>VLOOKUP(C828,layoffs_location!A:F,6,FALSE)</f>
        <v>53.349379499999998</v>
      </c>
      <c r="R828" s="3">
        <f>VLOOKUP(C828,layoffs_location!A:G,7,FALSE)</f>
        <v>-6.2605592999999997</v>
      </c>
    </row>
    <row r="829" spans="1:18" x14ac:dyDescent="0.2">
      <c r="A829" s="3">
        <v>828</v>
      </c>
      <c r="B829" s="3" t="s">
        <v>670</v>
      </c>
      <c r="C829" s="3" t="s">
        <v>39</v>
      </c>
      <c r="D829" s="3" t="str">
        <f>VLOOKUP(C829,layoffs_location!A:B,2,FALSE)</f>
        <v>New York</v>
      </c>
      <c r="E829" s="3" t="str">
        <f>VLOOKUP(C829,layoffs_location!A:C,3,FALSE)</f>
        <v>New York</v>
      </c>
      <c r="F829" s="3" t="str">
        <f>VLOOKUP(C829,layoffs_location!A:D,4,FALSE)</f>
        <v>USA</v>
      </c>
      <c r="G829" s="3" t="str">
        <f>VLOOKUP(C829,layoffs_location!A:E,5,FALSE)</f>
        <v>North America</v>
      </c>
      <c r="H829" s="3">
        <v>37</v>
      </c>
      <c r="I829" s="8">
        <v>44882</v>
      </c>
      <c r="J829" s="9">
        <v>25</v>
      </c>
      <c r="K829" s="10">
        <v>148</v>
      </c>
      <c r="L829" s="10">
        <v>111</v>
      </c>
      <c r="M829" s="3" t="s">
        <v>35</v>
      </c>
      <c r="N829" s="3" t="s">
        <v>108</v>
      </c>
      <c r="O829" s="34">
        <v>281</v>
      </c>
      <c r="P829" s="3">
        <v>2022</v>
      </c>
      <c r="Q829" s="3">
        <f>VLOOKUP(C829,layoffs_location!A:F,6,FALSE)</f>
        <v>40.7127281</v>
      </c>
      <c r="R829" s="3">
        <f>VLOOKUP(C829,layoffs_location!A:G,7,FALSE)</f>
        <v>-74.006015199999993</v>
      </c>
    </row>
    <row r="830" spans="1:18" x14ac:dyDescent="0.2">
      <c r="A830" s="3">
        <v>829</v>
      </c>
      <c r="B830" s="3" t="s">
        <v>668</v>
      </c>
      <c r="C830" s="3" t="s">
        <v>669</v>
      </c>
      <c r="D830" s="3" t="str">
        <f>VLOOKUP(C830,layoffs_location!A:B,2,FALSE)</f>
        <v>other</v>
      </c>
      <c r="E830" s="3" t="str">
        <f>VLOOKUP(C830,layoffs_location!A:C,3,FALSE)</f>
        <v>non</v>
      </c>
      <c r="F830" s="3" t="str">
        <f>VLOOKUP(C830,layoffs_location!A:D,4,FALSE)</f>
        <v>Sweden</v>
      </c>
      <c r="G830" s="3" t="str">
        <f>VLOOKUP(C830,layoffs_location!A:E,5,FALSE)</f>
        <v>Europe</v>
      </c>
      <c r="H830" s="3">
        <v>72</v>
      </c>
      <c r="I830" s="8">
        <v>44882</v>
      </c>
      <c r="J830" s="9">
        <v>33</v>
      </c>
      <c r="K830" s="10">
        <v>218</v>
      </c>
      <c r="L830" s="10">
        <v>146</v>
      </c>
      <c r="M830" s="3" t="s">
        <v>35</v>
      </c>
      <c r="N830" s="3" t="s">
        <v>22</v>
      </c>
      <c r="O830" s="34">
        <v>281</v>
      </c>
      <c r="P830" s="3">
        <v>2022</v>
      </c>
      <c r="Q830" s="3">
        <f>VLOOKUP(C830,layoffs_location!A:F,6,FALSE)</f>
        <v>57.707232599999998</v>
      </c>
      <c r="R830" s="3">
        <f>VLOOKUP(C830,layoffs_location!A:G,7,FALSE)</f>
        <v>11.9670171</v>
      </c>
    </row>
    <row r="831" spans="1:18" x14ac:dyDescent="0.2">
      <c r="A831" s="3">
        <v>830</v>
      </c>
      <c r="B831" s="3" t="s">
        <v>672</v>
      </c>
      <c r="C831" s="3" t="s">
        <v>179</v>
      </c>
      <c r="D831" s="3" t="str">
        <f>VLOOKUP(C831,layoffs_location!A:B,2,FALSE)</f>
        <v>other</v>
      </c>
      <c r="E831" s="3" t="str">
        <f>VLOOKUP(C831,layoffs_location!A:C,3,FALSE)</f>
        <v>Ontario</v>
      </c>
      <c r="F831" s="3" t="str">
        <f>VLOOKUP(C831,layoffs_location!A:D,4,FALSE)</f>
        <v>Canada</v>
      </c>
      <c r="G831" s="3" t="str">
        <f>VLOOKUP(C831,layoffs_location!A:E,5,FALSE)</f>
        <v>North America</v>
      </c>
      <c r="H831" s="3">
        <v>15</v>
      </c>
      <c r="I831" s="8">
        <v>44882</v>
      </c>
      <c r="J831" s="9">
        <v>4</v>
      </c>
      <c r="K831" s="10">
        <v>375</v>
      </c>
      <c r="L831" s="10">
        <v>360</v>
      </c>
      <c r="M831" s="3" t="s">
        <v>35</v>
      </c>
      <c r="N831" s="3" t="s">
        <v>108</v>
      </c>
      <c r="O831" s="34">
        <v>278</v>
      </c>
      <c r="P831" s="3">
        <v>2022</v>
      </c>
      <c r="Q831" s="3">
        <f>VLOOKUP(C831,layoffs_location!A:F,6,FALSE)</f>
        <v>43.6534817</v>
      </c>
      <c r="R831" s="3">
        <f>VLOOKUP(C831,layoffs_location!A:G,7,FALSE)</f>
        <v>-79.383934699999998</v>
      </c>
    </row>
    <row r="832" spans="1:18" x14ac:dyDescent="0.2">
      <c r="A832" s="3">
        <v>831</v>
      </c>
      <c r="B832" s="3" t="s">
        <v>143</v>
      </c>
      <c r="C832" s="3" t="s">
        <v>1694</v>
      </c>
      <c r="D832" s="3" t="str">
        <f>VLOOKUP(C832,layoffs_location!A:B,2,FALSE)</f>
        <v>San Francisco Bay Area</v>
      </c>
      <c r="E832" s="3" t="str">
        <f>VLOOKUP(C832,layoffs_location!A:C,3,FALSE)</f>
        <v>California</v>
      </c>
      <c r="F832" s="3" t="str">
        <f>VLOOKUP(C832,layoffs_location!A:D,4,FALSE)</f>
        <v>USA</v>
      </c>
      <c r="G832" s="3" t="str">
        <f>VLOOKUP(C832,layoffs_location!A:E,5,FALSE)</f>
        <v>North America</v>
      </c>
      <c r="H832" s="3">
        <v>200</v>
      </c>
      <c r="I832" s="8">
        <v>44882</v>
      </c>
      <c r="J832" s="9">
        <v>7</v>
      </c>
      <c r="K832" s="10">
        <v>2857</v>
      </c>
      <c r="L832" s="10">
        <v>2657</v>
      </c>
      <c r="M832" s="3" t="s">
        <v>54</v>
      </c>
      <c r="N832" s="3" t="s">
        <v>28</v>
      </c>
      <c r="O832" s="34">
        <v>208</v>
      </c>
      <c r="P832" s="3">
        <v>2022</v>
      </c>
      <c r="Q832" s="3">
        <f>VLOOKUP(C832,layoffs_location!A:F,6,FALSE)</f>
        <v>37.336166300000002</v>
      </c>
      <c r="R832" s="3">
        <f>VLOOKUP(C832,layoffs_location!A:G,7,FALSE)</f>
        <v>-121.890591</v>
      </c>
    </row>
    <row r="833" spans="1:18" x14ac:dyDescent="0.2">
      <c r="A833" s="3">
        <v>832</v>
      </c>
      <c r="B833" s="3" t="s">
        <v>671</v>
      </c>
      <c r="C833" s="3" t="s">
        <v>179</v>
      </c>
      <c r="D833" s="3" t="str">
        <f>VLOOKUP(C833,layoffs_location!A:B,2,FALSE)</f>
        <v>other</v>
      </c>
      <c r="E833" s="3" t="str">
        <f>VLOOKUP(C833,layoffs_location!A:C,3,FALSE)</f>
        <v>Ontario</v>
      </c>
      <c r="F833" s="3" t="str">
        <f>VLOOKUP(C833,layoffs_location!A:D,4,FALSE)</f>
        <v>Canada</v>
      </c>
      <c r="G833" s="3" t="str">
        <f>VLOOKUP(C833,layoffs_location!A:E,5,FALSE)</f>
        <v>North America</v>
      </c>
      <c r="H833" s="3">
        <v>34</v>
      </c>
      <c r="I833" s="8">
        <v>44882</v>
      </c>
      <c r="J833" s="9">
        <v>19</v>
      </c>
      <c r="K833" s="10">
        <v>179</v>
      </c>
      <c r="L833" s="10">
        <v>145</v>
      </c>
      <c r="M833" s="3" t="s">
        <v>60</v>
      </c>
      <c r="N833" s="3" t="s">
        <v>49</v>
      </c>
      <c r="O833" s="34">
        <v>73</v>
      </c>
      <c r="P833" s="3">
        <v>2022</v>
      </c>
      <c r="Q833" s="3">
        <f>VLOOKUP(C833,layoffs_location!A:F,6,FALSE)</f>
        <v>43.6534817</v>
      </c>
      <c r="R833" s="3">
        <f>VLOOKUP(C833,layoffs_location!A:G,7,FALSE)</f>
        <v>-79.383934699999998</v>
      </c>
    </row>
    <row r="834" spans="1:18" x14ac:dyDescent="0.2">
      <c r="A834" s="3">
        <v>833</v>
      </c>
      <c r="B834" s="3" t="s">
        <v>666</v>
      </c>
      <c r="C834" s="3" t="s">
        <v>264</v>
      </c>
      <c r="D834" s="3" t="str">
        <f>VLOOKUP(C834,layoffs_location!A:B,2,FALSE)</f>
        <v>other</v>
      </c>
      <c r="E834" s="3" t="str">
        <f>VLOOKUP(C834,layoffs_location!A:C,3,FALSE)</f>
        <v>Arizona</v>
      </c>
      <c r="F834" s="3" t="str">
        <f>VLOOKUP(C834,layoffs_location!A:D,4,FALSE)</f>
        <v>USA</v>
      </c>
      <c r="G834" s="3" t="str">
        <f>VLOOKUP(C834,layoffs_location!A:E,5,FALSE)</f>
        <v>North America</v>
      </c>
      <c r="H834" s="3">
        <v>1500</v>
      </c>
      <c r="I834" s="8">
        <v>44883</v>
      </c>
      <c r="J834" s="9">
        <v>8</v>
      </c>
      <c r="K834" s="10">
        <v>18750</v>
      </c>
      <c r="L834" s="10">
        <v>17250</v>
      </c>
      <c r="M834" s="3" t="s">
        <v>32</v>
      </c>
      <c r="N834" s="3" t="s">
        <v>28</v>
      </c>
      <c r="O834" s="34">
        <v>1600</v>
      </c>
      <c r="P834" s="3">
        <v>2022</v>
      </c>
      <c r="Q834" s="3">
        <f>VLOOKUP(C834,layoffs_location!A:F,6,FALSE)</f>
        <v>33.448436700000002</v>
      </c>
      <c r="R834" s="3">
        <f>VLOOKUP(C834,layoffs_location!A:G,7,FALSE)</f>
        <v>-112.074141</v>
      </c>
    </row>
    <row r="835" spans="1:18" x14ac:dyDescent="0.2">
      <c r="A835" s="3">
        <v>834</v>
      </c>
      <c r="B835" s="3" t="s">
        <v>289</v>
      </c>
      <c r="C835" s="3" t="s">
        <v>1408</v>
      </c>
      <c r="D835" s="3" t="str">
        <f>VLOOKUP(C835,layoffs_location!A:B,2,FALSE)</f>
        <v>San Francisco Bay Area</v>
      </c>
      <c r="E835" s="3" t="str">
        <f>VLOOKUP(C835,layoffs_location!A:C,3,FALSE)</f>
        <v>California</v>
      </c>
      <c r="F835" s="3" t="str">
        <f>VLOOKUP(C835,layoffs_location!A:D,4,FALSE)</f>
        <v>USA</v>
      </c>
      <c r="G835" s="3" t="str">
        <f>VLOOKUP(C835,layoffs_location!A:E,5,FALSE)</f>
        <v>North America</v>
      </c>
      <c r="H835" s="3">
        <v>300</v>
      </c>
      <c r="I835" s="8">
        <v>44883</v>
      </c>
      <c r="J835" s="9">
        <v>20</v>
      </c>
      <c r="K835" s="10">
        <v>1500</v>
      </c>
      <c r="L835" s="10">
        <v>1200</v>
      </c>
      <c r="M835" s="3" t="s">
        <v>32</v>
      </c>
      <c r="N835" s="3" t="s">
        <v>108</v>
      </c>
      <c r="O835" s="34">
        <v>2100</v>
      </c>
      <c r="P835" s="3">
        <v>2022</v>
      </c>
      <c r="Q835" s="3">
        <f>VLOOKUP(C835,layoffs_location!A:F,6,FALSE)</f>
        <v>37.3893889</v>
      </c>
      <c r="R835" s="3">
        <f>VLOOKUP(C835,layoffs_location!A:G,7,FALSE)</f>
        <v>-122.0832101</v>
      </c>
    </row>
    <row r="836" spans="1:18" x14ac:dyDescent="0.2">
      <c r="A836" s="3">
        <v>835</v>
      </c>
      <c r="B836" s="3" t="s">
        <v>667</v>
      </c>
      <c r="C836" s="3" t="s">
        <v>1443</v>
      </c>
      <c r="D836" s="3" t="str">
        <f>VLOOKUP(C836,layoffs_location!A:B,2,FALSE)</f>
        <v>San Francisco Bay Area</v>
      </c>
      <c r="E836" s="3" t="str">
        <f>VLOOKUP(C836,layoffs_location!A:C,3,FALSE)</f>
        <v>California</v>
      </c>
      <c r="F836" s="3" t="str">
        <f>VLOOKUP(C836,layoffs_location!A:D,4,FALSE)</f>
        <v>USA</v>
      </c>
      <c r="G836" s="3" t="str">
        <f>VLOOKUP(C836,layoffs_location!A:E,5,FALSE)</f>
        <v>North America</v>
      </c>
      <c r="H836" s="3">
        <v>105</v>
      </c>
      <c r="I836" s="8">
        <v>44883</v>
      </c>
      <c r="J836" s="9">
        <v>20</v>
      </c>
      <c r="K836" s="10">
        <v>525</v>
      </c>
      <c r="L836" s="10">
        <v>420</v>
      </c>
      <c r="M836" s="3" t="s">
        <v>21</v>
      </c>
      <c r="N836" s="3" t="s">
        <v>36</v>
      </c>
      <c r="O836" s="34">
        <v>459</v>
      </c>
      <c r="P836" s="3">
        <v>2022</v>
      </c>
      <c r="Q836" s="3">
        <f>VLOOKUP(C836,layoffs_location!A:F,6,FALSE)</f>
        <v>37.451967099999997</v>
      </c>
      <c r="R836" s="3">
        <f>VLOOKUP(C836,layoffs_location!A:G,7,FALSE)</f>
        <v>-122.177992</v>
      </c>
    </row>
    <row r="837" spans="1:18" x14ac:dyDescent="0.2">
      <c r="A837" s="3">
        <v>836</v>
      </c>
      <c r="B837" s="3" t="s">
        <v>665</v>
      </c>
      <c r="C837" s="3" t="s">
        <v>182</v>
      </c>
      <c r="D837" s="3" t="str">
        <f>VLOOKUP(C837,layoffs_location!A:B,2,FALSE)</f>
        <v>other</v>
      </c>
      <c r="E837" s="3" t="str">
        <f>VLOOKUP(C837,layoffs_location!A:C,3,FALSE)</f>
        <v>Haryana</v>
      </c>
      <c r="F837" s="3" t="str">
        <f>VLOOKUP(C837,layoffs_location!A:D,4,FALSE)</f>
        <v>India</v>
      </c>
      <c r="G837" s="3" t="str">
        <f>VLOOKUP(C837,layoffs_location!A:E,5,FALSE)</f>
        <v>Asia</v>
      </c>
      <c r="H837" s="3">
        <v>100</v>
      </c>
      <c r="I837" s="8">
        <v>44884</v>
      </c>
      <c r="J837" s="9">
        <v>4</v>
      </c>
      <c r="K837" s="10">
        <v>2500</v>
      </c>
      <c r="L837" s="10">
        <v>2400</v>
      </c>
      <c r="M837" s="3" t="s">
        <v>77</v>
      </c>
      <c r="N837" s="3" t="s">
        <v>652</v>
      </c>
      <c r="O837" s="34">
        <v>914</v>
      </c>
      <c r="P837" s="3">
        <v>2022</v>
      </c>
      <c r="Q837" s="3">
        <f>VLOOKUP(C837,layoffs_location!A:F,6,FALSE)</f>
        <v>28.4646148</v>
      </c>
      <c r="R837" s="3">
        <f>VLOOKUP(C837,layoffs_location!A:G,7,FALSE)</f>
        <v>77.029919399999997</v>
      </c>
    </row>
    <row r="838" spans="1:18" x14ac:dyDescent="0.2">
      <c r="A838" s="3">
        <v>837</v>
      </c>
      <c r="B838" s="3" t="s">
        <v>661</v>
      </c>
      <c r="C838" s="3" t="s">
        <v>655</v>
      </c>
      <c r="D838" s="3" t="str">
        <f>VLOOKUP(C838,layoffs_location!A:B,2,FALSE)</f>
        <v>other</v>
      </c>
      <c r="E838" s="3" t="str">
        <f>VLOOKUP(C838,layoffs_location!A:C,3,FALSE)</f>
        <v>non</v>
      </c>
      <c r="F838" s="3" t="str">
        <f>VLOOKUP(C838,layoffs_location!A:D,4,FALSE)</f>
        <v>Nigeria</v>
      </c>
      <c r="G838" s="3" t="str">
        <f>VLOOKUP(C838,layoffs_location!A:E,5,FALSE)</f>
        <v>Africa</v>
      </c>
      <c r="H838" s="3">
        <v>900</v>
      </c>
      <c r="I838" s="8">
        <v>44886</v>
      </c>
      <c r="J838" s="9">
        <v>20</v>
      </c>
      <c r="K838" s="10">
        <v>4500</v>
      </c>
      <c r="L838" s="10">
        <v>3600</v>
      </c>
      <c r="M838" s="3" t="s">
        <v>30</v>
      </c>
      <c r="N838" s="3" t="s">
        <v>28</v>
      </c>
      <c r="P838" s="3">
        <v>2022</v>
      </c>
      <c r="Q838" s="3">
        <f>VLOOKUP(C838,layoffs_location!A:F,6,FALSE)</f>
        <v>6.4550574999999997</v>
      </c>
      <c r="R838" s="3">
        <f>VLOOKUP(C838,layoffs_location!A:G,7,FALSE)</f>
        <v>3.3941794999999999</v>
      </c>
    </row>
    <row r="839" spans="1:18" x14ac:dyDescent="0.2">
      <c r="A839" s="3">
        <v>838</v>
      </c>
      <c r="B839" s="3" t="s">
        <v>662</v>
      </c>
      <c r="C839" s="3" t="s">
        <v>663</v>
      </c>
      <c r="D839" s="3" t="str">
        <f>VLOOKUP(C839,layoffs_location!A:B,2,FALSE)</f>
        <v>other</v>
      </c>
      <c r="E839" s="3" t="str">
        <f>VLOOKUP(C839,layoffs_location!A:C,3,FALSE)</f>
        <v>non</v>
      </c>
      <c r="F839" s="3" t="str">
        <f>VLOOKUP(C839,layoffs_location!A:D,4,FALSE)</f>
        <v>United Arabian Emirates</v>
      </c>
      <c r="G839" s="3" t="str">
        <f>VLOOKUP(C839,layoffs_location!A:E,5,FALSE)</f>
        <v>Asia</v>
      </c>
      <c r="H839" s="3">
        <v>93</v>
      </c>
      <c r="I839" s="8">
        <v>44886</v>
      </c>
      <c r="J839" s="9">
        <v>10</v>
      </c>
      <c r="K839" s="10">
        <v>930</v>
      </c>
      <c r="L839" s="10">
        <v>837</v>
      </c>
      <c r="M839" s="3" t="s">
        <v>77</v>
      </c>
      <c r="N839" s="3" t="s">
        <v>41</v>
      </c>
      <c r="O839" s="34">
        <v>804</v>
      </c>
      <c r="P839" s="3">
        <v>2022</v>
      </c>
      <c r="Q839" s="3">
        <f>VLOOKUP(C839,layoffs_location!A:F,6,FALSE)</f>
        <v>25.276986999999998</v>
      </c>
      <c r="R839" s="3">
        <f>VLOOKUP(C839,layoffs_location!A:G,7,FALSE)</f>
        <v>55.296249000000003</v>
      </c>
    </row>
    <row r="840" spans="1:18" x14ac:dyDescent="0.2">
      <c r="A840" s="3">
        <v>839</v>
      </c>
      <c r="B840" s="3" t="s">
        <v>659</v>
      </c>
      <c r="C840" s="3" t="s">
        <v>445</v>
      </c>
      <c r="D840" s="3" t="str">
        <f>VLOOKUP(C840,layoffs_location!A:B,2,FALSE)</f>
        <v>other</v>
      </c>
      <c r="E840" s="3" t="str">
        <f>VLOOKUP(C840,layoffs_location!A:C,3,FALSE)</f>
        <v>non</v>
      </c>
      <c r="F840" s="3" t="str">
        <f>VLOOKUP(C840,layoffs_location!A:D,4,FALSE)</f>
        <v>Indonesia</v>
      </c>
      <c r="G840" s="3" t="str">
        <f>VLOOKUP(C840,layoffs_location!A:E,5,FALSE)</f>
        <v>Asia</v>
      </c>
      <c r="H840" s="3">
        <v>160</v>
      </c>
      <c r="I840" s="8">
        <v>44887</v>
      </c>
      <c r="J840" s="9">
        <v>8</v>
      </c>
      <c r="K840" s="10">
        <v>2000</v>
      </c>
      <c r="L840" s="10">
        <v>1840</v>
      </c>
      <c r="M840" s="3" t="s">
        <v>30</v>
      </c>
      <c r="N840" s="3" t="s">
        <v>49</v>
      </c>
      <c r="O840" s="34">
        <v>92</v>
      </c>
      <c r="P840" s="3">
        <v>2022</v>
      </c>
      <c r="Q840" s="3">
        <f>VLOOKUP(C840,layoffs_location!A:F,6,FALSE)</f>
        <v>-6.1752469999999997</v>
      </c>
      <c r="R840" s="3">
        <f>VLOOKUP(C840,layoffs_location!A:G,7,FALSE)</f>
        <v>106.8270488</v>
      </c>
    </row>
    <row r="841" spans="1:18" x14ac:dyDescent="0.2">
      <c r="A841" s="3">
        <v>840</v>
      </c>
      <c r="B841" s="3" t="s">
        <v>660</v>
      </c>
      <c r="C841" s="3" t="s">
        <v>244</v>
      </c>
      <c r="D841" s="3" t="str">
        <f>VLOOKUP(C841,layoffs_location!A:B,2,FALSE)</f>
        <v>other</v>
      </c>
      <c r="E841" s="3" t="str">
        <f>VLOOKUP(C841,layoffs_location!A:C,3,FALSE)</f>
        <v>non</v>
      </c>
      <c r="F841" s="3" t="str">
        <f>VLOOKUP(C841,layoffs_location!A:D,4,FALSE)</f>
        <v>Singapore</v>
      </c>
      <c r="G841" s="3" t="str">
        <f>VLOOKUP(C841,layoffs_location!A:E,5,FALSE)</f>
        <v>Asia</v>
      </c>
      <c r="H841" s="3">
        <v>80</v>
      </c>
      <c r="I841" s="8">
        <v>44887</v>
      </c>
      <c r="J841" s="9">
        <v>8</v>
      </c>
      <c r="K841" s="10">
        <v>1000</v>
      </c>
      <c r="L841" s="10">
        <v>920</v>
      </c>
      <c r="M841" s="3" t="s">
        <v>30</v>
      </c>
      <c r="N841" s="3" t="s">
        <v>36</v>
      </c>
      <c r="O841" s="34">
        <v>1000</v>
      </c>
      <c r="P841" s="3">
        <v>2022</v>
      </c>
      <c r="Q841" s="3">
        <f>VLOOKUP(C841,layoffs_location!A:F,6,FALSE)</f>
        <v>1.2899175000000001</v>
      </c>
      <c r="R841" s="3">
        <f>VLOOKUP(C841,layoffs_location!A:G,7,FALSE)</f>
        <v>103.8519072</v>
      </c>
    </row>
    <row r="842" spans="1:18" x14ac:dyDescent="0.2">
      <c r="A842" s="3">
        <v>841</v>
      </c>
      <c r="B842" s="3" t="s">
        <v>657</v>
      </c>
      <c r="C842" s="3" t="s">
        <v>639</v>
      </c>
      <c r="D842" s="3" t="str">
        <f>VLOOKUP(C842,layoffs_location!A:B,2,FALSE)</f>
        <v>other</v>
      </c>
      <c r="E842" s="3" t="str">
        <f>VLOOKUP(C842,layoffs_location!A:C,3,FALSE)</f>
        <v>non</v>
      </c>
      <c r="F842" s="3" t="str">
        <f>VLOOKUP(C842,layoffs_location!A:D,4,FALSE)</f>
        <v>Argentina</v>
      </c>
      <c r="G842" s="3" t="str">
        <f>VLOOKUP(C842,layoffs_location!A:E,5,FALSE)</f>
        <v>South America</v>
      </c>
      <c r="H842" s="3">
        <v>100</v>
      </c>
      <c r="I842" s="8">
        <v>44889</v>
      </c>
      <c r="J842" s="9">
        <v>38</v>
      </c>
      <c r="K842" s="10">
        <v>263</v>
      </c>
      <c r="L842" s="10">
        <v>163</v>
      </c>
      <c r="M842" s="3" t="s">
        <v>117</v>
      </c>
      <c r="N842" s="3" t="s">
        <v>69</v>
      </c>
      <c r="O842" s="34">
        <v>17</v>
      </c>
      <c r="P842" s="3">
        <v>2022</v>
      </c>
      <c r="Q842" s="3">
        <f>VLOOKUP(C842,layoffs_location!A:F,6,FALSE)</f>
        <v>-34.603718100000002</v>
      </c>
      <c r="R842" s="3">
        <f>VLOOKUP(C842,layoffs_location!A:G,7,FALSE)</f>
        <v>-58.381529999999998</v>
      </c>
    </row>
    <row r="843" spans="1:18" x14ac:dyDescent="0.2">
      <c r="A843" s="3">
        <v>842</v>
      </c>
      <c r="B843" s="3" t="s">
        <v>658</v>
      </c>
      <c r="C843" s="3" t="s">
        <v>655</v>
      </c>
      <c r="D843" s="3" t="str">
        <f>VLOOKUP(C843,layoffs_location!A:B,2,FALSE)</f>
        <v>other</v>
      </c>
      <c r="E843" s="3" t="str">
        <f>VLOOKUP(C843,layoffs_location!A:C,3,FALSE)</f>
        <v>non</v>
      </c>
      <c r="F843" s="3" t="str">
        <f>VLOOKUP(C843,layoffs_location!A:D,4,FALSE)</f>
        <v>Nigeria</v>
      </c>
      <c r="G843" s="3" t="str">
        <f>VLOOKUP(C843,layoffs_location!A:E,5,FALSE)</f>
        <v>Africa</v>
      </c>
      <c r="H843" s="3">
        <v>20</v>
      </c>
      <c r="I843" s="8">
        <v>44889</v>
      </c>
      <c r="J843" s="9">
        <v>20</v>
      </c>
      <c r="K843" s="10">
        <v>100</v>
      </c>
      <c r="L843" s="10">
        <v>80</v>
      </c>
      <c r="M843" s="3" t="s">
        <v>117</v>
      </c>
      <c r="N843" s="3" t="s">
        <v>22</v>
      </c>
      <c r="O843" s="34">
        <v>3</v>
      </c>
      <c r="P843" s="3">
        <v>2022</v>
      </c>
      <c r="Q843" s="3">
        <f>VLOOKUP(C843,layoffs_location!A:F,6,FALSE)</f>
        <v>6.4550574999999997</v>
      </c>
      <c r="R843" s="3">
        <f>VLOOKUP(C843,layoffs_location!A:G,7,FALSE)</f>
        <v>3.3941794999999999</v>
      </c>
    </row>
    <row r="844" spans="1:18" x14ac:dyDescent="0.2">
      <c r="A844" s="3">
        <v>843</v>
      </c>
      <c r="B844" s="3" t="s">
        <v>653</v>
      </c>
      <c r="C844" s="3" t="s">
        <v>58</v>
      </c>
      <c r="D844" s="3" t="str">
        <f>VLOOKUP(C844,layoffs_location!A:B,2,FALSE)</f>
        <v>other</v>
      </c>
      <c r="E844" s="3" t="str">
        <f>VLOOKUP(C844,layoffs_location!A:C,3,FALSE)</f>
        <v>England</v>
      </c>
      <c r="F844" s="3" t="str">
        <f>VLOOKUP(C844,layoffs_location!A:D,4,FALSE)</f>
        <v>UK</v>
      </c>
      <c r="G844" s="3" t="str">
        <f>VLOOKUP(C844,layoffs_location!A:E,5,FALSE)</f>
        <v>Europe</v>
      </c>
      <c r="H844" s="3">
        <v>70</v>
      </c>
      <c r="I844" s="8">
        <v>44890</v>
      </c>
      <c r="J844" s="9">
        <v>20</v>
      </c>
      <c r="K844" s="10">
        <v>350</v>
      </c>
      <c r="L844" s="10">
        <v>280</v>
      </c>
      <c r="M844" s="3" t="s">
        <v>32</v>
      </c>
      <c r="N844" s="3" t="s">
        <v>22</v>
      </c>
      <c r="O844" s="34">
        <v>157</v>
      </c>
      <c r="P844" s="3">
        <v>2022</v>
      </c>
      <c r="Q844" s="3">
        <f>VLOOKUP(C844,layoffs_location!A:F,6,FALSE)</f>
        <v>51.489333500000001</v>
      </c>
      <c r="R844" s="3">
        <f>VLOOKUP(C844,layoffs_location!A:G,7,FALSE)</f>
        <v>-0.14405508452768701</v>
      </c>
    </row>
    <row r="845" spans="1:18" x14ac:dyDescent="0.2">
      <c r="A845" s="3">
        <v>844</v>
      </c>
      <c r="B845" s="3" t="s">
        <v>654</v>
      </c>
      <c r="C845" s="3" t="s">
        <v>655</v>
      </c>
      <c r="D845" s="3" t="str">
        <f>VLOOKUP(C845,layoffs_location!A:B,2,FALSE)</f>
        <v>other</v>
      </c>
      <c r="E845" s="3" t="str">
        <f>VLOOKUP(C845,layoffs_location!A:C,3,FALSE)</f>
        <v>non</v>
      </c>
      <c r="F845" s="3" t="str">
        <f>VLOOKUP(C845,layoffs_location!A:D,4,FALSE)</f>
        <v>Nigeria</v>
      </c>
      <c r="G845" s="3" t="str">
        <f>VLOOKUP(C845,layoffs_location!A:E,5,FALSE)</f>
        <v>Africa</v>
      </c>
      <c r="H845" s="3">
        <v>27</v>
      </c>
      <c r="I845" s="8">
        <v>44890</v>
      </c>
      <c r="J845" s="9">
        <v>9</v>
      </c>
      <c r="K845" s="10">
        <v>300</v>
      </c>
      <c r="L845" s="10">
        <v>273</v>
      </c>
      <c r="M845" s="3" t="s">
        <v>77</v>
      </c>
      <c r="N845" s="3" t="s">
        <v>69</v>
      </c>
      <c r="O845" s="34">
        <v>43</v>
      </c>
      <c r="P845" s="3">
        <v>2022</v>
      </c>
      <c r="Q845" s="3">
        <f>VLOOKUP(C845,layoffs_location!A:F,6,FALSE)</f>
        <v>6.4550574999999997</v>
      </c>
      <c r="R845" s="3">
        <f>VLOOKUP(C845,layoffs_location!A:G,7,FALSE)</f>
        <v>3.3941794999999999</v>
      </c>
    </row>
    <row r="846" spans="1:18" x14ac:dyDescent="0.2">
      <c r="A846" s="3">
        <v>845</v>
      </c>
      <c r="B846" s="3" t="s">
        <v>651</v>
      </c>
      <c r="C846" s="3" t="s">
        <v>13</v>
      </c>
      <c r="D846" s="3" t="str">
        <f>VLOOKUP(C846,layoffs_location!A:B,2,FALSE)</f>
        <v>other</v>
      </c>
      <c r="E846" s="3" t="str">
        <f>VLOOKUP(C846,layoffs_location!A:C,3,FALSE)</f>
        <v>Karnataka</v>
      </c>
      <c r="F846" s="3" t="str">
        <f>VLOOKUP(C846,layoffs_location!A:D,4,FALSE)</f>
        <v>India</v>
      </c>
      <c r="G846" s="3" t="str">
        <f>VLOOKUP(C846,layoffs_location!A:E,5,FALSE)</f>
        <v>Asia</v>
      </c>
      <c r="H846" s="3">
        <v>150</v>
      </c>
      <c r="I846" s="8">
        <v>44890</v>
      </c>
      <c r="J846" s="9">
        <v>5</v>
      </c>
      <c r="K846" s="10">
        <v>3000</v>
      </c>
      <c r="L846" s="10">
        <v>2850</v>
      </c>
      <c r="M846" s="3" t="s">
        <v>54</v>
      </c>
      <c r="N846" s="3" t="s">
        <v>652</v>
      </c>
      <c r="O846" s="34">
        <v>1700</v>
      </c>
      <c r="P846" s="3">
        <v>2022</v>
      </c>
      <c r="Q846" s="3">
        <f>VLOOKUP(C846,layoffs_location!A:F,6,FALSE)</f>
        <v>12.98815675</v>
      </c>
      <c r="R846" s="3">
        <f>VLOOKUP(C846,layoffs_location!A:G,7,FALSE)</f>
        <v>77.622600037959998</v>
      </c>
    </row>
    <row r="847" spans="1:18" x14ac:dyDescent="0.2">
      <c r="A847" s="3">
        <v>846</v>
      </c>
      <c r="B847" s="3" t="s">
        <v>648</v>
      </c>
      <c r="C847" s="3" t="s">
        <v>445</v>
      </c>
      <c r="D847" s="3" t="str">
        <f>VLOOKUP(C847,layoffs_location!A:B,2,FALSE)</f>
        <v>other</v>
      </c>
      <c r="E847" s="3" t="str">
        <f>VLOOKUP(C847,layoffs_location!A:C,3,FALSE)</f>
        <v>non</v>
      </c>
      <c r="F847" s="3" t="str">
        <f>VLOOKUP(C847,layoffs_location!A:D,4,FALSE)</f>
        <v>Indonesia</v>
      </c>
      <c r="G847" s="3" t="str">
        <f>VLOOKUP(C847,layoffs_location!A:E,5,FALSE)</f>
        <v>Asia</v>
      </c>
      <c r="H847" s="3">
        <v>67</v>
      </c>
      <c r="I847" s="8">
        <v>44893</v>
      </c>
      <c r="J847" s="9">
        <v>8</v>
      </c>
      <c r="K847" s="10">
        <v>838</v>
      </c>
      <c r="L847" s="10">
        <v>771</v>
      </c>
      <c r="M847" s="3" t="s">
        <v>35</v>
      </c>
      <c r="N847" s="3" t="s">
        <v>22</v>
      </c>
      <c r="O847" s="34">
        <v>245</v>
      </c>
      <c r="P847" s="3">
        <v>2022</v>
      </c>
      <c r="Q847" s="3">
        <f>VLOOKUP(C847,layoffs_location!A:F,6,FALSE)</f>
        <v>-6.1752469999999997</v>
      </c>
      <c r="R847" s="3">
        <f>VLOOKUP(C847,layoffs_location!A:G,7,FALSE)</f>
        <v>106.8270488</v>
      </c>
    </row>
    <row r="848" spans="1:18" x14ac:dyDescent="0.2">
      <c r="A848" s="3">
        <v>847</v>
      </c>
      <c r="B848" s="3" t="s">
        <v>647</v>
      </c>
      <c r="C848" s="3" t="s">
        <v>621</v>
      </c>
      <c r="D848" s="3" t="str">
        <f>VLOOKUP(C848,layoffs_location!A:B,2,FALSE)</f>
        <v>other</v>
      </c>
      <c r="E848" s="3" t="str">
        <f>VLOOKUP(C848,layoffs_location!A:C,3,FALSE)</f>
        <v>Ontario</v>
      </c>
      <c r="F848" s="3" t="str">
        <f>VLOOKUP(C848,layoffs_location!A:D,4,FALSE)</f>
        <v>Canada</v>
      </c>
      <c r="G848" s="3" t="str">
        <f>VLOOKUP(C848,layoffs_location!A:E,5,FALSE)</f>
        <v>North America</v>
      </c>
      <c r="H848" s="3">
        <v>90</v>
      </c>
      <c r="I848" s="8">
        <v>44893</v>
      </c>
      <c r="J848" s="9">
        <v>6</v>
      </c>
      <c r="K848" s="10">
        <v>1500</v>
      </c>
      <c r="L848" s="10">
        <v>1410</v>
      </c>
      <c r="M848" s="3" t="s">
        <v>68</v>
      </c>
      <c r="N848" s="3" t="s">
        <v>108</v>
      </c>
      <c r="O848" s="34">
        <v>483</v>
      </c>
      <c r="P848" s="3">
        <v>2022</v>
      </c>
      <c r="Q848" s="3">
        <f>VLOOKUP(C848,layoffs_location!A:F,6,FALSE)</f>
        <v>43.465269900000003</v>
      </c>
      <c r="R848" s="3">
        <f>VLOOKUP(C848,layoffs_location!A:G,7,FALSE)</f>
        <v>-80.522296100000005</v>
      </c>
    </row>
    <row r="849" spans="1:18" x14ac:dyDescent="0.2">
      <c r="A849" s="3">
        <v>848</v>
      </c>
      <c r="B849" s="3" t="s">
        <v>649</v>
      </c>
      <c r="C849" s="3" t="s">
        <v>39</v>
      </c>
      <c r="D849" s="3" t="str">
        <f>VLOOKUP(C849,layoffs_location!A:B,2,FALSE)</f>
        <v>New York</v>
      </c>
      <c r="E849" s="3" t="str">
        <f>VLOOKUP(C849,layoffs_location!A:C,3,FALSE)</f>
        <v>New York</v>
      </c>
      <c r="F849" s="3" t="str">
        <f>VLOOKUP(C849,layoffs_location!A:D,4,FALSE)</f>
        <v>USA</v>
      </c>
      <c r="G849" s="3" t="str">
        <f>VLOOKUP(C849,layoffs_location!A:E,5,FALSE)</f>
        <v>North America</v>
      </c>
      <c r="H849" s="3">
        <v>33</v>
      </c>
      <c r="I849" s="8">
        <v>44893</v>
      </c>
      <c r="J849" s="9">
        <v>33</v>
      </c>
      <c r="K849" s="10">
        <v>100</v>
      </c>
      <c r="L849" s="10">
        <v>67</v>
      </c>
      <c r="M849" s="3" t="s">
        <v>117</v>
      </c>
      <c r="N849" s="3" t="s">
        <v>69</v>
      </c>
      <c r="O849" s="34">
        <v>100</v>
      </c>
      <c r="P849" s="3">
        <v>2022</v>
      </c>
      <c r="Q849" s="3">
        <f>VLOOKUP(C849,layoffs_location!A:F,6,FALSE)</f>
        <v>40.7127281</v>
      </c>
      <c r="R849" s="3">
        <f>VLOOKUP(C849,layoffs_location!A:G,7,FALSE)</f>
        <v>-74.006015199999993</v>
      </c>
    </row>
    <row r="850" spans="1:18" x14ac:dyDescent="0.2">
      <c r="A850" s="3">
        <v>849</v>
      </c>
      <c r="B850" s="3" t="s">
        <v>645</v>
      </c>
      <c r="C850" s="3" t="s">
        <v>135</v>
      </c>
      <c r="D850" s="3" t="str">
        <f>VLOOKUP(C850,layoffs_location!A:B,2,FALSE)</f>
        <v>other</v>
      </c>
      <c r="E850" s="3" t="str">
        <f>VLOOKUP(C850,layoffs_location!A:C,3,FALSE)</f>
        <v>Berlin</v>
      </c>
      <c r="F850" s="3" t="str">
        <f>VLOOKUP(C850,layoffs_location!A:D,4,FALSE)</f>
        <v>Germany</v>
      </c>
      <c r="G850" s="3" t="str">
        <f>VLOOKUP(C850,layoffs_location!A:E,5,FALSE)</f>
        <v>Europe</v>
      </c>
      <c r="H850" s="3">
        <v>500</v>
      </c>
      <c r="I850" s="8">
        <v>44893</v>
      </c>
      <c r="J850" s="9">
        <v>50</v>
      </c>
      <c r="K850" s="10">
        <v>1000</v>
      </c>
      <c r="L850" s="10">
        <v>500</v>
      </c>
      <c r="M850" s="3" t="s">
        <v>60</v>
      </c>
      <c r="N850" s="3" t="s">
        <v>108</v>
      </c>
      <c r="O850" s="34">
        <v>604</v>
      </c>
      <c r="P850" s="3">
        <v>2022</v>
      </c>
      <c r="Q850" s="3">
        <f>VLOOKUP(C850,layoffs_location!A:F,6,FALSE)</f>
        <v>52.517036500000003</v>
      </c>
      <c r="R850" s="3">
        <f>VLOOKUP(C850,layoffs_location!A:G,7,FALSE)</f>
        <v>13.3888599</v>
      </c>
    </row>
    <row r="851" spans="1:18" x14ac:dyDescent="0.2">
      <c r="A851" s="3">
        <v>850</v>
      </c>
      <c r="B851" s="3" t="s">
        <v>650</v>
      </c>
      <c r="C851" s="3" t="s">
        <v>135</v>
      </c>
      <c r="D851" s="3" t="str">
        <f>VLOOKUP(C851,layoffs_location!A:B,2,FALSE)</f>
        <v>other</v>
      </c>
      <c r="E851" s="3" t="str">
        <f>VLOOKUP(C851,layoffs_location!A:C,3,FALSE)</f>
        <v>Berlin</v>
      </c>
      <c r="F851" s="3" t="str">
        <f>VLOOKUP(C851,layoffs_location!A:D,4,FALSE)</f>
        <v>Germany</v>
      </c>
      <c r="G851" s="3" t="str">
        <f>VLOOKUP(C851,layoffs_location!A:E,5,FALSE)</f>
        <v>Europe</v>
      </c>
      <c r="H851" s="3">
        <v>25</v>
      </c>
      <c r="I851" s="8">
        <v>44893</v>
      </c>
      <c r="J851" s="9">
        <v>10</v>
      </c>
      <c r="K851" s="10">
        <v>250</v>
      </c>
      <c r="L851" s="10">
        <v>225</v>
      </c>
      <c r="M851" s="3" t="s">
        <v>60</v>
      </c>
      <c r="N851" s="3" t="s">
        <v>108</v>
      </c>
      <c r="O851" s="34">
        <v>87</v>
      </c>
      <c r="P851" s="3">
        <v>2022</v>
      </c>
      <c r="Q851" s="3">
        <f>VLOOKUP(C851,layoffs_location!A:F,6,FALSE)</f>
        <v>52.517036500000003</v>
      </c>
      <c r="R851" s="3">
        <f>VLOOKUP(C851,layoffs_location!A:G,7,FALSE)</f>
        <v>13.3888599</v>
      </c>
    </row>
    <row r="852" spans="1:18" x14ac:dyDescent="0.2">
      <c r="A852" s="3">
        <v>851</v>
      </c>
      <c r="B852" s="3" t="s">
        <v>646</v>
      </c>
      <c r="C852" s="3" t="s">
        <v>187</v>
      </c>
      <c r="D852" s="3" t="str">
        <f>VLOOKUP(C852,layoffs_location!A:B,2,FALSE)</f>
        <v>other</v>
      </c>
      <c r="E852" s="3" t="str">
        <f>VLOOKUP(C852,layoffs_location!A:C,3,FALSE)</f>
        <v>State of São Paulo</v>
      </c>
      <c r="F852" s="3" t="str">
        <f>VLOOKUP(C852,layoffs_location!A:D,4,FALSE)</f>
        <v>Brazil</v>
      </c>
      <c r="G852" s="3" t="str">
        <f>VLOOKUP(C852,layoffs_location!A:E,5,FALSE)</f>
        <v>South America</v>
      </c>
      <c r="H852" s="3">
        <v>300</v>
      </c>
      <c r="I852" s="8">
        <v>44893</v>
      </c>
      <c r="J852" s="9">
        <v>20</v>
      </c>
      <c r="K852" s="10">
        <v>1500</v>
      </c>
      <c r="L852" s="10">
        <v>1200</v>
      </c>
      <c r="M852" s="3" t="s">
        <v>16</v>
      </c>
      <c r="N852" s="3" t="s">
        <v>22</v>
      </c>
      <c r="O852" s="34">
        <v>260</v>
      </c>
      <c r="P852" s="3">
        <v>2022</v>
      </c>
      <c r="Q852" s="3">
        <f>VLOOKUP(C852,layoffs_location!A:F,6,FALSE)</f>
        <v>-23.550650699999998</v>
      </c>
      <c r="R852" s="3">
        <f>VLOOKUP(C852,layoffs_location!A:G,7,FALSE)</f>
        <v>-46.633382400000002</v>
      </c>
    </row>
    <row r="853" spans="1:18" x14ac:dyDescent="0.2">
      <c r="A853" s="3">
        <v>852</v>
      </c>
      <c r="B853" s="3" t="s">
        <v>644</v>
      </c>
      <c r="C853" s="3" t="s">
        <v>267</v>
      </c>
      <c r="D853" s="3" t="str">
        <f>VLOOKUP(C853,layoffs_location!A:B,2,FALSE)</f>
        <v>other</v>
      </c>
      <c r="E853" s="3" t="str">
        <f>VLOOKUP(C853,layoffs_location!A:C,3,FALSE)</f>
        <v>Victoria</v>
      </c>
      <c r="F853" s="3" t="str">
        <f>VLOOKUP(C853,layoffs_location!A:D,4,FALSE)</f>
        <v>Australia</v>
      </c>
      <c r="G853" s="3" t="str">
        <f>VLOOKUP(C853,layoffs_location!A:E,5,FALSE)</f>
        <v>Oceana</v>
      </c>
      <c r="H853" s="3">
        <v>10</v>
      </c>
      <c r="I853" s="8">
        <v>44894</v>
      </c>
      <c r="J853" s="9">
        <v>20</v>
      </c>
      <c r="K853" s="10">
        <v>50</v>
      </c>
      <c r="L853" s="10">
        <v>40</v>
      </c>
      <c r="M853" s="3" t="s">
        <v>117</v>
      </c>
      <c r="N853" s="3" t="s">
        <v>22</v>
      </c>
      <c r="O853" s="34">
        <v>1</v>
      </c>
      <c r="P853" s="3">
        <v>2022</v>
      </c>
      <c r="Q853" s="3">
        <f>VLOOKUP(C853,layoffs_location!A:F,6,FALSE)</f>
        <v>-37.814245399999997</v>
      </c>
      <c r="R853" s="3">
        <f>VLOOKUP(C853,layoffs_location!A:G,7,FALSE)</f>
        <v>144.9631732</v>
      </c>
    </row>
    <row r="854" spans="1:18" x14ac:dyDescent="0.2">
      <c r="A854" s="3">
        <v>853</v>
      </c>
      <c r="B854" s="3" t="s">
        <v>643</v>
      </c>
      <c r="C854" s="3" t="s">
        <v>58</v>
      </c>
      <c r="D854" s="3" t="str">
        <f>VLOOKUP(C854,layoffs_location!A:B,2,FALSE)</f>
        <v>other</v>
      </c>
      <c r="E854" s="3" t="str">
        <f>VLOOKUP(C854,layoffs_location!A:C,3,FALSE)</f>
        <v>England</v>
      </c>
      <c r="F854" s="3" t="str">
        <f>VLOOKUP(C854,layoffs_location!A:D,4,FALSE)</f>
        <v>UK</v>
      </c>
      <c r="G854" s="3" t="str">
        <f>VLOOKUP(C854,layoffs_location!A:E,5,FALSE)</f>
        <v>Europe</v>
      </c>
      <c r="H854" s="3">
        <v>50</v>
      </c>
      <c r="I854" s="8">
        <v>44894</v>
      </c>
      <c r="J854" s="9">
        <v>25</v>
      </c>
      <c r="K854" s="10">
        <v>200</v>
      </c>
      <c r="L854" s="10">
        <v>150</v>
      </c>
      <c r="M854" s="3" t="s">
        <v>30</v>
      </c>
      <c r="N854" s="3" t="s">
        <v>22</v>
      </c>
      <c r="O854" s="34">
        <v>144</v>
      </c>
      <c r="P854" s="3">
        <v>2022</v>
      </c>
      <c r="Q854" s="3">
        <f>VLOOKUP(C854,layoffs_location!A:F,6,FALSE)</f>
        <v>51.489333500000001</v>
      </c>
      <c r="R854" s="3">
        <f>VLOOKUP(C854,layoffs_location!A:G,7,FALSE)</f>
        <v>-0.14405508452768701</v>
      </c>
    </row>
    <row r="855" spans="1:18" x14ac:dyDescent="0.2">
      <c r="A855" s="3">
        <v>854</v>
      </c>
      <c r="B855" s="3" t="s">
        <v>631</v>
      </c>
      <c r="C855" s="3" t="s">
        <v>1370</v>
      </c>
      <c r="D855" s="3" t="str">
        <f>VLOOKUP(C855,layoffs_location!A:B,2,FALSE)</f>
        <v>San Francisco Bay Area</v>
      </c>
      <c r="E855" s="3" t="str">
        <f>VLOOKUP(C855,layoffs_location!A:C,3,FALSE)</f>
        <v>California</v>
      </c>
      <c r="F855" s="3" t="str">
        <f>VLOOKUP(C855,layoffs_location!A:D,4,FALSE)</f>
        <v>USA</v>
      </c>
      <c r="G855" s="3" t="str">
        <f>VLOOKUP(C855,layoffs_location!A:E,5,FALSE)</f>
        <v>North America</v>
      </c>
      <c r="H855" s="3">
        <v>1250</v>
      </c>
      <c r="I855" s="8">
        <v>44895</v>
      </c>
      <c r="J855" s="9">
        <v>6</v>
      </c>
      <c r="K855" s="10">
        <v>20833</v>
      </c>
      <c r="L855" s="10">
        <v>19583</v>
      </c>
      <c r="M855" s="3" t="s">
        <v>77</v>
      </c>
      <c r="N855" s="3" t="s">
        <v>28</v>
      </c>
      <c r="O855" s="34">
        <v>2500</v>
      </c>
      <c r="P855" s="3">
        <v>2022</v>
      </c>
      <c r="Q855" s="3">
        <f>VLOOKUP(C855,layoffs_location!A:F,6,FALSE)</f>
        <v>37.779258800000001</v>
      </c>
      <c r="R855" s="3">
        <f>VLOOKUP(C855,layoffs_location!A:G,7,FALSE)</f>
        <v>-122.4193286</v>
      </c>
    </row>
    <row r="856" spans="1:18" x14ac:dyDescent="0.2">
      <c r="A856" s="3">
        <v>855</v>
      </c>
      <c r="B856" s="3" t="s">
        <v>636</v>
      </c>
      <c r="C856" s="3" t="s">
        <v>637</v>
      </c>
      <c r="D856" s="3" t="str">
        <f>VLOOKUP(C856,layoffs_location!A:B,2,FALSE)</f>
        <v>other</v>
      </c>
      <c r="E856" s="3" t="str">
        <f>VLOOKUP(C856,layoffs_location!A:C,3,FALSE)</f>
        <v>California</v>
      </c>
      <c r="F856" s="3" t="str">
        <f>VLOOKUP(C856,layoffs_location!A:D,4,FALSE)</f>
        <v>USA</v>
      </c>
      <c r="G856" s="3" t="str">
        <f>VLOOKUP(C856,layoffs_location!A:E,5,FALSE)</f>
        <v>North America</v>
      </c>
      <c r="H856" s="3">
        <v>60</v>
      </c>
      <c r="I856" s="8">
        <v>44895</v>
      </c>
      <c r="J856" s="9">
        <v>13</v>
      </c>
      <c r="K856" s="10">
        <v>462</v>
      </c>
      <c r="L856" s="10">
        <v>402</v>
      </c>
      <c r="M856" s="3" t="s">
        <v>130</v>
      </c>
      <c r="N856" s="3" t="s">
        <v>49</v>
      </c>
      <c r="O856" s="34">
        <v>145</v>
      </c>
      <c r="P856" s="3">
        <v>2022</v>
      </c>
      <c r="Q856" s="3">
        <f>VLOOKUP(C856,layoffs_location!A:F,6,FALSE)</f>
        <v>38.581060600000001</v>
      </c>
      <c r="R856" s="3">
        <f>VLOOKUP(C856,layoffs_location!A:G,7,FALSE)</f>
        <v>-121.49389499999999</v>
      </c>
    </row>
    <row r="857" spans="1:18" x14ac:dyDescent="0.2">
      <c r="A857" s="3">
        <v>856</v>
      </c>
      <c r="B857" s="3" t="s">
        <v>633</v>
      </c>
      <c r="C857" s="3" t="s">
        <v>76</v>
      </c>
      <c r="D857" s="3" t="str">
        <f>VLOOKUP(C857,layoffs_location!A:B,2,FALSE)</f>
        <v>other</v>
      </c>
      <c r="E857" s="3" t="str">
        <f>VLOOKUP(C857,layoffs_location!A:C,3,FALSE)</f>
        <v>California</v>
      </c>
      <c r="F857" s="3" t="str">
        <f>VLOOKUP(C857,layoffs_location!A:D,4,FALSE)</f>
        <v>USA</v>
      </c>
      <c r="G857" s="3" t="str">
        <f>VLOOKUP(C857,layoffs_location!A:E,5,FALSE)</f>
        <v>North America</v>
      </c>
      <c r="H857" s="3">
        <v>158</v>
      </c>
      <c r="I857" s="8">
        <v>44895</v>
      </c>
      <c r="J857" s="9">
        <v>34</v>
      </c>
      <c r="K857" s="10">
        <v>465</v>
      </c>
      <c r="L857" s="10">
        <v>307</v>
      </c>
      <c r="M857" s="3" t="s">
        <v>35</v>
      </c>
      <c r="N857" s="3" t="s">
        <v>108</v>
      </c>
      <c r="O857" s="34">
        <v>191</v>
      </c>
      <c r="P857" s="3">
        <v>2022</v>
      </c>
      <c r="Q857" s="3">
        <f>VLOOKUP(C857,layoffs_location!A:F,6,FALSE)</f>
        <v>34.053690899999999</v>
      </c>
      <c r="R857" s="3">
        <f>VLOOKUP(C857,layoffs_location!A:G,7,FALSE)</f>
        <v>-118.242766</v>
      </c>
    </row>
    <row r="858" spans="1:18" ht="16" x14ac:dyDescent="0.2">
      <c r="A858" s="3">
        <v>857</v>
      </c>
      <c r="B858" s="3" t="s">
        <v>632</v>
      </c>
      <c r="C858" s="11" t="s">
        <v>1370</v>
      </c>
      <c r="D858" s="3" t="str">
        <f>VLOOKUP(C858,layoffs_location!A:B,2,FALSE)</f>
        <v>San Francisco Bay Area</v>
      </c>
      <c r="E858" s="3" t="str">
        <f>VLOOKUP(C858,layoffs_location!A:C,3,FALSE)</f>
        <v>California</v>
      </c>
      <c r="F858" s="3" t="str">
        <f>VLOOKUP(C858,layoffs_location!A:D,4,FALSE)</f>
        <v>USA</v>
      </c>
      <c r="G858" s="3" t="str">
        <f>VLOOKUP(C858,layoffs_location!A:E,5,FALSE)</f>
        <v>North America</v>
      </c>
      <c r="H858" s="3">
        <v>1100</v>
      </c>
      <c r="I858" s="8">
        <v>44895</v>
      </c>
      <c r="J858" s="9">
        <v>30</v>
      </c>
      <c r="K858" s="10">
        <v>3667</v>
      </c>
      <c r="L858" s="10">
        <v>2567</v>
      </c>
      <c r="M858" s="3" t="s">
        <v>117</v>
      </c>
      <c r="N858" s="3" t="s">
        <v>22</v>
      </c>
      <c r="O858" s="34">
        <v>134</v>
      </c>
      <c r="P858" s="3">
        <v>2022</v>
      </c>
      <c r="Q858" s="3">
        <f>VLOOKUP(C858,layoffs_location!A:F,6,FALSE)</f>
        <v>37.779258800000001</v>
      </c>
      <c r="R858" s="3">
        <f>VLOOKUP(C858,layoffs_location!A:G,7,FALSE)</f>
        <v>-122.4193286</v>
      </c>
    </row>
    <row r="859" spans="1:18" x14ac:dyDescent="0.2">
      <c r="A859" s="3">
        <v>858</v>
      </c>
      <c r="B859" s="3" t="s">
        <v>641</v>
      </c>
      <c r="C859" s="3" t="s">
        <v>13</v>
      </c>
      <c r="D859" s="3" t="str">
        <f>VLOOKUP(C859,layoffs_location!A:B,2,FALSE)</f>
        <v>other</v>
      </c>
      <c r="E859" s="3" t="str">
        <f>VLOOKUP(C859,layoffs_location!A:C,3,FALSE)</f>
        <v>Karnataka</v>
      </c>
      <c r="F859" s="3" t="str">
        <f>VLOOKUP(C859,layoffs_location!A:D,4,FALSE)</f>
        <v>India</v>
      </c>
      <c r="G859" s="3" t="str">
        <f>VLOOKUP(C859,layoffs_location!A:E,5,FALSE)</f>
        <v>Asia</v>
      </c>
      <c r="H859" s="3">
        <v>45</v>
      </c>
      <c r="I859" s="8">
        <v>44895</v>
      </c>
      <c r="J859" s="9">
        <v>5</v>
      </c>
      <c r="K859" s="10">
        <v>900</v>
      </c>
      <c r="L859" s="10">
        <v>855</v>
      </c>
      <c r="M859" s="3" t="s">
        <v>68</v>
      </c>
      <c r="N859" s="3" t="s">
        <v>49</v>
      </c>
      <c r="O859" s="34">
        <v>118</v>
      </c>
      <c r="P859" s="3">
        <v>2022</v>
      </c>
      <c r="Q859" s="3">
        <f>VLOOKUP(C859,layoffs_location!A:F,6,FALSE)</f>
        <v>12.98815675</v>
      </c>
      <c r="R859" s="3">
        <f>VLOOKUP(C859,layoffs_location!A:G,7,FALSE)</f>
        <v>77.622600037959998</v>
      </c>
    </row>
    <row r="860" spans="1:18" x14ac:dyDescent="0.2">
      <c r="A860" s="3">
        <v>859</v>
      </c>
      <c r="B860" s="3" t="s">
        <v>642</v>
      </c>
      <c r="C860" s="3" t="s">
        <v>58</v>
      </c>
      <c r="D860" s="3" t="str">
        <f>VLOOKUP(C860,layoffs_location!A:B,2,FALSE)</f>
        <v>other</v>
      </c>
      <c r="E860" s="3" t="str">
        <f>VLOOKUP(C860,layoffs_location!A:C,3,FALSE)</f>
        <v>England</v>
      </c>
      <c r="F860" s="3" t="str">
        <f>VLOOKUP(C860,layoffs_location!A:D,4,FALSE)</f>
        <v>UK</v>
      </c>
      <c r="G860" s="3" t="str">
        <f>VLOOKUP(C860,layoffs_location!A:E,5,FALSE)</f>
        <v>Europe</v>
      </c>
      <c r="H860" s="3">
        <v>30</v>
      </c>
      <c r="I860" s="8">
        <v>44895</v>
      </c>
      <c r="J860" s="9">
        <v>50</v>
      </c>
      <c r="K860" s="10">
        <v>60</v>
      </c>
      <c r="L860" s="10">
        <v>30</v>
      </c>
      <c r="M860" s="3" t="s">
        <v>30</v>
      </c>
      <c r="N860" s="3" t="s">
        <v>33</v>
      </c>
      <c r="O860" s="34">
        <v>40</v>
      </c>
      <c r="P860" s="3">
        <v>2022</v>
      </c>
      <c r="Q860" s="3">
        <f>VLOOKUP(C860,layoffs_location!A:F,6,FALSE)</f>
        <v>51.489333500000001</v>
      </c>
      <c r="R860" s="3">
        <f>VLOOKUP(C860,layoffs_location!A:G,7,FALSE)</f>
        <v>-0.14405508452768701</v>
      </c>
    </row>
    <row r="861" spans="1:18" x14ac:dyDescent="0.2">
      <c r="A861" s="3">
        <v>860</v>
      </c>
      <c r="B861" s="3" t="s">
        <v>638</v>
      </c>
      <c r="C861" s="3" t="s">
        <v>639</v>
      </c>
      <c r="D861" s="3" t="str">
        <f>VLOOKUP(C861,layoffs_location!A:B,2,FALSE)</f>
        <v>other</v>
      </c>
      <c r="E861" s="3" t="str">
        <f>VLOOKUP(C861,layoffs_location!A:C,3,FALSE)</f>
        <v>non</v>
      </c>
      <c r="F861" s="3" t="str">
        <f>VLOOKUP(C861,layoffs_location!A:D,4,FALSE)</f>
        <v>Argentina</v>
      </c>
      <c r="G861" s="3" t="str">
        <f>VLOOKUP(C861,layoffs_location!A:E,5,FALSE)</f>
        <v>South America</v>
      </c>
      <c r="H861" s="3">
        <v>53</v>
      </c>
      <c r="I861" s="8">
        <v>44895</v>
      </c>
      <c r="J861" s="9">
        <v>3</v>
      </c>
      <c r="K861" s="10">
        <v>1767</v>
      </c>
      <c r="L861" s="10">
        <v>1714</v>
      </c>
      <c r="M861" s="3" t="s">
        <v>35</v>
      </c>
      <c r="N861" s="3" t="s">
        <v>108</v>
      </c>
      <c r="O861" s="34">
        <v>544</v>
      </c>
      <c r="P861" s="3">
        <v>2022</v>
      </c>
      <c r="Q861" s="3">
        <f>VLOOKUP(C861,layoffs_location!A:F,6,FALSE)</f>
        <v>-34.603718100000002</v>
      </c>
      <c r="R861" s="3">
        <f>VLOOKUP(C861,layoffs_location!A:G,7,FALSE)</f>
        <v>-58.381529999999998</v>
      </c>
    </row>
    <row r="862" spans="1:18" x14ac:dyDescent="0.2">
      <c r="A862" s="3">
        <v>861</v>
      </c>
      <c r="B862" s="3" t="s">
        <v>634</v>
      </c>
      <c r="C862" s="3" t="s">
        <v>445</v>
      </c>
      <c r="D862" s="3" t="str">
        <f>VLOOKUP(C862,layoffs_location!A:B,2,FALSE)</f>
        <v>other</v>
      </c>
      <c r="E862" s="3" t="str">
        <f>VLOOKUP(C862,layoffs_location!A:C,3,FALSE)</f>
        <v>non</v>
      </c>
      <c r="F862" s="3" t="str">
        <f>VLOOKUP(C862,layoffs_location!A:D,4,FALSE)</f>
        <v>Indonesia</v>
      </c>
      <c r="G862" s="3" t="str">
        <f>VLOOKUP(C862,layoffs_location!A:E,5,FALSE)</f>
        <v>Asia</v>
      </c>
      <c r="H862" s="3">
        <v>134</v>
      </c>
      <c r="I862" s="8">
        <v>44895</v>
      </c>
      <c r="J862" s="9">
        <v>23</v>
      </c>
      <c r="K862" s="10">
        <v>583</v>
      </c>
      <c r="L862" s="10">
        <v>449</v>
      </c>
      <c r="M862" s="3" t="s">
        <v>30</v>
      </c>
      <c r="N862" s="3" t="s">
        <v>49</v>
      </c>
      <c r="O862" s="34">
        <v>140</v>
      </c>
      <c r="P862" s="3">
        <v>2022</v>
      </c>
      <c r="Q862" s="3">
        <f>VLOOKUP(C862,layoffs_location!A:F,6,FALSE)</f>
        <v>-6.1752469999999997</v>
      </c>
      <c r="R862" s="3">
        <f>VLOOKUP(C862,layoffs_location!A:G,7,FALSE)</f>
        <v>106.8270488</v>
      </c>
    </row>
    <row r="863" spans="1:18" x14ac:dyDescent="0.2">
      <c r="A863" s="3">
        <v>862</v>
      </c>
      <c r="B863" s="3" t="s">
        <v>635</v>
      </c>
      <c r="C863" s="3" t="s">
        <v>39</v>
      </c>
      <c r="D863" s="3" t="str">
        <f>VLOOKUP(C863,layoffs_location!A:B,2,FALSE)</f>
        <v>New York</v>
      </c>
      <c r="E863" s="3" t="str">
        <f>VLOOKUP(C863,layoffs_location!A:C,3,FALSE)</f>
        <v>New York</v>
      </c>
      <c r="F863" s="3" t="str">
        <f>VLOOKUP(C863,layoffs_location!A:D,4,FALSE)</f>
        <v>USA</v>
      </c>
      <c r="G863" s="3" t="str">
        <f>VLOOKUP(C863,layoffs_location!A:E,5,FALSE)</f>
        <v>North America</v>
      </c>
      <c r="H863" s="3">
        <v>130</v>
      </c>
      <c r="I863" s="8">
        <v>44895</v>
      </c>
      <c r="J863" s="9">
        <v>7</v>
      </c>
      <c r="K863" s="10">
        <v>1857</v>
      </c>
      <c r="L863" s="10">
        <v>1727</v>
      </c>
      <c r="M863" s="3" t="s">
        <v>77</v>
      </c>
      <c r="N863" s="3" t="s">
        <v>49</v>
      </c>
      <c r="O863" s="34">
        <v>850</v>
      </c>
      <c r="P863" s="3">
        <v>2022</v>
      </c>
      <c r="Q863" s="3">
        <f>VLOOKUP(C863,layoffs_location!A:F,6,FALSE)</f>
        <v>40.7127281</v>
      </c>
      <c r="R863" s="3">
        <f>VLOOKUP(C863,layoffs_location!A:G,7,FALSE)</f>
        <v>-74.006015199999993</v>
      </c>
    </row>
    <row r="864" spans="1:18" x14ac:dyDescent="0.2">
      <c r="A864" s="3">
        <v>863</v>
      </c>
      <c r="B864" s="3" t="s">
        <v>628</v>
      </c>
      <c r="C864" s="3" t="s">
        <v>39</v>
      </c>
      <c r="D864" s="3" t="str">
        <f>VLOOKUP(C864,layoffs_location!A:B,2,FALSE)</f>
        <v>New York</v>
      </c>
      <c r="E864" s="3" t="str">
        <f>VLOOKUP(C864,layoffs_location!A:C,3,FALSE)</f>
        <v>New York</v>
      </c>
      <c r="F864" s="3" t="str">
        <f>VLOOKUP(C864,layoffs_location!A:D,4,FALSE)</f>
        <v>USA</v>
      </c>
      <c r="G864" s="3" t="str">
        <f>VLOOKUP(C864,layoffs_location!A:E,5,FALSE)</f>
        <v>North America</v>
      </c>
      <c r="H864" s="3">
        <v>100</v>
      </c>
      <c r="I864" s="8">
        <v>44896</v>
      </c>
      <c r="J864" s="9">
        <v>37</v>
      </c>
      <c r="K864" s="10">
        <v>270</v>
      </c>
      <c r="L864" s="10">
        <v>170</v>
      </c>
      <c r="M864" s="3" t="s">
        <v>130</v>
      </c>
      <c r="N864" s="3" t="s">
        <v>36</v>
      </c>
      <c r="O864" s="34">
        <v>194</v>
      </c>
      <c r="P864" s="3">
        <v>2022</v>
      </c>
      <c r="Q864" s="3">
        <f>VLOOKUP(C864,layoffs_location!A:F,6,FALSE)</f>
        <v>40.7127281</v>
      </c>
      <c r="R864" s="3">
        <f>VLOOKUP(C864,layoffs_location!A:G,7,FALSE)</f>
        <v>-74.006015199999993</v>
      </c>
    </row>
    <row r="865" spans="1:18" x14ac:dyDescent="0.2">
      <c r="A865" s="3">
        <v>864</v>
      </c>
      <c r="B865" s="3" t="s">
        <v>627</v>
      </c>
      <c r="C865" s="3" t="s">
        <v>244</v>
      </c>
      <c r="D865" s="3" t="str">
        <f>VLOOKUP(C865,layoffs_location!A:B,2,FALSE)</f>
        <v>other</v>
      </c>
      <c r="E865" s="3" t="str">
        <f>VLOOKUP(C865,layoffs_location!A:C,3,FALSE)</f>
        <v>non</v>
      </c>
      <c r="F865" s="3" t="str">
        <f>VLOOKUP(C865,layoffs_location!A:D,4,FALSE)</f>
        <v>Singapore</v>
      </c>
      <c r="G865" s="3" t="str">
        <f>VLOOKUP(C865,layoffs_location!A:E,5,FALSE)</f>
        <v>Asia</v>
      </c>
      <c r="H865" s="3">
        <v>110</v>
      </c>
      <c r="I865" s="8">
        <v>44896</v>
      </c>
      <c r="J865" s="9">
        <v>10</v>
      </c>
      <c r="K865" s="10">
        <v>1100</v>
      </c>
      <c r="L865" s="10">
        <v>990</v>
      </c>
      <c r="M865" s="3" t="s">
        <v>30</v>
      </c>
      <c r="N865" s="3" t="s">
        <v>1696</v>
      </c>
      <c r="O865" s="34">
        <v>372</v>
      </c>
      <c r="P865" s="3">
        <v>2022</v>
      </c>
      <c r="Q865" s="3">
        <f>VLOOKUP(C865,layoffs_location!A:F,6,FALSE)</f>
        <v>1.2899175000000001</v>
      </c>
      <c r="R865" s="3">
        <f>VLOOKUP(C865,layoffs_location!A:G,7,FALSE)</f>
        <v>103.8519072</v>
      </c>
    </row>
    <row r="866" spans="1:18" ht="16" x14ac:dyDescent="0.2">
      <c r="A866" s="3">
        <v>865</v>
      </c>
      <c r="B866" s="3" t="s">
        <v>629</v>
      </c>
      <c r="C866" s="11" t="s">
        <v>1370</v>
      </c>
      <c r="D866" s="3" t="str">
        <f>VLOOKUP(C866,layoffs_location!A:B,2,FALSE)</f>
        <v>San Francisco Bay Area</v>
      </c>
      <c r="E866" s="3" t="str">
        <f>VLOOKUP(C866,layoffs_location!A:C,3,FALSE)</f>
        <v>California</v>
      </c>
      <c r="F866" s="3" t="str">
        <f>VLOOKUP(C866,layoffs_location!A:D,4,FALSE)</f>
        <v>USA</v>
      </c>
      <c r="G866" s="3" t="str">
        <f>VLOOKUP(C866,layoffs_location!A:E,5,FALSE)</f>
        <v>North America</v>
      </c>
      <c r="H866" s="3">
        <v>48</v>
      </c>
      <c r="I866" s="8">
        <v>44896</v>
      </c>
      <c r="J866" s="9">
        <v>16</v>
      </c>
      <c r="K866" s="10">
        <v>300</v>
      </c>
      <c r="L866" s="10">
        <v>252</v>
      </c>
      <c r="M866" s="3" t="s">
        <v>48</v>
      </c>
      <c r="N866" s="3" t="s">
        <v>108</v>
      </c>
      <c r="O866" s="34">
        <v>212</v>
      </c>
      <c r="P866" s="3">
        <v>2022</v>
      </c>
      <c r="Q866" s="3">
        <f>VLOOKUP(C866,layoffs_location!A:F,6,FALSE)</f>
        <v>37.779258800000001</v>
      </c>
      <c r="R866" s="3">
        <f>VLOOKUP(C866,layoffs_location!A:G,7,FALSE)</f>
        <v>-122.4193286</v>
      </c>
    </row>
    <row r="867" spans="1:18" x14ac:dyDescent="0.2">
      <c r="A867" s="3">
        <v>866</v>
      </c>
      <c r="B867" s="3" t="s">
        <v>630</v>
      </c>
      <c r="C867" s="3" t="s">
        <v>220</v>
      </c>
      <c r="D867" s="3" t="str">
        <f>VLOOKUP(C867,layoffs_location!A:B,2,FALSE)</f>
        <v>other</v>
      </c>
      <c r="E867" s="3" t="str">
        <f>VLOOKUP(C867,layoffs_location!A:C,3,FALSE)</f>
        <v>Florida</v>
      </c>
      <c r="F867" s="3" t="str">
        <f>VLOOKUP(C867,layoffs_location!A:D,4,FALSE)</f>
        <v>USA</v>
      </c>
      <c r="G867" s="3" t="str">
        <f>VLOOKUP(C867,layoffs_location!A:E,5,FALSE)</f>
        <v>North America</v>
      </c>
      <c r="H867" s="3">
        <v>37</v>
      </c>
      <c r="I867" s="8">
        <v>44896</v>
      </c>
      <c r="J867" s="9">
        <v>23</v>
      </c>
      <c r="K867" s="10">
        <v>161</v>
      </c>
      <c r="L867" s="10">
        <v>124</v>
      </c>
      <c r="M867" s="3" t="s">
        <v>92</v>
      </c>
      <c r="N867" s="3" t="s">
        <v>28</v>
      </c>
      <c r="O867" s="34">
        <v>32</v>
      </c>
      <c r="P867" s="3">
        <v>2022</v>
      </c>
      <c r="Q867" s="3">
        <f>VLOOKUP(C867,layoffs_location!A:F,6,FALSE)</f>
        <v>25.774172799999999</v>
      </c>
      <c r="R867" s="3">
        <f>VLOOKUP(C867,layoffs_location!A:G,7,FALSE)</f>
        <v>-80.193619999999996</v>
      </c>
    </row>
    <row r="868" spans="1:18" x14ac:dyDescent="0.2">
      <c r="A868" s="3">
        <v>867</v>
      </c>
      <c r="B868" s="3" t="s">
        <v>625</v>
      </c>
      <c r="C868" s="3" t="s">
        <v>626</v>
      </c>
      <c r="D868" s="3" t="str">
        <f>VLOOKUP(C868,layoffs_location!A:B,2,FALSE)</f>
        <v>other</v>
      </c>
      <c r="E868" s="3" t="str">
        <f>VLOOKUP(C868,layoffs_location!A:C,3,FALSE)</f>
        <v>Vermont</v>
      </c>
      <c r="F868" s="3" t="str">
        <f>VLOOKUP(C868,layoffs_location!A:D,4,FALSE)</f>
        <v>USA</v>
      </c>
      <c r="G868" s="3" t="str">
        <f>VLOOKUP(C868,layoffs_location!A:E,5,FALSE)</f>
        <v>North America</v>
      </c>
      <c r="H868" s="3">
        <v>47</v>
      </c>
      <c r="I868" s="8">
        <v>44897</v>
      </c>
      <c r="J868" s="9">
        <v>15</v>
      </c>
      <c r="K868" s="10">
        <v>313</v>
      </c>
      <c r="L868" s="10">
        <v>266</v>
      </c>
      <c r="M868" s="3" t="s">
        <v>35</v>
      </c>
      <c r="N868" s="3" t="s">
        <v>41</v>
      </c>
      <c r="O868" s="34">
        <v>184</v>
      </c>
      <c r="P868" s="3">
        <v>2022</v>
      </c>
      <c r="Q868" s="3">
        <f>VLOOKUP(C868,layoffs_location!A:F,6,FALSE)</f>
        <v>44.476160100000001</v>
      </c>
      <c r="R868" s="3">
        <f>VLOOKUP(C868,layoffs_location!A:G,7,FALSE)</f>
        <v>-73.212906000000004</v>
      </c>
    </row>
    <row r="869" spans="1:18" x14ac:dyDescent="0.2">
      <c r="A869" s="3">
        <v>868</v>
      </c>
      <c r="B869" s="3" t="s">
        <v>623</v>
      </c>
      <c r="C869" s="3" t="s">
        <v>71</v>
      </c>
      <c r="D869" s="3" t="str">
        <f>VLOOKUP(C869,layoffs_location!A:B,2,FALSE)</f>
        <v>other</v>
      </c>
      <c r="E869" s="3" t="str">
        <f>VLOOKUP(C869,layoffs_location!A:C,3,FALSE)</f>
        <v>Massachusetts</v>
      </c>
      <c r="F869" s="3" t="str">
        <f>VLOOKUP(C869,layoffs_location!A:D,4,FALSE)</f>
        <v>USA</v>
      </c>
      <c r="G869" s="3" t="str">
        <f>VLOOKUP(C869,layoffs_location!A:E,5,FALSE)</f>
        <v>North America</v>
      </c>
      <c r="H869" s="3">
        <v>65</v>
      </c>
      <c r="I869" s="8">
        <v>44900</v>
      </c>
      <c r="J869" s="9">
        <v>10</v>
      </c>
      <c r="K869" s="10">
        <v>650</v>
      </c>
      <c r="L869" s="10">
        <v>585</v>
      </c>
      <c r="M869" s="3" t="s">
        <v>139</v>
      </c>
      <c r="N869" s="3" t="s">
        <v>36</v>
      </c>
      <c r="O869" s="34">
        <v>265</v>
      </c>
      <c r="P869" s="3">
        <v>2022</v>
      </c>
      <c r="Q869" s="3">
        <f>VLOOKUP(C869,layoffs_location!A:F,6,FALSE)</f>
        <v>42.355433400000003</v>
      </c>
      <c r="R869" s="3">
        <f>VLOOKUP(C869,layoffs_location!A:G,7,FALSE)</f>
        <v>-71.060511000000005</v>
      </c>
    </row>
    <row r="870" spans="1:18" x14ac:dyDescent="0.2">
      <c r="A870" s="3">
        <v>869</v>
      </c>
      <c r="B870" s="3" t="s">
        <v>624</v>
      </c>
      <c r="C870" s="3" t="s">
        <v>47</v>
      </c>
      <c r="D870" s="3" t="str">
        <f>VLOOKUP(C870,layoffs_location!A:B,2,FALSE)</f>
        <v>other</v>
      </c>
      <c r="E870" s="3" t="str">
        <f>VLOOKUP(C870,layoffs_location!A:C,3,FALSE)</f>
        <v>non</v>
      </c>
      <c r="F870" s="3" t="str">
        <f>VLOOKUP(C870,layoffs_location!A:D,4,FALSE)</f>
        <v>Israel</v>
      </c>
      <c r="G870" s="3" t="str">
        <f>VLOOKUP(C870,layoffs_location!A:E,5,FALSE)</f>
        <v>Asia</v>
      </c>
      <c r="H870" s="3">
        <v>30</v>
      </c>
      <c r="I870" s="8">
        <v>44900</v>
      </c>
      <c r="J870" s="9">
        <v>18</v>
      </c>
      <c r="K870" s="10">
        <v>167</v>
      </c>
      <c r="L870" s="10">
        <v>137</v>
      </c>
      <c r="M870" s="3" t="s">
        <v>35</v>
      </c>
      <c r="N870" s="3" t="s">
        <v>49</v>
      </c>
      <c r="O870" s="34">
        <v>103</v>
      </c>
      <c r="P870" s="3">
        <v>2022</v>
      </c>
      <c r="Q870" s="3">
        <f>VLOOKUP(C870,layoffs_location!A:F,6,FALSE)</f>
        <v>32.0852997</v>
      </c>
      <c r="R870" s="3">
        <f>VLOOKUP(C870,layoffs_location!A:G,7,FALSE)</f>
        <v>34.781806400000001</v>
      </c>
    </row>
    <row r="871" spans="1:18" x14ac:dyDescent="0.2">
      <c r="A871" s="3">
        <v>870</v>
      </c>
      <c r="B871" s="3" t="s">
        <v>620</v>
      </c>
      <c r="C871" s="3" t="s">
        <v>621</v>
      </c>
      <c r="D871" s="3" t="str">
        <f>VLOOKUP(C871,layoffs_location!A:B,2,FALSE)</f>
        <v>other</v>
      </c>
      <c r="E871" s="3" t="str">
        <f>VLOOKUP(C871,layoffs_location!A:C,3,FALSE)</f>
        <v>Ontario</v>
      </c>
      <c r="F871" s="3" t="str">
        <f>VLOOKUP(C871,layoffs_location!A:D,4,FALSE)</f>
        <v>Canada</v>
      </c>
      <c r="G871" s="3" t="str">
        <f>VLOOKUP(C871,layoffs_location!A:E,5,FALSE)</f>
        <v>North America</v>
      </c>
      <c r="H871" s="3">
        <v>13</v>
      </c>
      <c r="I871" s="8">
        <v>44901</v>
      </c>
      <c r="J871" s="9">
        <v>13</v>
      </c>
      <c r="K871" s="10">
        <v>100</v>
      </c>
      <c r="L871" s="10">
        <v>87</v>
      </c>
      <c r="M871" s="3" t="s">
        <v>622</v>
      </c>
      <c r="N871" s="3" t="s">
        <v>49</v>
      </c>
      <c r="O871" s="34">
        <v>36</v>
      </c>
      <c r="P871" s="3">
        <v>2022</v>
      </c>
      <c r="Q871" s="3">
        <f>VLOOKUP(C871,layoffs_location!A:F,6,FALSE)</f>
        <v>43.465269900000003</v>
      </c>
      <c r="R871" s="3">
        <f>VLOOKUP(C871,layoffs_location!A:G,7,FALSE)</f>
        <v>-80.522296100000005</v>
      </c>
    </row>
    <row r="872" spans="1:18" x14ac:dyDescent="0.2">
      <c r="A872" s="3">
        <v>871</v>
      </c>
      <c r="B872" s="3" t="s">
        <v>330</v>
      </c>
      <c r="C872" s="3" t="s">
        <v>39</v>
      </c>
      <c r="D872" s="3" t="str">
        <f>VLOOKUP(C872,layoffs_location!A:B,2,FALSE)</f>
        <v>New York</v>
      </c>
      <c r="E872" s="3" t="str">
        <f>VLOOKUP(C872,layoffs_location!A:C,3,FALSE)</f>
        <v>New York</v>
      </c>
      <c r="F872" s="3" t="str">
        <f>VLOOKUP(C872,layoffs_location!A:D,4,FALSE)</f>
        <v>USA</v>
      </c>
      <c r="G872" s="3" t="str">
        <f>VLOOKUP(C872,layoffs_location!A:E,5,FALSE)</f>
        <v>North America</v>
      </c>
      <c r="H872" s="3">
        <v>180</v>
      </c>
      <c r="I872" s="8">
        <v>44901</v>
      </c>
      <c r="J872" s="9">
        <v>12</v>
      </c>
      <c r="K872" s="10">
        <v>1500</v>
      </c>
      <c r="L872" s="10">
        <v>1320</v>
      </c>
      <c r="M872" s="3" t="s">
        <v>54</v>
      </c>
      <c r="N872" s="3" t="s">
        <v>28</v>
      </c>
      <c r="O872" s="34">
        <v>696</v>
      </c>
      <c r="P872" s="3">
        <v>2022</v>
      </c>
      <c r="Q872" s="3">
        <f>VLOOKUP(C872,layoffs_location!A:F,6,FALSE)</f>
        <v>40.7127281</v>
      </c>
      <c r="R872" s="3">
        <f>VLOOKUP(C872,layoffs_location!A:G,7,FALSE)</f>
        <v>-74.006015199999993</v>
      </c>
    </row>
    <row r="873" spans="1:18" x14ac:dyDescent="0.2">
      <c r="A873" s="3">
        <v>872</v>
      </c>
      <c r="B873" s="3" t="s">
        <v>40</v>
      </c>
      <c r="C873" s="3" t="s">
        <v>1370</v>
      </c>
      <c r="D873" s="3" t="str">
        <f>VLOOKUP(C873,layoffs_location!A:B,2,FALSE)</f>
        <v>San Francisco Bay Area</v>
      </c>
      <c r="E873" s="3" t="str">
        <f>VLOOKUP(C873,layoffs_location!A:C,3,FALSE)</f>
        <v>California</v>
      </c>
      <c r="F873" s="3" t="str">
        <f>VLOOKUP(C873,layoffs_location!A:D,4,FALSE)</f>
        <v>USA</v>
      </c>
      <c r="G873" s="3" t="str">
        <f>VLOOKUP(C873,layoffs_location!A:E,5,FALSE)</f>
        <v>North America</v>
      </c>
      <c r="H873" s="3">
        <v>50</v>
      </c>
      <c r="I873" s="8">
        <v>44901</v>
      </c>
      <c r="J873" s="9">
        <v>13</v>
      </c>
      <c r="K873" s="10">
        <v>385</v>
      </c>
      <c r="L873" s="10">
        <v>335</v>
      </c>
      <c r="M873" s="3" t="s">
        <v>35</v>
      </c>
      <c r="N873" s="3" t="s">
        <v>41</v>
      </c>
      <c r="O873" s="34">
        <v>302</v>
      </c>
      <c r="P873" s="3">
        <v>2022</v>
      </c>
      <c r="Q873" s="3">
        <f>VLOOKUP(C873,layoffs_location!A:F,6,FALSE)</f>
        <v>37.779258800000001</v>
      </c>
      <c r="R873" s="3">
        <f>VLOOKUP(C873,layoffs_location!A:G,7,FALSE)</f>
        <v>-122.4193286</v>
      </c>
    </row>
    <row r="874" spans="1:18" x14ac:dyDescent="0.2">
      <c r="A874" s="3">
        <v>873</v>
      </c>
      <c r="B874" s="3" t="s">
        <v>618</v>
      </c>
      <c r="C874" s="3" t="s">
        <v>1715</v>
      </c>
      <c r="D874" s="3" t="str">
        <f>VLOOKUP(C874,layoffs_location!A:B,2,FALSE)</f>
        <v>other</v>
      </c>
      <c r="E874" s="3" t="str">
        <f>VLOOKUP(C874,layoffs_location!A:C,3,FALSE)</f>
        <v>California</v>
      </c>
      <c r="F874" s="3" t="str">
        <f>VLOOKUP(C874,layoffs_location!A:D,4,FALSE)</f>
        <v>USA</v>
      </c>
      <c r="G874" s="3" t="str">
        <f>VLOOKUP(C874,layoffs_location!A:E,5,FALSE)</f>
        <v>North America</v>
      </c>
      <c r="H874" s="3">
        <v>515</v>
      </c>
      <c r="I874" s="8">
        <v>44901</v>
      </c>
      <c r="J874" s="9">
        <v>40</v>
      </c>
      <c r="K874" s="10">
        <v>1288</v>
      </c>
      <c r="L874" s="10">
        <v>773</v>
      </c>
      <c r="M874" s="3" t="s">
        <v>35</v>
      </c>
      <c r="N874" s="3" t="s">
        <v>28</v>
      </c>
      <c r="O874" s="34">
        <v>679</v>
      </c>
      <c r="P874" s="3">
        <v>2022</v>
      </c>
      <c r="Q874" s="3">
        <f>VLOOKUP(C874,layoffs_location!A:F,6,FALSE)</f>
        <v>33.678333600000002</v>
      </c>
      <c r="R874" s="3">
        <f>VLOOKUP(C874,layoffs_location!A:G,7,FALSE)</f>
        <v>-118.000016</v>
      </c>
    </row>
    <row r="875" spans="1:18" x14ac:dyDescent="0.2">
      <c r="A875" s="3">
        <v>874</v>
      </c>
      <c r="B875" s="3" t="s">
        <v>619</v>
      </c>
      <c r="C875" s="3" t="s">
        <v>47</v>
      </c>
      <c r="D875" s="3" t="str">
        <f>VLOOKUP(C875,layoffs_location!A:B,2,FALSE)</f>
        <v>other</v>
      </c>
      <c r="E875" s="3" t="str">
        <f>VLOOKUP(C875,layoffs_location!A:C,3,FALSE)</f>
        <v>non</v>
      </c>
      <c r="F875" s="3" t="str">
        <f>VLOOKUP(C875,layoffs_location!A:D,4,FALSE)</f>
        <v>Israel</v>
      </c>
      <c r="G875" s="3" t="str">
        <f>VLOOKUP(C875,layoffs_location!A:E,5,FALSE)</f>
        <v>Asia</v>
      </c>
      <c r="H875" s="3">
        <v>20</v>
      </c>
      <c r="I875" s="8">
        <v>44901</v>
      </c>
      <c r="J875" s="9">
        <v>8</v>
      </c>
      <c r="K875" s="10">
        <v>250</v>
      </c>
      <c r="L875" s="10">
        <v>230</v>
      </c>
      <c r="M875" s="3" t="s">
        <v>139</v>
      </c>
      <c r="N875" s="3" t="s">
        <v>41</v>
      </c>
      <c r="O875" s="34">
        <v>165</v>
      </c>
      <c r="P875" s="3">
        <v>2022</v>
      </c>
      <c r="Q875" s="3">
        <f>VLOOKUP(C875,layoffs_location!A:F,6,FALSE)</f>
        <v>32.0852997</v>
      </c>
      <c r="R875" s="3">
        <f>VLOOKUP(C875,layoffs_location!A:G,7,FALSE)</f>
        <v>34.781806400000001</v>
      </c>
    </row>
    <row r="876" spans="1:18" x14ac:dyDescent="0.2">
      <c r="A876" s="3">
        <v>875</v>
      </c>
      <c r="B876" s="3" t="s">
        <v>287</v>
      </c>
      <c r="C876" s="3" t="s">
        <v>39</v>
      </c>
      <c r="D876" s="3" t="str">
        <f>VLOOKUP(C876,layoffs_location!A:B,2,FALSE)</f>
        <v>New York</v>
      </c>
      <c r="E876" s="3" t="str">
        <f>VLOOKUP(C876,layoffs_location!A:C,3,FALSE)</f>
        <v>New York</v>
      </c>
      <c r="F876" s="3" t="str">
        <f>VLOOKUP(C876,layoffs_location!A:D,4,FALSE)</f>
        <v>USA</v>
      </c>
      <c r="G876" s="3" t="str">
        <f>VLOOKUP(C876,layoffs_location!A:E,5,FALSE)</f>
        <v>North America</v>
      </c>
      <c r="H876" s="3">
        <v>32</v>
      </c>
      <c r="I876" s="8">
        <v>44901</v>
      </c>
      <c r="J876" s="9">
        <v>8</v>
      </c>
      <c r="K876" s="10">
        <v>400</v>
      </c>
      <c r="L876" s="10">
        <v>368</v>
      </c>
      <c r="M876" s="3" t="s">
        <v>35</v>
      </c>
      <c r="N876" s="3" t="s">
        <v>22</v>
      </c>
      <c r="O876" s="34">
        <v>480</v>
      </c>
      <c r="P876" s="3">
        <v>2022</v>
      </c>
      <c r="Q876" s="3">
        <f>VLOOKUP(C876,layoffs_location!A:F,6,FALSE)</f>
        <v>40.7127281</v>
      </c>
      <c r="R876" s="3">
        <f>VLOOKUP(C876,layoffs_location!A:G,7,FALSE)</f>
        <v>-74.006015199999993</v>
      </c>
    </row>
    <row r="877" spans="1:18" x14ac:dyDescent="0.2">
      <c r="A877" s="3">
        <v>876</v>
      </c>
      <c r="B877" s="3" t="s">
        <v>615</v>
      </c>
      <c r="C877" s="3" t="s">
        <v>135</v>
      </c>
      <c r="D877" s="3" t="str">
        <f>VLOOKUP(C877,layoffs_location!A:B,2,FALSE)</f>
        <v>other</v>
      </c>
      <c r="E877" s="3" t="str">
        <f>VLOOKUP(C877,layoffs_location!A:C,3,FALSE)</f>
        <v>Berlin</v>
      </c>
      <c r="F877" s="3" t="str">
        <f>VLOOKUP(C877,layoffs_location!A:D,4,FALSE)</f>
        <v>Germany</v>
      </c>
      <c r="G877" s="3" t="str">
        <f>VLOOKUP(C877,layoffs_location!A:E,5,FALSE)</f>
        <v>Europe</v>
      </c>
      <c r="H877" s="3">
        <v>40</v>
      </c>
      <c r="I877" s="8">
        <v>44902</v>
      </c>
      <c r="J877" s="9">
        <v>10</v>
      </c>
      <c r="K877" s="10">
        <v>400</v>
      </c>
      <c r="L877" s="10">
        <v>360</v>
      </c>
      <c r="M877" s="3" t="s">
        <v>30</v>
      </c>
      <c r="N877" s="3" t="s">
        <v>22</v>
      </c>
      <c r="P877" s="3">
        <v>2022</v>
      </c>
      <c r="Q877" s="3">
        <f>VLOOKUP(C877,layoffs_location!A:F,6,FALSE)</f>
        <v>52.517036500000003</v>
      </c>
      <c r="R877" s="3">
        <f>VLOOKUP(C877,layoffs_location!A:G,7,FALSE)</f>
        <v>13.3888599</v>
      </c>
    </row>
    <row r="878" spans="1:18" x14ac:dyDescent="0.2">
      <c r="A878" s="3">
        <v>877</v>
      </c>
      <c r="B878" s="3" t="s">
        <v>614</v>
      </c>
      <c r="C878" s="3" t="s">
        <v>1473</v>
      </c>
      <c r="D878" s="3" t="str">
        <f>VLOOKUP(C878,layoffs_location!A:B,2,FALSE)</f>
        <v>San Francisco Bay Area</v>
      </c>
      <c r="E878" s="3" t="str">
        <f>VLOOKUP(C878,layoffs_location!A:C,3,FALSE)</f>
        <v>California</v>
      </c>
      <c r="F878" s="3" t="str">
        <f>VLOOKUP(C878,layoffs_location!A:D,4,FALSE)</f>
        <v>USA</v>
      </c>
      <c r="G878" s="3" t="str">
        <f>VLOOKUP(C878,layoffs_location!A:E,5,FALSE)</f>
        <v>North America</v>
      </c>
      <c r="H878" s="3">
        <v>95</v>
      </c>
      <c r="I878" s="8">
        <v>44902</v>
      </c>
      <c r="J878" s="9">
        <v>8</v>
      </c>
      <c r="K878" s="10">
        <v>1188</v>
      </c>
      <c r="L878" s="10">
        <v>1093</v>
      </c>
      <c r="M878" s="3" t="s">
        <v>16</v>
      </c>
      <c r="N878" s="3" t="s">
        <v>36</v>
      </c>
      <c r="O878" s="34">
        <v>613</v>
      </c>
      <c r="P878" s="3">
        <v>2022</v>
      </c>
      <c r="Q878" s="3">
        <f>VLOOKUP(C878,layoffs_location!A:F,6,FALSE)</f>
        <v>37.4443293</v>
      </c>
      <c r="R878" s="3">
        <f>VLOOKUP(C878,layoffs_location!A:G,7,FALSE)</f>
        <v>-122.1598465</v>
      </c>
    </row>
    <row r="879" spans="1:18" x14ac:dyDescent="0.2">
      <c r="A879" s="3">
        <v>878</v>
      </c>
      <c r="B879" s="3" t="s">
        <v>613</v>
      </c>
      <c r="C879" s="3" t="s">
        <v>39</v>
      </c>
      <c r="D879" s="3" t="str">
        <f>VLOOKUP(C879,layoffs_location!A:B,2,FALSE)</f>
        <v>New York</v>
      </c>
      <c r="E879" s="3" t="str">
        <f>VLOOKUP(C879,layoffs_location!A:C,3,FALSE)</f>
        <v>New York</v>
      </c>
      <c r="F879" s="3" t="str">
        <f>VLOOKUP(C879,layoffs_location!A:D,4,FALSE)</f>
        <v>USA</v>
      </c>
      <c r="G879" s="3" t="str">
        <f>VLOOKUP(C879,layoffs_location!A:E,5,FALSE)</f>
        <v>North America</v>
      </c>
      <c r="H879" s="3">
        <v>120</v>
      </c>
      <c r="I879" s="8">
        <v>44902</v>
      </c>
      <c r="J879" s="9">
        <v>13</v>
      </c>
      <c r="K879" s="10">
        <v>923</v>
      </c>
      <c r="L879" s="10">
        <v>803</v>
      </c>
      <c r="M879" s="3" t="s">
        <v>130</v>
      </c>
      <c r="N879" s="3" t="s">
        <v>33</v>
      </c>
      <c r="O879" s="34">
        <v>116</v>
      </c>
      <c r="P879" s="3">
        <v>2022</v>
      </c>
      <c r="Q879" s="3">
        <f>VLOOKUP(C879,layoffs_location!A:F,6,FALSE)</f>
        <v>40.7127281</v>
      </c>
      <c r="R879" s="3">
        <f>VLOOKUP(C879,layoffs_location!A:G,7,FALSE)</f>
        <v>-74.006015199999993</v>
      </c>
    </row>
    <row r="880" spans="1:18" x14ac:dyDescent="0.2">
      <c r="A880" s="3">
        <v>879</v>
      </c>
      <c r="B880" s="3" t="s">
        <v>616</v>
      </c>
      <c r="C880" s="3" t="s">
        <v>39</v>
      </c>
      <c r="D880" s="3" t="str">
        <f>VLOOKUP(C880,layoffs_location!A:B,2,FALSE)</f>
        <v>New York</v>
      </c>
      <c r="E880" s="3" t="str">
        <f>VLOOKUP(C880,layoffs_location!A:C,3,FALSE)</f>
        <v>New York</v>
      </c>
      <c r="F880" s="3" t="str">
        <f>VLOOKUP(C880,layoffs_location!A:D,4,FALSE)</f>
        <v>USA</v>
      </c>
      <c r="G880" s="3" t="str">
        <f>VLOOKUP(C880,layoffs_location!A:E,5,FALSE)</f>
        <v>North America</v>
      </c>
      <c r="H880" s="3">
        <v>30</v>
      </c>
      <c r="I880" s="8">
        <v>44902</v>
      </c>
      <c r="J880" s="9">
        <v>30</v>
      </c>
      <c r="K880" s="10">
        <v>100</v>
      </c>
      <c r="L880" s="10">
        <v>70</v>
      </c>
      <c r="M880" s="3" t="s">
        <v>137</v>
      </c>
      <c r="N880" s="3" t="s">
        <v>49</v>
      </c>
      <c r="O880" s="34">
        <v>114</v>
      </c>
      <c r="P880" s="3">
        <v>2022</v>
      </c>
      <c r="Q880" s="3">
        <f>VLOOKUP(C880,layoffs_location!A:F,6,FALSE)</f>
        <v>40.7127281</v>
      </c>
      <c r="R880" s="3">
        <f>VLOOKUP(C880,layoffs_location!A:G,7,FALSE)</f>
        <v>-74.006015199999993</v>
      </c>
    </row>
    <row r="881" spans="1:18" x14ac:dyDescent="0.2">
      <c r="A881" s="3">
        <v>880</v>
      </c>
      <c r="B881" s="3" t="s">
        <v>617</v>
      </c>
      <c r="C881" s="3" t="s">
        <v>39</v>
      </c>
      <c r="D881" s="3" t="str">
        <f>VLOOKUP(C881,layoffs_location!A:B,2,FALSE)</f>
        <v>New York</v>
      </c>
      <c r="E881" s="3" t="str">
        <f>VLOOKUP(C881,layoffs_location!A:C,3,FALSE)</f>
        <v>New York</v>
      </c>
      <c r="F881" s="3" t="str">
        <f>VLOOKUP(C881,layoffs_location!A:D,4,FALSE)</f>
        <v>USA</v>
      </c>
      <c r="G881" s="3" t="str">
        <f>VLOOKUP(C881,layoffs_location!A:E,5,FALSE)</f>
        <v>North America</v>
      </c>
      <c r="H881" s="3">
        <v>27</v>
      </c>
      <c r="I881" s="8">
        <v>44902</v>
      </c>
      <c r="J881" s="9">
        <v>18</v>
      </c>
      <c r="K881" s="10">
        <v>150</v>
      </c>
      <c r="L881" s="10">
        <v>123</v>
      </c>
      <c r="M881" s="3" t="s">
        <v>35</v>
      </c>
      <c r="N881" s="3" t="s">
        <v>41</v>
      </c>
      <c r="O881" s="34">
        <v>115</v>
      </c>
      <c r="P881" s="3">
        <v>2022</v>
      </c>
      <c r="Q881" s="3">
        <f>VLOOKUP(C881,layoffs_location!A:F,6,FALSE)</f>
        <v>40.7127281</v>
      </c>
      <c r="R881" s="3">
        <f>VLOOKUP(C881,layoffs_location!A:G,7,FALSE)</f>
        <v>-74.006015199999993</v>
      </c>
    </row>
    <row r="882" spans="1:18" x14ac:dyDescent="0.2">
      <c r="A882" s="3">
        <v>881</v>
      </c>
      <c r="B882" s="3" t="s">
        <v>402</v>
      </c>
      <c r="C882" s="3" t="s">
        <v>187</v>
      </c>
      <c r="D882" s="3" t="str">
        <f>VLOOKUP(C882,layoffs_location!A:B,2,FALSE)</f>
        <v>other</v>
      </c>
      <c r="E882" s="3" t="str">
        <f>VLOOKUP(C882,layoffs_location!A:C,3,FALSE)</f>
        <v>State of São Paulo</v>
      </c>
      <c r="F882" s="3" t="str">
        <f>VLOOKUP(C882,layoffs_location!A:D,4,FALSE)</f>
        <v>Brazil</v>
      </c>
      <c r="G882" s="3" t="str">
        <f>VLOOKUP(C882,layoffs_location!A:E,5,FALSE)</f>
        <v>South America</v>
      </c>
      <c r="H882" s="3">
        <v>312</v>
      </c>
      <c r="I882" s="8">
        <v>44902</v>
      </c>
      <c r="J882" s="9">
        <v>12</v>
      </c>
      <c r="K882" s="10">
        <v>2600</v>
      </c>
      <c r="L882" s="10">
        <v>2288</v>
      </c>
      <c r="M882" s="3" t="s">
        <v>137</v>
      </c>
      <c r="N882" s="3" t="s">
        <v>22</v>
      </c>
      <c r="O882" s="34">
        <v>788</v>
      </c>
      <c r="P882" s="3">
        <v>2022</v>
      </c>
      <c r="Q882" s="3">
        <f>VLOOKUP(C882,layoffs_location!A:F,6,FALSE)</f>
        <v>-23.550650699999998</v>
      </c>
      <c r="R882" s="3">
        <f>VLOOKUP(C882,layoffs_location!A:G,7,FALSE)</f>
        <v>-46.633382400000002</v>
      </c>
    </row>
    <row r="883" spans="1:18" ht="16" x14ac:dyDescent="0.2">
      <c r="A883" s="3">
        <v>882</v>
      </c>
      <c r="B883" s="3" t="s">
        <v>610</v>
      </c>
      <c r="C883" s="11" t="s">
        <v>1370</v>
      </c>
      <c r="D883" s="3" t="str">
        <f>VLOOKUP(C883,layoffs_location!A:B,2,FALSE)</f>
        <v>San Francisco Bay Area</v>
      </c>
      <c r="E883" s="3" t="str">
        <f>VLOOKUP(C883,layoffs_location!A:C,3,FALSE)</f>
        <v>California</v>
      </c>
      <c r="F883" s="3" t="str">
        <f>VLOOKUP(C883,layoffs_location!A:D,4,FALSE)</f>
        <v>USA</v>
      </c>
      <c r="G883" s="3" t="str">
        <f>VLOOKUP(C883,layoffs_location!A:E,5,FALSE)</f>
        <v>North America</v>
      </c>
      <c r="H883" s="3">
        <v>237</v>
      </c>
      <c r="I883" s="8">
        <v>44902</v>
      </c>
      <c r="J883" s="9">
        <v>6</v>
      </c>
      <c r="K883" s="10">
        <v>3950</v>
      </c>
      <c r="L883" s="10">
        <v>3713</v>
      </c>
      <c r="M883" s="3" t="s">
        <v>32</v>
      </c>
      <c r="N883" s="3" t="s">
        <v>63</v>
      </c>
      <c r="O883" s="34">
        <v>567</v>
      </c>
      <c r="P883" s="3">
        <v>2022</v>
      </c>
      <c r="Q883" s="3">
        <f>VLOOKUP(C883,layoffs_location!A:F,6,FALSE)</f>
        <v>37.779258800000001</v>
      </c>
      <c r="R883" s="3">
        <f>VLOOKUP(C883,layoffs_location!A:G,7,FALSE)</f>
        <v>-122.4193286</v>
      </c>
    </row>
    <row r="884" spans="1:18" ht="16" x14ac:dyDescent="0.2">
      <c r="A884" s="3">
        <v>883</v>
      </c>
      <c r="B884" s="3" t="s">
        <v>609</v>
      </c>
      <c r="C884" s="11" t="s">
        <v>1370</v>
      </c>
      <c r="D884" s="3" t="str">
        <f>VLOOKUP(C884,layoffs_location!A:B,2,FALSE)</f>
        <v>San Francisco Bay Area</v>
      </c>
      <c r="E884" s="3" t="str">
        <f>VLOOKUP(C884,layoffs_location!A:C,3,FALSE)</f>
        <v>California</v>
      </c>
      <c r="F884" s="3" t="str">
        <f>VLOOKUP(C884,layoffs_location!A:D,4,FALSE)</f>
        <v>USA</v>
      </c>
      <c r="G884" s="3" t="str">
        <f>VLOOKUP(C884,layoffs_location!A:E,5,FALSE)</f>
        <v>North America</v>
      </c>
      <c r="H884" s="3">
        <v>260</v>
      </c>
      <c r="I884" s="8">
        <v>44902</v>
      </c>
      <c r="J884" s="9">
        <v>20</v>
      </c>
      <c r="K884" s="10">
        <v>1300</v>
      </c>
      <c r="L884" s="10">
        <v>1040</v>
      </c>
      <c r="M884" s="3" t="s">
        <v>35</v>
      </c>
      <c r="N884" s="3" t="s">
        <v>108</v>
      </c>
      <c r="O884" s="34">
        <v>734</v>
      </c>
      <c r="P884" s="3">
        <v>2022</v>
      </c>
      <c r="Q884" s="3">
        <f>VLOOKUP(C884,layoffs_location!A:F,6,FALSE)</f>
        <v>37.779258800000001</v>
      </c>
      <c r="R884" s="3">
        <f>VLOOKUP(C884,layoffs_location!A:G,7,FALSE)</f>
        <v>-122.4193286</v>
      </c>
    </row>
    <row r="885" spans="1:18" x14ac:dyDescent="0.2">
      <c r="A885" s="3">
        <v>884</v>
      </c>
      <c r="B885" s="3" t="s">
        <v>611</v>
      </c>
      <c r="C885" s="3" t="s">
        <v>154</v>
      </c>
      <c r="D885" s="3" t="str">
        <f>VLOOKUP(C885,layoffs_location!A:B,2,FALSE)</f>
        <v>other</v>
      </c>
      <c r="E885" s="3" t="str">
        <f>VLOOKUP(C885,layoffs_location!A:C,3,FALSE)</f>
        <v>Illinois</v>
      </c>
      <c r="F885" s="3" t="str">
        <f>VLOOKUP(C885,layoffs_location!A:D,4,FALSE)</f>
        <v>USA</v>
      </c>
      <c r="G885" s="3" t="str">
        <f>VLOOKUP(C885,layoffs_location!A:E,5,FALSE)</f>
        <v>North America</v>
      </c>
      <c r="H885" s="3">
        <v>150</v>
      </c>
      <c r="I885" s="8">
        <v>44902</v>
      </c>
      <c r="J885" s="9">
        <v>10</v>
      </c>
      <c r="K885" s="10">
        <v>1500</v>
      </c>
      <c r="L885" s="10">
        <v>1350</v>
      </c>
      <c r="M885" s="3" t="s">
        <v>478</v>
      </c>
      <c r="N885" s="3" t="s">
        <v>1696</v>
      </c>
      <c r="O885" s="34">
        <v>125</v>
      </c>
      <c r="P885" s="3">
        <v>2022</v>
      </c>
      <c r="Q885" s="3">
        <f>VLOOKUP(C885,layoffs_location!A:F,6,FALSE)</f>
        <v>41.875561599999997</v>
      </c>
      <c r="R885" s="3">
        <f>VLOOKUP(C885,layoffs_location!A:G,7,FALSE)</f>
        <v>-87.6244212</v>
      </c>
    </row>
    <row r="886" spans="1:18" x14ac:dyDescent="0.2">
      <c r="A886" s="3">
        <v>885</v>
      </c>
      <c r="B886" s="3" t="s">
        <v>612</v>
      </c>
      <c r="C886" s="3" t="s">
        <v>51</v>
      </c>
      <c r="D886" s="3" t="str">
        <f>VLOOKUP(C886,layoffs_location!A:B,2,FALSE)</f>
        <v>other</v>
      </c>
      <c r="E886" s="3" t="str">
        <f>VLOOKUP(C886,layoffs_location!A:C,3,FALSE)</f>
        <v>non</v>
      </c>
      <c r="F886" s="3" t="str">
        <f>VLOOKUP(C886,layoffs_location!A:D,4,FALSE)</f>
        <v>Sweden</v>
      </c>
      <c r="G886" s="3" t="str">
        <f>VLOOKUP(C886,layoffs_location!A:E,5,FALSE)</f>
        <v>Europe</v>
      </c>
      <c r="H886" s="3">
        <v>130</v>
      </c>
      <c r="I886" s="8">
        <v>44902</v>
      </c>
      <c r="J886" s="9">
        <v>13</v>
      </c>
      <c r="K886" s="10">
        <v>1000</v>
      </c>
      <c r="L886" s="10">
        <v>870</v>
      </c>
      <c r="M886" s="3" t="s">
        <v>32</v>
      </c>
      <c r="N886" s="3" t="s">
        <v>108</v>
      </c>
      <c r="O886" s="34">
        <v>515</v>
      </c>
      <c r="P886" s="3">
        <v>2022</v>
      </c>
      <c r="Q886" s="3">
        <f>VLOOKUP(C886,layoffs_location!A:F,6,FALSE)</f>
        <v>59.325117200000001</v>
      </c>
      <c r="R886" s="3">
        <f>VLOOKUP(C886,layoffs_location!A:G,7,FALSE)</f>
        <v>18.0710935</v>
      </c>
    </row>
    <row r="887" spans="1:18" x14ac:dyDescent="0.2">
      <c r="A887" s="3">
        <v>886</v>
      </c>
      <c r="B887" s="3" t="s">
        <v>128</v>
      </c>
      <c r="C887" s="3" t="s">
        <v>1370</v>
      </c>
      <c r="D887" s="3" t="str">
        <f>VLOOKUP(C887,layoffs_location!A:B,2,FALSE)</f>
        <v>San Francisco Bay Area</v>
      </c>
      <c r="E887" s="3" t="str">
        <f>VLOOKUP(C887,layoffs_location!A:C,3,FALSE)</f>
        <v>California</v>
      </c>
      <c r="F887" s="3" t="str">
        <f>VLOOKUP(C887,layoffs_location!A:D,4,FALSE)</f>
        <v>USA</v>
      </c>
      <c r="G887" s="3" t="str">
        <f>VLOOKUP(C887,layoffs_location!A:E,5,FALSE)</f>
        <v>North America</v>
      </c>
      <c r="H887" s="3">
        <v>254</v>
      </c>
      <c r="I887" s="8">
        <v>44903</v>
      </c>
      <c r="J887" s="9">
        <v>20</v>
      </c>
      <c r="K887" s="10">
        <v>1270</v>
      </c>
      <c r="L887" s="10">
        <v>1016</v>
      </c>
      <c r="M887" s="3" t="s">
        <v>48</v>
      </c>
      <c r="N887" s="3" t="s">
        <v>63</v>
      </c>
      <c r="O887" s="34">
        <v>1400</v>
      </c>
      <c r="P887" s="3">
        <v>2022</v>
      </c>
      <c r="Q887" s="3">
        <f>VLOOKUP(C887,layoffs_location!A:F,6,FALSE)</f>
        <v>37.779258800000001</v>
      </c>
      <c r="R887" s="3">
        <f>VLOOKUP(C887,layoffs_location!A:G,7,FALSE)</f>
        <v>-122.4193286</v>
      </c>
    </row>
    <row r="888" spans="1:18" x14ac:dyDescent="0.2">
      <c r="A888" s="3">
        <v>887</v>
      </c>
      <c r="B888" s="3" t="s">
        <v>608</v>
      </c>
      <c r="C888" s="3" t="s">
        <v>1370</v>
      </c>
      <c r="D888" s="3" t="str">
        <f>VLOOKUP(C888,layoffs_location!A:B,2,FALSE)</f>
        <v>San Francisco Bay Area</v>
      </c>
      <c r="E888" s="3" t="str">
        <f>VLOOKUP(C888,layoffs_location!A:C,3,FALSE)</f>
        <v>California</v>
      </c>
      <c r="F888" s="3" t="str">
        <f>VLOOKUP(C888,layoffs_location!A:D,4,FALSE)</f>
        <v>USA</v>
      </c>
      <c r="G888" s="3" t="str">
        <f>VLOOKUP(C888,layoffs_location!A:E,5,FALSE)</f>
        <v>North America</v>
      </c>
      <c r="H888" s="3">
        <v>25</v>
      </c>
      <c r="I888" s="8">
        <v>44903</v>
      </c>
      <c r="J888" s="9">
        <v>4</v>
      </c>
      <c r="K888" s="10">
        <v>625</v>
      </c>
      <c r="L888" s="10">
        <v>600</v>
      </c>
      <c r="M888" s="3" t="s">
        <v>139</v>
      </c>
      <c r="N888" s="3" t="s">
        <v>1696</v>
      </c>
      <c r="O888" s="34">
        <v>537</v>
      </c>
      <c r="P888" s="3">
        <v>2022</v>
      </c>
      <c r="Q888" s="3">
        <f>VLOOKUP(C888,layoffs_location!A:F,6,FALSE)</f>
        <v>37.779258800000001</v>
      </c>
      <c r="R888" s="3">
        <f>VLOOKUP(C888,layoffs_location!A:G,7,FALSE)</f>
        <v>-122.4193286</v>
      </c>
    </row>
    <row r="889" spans="1:18" x14ac:dyDescent="0.2">
      <c r="A889" s="3">
        <v>888</v>
      </c>
      <c r="B889" s="3" t="s">
        <v>161</v>
      </c>
      <c r="C889" s="3" t="s">
        <v>76</v>
      </c>
      <c r="D889" s="3" t="str">
        <f>VLOOKUP(C889,layoffs_location!A:B,2,FALSE)</f>
        <v>other</v>
      </c>
      <c r="E889" s="3" t="str">
        <f>VLOOKUP(C889,layoffs_location!A:C,3,FALSE)</f>
        <v>California</v>
      </c>
      <c r="F889" s="3" t="str">
        <f>VLOOKUP(C889,layoffs_location!A:D,4,FALSE)</f>
        <v>USA</v>
      </c>
      <c r="G889" s="3" t="str">
        <f>VLOOKUP(C889,layoffs_location!A:E,5,FALSE)</f>
        <v>North America</v>
      </c>
      <c r="H889" s="3">
        <v>95</v>
      </c>
      <c r="I889" s="8">
        <v>44903</v>
      </c>
      <c r="J889" s="9">
        <v>5</v>
      </c>
      <c r="K889" s="10">
        <v>1900</v>
      </c>
      <c r="L889" s="10">
        <v>1805</v>
      </c>
      <c r="M889" s="3" t="s">
        <v>35</v>
      </c>
      <c r="N889" s="3" t="s">
        <v>1696</v>
      </c>
      <c r="O889" s="34">
        <v>220</v>
      </c>
      <c r="P889" s="3">
        <v>2022</v>
      </c>
      <c r="Q889" s="3">
        <f>VLOOKUP(C889,layoffs_location!A:F,6,FALSE)</f>
        <v>34.053690899999999</v>
      </c>
      <c r="R889" s="3">
        <f>VLOOKUP(C889,layoffs_location!A:G,7,FALSE)</f>
        <v>-118.242766</v>
      </c>
    </row>
    <row r="890" spans="1:18" x14ac:dyDescent="0.2">
      <c r="A890" s="3">
        <v>889</v>
      </c>
      <c r="B890" s="3" t="s">
        <v>604</v>
      </c>
      <c r="C890" s="3" t="s">
        <v>187</v>
      </c>
      <c r="D890" s="3" t="str">
        <f>VLOOKUP(C890,layoffs_location!A:B,2,FALSE)</f>
        <v>other</v>
      </c>
      <c r="E890" s="3" t="str">
        <f>VLOOKUP(C890,layoffs_location!A:C,3,FALSE)</f>
        <v>State of São Paulo</v>
      </c>
      <c r="F890" s="3" t="str">
        <f>VLOOKUP(C890,layoffs_location!A:D,4,FALSE)</f>
        <v>Brazil</v>
      </c>
      <c r="G890" s="3" t="str">
        <f>VLOOKUP(C890,layoffs_location!A:E,5,FALSE)</f>
        <v>South America</v>
      </c>
      <c r="H890" s="3">
        <v>160</v>
      </c>
      <c r="I890" s="8">
        <v>44903</v>
      </c>
      <c r="J890" s="9">
        <v>30</v>
      </c>
      <c r="K890" s="10">
        <v>533</v>
      </c>
      <c r="L890" s="10">
        <v>373</v>
      </c>
      <c r="M890" s="3" t="s">
        <v>32</v>
      </c>
      <c r="N890" s="3" t="s">
        <v>41</v>
      </c>
      <c r="O890" s="34">
        <v>138</v>
      </c>
      <c r="P890" s="3">
        <v>2022</v>
      </c>
      <c r="Q890" s="3">
        <f>VLOOKUP(C890,layoffs_location!A:F,6,FALSE)</f>
        <v>-23.550650699999998</v>
      </c>
      <c r="R890" s="3">
        <f>VLOOKUP(C890,layoffs_location!A:G,7,FALSE)</f>
        <v>-46.633382400000002</v>
      </c>
    </row>
    <row r="891" spans="1:18" x14ac:dyDescent="0.2">
      <c r="A891" s="3">
        <v>890</v>
      </c>
      <c r="B891" s="3" t="s">
        <v>607</v>
      </c>
      <c r="C891" s="3" t="s">
        <v>1473</v>
      </c>
      <c r="D891" s="3" t="str">
        <f>VLOOKUP(C891,layoffs_location!A:B,2,FALSE)</f>
        <v>San Francisco Bay Area</v>
      </c>
      <c r="E891" s="3" t="str">
        <f>VLOOKUP(C891,layoffs_location!A:C,3,FALSE)</f>
        <v>California</v>
      </c>
      <c r="F891" s="3" t="str">
        <f>VLOOKUP(C891,layoffs_location!A:D,4,FALSE)</f>
        <v>USA</v>
      </c>
      <c r="G891" s="3" t="str">
        <f>VLOOKUP(C891,layoffs_location!A:E,5,FALSE)</f>
        <v>North America</v>
      </c>
      <c r="H891" s="3">
        <v>30</v>
      </c>
      <c r="I891" s="8">
        <v>44903</v>
      </c>
      <c r="J891" s="9">
        <v>15</v>
      </c>
      <c r="K891" s="10">
        <v>200</v>
      </c>
      <c r="L891" s="10">
        <v>170</v>
      </c>
      <c r="M891" s="3" t="s">
        <v>139</v>
      </c>
      <c r="N891" s="3" t="s">
        <v>41</v>
      </c>
      <c r="O891" s="34">
        <v>153</v>
      </c>
      <c r="P891" s="3">
        <v>2022</v>
      </c>
      <c r="Q891" s="3">
        <f>VLOOKUP(C891,layoffs_location!A:F,6,FALSE)</f>
        <v>37.4443293</v>
      </c>
      <c r="R891" s="3">
        <f>VLOOKUP(C891,layoffs_location!A:G,7,FALSE)</f>
        <v>-122.1598465</v>
      </c>
    </row>
    <row r="892" spans="1:18" x14ac:dyDescent="0.2">
      <c r="A892" s="3">
        <v>891</v>
      </c>
      <c r="B892" s="3" t="s">
        <v>603</v>
      </c>
      <c r="C892" s="3" t="s">
        <v>244</v>
      </c>
      <c r="D892" s="3" t="str">
        <f>VLOOKUP(C892,layoffs_location!A:B,2,FALSE)</f>
        <v>other</v>
      </c>
      <c r="E892" s="3" t="str">
        <f>VLOOKUP(C892,layoffs_location!A:C,3,FALSE)</f>
        <v>non</v>
      </c>
      <c r="F892" s="3" t="str">
        <f>VLOOKUP(C892,layoffs_location!A:D,4,FALSE)</f>
        <v>Singapore</v>
      </c>
      <c r="G892" s="3" t="str">
        <f>VLOOKUP(C892,layoffs_location!A:E,5,FALSE)</f>
        <v>Asia</v>
      </c>
      <c r="H892" s="3">
        <v>198</v>
      </c>
      <c r="I892" s="8">
        <v>44903</v>
      </c>
      <c r="J892" s="9">
        <v>18</v>
      </c>
      <c r="K892" s="10">
        <v>1100</v>
      </c>
      <c r="L892" s="10">
        <v>902</v>
      </c>
      <c r="M892" s="3" t="s">
        <v>84</v>
      </c>
      <c r="N892" s="3" t="s">
        <v>108</v>
      </c>
      <c r="O892" s="34">
        <v>82</v>
      </c>
      <c r="P892" s="3">
        <v>2022</v>
      </c>
      <c r="Q892" s="3">
        <f>VLOOKUP(C892,layoffs_location!A:F,6,FALSE)</f>
        <v>1.2899175000000001</v>
      </c>
      <c r="R892" s="3">
        <f>VLOOKUP(C892,layoffs_location!A:G,7,FALSE)</f>
        <v>103.8519072</v>
      </c>
    </row>
    <row r="893" spans="1:18" x14ac:dyDescent="0.2">
      <c r="A893" s="3">
        <v>892</v>
      </c>
      <c r="B893" s="3" t="s">
        <v>605</v>
      </c>
      <c r="C893" s="3" t="s">
        <v>47</v>
      </c>
      <c r="D893" s="3" t="str">
        <f>VLOOKUP(C893,layoffs_location!A:B,2,FALSE)</f>
        <v>other</v>
      </c>
      <c r="E893" s="3" t="str">
        <f>VLOOKUP(C893,layoffs_location!A:C,3,FALSE)</f>
        <v>non</v>
      </c>
      <c r="F893" s="3" t="str">
        <f>VLOOKUP(C893,layoffs_location!A:D,4,FALSE)</f>
        <v>Israel</v>
      </c>
      <c r="G893" s="3" t="str">
        <f>VLOOKUP(C893,layoffs_location!A:E,5,FALSE)</f>
        <v>Asia</v>
      </c>
      <c r="H893" s="3">
        <v>80</v>
      </c>
      <c r="I893" s="8">
        <v>44903</v>
      </c>
      <c r="J893" s="9">
        <v>50</v>
      </c>
      <c r="K893" s="10">
        <v>160</v>
      </c>
      <c r="L893" s="10">
        <v>80</v>
      </c>
      <c r="M893" s="3" t="s">
        <v>32</v>
      </c>
      <c r="N893" s="3" t="s">
        <v>28</v>
      </c>
      <c r="O893" s="34">
        <v>231</v>
      </c>
      <c r="P893" s="3">
        <v>2022</v>
      </c>
      <c r="Q893" s="3">
        <f>VLOOKUP(C893,layoffs_location!A:F,6,FALSE)</f>
        <v>32.0852997</v>
      </c>
      <c r="R893" s="3">
        <f>VLOOKUP(C893,layoffs_location!A:G,7,FALSE)</f>
        <v>34.781806400000001</v>
      </c>
    </row>
    <row r="894" spans="1:18" x14ac:dyDescent="0.2">
      <c r="A894" s="3">
        <v>893</v>
      </c>
      <c r="B894" s="3" t="s">
        <v>515</v>
      </c>
      <c r="C894" s="3" t="s">
        <v>13</v>
      </c>
      <c r="D894" s="3" t="str">
        <f>VLOOKUP(C894,layoffs_location!A:B,2,FALSE)</f>
        <v>other</v>
      </c>
      <c r="E894" s="3" t="str">
        <f>VLOOKUP(C894,layoffs_location!A:C,3,FALSE)</f>
        <v>Karnataka</v>
      </c>
      <c r="F894" s="3" t="str">
        <f>VLOOKUP(C894,layoffs_location!A:D,4,FALSE)</f>
        <v>India</v>
      </c>
      <c r="G894" s="3" t="str">
        <f>VLOOKUP(C894,layoffs_location!A:E,5,FALSE)</f>
        <v>Asia</v>
      </c>
      <c r="H894" s="3">
        <v>250</v>
      </c>
      <c r="I894" s="8">
        <v>44903</v>
      </c>
      <c r="J894" s="9">
        <v>3</v>
      </c>
      <c r="K894" s="10">
        <v>8333</v>
      </c>
      <c r="L894" s="10">
        <v>8083</v>
      </c>
      <c r="M894" s="3" t="s">
        <v>77</v>
      </c>
      <c r="N894" s="3" t="s">
        <v>22</v>
      </c>
      <c r="P894" s="3">
        <v>2022</v>
      </c>
      <c r="Q894" s="3">
        <f>VLOOKUP(C894,layoffs_location!A:F,6,FALSE)</f>
        <v>12.98815675</v>
      </c>
      <c r="R894" s="3">
        <f>VLOOKUP(C894,layoffs_location!A:G,7,FALSE)</f>
        <v>77.622600037959998</v>
      </c>
    </row>
    <row r="895" spans="1:18" x14ac:dyDescent="0.2">
      <c r="A895" s="3">
        <v>894</v>
      </c>
      <c r="B895" s="3" t="s">
        <v>606</v>
      </c>
      <c r="C895" s="3" t="s">
        <v>71</v>
      </c>
      <c r="D895" s="3" t="str">
        <f>VLOOKUP(C895,layoffs_location!A:B,2,FALSE)</f>
        <v>other</v>
      </c>
      <c r="E895" s="3" t="str">
        <f>VLOOKUP(C895,layoffs_location!A:C,3,FALSE)</f>
        <v>Massachusetts</v>
      </c>
      <c r="F895" s="3" t="str">
        <f>VLOOKUP(C895,layoffs_location!A:D,4,FALSE)</f>
        <v>USA</v>
      </c>
      <c r="G895" s="3" t="str">
        <f>VLOOKUP(C895,layoffs_location!A:E,5,FALSE)</f>
        <v>North America</v>
      </c>
      <c r="H895" s="3">
        <v>60</v>
      </c>
      <c r="I895" s="8">
        <v>44903</v>
      </c>
      <c r="J895" s="9">
        <v>5</v>
      </c>
      <c r="K895" s="10">
        <v>1200</v>
      </c>
      <c r="L895" s="10">
        <v>1140</v>
      </c>
      <c r="M895" s="3" t="s">
        <v>130</v>
      </c>
      <c r="N895" s="3" t="s">
        <v>28</v>
      </c>
      <c r="O895" s="34">
        <v>115</v>
      </c>
      <c r="P895" s="3">
        <v>2022</v>
      </c>
      <c r="Q895" s="3">
        <f>VLOOKUP(C895,layoffs_location!A:F,6,FALSE)</f>
        <v>42.355433400000003</v>
      </c>
      <c r="R895" s="3">
        <f>VLOOKUP(C895,layoffs_location!A:G,7,FALSE)</f>
        <v>-71.060511000000005</v>
      </c>
    </row>
    <row r="896" spans="1:18" x14ac:dyDescent="0.2">
      <c r="A896" s="3">
        <v>895</v>
      </c>
      <c r="B896" s="3" t="s">
        <v>601</v>
      </c>
      <c r="C896" s="3" t="s">
        <v>187</v>
      </c>
      <c r="D896" s="3" t="str">
        <f>VLOOKUP(C896,layoffs_location!A:B,2,FALSE)</f>
        <v>other</v>
      </c>
      <c r="E896" s="3" t="str">
        <f>VLOOKUP(C896,layoffs_location!A:C,3,FALSE)</f>
        <v>State of São Paulo</v>
      </c>
      <c r="F896" s="3" t="str">
        <f>VLOOKUP(C896,layoffs_location!A:D,4,FALSE)</f>
        <v>Brazil</v>
      </c>
      <c r="G896" s="3" t="str">
        <f>VLOOKUP(C896,layoffs_location!A:E,5,FALSE)</f>
        <v>South America</v>
      </c>
      <c r="H896" s="3">
        <v>113</v>
      </c>
      <c r="I896" s="8">
        <v>44904</v>
      </c>
      <c r="J896" s="9">
        <v>16</v>
      </c>
      <c r="K896" s="10">
        <v>706</v>
      </c>
      <c r="L896" s="10">
        <v>593</v>
      </c>
      <c r="M896" s="3" t="s">
        <v>21</v>
      </c>
      <c r="N896" s="3" t="s">
        <v>41</v>
      </c>
      <c r="O896" s="34">
        <v>174</v>
      </c>
      <c r="P896" s="3">
        <v>2022</v>
      </c>
      <c r="Q896" s="3">
        <f>VLOOKUP(C896,layoffs_location!A:F,6,FALSE)</f>
        <v>-23.550650699999998</v>
      </c>
      <c r="R896" s="3">
        <f>VLOOKUP(C896,layoffs_location!A:G,7,FALSE)</f>
        <v>-46.633382400000002</v>
      </c>
    </row>
    <row r="897" spans="1:18" x14ac:dyDescent="0.2">
      <c r="A897" s="3">
        <v>896</v>
      </c>
      <c r="B897" s="3" t="s">
        <v>102</v>
      </c>
      <c r="C897" s="3" t="s">
        <v>103</v>
      </c>
      <c r="D897" s="3" t="str">
        <f>VLOOKUP(C897,layoffs_location!A:B,2,FALSE)</f>
        <v>other</v>
      </c>
      <c r="E897" s="3" t="str">
        <f>VLOOKUP(C897,layoffs_location!A:C,3,FALSE)</f>
        <v>Kansas</v>
      </c>
      <c r="F897" s="3" t="str">
        <f>VLOOKUP(C897,layoffs_location!A:D,4,FALSE)</f>
        <v>USA</v>
      </c>
      <c r="G897" s="3" t="str">
        <f>VLOOKUP(C897,layoffs_location!A:E,5,FALSE)</f>
        <v>North America</v>
      </c>
      <c r="H897" s="3">
        <v>20</v>
      </c>
      <c r="I897" s="8">
        <v>44904</v>
      </c>
      <c r="J897" s="9">
        <v>2</v>
      </c>
      <c r="K897" s="10">
        <v>1000</v>
      </c>
      <c r="L897" s="10">
        <v>980</v>
      </c>
      <c r="M897" s="3" t="s">
        <v>35</v>
      </c>
      <c r="N897" s="3" t="s">
        <v>17</v>
      </c>
      <c r="O897" s="34">
        <v>537</v>
      </c>
      <c r="P897" s="3">
        <v>2022</v>
      </c>
      <c r="Q897" s="3">
        <f>VLOOKUP(C897,layoffs_location!A:F,6,FALSE)</f>
        <v>39.100104999999999</v>
      </c>
      <c r="R897" s="3">
        <f>VLOOKUP(C897,layoffs_location!A:G,7,FALSE)</f>
        <v>-94.578141599999995</v>
      </c>
    </row>
    <row r="898" spans="1:18" x14ac:dyDescent="0.2">
      <c r="A898" s="3">
        <v>897</v>
      </c>
      <c r="B898" s="3" t="s">
        <v>420</v>
      </c>
      <c r="C898" s="3" t="s">
        <v>135</v>
      </c>
      <c r="D898" s="3" t="str">
        <f>VLOOKUP(C898,layoffs_location!A:B,2,FALSE)</f>
        <v>other</v>
      </c>
      <c r="E898" s="3" t="str">
        <f>VLOOKUP(C898,layoffs_location!A:C,3,FALSE)</f>
        <v>Berlin</v>
      </c>
      <c r="F898" s="3" t="str">
        <f>VLOOKUP(C898,layoffs_location!A:D,4,FALSE)</f>
        <v>Germany</v>
      </c>
      <c r="G898" s="3" t="str">
        <f>VLOOKUP(C898,layoffs_location!A:E,5,FALSE)</f>
        <v>Europe</v>
      </c>
      <c r="H898" s="3">
        <v>62</v>
      </c>
      <c r="I898" s="8">
        <v>44904</v>
      </c>
      <c r="J898" s="9">
        <v>12</v>
      </c>
      <c r="K898" s="10">
        <v>517</v>
      </c>
      <c r="L898" s="10">
        <v>455</v>
      </c>
      <c r="M898" s="3" t="s">
        <v>130</v>
      </c>
      <c r="N898" s="3" t="s">
        <v>108</v>
      </c>
      <c r="O898" s="34">
        <v>442</v>
      </c>
      <c r="P898" s="3">
        <v>2022</v>
      </c>
      <c r="Q898" s="3">
        <f>VLOOKUP(C898,layoffs_location!A:F,6,FALSE)</f>
        <v>52.517036500000003</v>
      </c>
      <c r="R898" s="3">
        <f>VLOOKUP(C898,layoffs_location!A:G,7,FALSE)</f>
        <v>13.3888599</v>
      </c>
    </row>
    <row r="899" spans="1:18" x14ac:dyDescent="0.2">
      <c r="A899" s="3">
        <v>898</v>
      </c>
      <c r="B899" s="3" t="s">
        <v>602</v>
      </c>
      <c r="C899" s="3" t="s">
        <v>58</v>
      </c>
      <c r="D899" s="3" t="str">
        <f>VLOOKUP(C899,layoffs_location!A:B,2,FALSE)</f>
        <v>other</v>
      </c>
      <c r="E899" s="3" t="str">
        <f>VLOOKUP(C899,layoffs_location!A:C,3,FALSE)</f>
        <v>England</v>
      </c>
      <c r="F899" s="3" t="str">
        <f>VLOOKUP(C899,layoffs_location!A:D,4,FALSE)</f>
        <v>UK</v>
      </c>
      <c r="G899" s="3" t="str">
        <f>VLOOKUP(C899,layoffs_location!A:E,5,FALSE)</f>
        <v>Europe</v>
      </c>
      <c r="H899" s="3">
        <v>85</v>
      </c>
      <c r="I899" s="8">
        <v>44904</v>
      </c>
      <c r="J899" s="9">
        <v>33</v>
      </c>
      <c r="K899" s="10">
        <v>258</v>
      </c>
      <c r="L899" s="10">
        <v>173</v>
      </c>
      <c r="M899" s="3" t="s">
        <v>35</v>
      </c>
      <c r="N899" s="3" t="s">
        <v>49</v>
      </c>
      <c r="O899" s="34">
        <v>73</v>
      </c>
      <c r="P899" s="3">
        <v>2022</v>
      </c>
      <c r="Q899" s="3">
        <f>VLOOKUP(C899,layoffs_location!A:F,6,FALSE)</f>
        <v>51.489333500000001</v>
      </c>
      <c r="R899" s="3">
        <f>VLOOKUP(C899,layoffs_location!A:G,7,FALSE)</f>
        <v>-0.14405508452768701</v>
      </c>
    </row>
    <row r="900" spans="1:18" ht="16" x14ac:dyDescent="0.2">
      <c r="A900" s="3">
        <v>899</v>
      </c>
      <c r="B900" s="3" t="s">
        <v>598</v>
      </c>
      <c r="C900" s="11" t="s">
        <v>1370</v>
      </c>
      <c r="D900" s="3" t="str">
        <f>VLOOKUP(C900,layoffs_location!A:B,2,FALSE)</f>
        <v>San Francisco Bay Area</v>
      </c>
      <c r="E900" s="3" t="str">
        <f>VLOOKUP(C900,layoffs_location!A:C,3,FALSE)</f>
        <v>California</v>
      </c>
      <c r="F900" s="3" t="str">
        <f>VLOOKUP(C900,layoffs_location!A:D,4,FALSE)</f>
        <v>USA</v>
      </c>
      <c r="G900" s="3" t="str">
        <f>VLOOKUP(C900,layoffs_location!A:E,5,FALSE)</f>
        <v>North America</v>
      </c>
      <c r="H900" s="3">
        <v>43</v>
      </c>
      <c r="I900" s="8">
        <v>44905</v>
      </c>
      <c r="J900" s="9">
        <v>25</v>
      </c>
      <c r="K900" s="10">
        <v>172</v>
      </c>
      <c r="L900" s="10">
        <v>129</v>
      </c>
      <c r="M900" s="3" t="s">
        <v>68</v>
      </c>
      <c r="N900" s="3" t="s">
        <v>108</v>
      </c>
      <c r="O900" s="34">
        <v>240</v>
      </c>
      <c r="P900" s="3">
        <v>2022</v>
      </c>
      <c r="Q900" s="3">
        <f>VLOOKUP(C900,layoffs_location!A:F,6,FALSE)</f>
        <v>37.779258800000001</v>
      </c>
      <c r="R900" s="3">
        <f>VLOOKUP(C900,layoffs_location!A:G,7,FALSE)</f>
        <v>-122.4193286</v>
      </c>
    </row>
    <row r="901" spans="1:18" x14ac:dyDescent="0.2">
      <c r="A901" s="3">
        <v>900</v>
      </c>
      <c r="B901" s="3" t="s">
        <v>599</v>
      </c>
      <c r="C901" s="3" t="s">
        <v>600</v>
      </c>
      <c r="D901" s="3" t="str">
        <f>VLOOKUP(C901,layoffs_location!A:B,2,FALSE)</f>
        <v>other</v>
      </c>
      <c r="E901" s="3" t="str">
        <f>VLOOKUP(C901,layoffs_location!A:C,3,FALSE)</f>
        <v>Bayern</v>
      </c>
      <c r="F901" s="3" t="str">
        <f>VLOOKUP(C901,layoffs_location!A:D,4,FALSE)</f>
        <v>Germany</v>
      </c>
      <c r="G901" s="3" t="str">
        <f>VLOOKUP(C901,layoffs_location!A:E,5,FALSE)</f>
        <v>Europe</v>
      </c>
      <c r="H901" s="3">
        <v>20</v>
      </c>
      <c r="I901" s="8">
        <v>44905</v>
      </c>
      <c r="J901" s="9">
        <v>10</v>
      </c>
      <c r="K901" s="10">
        <v>200</v>
      </c>
      <c r="L901" s="10">
        <v>180</v>
      </c>
      <c r="M901" s="3" t="s">
        <v>48</v>
      </c>
      <c r="N901" s="3" t="s">
        <v>49</v>
      </c>
      <c r="O901" s="34">
        <v>94</v>
      </c>
      <c r="P901" s="3">
        <v>2022</v>
      </c>
      <c r="Q901" s="3">
        <f>VLOOKUP(C901,layoffs_location!A:F,6,FALSE)</f>
        <v>48.137107899999997</v>
      </c>
      <c r="R901" s="3">
        <f>VLOOKUP(C901,layoffs_location!A:G,7,FALSE)</f>
        <v>11.5753822</v>
      </c>
    </row>
    <row r="902" spans="1:18" x14ac:dyDescent="0.2">
      <c r="A902" s="3">
        <v>901</v>
      </c>
      <c r="B902" s="3" t="s">
        <v>597</v>
      </c>
      <c r="C902" s="3" t="s">
        <v>113</v>
      </c>
      <c r="D902" s="3" t="str">
        <f>VLOOKUP(C902,layoffs_location!A:B,2,FALSE)</f>
        <v>other</v>
      </c>
      <c r="E902" s="3" t="str">
        <f>VLOOKUP(C902,layoffs_location!A:C,3,FALSE)</f>
        <v>Utah</v>
      </c>
      <c r="F902" s="3" t="str">
        <f>VLOOKUP(C902,layoffs_location!A:D,4,FALSE)</f>
        <v>USA</v>
      </c>
      <c r="G902" s="3" t="str">
        <f>VLOOKUP(C902,layoffs_location!A:E,5,FALSE)</f>
        <v>North America</v>
      </c>
      <c r="H902" s="3">
        <v>400</v>
      </c>
      <c r="I902" s="8">
        <v>44907</v>
      </c>
      <c r="J902" s="9">
        <v>20</v>
      </c>
      <c r="K902" s="10">
        <v>2000</v>
      </c>
      <c r="L902" s="10">
        <v>1600</v>
      </c>
      <c r="M902" s="3" t="s">
        <v>68</v>
      </c>
      <c r="N902" s="3" t="s">
        <v>33</v>
      </c>
      <c r="O902" s="34">
        <v>192</v>
      </c>
      <c r="P902" s="3">
        <v>2022</v>
      </c>
      <c r="Q902" s="3">
        <f>VLOOKUP(C902,layoffs_location!A:F,6,FALSE)</f>
        <v>40.759619800000003</v>
      </c>
      <c r="R902" s="3">
        <f>VLOOKUP(C902,layoffs_location!A:G,7,FALSE)</f>
        <v>-111.886797</v>
      </c>
    </row>
    <row r="903" spans="1:18" x14ac:dyDescent="0.2">
      <c r="A903" s="3">
        <v>902</v>
      </c>
      <c r="B903" s="3" t="s">
        <v>263</v>
      </c>
      <c r="C903" s="3" t="s">
        <v>264</v>
      </c>
      <c r="D903" s="3" t="str">
        <f>VLOOKUP(C903,layoffs_location!A:B,2,FALSE)</f>
        <v>other</v>
      </c>
      <c r="E903" s="3" t="str">
        <f>VLOOKUP(C903,layoffs_location!A:C,3,FALSE)</f>
        <v>Arizona</v>
      </c>
      <c r="F903" s="3" t="str">
        <f>VLOOKUP(C903,layoffs_location!A:D,4,FALSE)</f>
        <v>USA</v>
      </c>
      <c r="G903" s="3" t="str">
        <f>VLOOKUP(C903,layoffs_location!A:E,5,FALSE)</f>
        <v>North America</v>
      </c>
      <c r="H903" s="3">
        <v>95</v>
      </c>
      <c r="I903" s="8">
        <v>44908</v>
      </c>
      <c r="J903" s="9">
        <v>10</v>
      </c>
      <c r="K903" s="10">
        <v>950</v>
      </c>
      <c r="L903" s="10">
        <v>855</v>
      </c>
      <c r="M903" s="3" t="s">
        <v>239</v>
      </c>
      <c r="N903" s="3" t="s">
        <v>28</v>
      </c>
      <c r="O903" s="34">
        <v>462</v>
      </c>
      <c r="P903" s="3">
        <v>2022</v>
      </c>
      <c r="Q903" s="3">
        <f>VLOOKUP(C903,layoffs_location!A:F,6,FALSE)</f>
        <v>33.448436700000002</v>
      </c>
      <c r="R903" s="3">
        <f>VLOOKUP(C903,layoffs_location!A:G,7,FALSE)</f>
        <v>-112.074141</v>
      </c>
    </row>
    <row r="904" spans="1:18" ht="16" x14ac:dyDescent="0.2">
      <c r="A904" s="3">
        <v>903</v>
      </c>
      <c r="B904" s="3" t="s">
        <v>596</v>
      </c>
      <c r="C904" s="11" t="s">
        <v>1370</v>
      </c>
      <c r="D904" s="3" t="str">
        <f>VLOOKUP(C904,layoffs_location!A:B,2,FALSE)</f>
        <v>San Francisco Bay Area</v>
      </c>
      <c r="E904" s="3" t="str">
        <f>VLOOKUP(C904,layoffs_location!A:C,3,FALSE)</f>
        <v>California</v>
      </c>
      <c r="F904" s="3" t="str">
        <f>VLOOKUP(C904,layoffs_location!A:D,4,FALSE)</f>
        <v>USA</v>
      </c>
      <c r="G904" s="3" t="str">
        <f>VLOOKUP(C904,layoffs_location!A:E,5,FALSE)</f>
        <v>North America</v>
      </c>
      <c r="H904" s="3">
        <v>78</v>
      </c>
      <c r="I904" s="8">
        <v>44908</v>
      </c>
      <c r="J904" s="9">
        <v>9</v>
      </c>
      <c r="K904" s="10">
        <v>867</v>
      </c>
      <c r="L904" s="10">
        <v>789</v>
      </c>
      <c r="M904" s="3" t="s">
        <v>21</v>
      </c>
      <c r="N904" s="3" t="s">
        <v>36</v>
      </c>
      <c r="O904" s="34">
        <v>514</v>
      </c>
      <c r="P904" s="3">
        <v>2022</v>
      </c>
      <c r="Q904" s="3">
        <f>VLOOKUP(C904,layoffs_location!A:F,6,FALSE)</f>
        <v>37.779258800000001</v>
      </c>
      <c r="R904" s="3">
        <f>VLOOKUP(C904,layoffs_location!A:G,7,FALSE)</f>
        <v>-122.4193286</v>
      </c>
    </row>
    <row r="905" spans="1:18" ht="16" x14ac:dyDescent="0.2">
      <c r="A905" s="3">
        <v>904</v>
      </c>
      <c r="B905" s="3" t="s">
        <v>595</v>
      </c>
      <c r="C905" s="11" t="s">
        <v>1370</v>
      </c>
      <c r="D905" s="3" t="str">
        <f>VLOOKUP(C905,layoffs_location!A:B,2,FALSE)</f>
        <v>San Francisco Bay Area</v>
      </c>
      <c r="E905" s="3" t="str">
        <f>VLOOKUP(C905,layoffs_location!A:C,3,FALSE)</f>
        <v>California</v>
      </c>
      <c r="F905" s="3" t="str">
        <f>VLOOKUP(C905,layoffs_location!A:D,4,FALSE)</f>
        <v>USA</v>
      </c>
      <c r="G905" s="3" t="str">
        <f>VLOOKUP(C905,layoffs_location!A:E,5,FALSE)</f>
        <v>North America</v>
      </c>
      <c r="H905" s="3">
        <v>160</v>
      </c>
      <c r="I905" s="8">
        <v>44908</v>
      </c>
      <c r="J905" s="9">
        <v>14</v>
      </c>
      <c r="K905" s="10">
        <v>1143</v>
      </c>
      <c r="L905" s="10">
        <v>983</v>
      </c>
      <c r="M905" s="3" t="s">
        <v>16</v>
      </c>
      <c r="N905" s="3" t="s">
        <v>567</v>
      </c>
      <c r="O905" s="34">
        <v>698</v>
      </c>
      <c r="P905" s="3">
        <v>2022</v>
      </c>
      <c r="Q905" s="3">
        <f>VLOOKUP(C905,layoffs_location!A:F,6,FALSE)</f>
        <v>37.779258800000001</v>
      </c>
      <c r="R905" s="3">
        <f>VLOOKUP(C905,layoffs_location!A:G,7,FALSE)</f>
        <v>-122.4193286</v>
      </c>
    </row>
    <row r="906" spans="1:18" x14ac:dyDescent="0.2">
      <c r="A906" s="3">
        <v>905</v>
      </c>
      <c r="B906" s="3" t="s">
        <v>594</v>
      </c>
      <c r="C906" s="3" t="s">
        <v>76</v>
      </c>
      <c r="D906" s="3" t="str">
        <f>VLOOKUP(C906,layoffs_location!A:B,2,FALSE)</f>
        <v>other</v>
      </c>
      <c r="E906" s="3" t="str">
        <f>VLOOKUP(C906,layoffs_location!A:C,3,FALSE)</f>
        <v>California</v>
      </c>
      <c r="F906" s="3" t="str">
        <f>VLOOKUP(C906,layoffs_location!A:D,4,FALSE)</f>
        <v>USA</v>
      </c>
      <c r="G906" s="3" t="str">
        <f>VLOOKUP(C906,layoffs_location!A:E,5,FALSE)</f>
        <v>North America</v>
      </c>
      <c r="H906" s="3">
        <v>40</v>
      </c>
      <c r="I906" s="8">
        <v>44909</v>
      </c>
      <c r="J906" s="9">
        <v>10</v>
      </c>
      <c r="K906" s="10">
        <v>400</v>
      </c>
      <c r="L906" s="10">
        <v>360</v>
      </c>
      <c r="M906" s="3" t="s">
        <v>77</v>
      </c>
      <c r="N906" s="3" t="s">
        <v>41</v>
      </c>
      <c r="O906" s="34">
        <v>64</v>
      </c>
      <c r="P906" s="3">
        <v>2022</v>
      </c>
      <c r="Q906" s="3">
        <f>VLOOKUP(C906,layoffs_location!A:F,6,FALSE)</f>
        <v>34.053690899999999</v>
      </c>
      <c r="R906" s="3">
        <f>VLOOKUP(C906,layoffs_location!A:G,7,FALSE)</f>
        <v>-118.242766</v>
      </c>
    </row>
    <row r="907" spans="1:18" x14ac:dyDescent="0.2">
      <c r="A907" s="3">
        <v>906</v>
      </c>
      <c r="B907" s="3" t="s">
        <v>232</v>
      </c>
      <c r="C907" s="3" t="s">
        <v>76</v>
      </c>
      <c r="D907" s="3" t="str">
        <f>VLOOKUP(C907,layoffs_location!A:B,2,FALSE)</f>
        <v>other</v>
      </c>
      <c r="E907" s="3" t="str">
        <f>VLOOKUP(C907,layoffs_location!A:C,3,FALSE)</f>
        <v>California</v>
      </c>
      <c r="F907" s="3" t="str">
        <f>VLOOKUP(C907,layoffs_location!A:D,4,FALSE)</f>
        <v>USA</v>
      </c>
      <c r="G907" s="3" t="str">
        <f>VLOOKUP(C907,layoffs_location!A:E,5,FALSE)</f>
        <v>North America</v>
      </c>
      <c r="H907" s="3">
        <v>50</v>
      </c>
      <c r="I907" s="8">
        <v>44909</v>
      </c>
      <c r="J907" s="9">
        <v>4</v>
      </c>
      <c r="K907" s="10">
        <v>1250</v>
      </c>
      <c r="L907" s="10">
        <v>1200</v>
      </c>
      <c r="M907" s="3" t="s">
        <v>21</v>
      </c>
      <c r="N907" s="3" t="s">
        <v>22</v>
      </c>
      <c r="O907" s="34">
        <v>215</v>
      </c>
      <c r="P907" s="3">
        <v>2022</v>
      </c>
      <c r="Q907" s="3">
        <f>VLOOKUP(C907,layoffs_location!A:F,6,FALSE)</f>
        <v>34.053690899999999</v>
      </c>
      <c r="R907" s="3">
        <f>VLOOKUP(C907,layoffs_location!A:G,7,FALSE)</f>
        <v>-118.242766</v>
      </c>
    </row>
    <row r="908" spans="1:18" x14ac:dyDescent="0.2">
      <c r="A908" s="3">
        <v>907</v>
      </c>
      <c r="B908" s="3" t="s">
        <v>593</v>
      </c>
      <c r="C908" s="3" t="s">
        <v>445</v>
      </c>
      <c r="D908" s="3" t="str">
        <f>VLOOKUP(C908,layoffs_location!A:B,2,FALSE)</f>
        <v>other</v>
      </c>
      <c r="E908" s="3" t="str">
        <f>VLOOKUP(C908,layoffs_location!A:C,3,FALSE)</f>
        <v>non</v>
      </c>
      <c r="F908" s="3" t="str">
        <f>VLOOKUP(C908,layoffs_location!A:D,4,FALSE)</f>
        <v>Indonesia</v>
      </c>
      <c r="G908" s="3" t="str">
        <f>VLOOKUP(C908,layoffs_location!A:E,5,FALSE)</f>
        <v>Asia</v>
      </c>
      <c r="H908" s="3">
        <v>200</v>
      </c>
      <c r="I908" s="8">
        <v>44909</v>
      </c>
      <c r="J908" s="9">
        <v>30</v>
      </c>
      <c r="K908" s="10">
        <v>667</v>
      </c>
      <c r="L908" s="10">
        <v>467</v>
      </c>
      <c r="M908" s="3" t="s">
        <v>30</v>
      </c>
      <c r="N908" s="3" t="s">
        <v>28</v>
      </c>
      <c r="P908" s="3">
        <v>2022</v>
      </c>
      <c r="Q908" s="3">
        <f>VLOOKUP(C908,layoffs_location!A:F,6,FALSE)</f>
        <v>-6.1752469999999997</v>
      </c>
      <c r="R908" s="3">
        <f>VLOOKUP(C908,layoffs_location!A:G,7,FALSE)</f>
        <v>106.8270488</v>
      </c>
    </row>
    <row r="909" spans="1:18" x14ac:dyDescent="0.2">
      <c r="A909" s="3">
        <v>908</v>
      </c>
      <c r="B909" s="3" t="s">
        <v>590</v>
      </c>
      <c r="C909" s="3" t="s">
        <v>83</v>
      </c>
      <c r="D909" s="3" t="str">
        <f>VLOOKUP(C909,layoffs_location!A:B,2,FALSE)</f>
        <v>other</v>
      </c>
      <c r="E909" s="3" t="str">
        <f>VLOOKUP(C909,layoffs_location!A:C,3,FALSE)</f>
        <v>Texas</v>
      </c>
      <c r="F909" s="3" t="str">
        <f>VLOOKUP(C909,layoffs_location!A:D,4,FALSE)</f>
        <v>USA</v>
      </c>
      <c r="G909" s="3" t="str">
        <f>VLOOKUP(C909,layoffs_location!A:E,5,FALSE)</f>
        <v>North America</v>
      </c>
      <c r="H909" s="3">
        <v>180</v>
      </c>
      <c r="I909" s="8">
        <v>44910</v>
      </c>
      <c r="J909" s="9">
        <v>13</v>
      </c>
      <c r="K909" s="10">
        <v>1385</v>
      </c>
      <c r="L909" s="10">
        <v>1205</v>
      </c>
      <c r="M909" s="3" t="s">
        <v>30</v>
      </c>
      <c r="N909" s="3" t="s">
        <v>28</v>
      </c>
      <c r="O909" s="34">
        <v>224</v>
      </c>
      <c r="P909" s="3">
        <v>2022</v>
      </c>
      <c r="Q909" s="3">
        <f>VLOOKUP(C909,layoffs_location!A:F,6,FALSE)</f>
        <v>30.271128600000001</v>
      </c>
      <c r="R909" s="3">
        <f>VLOOKUP(C909,layoffs_location!A:G,7,FALSE)</f>
        <v>-97.743699500000005</v>
      </c>
    </row>
    <row r="910" spans="1:18" x14ac:dyDescent="0.2">
      <c r="A910" s="3">
        <v>909</v>
      </c>
      <c r="B910" s="3" t="s">
        <v>379</v>
      </c>
      <c r="C910" s="3" t="s">
        <v>1713</v>
      </c>
      <c r="D910" s="3" t="str">
        <f>VLOOKUP(C910,layoffs_location!A:B,2,FALSE)</f>
        <v>San Francisco Bay Area</v>
      </c>
      <c r="E910" s="3" t="str">
        <f>VLOOKUP(C910,layoffs_location!A:C,3,FALSE)</f>
        <v>California</v>
      </c>
      <c r="F910" s="3" t="str">
        <f>VLOOKUP(C910,layoffs_location!A:D,4,FALSE)</f>
        <v>USA</v>
      </c>
      <c r="G910" s="3" t="str">
        <f>VLOOKUP(C910,layoffs_location!A:E,5,FALSE)</f>
        <v>North America</v>
      </c>
      <c r="H910" s="3">
        <v>90</v>
      </c>
      <c r="I910" s="8">
        <v>44910</v>
      </c>
      <c r="J910" s="9">
        <v>2</v>
      </c>
      <c r="K910" s="10">
        <v>4500</v>
      </c>
      <c r="L910" s="10">
        <v>4410</v>
      </c>
      <c r="M910" s="3" t="s">
        <v>274</v>
      </c>
      <c r="N910" s="3" t="s">
        <v>28</v>
      </c>
      <c r="O910" s="34">
        <v>484</v>
      </c>
      <c r="P910" s="3">
        <v>2022</v>
      </c>
      <c r="Q910" s="3">
        <f>VLOOKUP(C910,layoffs_location!A:F,6,FALSE)</f>
        <v>37.496904000000001</v>
      </c>
      <c r="R910" s="3">
        <f>VLOOKUP(C910,layoffs_location!A:G,7,FALSE)</f>
        <v>-122.33305729999999</v>
      </c>
    </row>
    <row r="911" spans="1:18" x14ac:dyDescent="0.2">
      <c r="A911" s="3">
        <v>910</v>
      </c>
      <c r="B911" s="3" t="s">
        <v>591</v>
      </c>
      <c r="C911" s="3" t="s">
        <v>39</v>
      </c>
      <c r="D911" s="3" t="str">
        <f>VLOOKUP(C911,layoffs_location!A:B,2,FALSE)</f>
        <v>New York</v>
      </c>
      <c r="E911" s="3" t="str">
        <f>VLOOKUP(C911,layoffs_location!A:C,3,FALSE)</f>
        <v>New York</v>
      </c>
      <c r="F911" s="3" t="str">
        <f>VLOOKUP(C911,layoffs_location!A:D,4,FALSE)</f>
        <v>USA</v>
      </c>
      <c r="G911" s="3" t="str">
        <f>VLOOKUP(C911,layoffs_location!A:E,5,FALSE)</f>
        <v>North America</v>
      </c>
      <c r="H911" s="3">
        <v>80</v>
      </c>
      <c r="I911" s="8">
        <v>44910</v>
      </c>
      <c r="J911" s="9">
        <v>31</v>
      </c>
      <c r="K911" s="10">
        <v>258</v>
      </c>
      <c r="L911" s="10">
        <v>178</v>
      </c>
      <c r="M911" s="3" t="s">
        <v>60</v>
      </c>
      <c r="N911" s="3" t="s">
        <v>41</v>
      </c>
      <c r="O911" s="34">
        <v>379</v>
      </c>
      <c r="P911" s="3">
        <v>2022</v>
      </c>
      <c r="Q911" s="3">
        <f>VLOOKUP(C911,layoffs_location!A:F,6,FALSE)</f>
        <v>40.7127281</v>
      </c>
      <c r="R911" s="3">
        <f>VLOOKUP(C911,layoffs_location!A:G,7,FALSE)</f>
        <v>-74.006015199999993</v>
      </c>
    </row>
    <row r="912" spans="1:18" x14ac:dyDescent="0.2">
      <c r="A912" s="3">
        <v>911</v>
      </c>
      <c r="B912" s="3" t="s">
        <v>592</v>
      </c>
      <c r="C912" s="3" t="s">
        <v>135</v>
      </c>
      <c r="D912" s="3" t="str">
        <f>VLOOKUP(C912,layoffs_location!A:B,2,FALSE)</f>
        <v>other</v>
      </c>
      <c r="E912" s="3" t="str">
        <f>VLOOKUP(C912,layoffs_location!A:C,3,FALSE)</f>
        <v>Berlin</v>
      </c>
      <c r="F912" s="3" t="str">
        <f>VLOOKUP(C912,layoffs_location!A:D,4,FALSE)</f>
        <v>Germany</v>
      </c>
      <c r="G912" s="3" t="str">
        <f>VLOOKUP(C912,layoffs_location!A:E,5,FALSE)</f>
        <v>Europe</v>
      </c>
      <c r="H912" s="3">
        <v>60</v>
      </c>
      <c r="I912" s="8">
        <v>44910</v>
      </c>
      <c r="J912" s="9">
        <v>20</v>
      </c>
      <c r="K912" s="10">
        <v>300</v>
      </c>
      <c r="L912" s="10">
        <v>240</v>
      </c>
      <c r="M912" s="3" t="s">
        <v>84</v>
      </c>
      <c r="N912" s="3" t="s">
        <v>49</v>
      </c>
      <c r="O912" s="34">
        <v>76</v>
      </c>
      <c r="P912" s="3">
        <v>2022</v>
      </c>
      <c r="Q912" s="3">
        <f>VLOOKUP(C912,layoffs_location!A:F,6,FALSE)</f>
        <v>52.517036500000003</v>
      </c>
      <c r="R912" s="3">
        <f>VLOOKUP(C912,layoffs_location!A:G,7,FALSE)</f>
        <v>13.3888599</v>
      </c>
    </row>
    <row r="913" spans="1:18" x14ac:dyDescent="0.2">
      <c r="A913" s="3">
        <v>912</v>
      </c>
      <c r="B913" s="3" t="s">
        <v>589</v>
      </c>
      <c r="C913" s="3" t="s">
        <v>115</v>
      </c>
      <c r="D913" s="3" t="str">
        <f>VLOOKUP(C913,layoffs_location!A:B,2,FALSE)</f>
        <v>other</v>
      </c>
      <c r="E913" s="3" t="str">
        <f>VLOOKUP(C913,layoffs_location!A:C,3,FALSE)</f>
        <v>Quebec</v>
      </c>
      <c r="F913" s="3" t="str">
        <f>VLOOKUP(C913,layoffs_location!A:D,4,FALSE)</f>
        <v>Canada</v>
      </c>
      <c r="G913" s="3" t="str">
        <f>VLOOKUP(C913,layoffs_location!A:E,5,FALSE)</f>
        <v>North America</v>
      </c>
      <c r="H913" s="3">
        <v>24</v>
      </c>
      <c r="I913" s="8">
        <v>44911</v>
      </c>
      <c r="J913" s="9">
        <v>30</v>
      </c>
      <c r="K913" s="10">
        <v>80</v>
      </c>
      <c r="L913" s="10">
        <v>56</v>
      </c>
      <c r="M913" s="3" t="s">
        <v>79</v>
      </c>
      <c r="N913" s="3" t="s">
        <v>69</v>
      </c>
      <c r="O913" s="34">
        <v>26</v>
      </c>
      <c r="P913" s="3">
        <v>2022</v>
      </c>
      <c r="Q913" s="3">
        <f>VLOOKUP(C913,layoffs_location!A:F,6,FALSE)</f>
        <v>45.5031824</v>
      </c>
      <c r="R913" s="3">
        <f>VLOOKUP(C913,layoffs_location!A:G,7,FALSE)</f>
        <v>-73.569806499999999</v>
      </c>
    </row>
    <row r="914" spans="1:18" x14ac:dyDescent="0.2">
      <c r="A914" s="3">
        <v>913</v>
      </c>
      <c r="B914" s="3" t="s">
        <v>587</v>
      </c>
      <c r="C914" s="3" t="s">
        <v>588</v>
      </c>
      <c r="D914" s="3" t="str">
        <f>VLOOKUP(C914,layoffs_location!A:B,2,FALSE)</f>
        <v>other</v>
      </c>
      <c r="E914" s="3" t="str">
        <f>VLOOKUP(C914,layoffs_location!A:C,3,FALSE)</f>
        <v>Hamburg</v>
      </c>
      <c r="F914" s="3" t="str">
        <f>VLOOKUP(C914,layoffs_location!A:D,4,FALSE)</f>
        <v>Germany</v>
      </c>
      <c r="G914" s="3" t="str">
        <f>VLOOKUP(C914,layoffs_location!A:E,5,FALSE)</f>
        <v>Europe</v>
      </c>
      <c r="H914" s="3">
        <v>30</v>
      </c>
      <c r="I914" s="8">
        <v>44911</v>
      </c>
      <c r="J914" s="9">
        <v>25</v>
      </c>
      <c r="K914" s="10">
        <v>120</v>
      </c>
      <c r="L914" s="10">
        <v>90</v>
      </c>
      <c r="M914" s="3" t="s">
        <v>35</v>
      </c>
      <c r="N914" s="3" t="s">
        <v>22</v>
      </c>
      <c r="O914" s="34">
        <v>29</v>
      </c>
      <c r="P914" s="3">
        <v>2022</v>
      </c>
      <c r="Q914" s="3">
        <f>VLOOKUP(C914,layoffs_location!A:F,6,FALSE)</f>
        <v>53.550341000000003</v>
      </c>
      <c r="R914" s="3">
        <f>VLOOKUP(C914,layoffs_location!A:G,7,FALSE)</f>
        <v>10.000654000000001</v>
      </c>
    </row>
    <row r="915" spans="1:18" x14ac:dyDescent="0.2">
      <c r="A915" s="3">
        <v>914</v>
      </c>
      <c r="B915" s="3" t="s">
        <v>586</v>
      </c>
      <c r="C915" s="3" t="s">
        <v>132</v>
      </c>
      <c r="D915" s="3" t="str">
        <f>VLOOKUP(C915,layoffs_location!A:B,2,FALSE)</f>
        <v>other</v>
      </c>
      <c r="E915" s="3" t="str">
        <f>VLOOKUP(C915,layoffs_location!A:C,3,FALSE)</f>
        <v>Colorado</v>
      </c>
      <c r="F915" s="3" t="str">
        <f>VLOOKUP(C915,layoffs_location!A:D,4,FALSE)</f>
        <v>USA</v>
      </c>
      <c r="G915" s="3" t="str">
        <f>VLOOKUP(C915,layoffs_location!A:E,5,FALSE)</f>
        <v>North America</v>
      </c>
      <c r="H915" s="3">
        <v>18</v>
      </c>
      <c r="I915" s="8">
        <v>44914</v>
      </c>
      <c r="J915" s="9">
        <v>13</v>
      </c>
      <c r="K915" s="10">
        <v>138</v>
      </c>
      <c r="L915" s="10">
        <v>120</v>
      </c>
      <c r="M915" s="3" t="s">
        <v>137</v>
      </c>
      <c r="N915" s="3" t="s">
        <v>33</v>
      </c>
      <c r="O915" s="34">
        <v>4</v>
      </c>
      <c r="P915" s="3">
        <v>2022</v>
      </c>
      <c r="Q915" s="3">
        <f>VLOOKUP(C915,layoffs_location!A:F,6,FALSE)</f>
        <v>39.739236400000003</v>
      </c>
      <c r="R915" s="3">
        <f>VLOOKUP(C915,layoffs_location!A:G,7,FALSE)</f>
        <v>-104.98486200000001</v>
      </c>
    </row>
    <row r="916" spans="1:18" x14ac:dyDescent="0.2">
      <c r="A916" s="3">
        <v>915</v>
      </c>
      <c r="B916" s="3" t="s">
        <v>585</v>
      </c>
      <c r="C916" s="3" t="s">
        <v>179</v>
      </c>
      <c r="D916" s="3" t="str">
        <f>VLOOKUP(C916,layoffs_location!A:B,2,FALSE)</f>
        <v>other</v>
      </c>
      <c r="E916" s="3" t="str">
        <f>VLOOKUP(C916,layoffs_location!A:C,3,FALSE)</f>
        <v>Ontario</v>
      </c>
      <c r="F916" s="3" t="str">
        <f>VLOOKUP(C916,layoffs_location!A:D,4,FALSE)</f>
        <v>Canada</v>
      </c>
      <c r="G916" s="3" t="str">
        <f>VLOOKUP(C916,layoffs_location!A:E,5,FALSE)</f>
        <v>North America</v>
      </c>
      <c r="H916" s="3">
        <v>26</v>
      </c>
      <c r="I916" s="8">
        <v>44915</v>
      </c>
      <c r="J916" s="9">
        <v>40</v>
      </c>
      <c r="K916" s="10">
        <v>65</v>
      </c>
      <c r="L916" s="10">
        <v>39</v>
      </c>
      <c r="M916" s="3" t="s">
        <v>35</v>
      </c>
      <c r="N916" s="3" t="s">
        <v>69</v>
      </c>
      <c r="O916" s="34">
        <v>10</v>
      </c>
      <c r="P916" s="3">
        <v>2022</v>
      </c>
      <c r="Q916" s="3">
        <f>VLOOKUP(C916,layoffs_location!A:F,6,FALSE)</f>
        <v>43.6534817</v>
      </c>
      <c r="R916" s="3">
        <f>VLOOKUP(C916,layoffs_location!A:G,7,FALSE)</f>
        <v>-79.383934699999998</v>
      </c>
    </row>
    <row r="917" spans="1:18" x14ac:dyDescent="0.2">
      <c r="A917" s="3">
        <v>916</v>
      </c>
      <c r="B917" s="3" t="s">
        <v>584</v>
      </c>
      <c r="C917" s="3" t="s">
        <v>244</v>
      </c>
      <c r="D917" s="3" t="str">
        <f>VLOOKUP(C917,layoffs_location!A:B,2,FALSE)</f>
        <v>other</v>
      </c>
      <c r="E917" s="3" t="str">
        <f>VLOOKUP(C917,layoffs_location!A:C,3,FALSE)</f>
        <v>non</v>
      </c>
      <c r="F917" s="3" t="str">
        <f>VLOOKUP(C917,layoffs_location!A:D,4,FALSE)</f>
        <v>Singapore</v>
      </c>
      <c r="G917" s="3" t="str">
        <f>VLOOKUP(C917,layoffs_location!A:E,5,FALSE)</f>
        <v>Asia</v>
      </c>
      <c r="H917" s="3">
        <v>65</v>
      </c>
      <c r="I917" s="8">
        <v>44915</v>
      </c>
      <c r="J917" s="9">
        <v>24</v>
      </c>
      <c r="K917" s="10">
        <v>271</v>
      </c>
      <c r="L917" s="10">
        <v>206</v>
      </c>
      <c r="M917" s="3" t="s">
        <v>77</v>
      </c>
      <c r="N917" s="3" t="s">
        <v>36</v>
      </c>
      <c r="O917" s="34">
        <v>50</v>
      </c>
      <c r="P917" s="3">
        <v>2022</v>
      </c>
      <c r="Q917" s="3">
        <f>VLOOKUP(C917,layoffs_location!A:F,6,FALSE)</f>
        <v>1.2899175000000001</v>
      </c>
      <c r="R917" s="3">
        <f>VLOOKUP(C917,layoffs_location!A:G,7,FALSE)</f>
        <v>103.8519072</v>
      </c>
    </row>
    <row r="918" spans="1:18" x14ac:dyDescent="0.2">
      <c r="A918" s="3">
        <v>917</v>
      </c>
      <c r="B918" s="3" t="s">
        <v>583</v>
      </c>
      <c r="C918" s="3" t="s">
        <v>74</v>
      </c>
      <c r="D918" s="3" t="str">
        <f>VLOOKUP(C918,layoffs_location!A:B,2,FALSE)</f>
        <v>other</v>
      </c>
      <c r="E918" s="3" t="str">
        <f>VLOOKUP(C918,layoffs_location!A:C,3,FALSE)</f>
        <v>California</v>
      </c>
      <c r="F918" s="3" t="str">
        <f>VLOOKUP(C918,layoffs_location!A:D,4,FALSE)</f>
        <v>USA</v>
      </c>
      <c r="G918" s="3" t="str">
        <f>VLOOKUP(C918,layoffs_location!A:E,5,FALSE)</f>
        <v>North America</v>
      </c>
      <c r="H918" s="3">
        <v>350</v>
      </c>
      <c r="I918" s="8">
        <v>44916</v>
      </c>
      <c r="J918" s="9">
        <v>25</v>
      </c>
      <c r="K918" s="10">
        <v>1400</v>
      </c>
      <c r="L918" s="10">
        <v>1050</v>
      </c>
      <c r="M918" s="3" t="s">
        <v>32</v>
      </c>
      <c r="N918" s="3" t="s">
        <v>28</v>
      </c>
      <c r="O918" s="34">
        <v>648</v>
      </c>
      <c r="P918" s="3">
        <v>2022</v>
      </c>
      <c r="Q918" s="3">
        <f>VLOOKUP(C918,layoffs_location!A:F,6,FALSE)</f>
        <v>32.717420199999999</v>
      </c>
      <c r="R918" s="3">
        <f>VLOOKUP(C918,layoffs_location!A:G,7,FALSE)</f>
        <v>-117.162772</v>
      </c>
    </row>
    <row r="919" spans="1:18" x14ac:dyDescent="0.2">
      <c r="A919" s="3">
        <v>918</v>
      </c>
      <c r="B919" s="3" t="s">
        <v>582</v>
      </c>
      <c r="C919" s="3" t="s">
        <v>97</v>
      </c>
      <c r="D919" s="3" t="str">
        <f>VLOOKUP(C919,layoffs_location!A:B,2,FALSE)</f>
        <v>other</v>
      </c>
      <c r="E919" s="3" t="str">
        <f>VLOOKUP(C919,layoffs_location!A:C,3,FALSE)</f>
        <v>non</v>
      </c>
      <c r="F919" s="3" t="str">
        <f>VLOOKUP(C919,layoffs_location!A:D,4,FALSE)</f>
        <v>France</v>
      </c>
      <c r="G919" s="3" t="str">
        <f>VLOOKUP(C919,layoffs_location!A:E,5,FALSE)</f>
        <v>Europe</v>
      </c>
      <c r="H919" s="3">
        <v>93</v>
      </c>
      <c r="I919" s="8">
        <v>44918</v>
      </c>
      <c r="J919" s="9">
        <v>13</v>
      </c>
      <c r="K919" s="10">
        <v>715</v>
      </c>
      <c r="L919" s="10">
        <v>622</v>
      </c>
      <c r="M919" s="3" t="s">
        <v>30</v>
      </c>
      <c r="N919" s="3" t="s">
        <v>36</v>
      </c>
      <c r="O919" s="34">
        <v>1000</v>
      </c>
      <c r="P919" s="3">
        <v>2022</v>
      </c>
      <c r="Q919" s="3">
        <f>VLOOKUP(C919,layoffs_location!A:F,6,FALSE)</f>
        <v>48.858889699999999</v>
      </c>
      <c r="R919" s="3">
        <f>VLOOKUP(C919,layoffs_location!A:G,7,FALSE)</f>
        <v>2.32004102172007</v>
      </c>
    </row>
    <row r="920" spans="1:18" x14ac:dyDescent="0.2">
      <c r="A920" s="3">
        <v>919</v>
      </c>
      <c r="B920" s="3" t="s">
        <v>429</v>
      </c>
      <c r="C920" s="3" t="s">
        <v>430</v>
      </c>
      <c r="D920" s="3" t="str">
        <f>VLOOKUP(C920,layoffs_location!A:B,2,FALSE)</f>
        <v>other</v>
      </c>
      <c r="E920" s="3" t="str">
        <f>VLOOKUP(C920,layoffs_location!A:C,3,FALSE)</f>
        <v>Idaho</v>
      </c>
      <c r="F920" s="3" t="str">
        <f>VLOOKUP(C920,layoffs_location!A:D,4,FALSE)</f>
        <v>USA</v>
      </c>
      <c r="G920" s="3" t="str">
        <f>VLOOKUP(C920,layoffs_location!A:E,5,FALSE)</f>
        <v>North America</v>
      </c>
      <c r="H920" s="3">
        <v>4800</v>
      </c>
      <c r="I920" s="8">
        <v>44927</v>
      </c>
      <c r="J920" s="9">
        <v>10</v>
      </c>
      <c r="K920" s="10">
        <v>48000</v>
      </c>
      <c r="L920" s="10">
        <v>43200</v>
      </c>
      <c r="M920" s="3" t="s">
        <v>87</v>
      </c>
      <c r="N920" s="3" t="s">
        <v>28</v>
      </c>
      <c r="O920" s="34">
        <v>50</v>
      </c>
      <c r="P920" s="3">
        <v>2023</v>
      </c>
      <c r="Q920" s="3">
        <f>VLOOKUP(C920,layoffs_location!A:F,6,FALSE)</f>
        <v>43.616616299999997</v>
      </c>
      <c r="R920" s="3">
        <f>VLOOKUP(C920,layoffs_location!A:G,7,FALSE)</f>
        <v>-116.200886</v>
      </c>
    </row>
    <row r="921" spans="1:18" x14ac:dyDescent="0.2">
      <c r="A921" s="3">
        <v>920</v>
      </c>
      <c r="B921" s="3" t="s">
        <v>581</v>
      </c>
      <c r="C921" s="3" t="s">
        <v>1473</v>
      </c>
      <c r="D921" s="3" t="str">
        <f>VLOOKUP(C921,layoffs_location!A:B,2,FALSE)</f>
        <v>San Francisco Bay Area</v>
      </c>
      <c r="E921" s="3" t="str">
        <f>VLOOKUP(C921,layoffs_location!A:C,3,FALSE)</f>
        <v>California</v>
      </c>
      <c r="F921" s="3" t="str">
        <f>VLOOKUP(C921,layoffs_location!A:D,4,FALSE)</f>
        <v>USA</v>
      </c>
      <c r="G921" s="3" t="str">
        <f>VLOOKUP(C921,layoffs_location!A:E,5,FALSE)</f>
        <v>North America</v>
      </c>
      <c r="H921" s="3">
        <v>76</v>
      </c>
      <c r="I921" s="8">
        <v>44929</v>
      </c>
      <c r="J921" s="9">
        <v>10</v>
      </c>
      <c r="K921" s="10">
        <v>760</v>
      </c>
      <c r="L921" s="10">
        <v>684</v>
      </c>
      <c r="M921" s="3" t="s">
        <v>274</v>
      </c>
      <c r="N921" s="3" t="s">
        <v>36</v>
      </c>
      <c r="O921" s="34">
        <v>620</v>
      </c>
      <c r="P921" s="3">
        <v>2023</v>
      </c>
      <c r="Q921" s="3">
        <f>VLOOKUP(C921,layoffs_location!A:F,6,FALSE)</f>
        <v>37.4443293</v>
      </c>
      <c r="R921" s="3">
        <f>VLOOKUP(C921,layoffs_location!A:G,7,FALSE)</f>
        <v>-122.1598465</v>
      </c>
    </row>
    <row r="922" spans="1:18" x14ac:dyDescent="0.2">
      <c r="A922" s="3">
        <v>921</v>
      </c>
      <c r="B922" s="3" t="s">
        <v>376</v>
      </c>
      <c r="C922" s="3" t="s">
        <v>43</v>
      </c>
      <c r="D922" s="3" t="str">
        <f>VLOOKUP(C922,layoffs_location!A:B,2,FALSE)</f>
        <v>Cascadia</v>
      </c>
      <c r="E922" s="3" t="str">
        <f>VLOOKUP(C922,layoffs_location!A:C,3,FALSE)</f>
        <v>Washington</v>
      </c>
      <c r="F922" s="3" t="str">
        <f>VLOOKUP(C922,layoffs_location!A:D,4,FALSE)</f>
        <v>USA</v>
      </c>
      <c r="G922" s="3" t="str">
        <f>VLOOKUP(C922,layoffs_location!A:E,5,FALSE)</f>
        <v>North America</v>
      </c>
      <c r="H922" s="3">
        <v>8000</v>
      </c>
      <c r="I922" s="8">
        <v>44930</v>
      </c>
      <c r="J922" s="9">
        <v>2</v>
      </c>
      <c r="K922" s="10">
        <v>400000</v>
      </c>
      <c r="L922" s="10">
        <v>392000</v>
      </c>
      <c r="M922" s="3" t="s">
        <v>30</v>
      </c>
      <c r="N922" s="3" t="s">
        <v>28</v>
      </c>
      <c r="O922" s="34">
        <v>108</v>
      </c>
      <c r="P922" s="3">
        <v>2023</v>
      </c>
      <c r="Q922" s="3">
        <f>VLOOKUP(C922,layoffs_location!A:F,6,FALSE)</f>
        <v>47.603832099999998</v>
      </c>
      <c r="R922" s="3">
        <f>VLOOKUP(C922,layoffs_location!A:G,7,FALSE)</f>
        <v>-122.330062</v>
      </c>
    </row>
    <row r="923" spans="1:18" x14ac:dyDescent="0.2">
      <c r="A923" s="3">
        <v>922</v>
      </c>
      <c r="B923" s="3" t="s">
        <v>340</v>
      </c>
      <c r="C923" s="3" t="s">
        <v>341</v>
      </c>
      <c r="D923" s="3" t="str">
        <f>VLOOKUP(C923,layoffs_location!A:B,2,FALSE)</f>
        <v>other</v>
      </c>
      <c r="E923" s="3" t="str">
        <f>VLOOKUP(C923,layoffs_location!A:C,3,FALSE)</f>
        <v>Ohio</v>
      </c>
      <c r="F923" s="3" t="str">
        <f>VLOOKUP(C923,layoffs_location!A:D,4,FALSE)</f>
        <v>USA</v>
      </c>
      <c r="G923" s="3" t="str">
        <f>VLOOKUP(C923,layoffs_location!A:E,5,FALSE)</f>
        <v>North America</v>
      </c>
      <c r="H923" s="3">
        <v>76</v>
      </c>
      <c r="I923" s="8">
        <v>44930</v>
      </c>
      <c r="J923" s="9">
        <v>20</v>
      </c>
      <c r="K923" s="10">
        <v>380</v>
      </c>
      <c r="L923" s="10">
        <v>304</v>
      </c>
      <c r="M923" s="3" t="s">
        <v>79</v>
      </c>
      <c r="N923" s="3" t="s">
        <v>41</v>
      </c>
      <c r="O923" s="34">
        <v>282</v>
      </c>
      <c r="P923" s="3">
        <v>2023</v>
      </c>
      <c r="Q923" s="3">
        <f>VLOOKUP(C923,layoffs_location!A:F,6,FALSE)</f>
        <v>39.1014537</v>
      </c>
      <c r="R923" s="3">
        <f>VLOOKUP(C923,layoffs_location!A:G,7,FALSE)</f>
        <v>-84.512460200000007</v>
      </c>
    </row>
    <row r="924" spans="1:18" x14ac:dyDescent="0.2">
      <c r="A924" s="3">
        <v>923</v>
      </c>
      <c r="B924" s="3" t="s">
        <v>185</v>
      </c>
      <c r="C924" s="3" t="s">
        <v>39</v>
      </c>
      <c r="D924" s="3" t="str">
        <f>VLOOKUP(C924,layoffs_location!A:B,2,FALSE)</f>
        <v>New York</v>
      </c>
      <c r="E924" s="3" t="str">
        <f>VLOOKUP(C924,layoffs_location!A:C,3,FALSE)</f>
        <v>New York</v>
      </c>
      <c r="F924" s="3" t="str">
        <f>VLOOKUP(C924,layoffs_location!A:D,4,FALSE)</f>
        <v>USA</v>
      </c>
      <c r="G924" s="3" t="str">
        <f>VLOOKUP(C924,layoffs_location!A:E,5,FALSE)</f>
        <v>North America</v>
      </c>
      <c r="H924" s="3">
        <v>20</v>
      </c>
      <c r="I924" s="8">
        <v>44930</v>
      </c>
      <c r="J924" s="9">
        <v>5</v>
      </c>
      <c r="K924" s="10">
        <v>400</v>
      </c>
      <c r="L924" s="10">
        <v>380</v>
      </c>
      <c r="M924" s="3" t="s">
        <v>155</v>
      </c>
      <c r="N924" s="3" t="s">
        <v>36</v>
      </c>
      <c r="O924" s="34">
        <v>274</v>
      </c>
      <c r="P924" s="3">
        <v>2023</v>
      </c>
      <c r="Q924" s="3">
        <f>VLOOKUP(C924,layoffs_location!A:F,6,FALSE)</f>
        <v>40.7127281</v>
      </c>
      <c r="R924" s="3">
        <f>VLOOKUP(C924,layoffs_location!A:G,7,FALSE)</f>
        <v>-74.006015199999993</v>
      </c>
    </row>
    <row r="925" spans="1:18" x14ac:dyDescent="0.2">
      <c r="A925" s="3">
        <v>924</v>
      </c>
      <c r="B925" s="3" t="s">
        <v>580</v>
      </c>
      <c r="C925" s="3" t="s">
        <v>39</v>
      </c>
      <c r="D925" s="3" t="str">
        <f>VLOOKUP(C925,layoffs_location!A:B,2,FALSE)</f>
        <v>New York</v>
      </c>
      <c r="E925" s="3" t="str">
        <f>VLOOKUP(C925,layoffs_location!A:C,3,FALSE)</f>
        <v>New York</v>
      </c>
      <c r="F925" s="3" t="str">
        <f>VLOOKUP(C925,layoffs_location!A:D,4,FALSE)</f>
        <v>USA</v>
      </c>
      <c r="G925" s="3" t="str">
        <f>VLOOKUP(C925,layoffs_location!A:E,5,FALSE)</f>
        <v>North America</v>
      </c>
      <c r="H925" s="3">
        <v>75</v>
      </c>
      <c r="I925" s="8">
        <v>44930</v>
      </c>
      <c r="J925" s="9">
        <v>11</v>
      </c>
      <c r="K925" s="10">
        <v>682</v>
      </c>
      <c r="L925" s="10">
        <v>607</v>
      </c>
      <c r="M925" s="3" t="s">
        <v>54</v>
      </c>
      <c r="N925" s="3" t="s">
        <v>28</v>
      </c>
      <c r="O925" s="34">
        <v>166</v>
      </c>
      <c r="P925" s="3">
        <v>2023</v>
      </c>
      <c r="Q925" s="3">
        <f>VLOOKUP(C925,layoffs_location!A:F,6,FALSE)</f>
        <v>40.7127281</v>
      </c>
      <c r="R925" s="3">
        <f>VLOOKUP(C925,layoffs_location!A:G,7,FALSE)</f>
        <v>-74.006015199999993</v>
      </c>
    </row>
    <row r="926" spans="1:18" ht="16" x14ac:dyDescent="0.2">
      <c r="A926" s="3">
        <v>925</v>
      </c>
      <c r="B926" s="3" t="s">
        <v>1686</v>
      </c>
      <c r="C926" s="11" t="s">
        <v>1370</v>
      </c>
      <c r="D926" s="3" t="str">
        <f>VLOOKUP(C926,layoffs_location!A:B,2,FALSE)</f>
        <v>San Francisco Bay Area</v>
      </c>
      <c r="E926" s="3" t="str">
        <f>VLOOKUP(C926,layoffs_location!A:C,3,FALSE)</f>
        <v>California</v>
      </c>
      <c r="F926" s="3" t="str">
        <f>VLOOKUP(C926,layoffs_location!A:D,4,FALSE)</f>
        <v>USA</v>
      </c>
      <c r="G926" s="3" t="str">
        <f>VLOOKUP(C926,layoffs_location!A:E,5,FALSE)</f>
        <v>North America</v>
      </c>
      <c r="H926" s="3">
        <v>8000</v>
      </c>
      <c r="I926" s="8">
        <v>44930</v>
      </c>
      <c r="J926" s="9">
        <v>10</v>
      </c>
      <c r="K926" s="10">
        <v>80000</v>
      </c>
      <c r="L926" s="10">
        <v>72000</v>
      </c>
      <c r="M926" s="3" t="s">
        <v>92</v>
      </c>
      <c r="N926" s="3" t="s">
        <v>28</v>
      </c>
      <c r="O926" s="34">
        <v>65</v>
      </c>
      <c r="P926" s="3">
        <v>2023</v>
      </c>
      <c r="Q926" s="3">
        <f>VLOOKUP(C926,layoffs_location!A:F,6,FALSE)</f>
        <v>37.779258800000001</v>
      </c>
      <c r="R926" s="3">
        <f>VLOOKUP(C926,layoffs_location!A:G,7,FALSE)</f>
        <v>-122.4193286</v>
      </c>
    </row>
    <row r="927" spans="1:18" x14ac:dyDescent="0.2">
      <c r="A927" s="3">
        <v>926</v>
      </c>
      <c r="B927" s="3" t="s">
        <v>575</v>
      </c>
      <c r="C927" s="3" t="s">
        <v>1370</v>
      </c>
      <c r="D927" s="3" t="str">
        <f>VLOOKUP(C927,layoffs_location!A:B,2,FALSE)</f>
        <v>San Francisco Bay Area</v>
      </c>
      <c r="E927" s="3" t="str">
        <f>VLOOKUP(C927,layoffs_location!A:C,3,FALSE)</f>
        <v>California</v>
      </c>
      <c r="F927" s="3" t="str">
        <f>VLOOKUP(C927,layoffs_location!A:D,4,FALSE)</f>
        <v>USA</v>
      </c>
      <c r="G927" s="3" t="str">
        <f>VLOOKUP(C927,layoffs_location!A:E,5,FALSE)</f>
        <v>North America</v>
      </c>
      <c r="H927" s="3">
        <v>30</v>
      </c>
      <c r="I927" s="8">
        <v>44931</v>
      </c>
      <c r="J927" s="9">
        <v>17</v>
      </c>
      <c r="K927" s="10">
        <v>176</v>
      </c>
      <c r="L927" s="10">
        <v>146</v>
      </c>
      <c r="M927" s="3" t="s">
        <v>30</v>
      </c>
      <c r="N927" s="3" t="s">
        <v>22</v>
      </c>
      <c r="O927" s="34">
        <v>176</v>
      </c>
      <c r="P927" s="3">
        <v>2023</v>
      </c>
      <c r="Q927" s="3">
        <f>VLOOKUP(C927,layoffs_location!A:F,6,FALSE)</f>
        <v>37.779258800000001</v>
      </c>
      <c r="R927" s="3">
        <f>VLOOKUP(C927,layoffs_location!A:G,7,FALSE)</f>
        <v>-122.4193286</v>
      </c>
    </row>
    <row r="928" spans="1:18" x14ac:dyDescent="0.2">
      <c r="A928" s="3">
        <v>927</v>
      </c>
      <c r="B928" s="3" t="s">
        <v>574</v>
      </c>
      <c r="C928" s="3" t="s">
        <v>244</v>
      </c>
      <c r="D928" s="3" t="str">
        <f>VLOOKUP(C928,layoffs_location!A:B,2,FALSE)</f>
        <v>other</v>
      </c>
      <c r="E928" s="3" t="str">
        <f>VLOOKUP(C928,layoffs_location!A:C,3,FALSE)</f>
        <v>non</v>
      </c>
      <c r="F928" s="3" t="str">
        <f>VLOOKUP(C928,layoffs_location!A:D,4,FALSE)</f>
        <v>Singapore</v>
      </c>
      <c r="G928" s="3" t="str">
        <f>VLOOKUP(C928,layoffs_location!A:E,5,FALSE)</f>
        <v>Asia</v>
      </c>
      <c r="H928" s="3">
        <v>40</v>
      </c>
      <c r="I928" s="8">
        <v>44931</v>
      </c>
      <c r="J928" s="9">
        <v>2</v>
      </c>
      <c r="K928" s="10">
        <v>2000</v>
      </c>
      <c r="L928" s="10">
        <v>1960</v>
      </c>
      <c r="M928" s="3" t="s">
        <v>30</v>
      </c>
      <c r="N928" s="3" t="s">
        <v>63</v>
      </c>
      <c r="O928" s="34">
        <v>472</v>
      </c>
      <c r="P928" s="3">
        <v>2023</v>
      </c>
      <c r="Q928" s="3">
        <f>VLOOKUP(C928,layoffs_location!A:F,6,FALSE)</f>
        <v>1.2899175000000001</v>
      </c>
      <c r="R928" s="3">
        <f>VLOOKUP(C928,layoffs_location!A:G,7,FALSE)</f>
        <v>103.8519072</v>
      </c>
    </row>
    <row r="929" spans="1:18" x14ac:dyDescent="0.2">
      <c r="A929" s="3">
        <v>928</v>
      </c>
      <c r="B929" s="3" t="s">
        <v>576</v>
      </c>
      <c r="C929" s="3" t="s">
        <v>47</v>
      </c>
      <c r="D929" s="3" t="str">
        <f>VLOOKUP(C929,layoffs_location!A:B,2,FALSE)</f>
        <v>other</v>
      </c>
      <c r="E929" s="3" t="str">
        <f>VLOOKUP(C929,layoffs_location!A:C,3,FALSE)</f>
        <v>non</v>
      </c>
      <c r="F929" s="3" t="str">
        <f>VLOOKUP(C929,layoffs_location!A:D,4,FALSE)</f>
        <v>Israel</v>
      </c>
      <c r="G929" s="3" t="str">
        <f>VLOOKUP(C929,layoffs_location!A:E,5,FALSE)</f>
        <v>Asia</v>
      </c>
      <c r="H929" s="3">
        <v>30</v>
      </c>
      <c r="I929" s="8">
        <v>44931</v>
      </c>
      <c r="J929" s="9">
        <v>25</v>
      </c>
      <c r="K929" s="10">
        <v>120</v>
      </c>
      <c r="L929" s="10">
        <v>90</v>
      </c>
      <c r="M929" s="3" t="s">
        <v>79</v>
      </c>
      <c r="N929" s="3" t="s">
        <v>41</v>
      </c>
      <c r="O929" s="34">
        <v>116</v>
      </c>
      <c r="P929" s="3">
        <v>2023</v>
      </c>
      <c r="Q929" s="3">
        <f>VLOOKUP(C929,layoffs_location!A:F,6,FALSE)</f>
        <v>32.0852997</v>
      </c>
      <c r="R929" s="3">
        <f>VLOOKUP(C929,layoffs_location!A:G,7,FALSE)</f>
        <v>34.781806400000001</v>
      </c>
    </row>
    <row r="930" spans="1:18" x14ac:dyDescent="0.2">
      <c r="A930" s="3">
        <v>929</v>
      </c>
      <c r="B930" s="3" t="s">
        <v>577</v>
      </c>
      <c r="C930" s="3" t="s">
        <v>39</v>
      </c>
      <c r="D930" s="3" t="str">
        <f>VLOOKUP(C930,layoffs_location!A:B,2,FALSE)</f>
        <v>New York</v>
      </c>
      <c r="E930" s="3" t="str">
        <f>VLOOKUP(C930,layoffs_location!A:C,3,FALSE)</f>
        <v>New York</v>
      </c>
      <c r="F930" s="3" t="str">
        <f>VLOOKUP(C930,layoffs_location!A:D,4,FALSE)</f>
        <v>USA</v>
      </c>
      <c r="G930" s="3" t="str">
        <f>VLOOKUP(C930,layoffs_location!A:E,5,FALSE)</f>
        <v>North America</v>
      </c>
      <c r="H930" s="3">
        <v>30</v>
      </c>
      <c r="I930" s="8">
        <v>44931</v>
      </c>
      <c r="J930" s="9">
        <v>8</v>
      </c>
      <c r="K930" s="10">
        <v>375</v>
      </c>
      <c r="L930" s="10">
        <v>345</v>
      </c>
      <c r="M930" s="3" t="s">
        <v>274</v>
      </c>
      <c r="N930" s="3" t="s">
        <v>1696</v>
      </c>
      <c r="O930" s="34">
        <v>178</v>
      </c>
      <c r="P930" s="3">
        <v>2023</v>
      </c>
      <c r="Q930" s="3">
        <f>VLOOKUP(C930,layoffs_location!A:F,6,FALSE)</f>
        <v>40.7127281</v>
      </c>
      <c r="R930" s="3">
        <f>VLOOKUP(C930,layoffs_location!A:G,7,FALSE)</f>
        <v>-74.006015199999993</v>
      </c>
    </row>
    <row r="931" spans="1:18" x14ac:dyDescent="0.2">
      <c r="A931" s="3">
        <v>930</v>
      </c>
      <c r="B931" s="3" t="s">
        <v>572</v>
      </c>
      <c r="C931" s="3" t="s">
        <v>573</v>
      </c>
      <c r="D931" s="3" t="str">
        <f>VLOOKUP(C931,layoffs_location!A:B,2,FALSE)</f>
        <v>other</v>
      </c>
      <c r="E931" s="3" t="str">
        <f>VLOOKUP(C931,layoffs_location!A:C,3,FALSE)</f>
        <v>Nevada</v>
      </c>
      <c r="F931" s="3" t="str">
        <f>VLOOKUP(C931,layoffs_location!A:D,4,FALSE)</f>
        <v>USA</v>
      </c>
      <c r="G931" s="3" t="str">
        <f>VLOOKUP(C931,layoffs_location!A:E,5,FALSE)</f>
        <v>North America</v>
      </c>
      <c r="H931" s="3">
        <v>104</v>
      </c>
      <c r="I931" s="8">
        <v>44931</v>
      </c>
      <c r="J931" s="9">
        <v>19</v>
      </c>
      <c r="K931" s="10">
        <v>547</v>
      </c>
      <c r="L931" s="10">
        <v>443</v>
      </c>
      <c r="M931" s="3" t="s">
        <v>35</v>
      </c>
      <c r="N931" s="3" t="s">
        <v>36</v>
      </c>
      <c r="O931" s="34">
        <v>646</v>
      </c>
      <c r="P931" s="3">
        <v>2023</v>
      </c>
      <c r="Q931" s="3">
        <f>VLOOKUP(C931,layoffs_location!A:F,6,FALSE)</f>
        <v>39.526120599999999</v>
      </c>
      <c r="R931" s="3">
        <f>VLOOKUP(C931,layoffs_location!A:G,7,FALSE)</f>
        <v>-119.81265809999999</v>
      </c>
    </row>
    <row r="932" spans="1:18" x14ac:dyDescent="0.2">
      <c r="A932" s="3">
        <v>931</v>
      </c>
      <c r="B932" s="3" t="s">
        <v>571</v>
      </c>
      <c r="C932" s="3" t="s">
        <v>1415</v>
      </c>
      <c r="D932" s="3" t="str">
        <f>VLOOKUP(C932,layoffs_location!A:B,2,FALSE)</f>
        <v>San Francisco Bay Area</v>
      </c>
      <c r="E932" s="3" t="str">
        <f>VLOOKUP(C932,layoffs_location!A:C,3,FALSE)</f>
        <v>California</v>
      </c>
      <c r="F932" s="3" t="str">
        <f>VLOOKUP(C932,layoffs_location!A:D,4,FALSE)</f>
        <v>USA</v>
      </c>
      <c r="G932" s="3" t="str">
        <f>VLOOKUP(C932,layoffs_location!A:E,5,FALSE)</f>
        <v>North America</v>
      </c>
      <c r="H932" s="3">
        <v>200</v>
      </c>
      <c r="I932" s="8">
        <v>44931</v>
      </c>
      <c r="J932" s="9">
        <v>50</v>
      </c>
      <c r="K932" s="10">
        <v>400</v>
      </c>
      <c r="L932" s="10">
        <v>200</v>
      </c>
      <c r="M932" s="3" t="s">
        <v>60</v>
      </c>
      <c r="N932" s="3" t="s">
        <v>28</v>
      </c>
      <c r="O932" s="34">
        <v>326</v>
      </c>
      <c r="P932" s="3">
        <v>2023</v>
      </c>
      <c r="Q932" s="3">
        <f>VLOOKUP(C932,layoffs_location!A:F,6,FALSE)</f>
        <v>37.354106999999999</v>
      </c>
      <c r="R932" s="3">
        <f>VLOOKUP(C932,layoffs_location!A:G,7,FALSE)</f>
        <v>-121.95523799999999</v>
      </c>
    </row>
    <row r="933" spans="1:18" x14ac:dyDescent="0.2">
      <c r="A933" s="3">
        <v>932</v>
      </c>
      <c r="B933" s="3" t="s">
        <v>578</v>
      </c>
      <c r="C933" s="3" t="s">
        <v>47</v>
      </c>
      <c r="D933" s="3" t="str">
        <f>VLOOKUP(C933,layoffs_location!A:B,2,FALSE)</f>
        <v>other</v>
      </c>
      <c r="E933" s="3" t="str">
        <f>VLOOKUP(C933,layoffs_location!A:C,3,FALSE)</f>
        <v>non</v>
      </c>
      <c r="F933" s="3" t="str">
        <f>VLOOKUP(C933,layoffs_location!A:D,4,FALSE)</f>
        <v>Israel</v>
      </c>
      <c r="G933" s="3" t="str">
        <f>VLOOKUP(C933,layoffs_location!A:E,5,FALSE)</f>
        <v>Asia</v>
      </c>
      <c r="H933" s="3">
        <v>30</v>
      </c>
      <c r="I933" s="8">
        <v>44931</v>
      </c>
      <c r="J933" s="9">
        <v>33</v>
      </c>
      <c r="K933" s="10">
        <v>91</v>
      </c>
      <c r="L933" s="10">
        <v>61</v>
      </c>
      <c r="M933" s="3" t="s">
        <v>87</v>
      </c>
      <c r="N933" s="3" t="s">
        <v>22</v>
      </c>
      <c r="O933" s="34">
        <v>50</v>
      </c>
      <c r="P933" s="3">
        <v>2023</v>
      </c>
      <c r="Q933" s="3">
        <f>VLOOKUP(C933,layoffs_location!A:F,6,FALSE)</f>
        <v>32.0852997</v>
      </c>
      <c r="R933" s="3">
        <f>VLOOKUP(C933,layoffs_location!A:G,7,FALSE)</f>
        <v>34.781806400000001</v>
      </c>
    </row>
    <row r="934" spans="1:18" x14ac:dyDescent="0.2">
      <c r="A934" s="3">
        <v>933</v>
      </c>
      <c r="B934" s="3" t="s">
        <v>579</v>
      </c>
      <c r="C934" s="3" t="s">
        <v>182</v>
      </c>
      <c r="D934" s="3" t="str">
        <f>VLOOKUP(C934,layoffs_location!A:B,2,FALSE)</f>
        <v>other</v>
      </c>
      <c r="E934" s="3" t="str">
        <f>VLOOKUP(C934,layoffs_location!A:C,3,FALSE)</f>
        <v>Haryana</v>
      </c>
      <c r="F934" s="3" t="str">
        <f>VLOOKUP(C934,layoffs_location!A:D,4,FALSE)</f>
        <v>India</v>
      </c>
      <c r="G934" s="3" t="str">
        <f>VLOOKUP(C934,layoffs_location!A:E,5,FALSE)</f>
        <v>Asia</v>
      </c>
      <c r="H934" s="3">
        <v>25</v>
      </c>
      <c r="I934" s="8">
        <v>44931</v>
      </c>
      <c r="J934" s="9">
        <v>15</v>
      </c>
      <c r="K934" s="10">
        <v>167</v>
      </c>
      <c r="L934" s="10">
        <v>142</v>
      </c>
      <c r="M934" s="3" t="s">
        <v>30</v>
      </c>
      <c r="N934" s="3" t="s">
        <v>49</v>
      </c>
      <c r="O934" s="34">
        <v>62</v>
      </c>
      <c r="P934" s="3">
        <v>2023</v>
      </c>
      <c r="Q934" s="3">
        <f>VLOOKUP(C934,layoffs_location!A:F,6,FALSE)</f>
        <v>28.4646148</v>
      </c>
      <c r="R934" s="3">
        <f>VLOOKUP(C934,layoffs_location!A:G,7,FALSE)</f>
        <v>77.029919399999997</v>
      </c>
    </row>
    <row r="935" spans="1:18" x14ac:dyDescent="0.2">
      <c r="A935" s="3">
        <v>934</v>
      </c>
      <c r="B935" s="3" t="s">
        <v>570</v>
      </c>
      <c r="C935" s="3" t="s">
        <v>13</v>
      </c>
      <c r="D935" s="3" t="str">
        <f>VLOOKUP(C935,layoffs_location!A:B,2,FALSE)</f>
        <v>other</v>
      </c>
      <c r="E935" s="3" t="str">
        <f>VLOOKUP(C935,layoffs_location!A:C,3,FALSE)</f>
        <v>Karnataka</v>
      </c>
      <c r="F935" s="3" t="str">
        <f>VLOOKUP(C935,layoffs_location!A:D,4,FALSE)</f>
        <v>India</v>
      </c>
      <c r="G935" s="3" t="str">
        <f>VLOOKUP(C935,layoffs_location!A:E,5,FALSE)</f>
        <v>Asia</v>
      </c>
      <c r="H935" s="3">
        <v>40</v>
      </c>
      <c r="I935" s="8">
        <v>44932</v>
      </c>
      <c r="J935" s="9">
        <v>5</v>
      </c>
      <c r="K935" s="10">
        <v>800</v>
      </c>
      <c r="L935" s="10">
        <v>760</v>
      </c>
      <c r="M935" s="3" t="s">
        <v>32</v>
      </c>
      <c r="N935" s="3" t="s">
        <v>108</v>
      </c>
      <c r="O935" s="34">
        <v>214</v>
      </c>
      <c r="P935" s="3">
        <v>2023</v>
      </c>
      <c r="Q935" s="3">
        <f>VLOOKUP(C935,layoffs_location!A:F,6,FALSE)</f>
        <v>12.98815675</v>
      </c>
      <c r="R935" s="3">
        <f>VLOOKUP(C935,layoffs_location!A:G,7,FALSE)</f>
        <v>77.622600037959998</v>
      </c>
    </row>
    <row r="936" spans="1:18" x14ac:dyDescent="0.2">
      <c r="A936" s="3">
        <v>935</v>
      </c>
      <c r="B936" s="3" t="s">
        <v>568</v>
      </c>
      <c r="C936" s="3" t="s">
        <v>1739</v>
      </c>
      <c r="D936" s="3" t="str">
        <f>VLOOKUP(C936,layoffs_location!A:B,2,FALSE)</f>
        <v>other</v>
      </c>
      <c r="E936" s="3" t="str">
        <f>VLOOKUP(C936,layoffs_location!A:C,3,FALSE)</f>
        <v>non</v>
      </c>
      <c r="F936" s="3" t="str">
        <f>VLOOKUP(C936,layoffs_location!A:D,4,FALSE)</f>
        <v>China</v>
      </c>
      <c r="G936" s="3" t="str">
        <f>VLOOKUP(C936,layoffs_location!A:E,5,FALSE)</f>
        <v>Asia</v>
      </c>
      <c r="H936" s="3">
        <v>275</v>
      </c>
      <c r="I936" s="8">
        <v>44932</v>
      </c>
      <c r="J936" s="9">
        <v>20</v>
      </c>
      <c r="K936" s="10">
        <v>1375</v>
      </c>
      <c r="L936" s="10">
        <v>1100</v>
      </c>
      <c r="M936" s="3" t="s">
        <v>117</v>
      </c>
      <c r="N936" s="3" t="s">
        <v>22</v>
      </c>
      <c r="O936" s="34">
        <v>2</v>
      </c>
      <c r="P936" s="3">
        <v>2023</v>
      </c>
      <c r="Q936" s="3">
        <f>VLOOKUP(C936,layoffs_location!A:F,6,FALSE)</f>
        <v>39.916668000000001</v>
      </c>
      <c r="R936" s="3">
        <f>VLOOKUP(C936,layoffs_location!A:G,7,FALSE)</f>
        <v>116.383331</v>
      </c>
    </row>
    <row r="937" spans="1:18" x14ac:dyDescent="0.2">
      <c r="A937" s="3">
        <v>936</v>
      </c>
      <c r="B937" s="3" t="s">
        <v>566</v>
      </c>
      <c r="C937" s="3" t="s">
        <v>58</v>
      </c>
      <c r="D937" s="3" t="str">
        <f>VLOOKUP(C937,layoffs_location!A:B,2,FALSE)</f>
        <v>other</v>
      </c>
      <c r="E937" s="3" t="str">
        <f>VLOOKUP(C937,layoffs_location!A:C,3,FALSE)</f>
        <v>England</v>
      </c>
      <c r="F937" s="3" t="str">
        <f>VLOOKUP(C937,layoffs_location!A:D,4,FALSE)</f>
        <v>UK</v>
      </c>
      <c r="G937" s="3" t="str">
        <f>VLOOKUP(C937,layoffs_location!A:E,5,FALSE)</f>
        <v>Europe</v>
      </c>
      <c r="H937" s="3">
        <v>50</v>
      </c>
      <c r="I937" s="8">
        <v>44934</v>
      </c>
      <c r="J937" s="9">
        <v>10</v>
      </c>
      <c r="K937" s="10">
        <v>500</v>
      </c>
      <c r="L937" s="10">
        <v>450</v>
      </c>
      <c r="M937" s="3" t="s">
        <v>54</v>
      </c>
      <c r="N937" s="3" t="s">
        <v>567</v>
      </c>
      <c r="O937" s="34">
        <v>160</v>
      </c>
      <c r="P937" s="3">
        <v>2023</v>
      </c>
      <c r="Q937" s="3">
        <f>VLOOKUP(C937,layoffs_location!A:F,6,FALSE)</f>
        <v>51.489333500000001</v>
      </c>
      <c r="R937" s="3">
        <f>VLOOKUP(C937,layoffs_location!A:G,7,FALSE)</f>
        <v>-0.14405508452768701</v>
      </c>
    </row>
    <row r="938" spans="1:18" x14ac:dyDescent="0.2">
      <c r="A938" s="3">
        <v>937</v>
      </c>
      <c r="B938" s="3" t="s">
        <v>333</v>
      </c>
      <c r="C938" s="3" t="s">
        <v>1370</v>
      </c>
      <c r="D938" s="3" t="str">
        <f>VLOOKUP(C938,layoffs_location!A:B,2,FALSE)</f>
        <v>San Francisco Bay Area</v>
      </c>
      <c r="E938" s="3" t="str">
        <f>VLOOKUP(C938,layoffs_location!A:C,3,FALSE)</f>
        <v>California</v>
      </c>
      <c r="F938" s="3" t="str">
        <f>VLOOKUP(C938,layoffs_location!A:D,4,FALSE)</f>
        <v>USA</v>
      </c>
      <c r="G938" s="3" t="str">
        <f>VLOOKUP(C938,layoffs_location!A:E,5,FALSE)</f>
        <v>North America</v>
      </c>
      <c r="H938" s="3">
        <v>43</v>
      </c>
      <c r="I938" s="8">
        <v>44934</v>
      </c>
      <c r="J938" s="9">
        <v>3</v>
      </c>
      <c r="K938" s="10">
        <v>1433</v>
      </c>
      <c r="L938" s="10">
        <v>1390</v>
      </c>
      <c r="M938" s="3" t="s">
        <v>60</v>
      </c>
      <c r="N938" s="3" t="s">
        <v>28</v>
      </c>
      <c r="O938" s="34">
        <v>307</v>
      </c>
      <c r="P938" s="3">
        <v>2023</v>
      </c>
      <c r="Q938" s="3">
        <f>VLOOKUP(C938,layoffs_location!A:F,6,FALSE)</f>
        <v>37.779258800000001</v>
      </c>
      <c r="R938" s="3">
        <f>VLOOKUP(C938,layoffs_location!A:G,7,FALSE)</f>
        <v>-122.4193286</v>
      </c>
    </row>
    <row r="939" spans="1:18" x14ac:dyDescent="0.2">
      <c r="A939" s="3">
        <v>938</v>
      </c>
      <c r="B939" s="3" t="s">
        <v>565</v>
      </c>
      <c r="C939" s="3" t="s">
        <v>74</v>
      </c>
      <c r="D939" s="3" t="str">
        <f>VLOOKUP(C939,layoffs_location!A:B,2,FALSE)</f>
        <v>other</v>
      </c>
      <c r="E939" s="3" t="str">
        <f>VLOOKUP(C939,layoffs_location!A:C,3,FALSE)</f>
        <v>California</v>
      </c>
      <c r="F939" s="3" t="str">
        <f>VLOOKUP(C939,layoffs_location!A:D,4,FALSE)</f>
        <v>USA</v>
      </c>
      <c r="G939" s="3" t="str">
        <f>VLOOKUP(C939,layoffs_location!A:E,5,FALSE)</f>
        <v>North America</v>
      </c>
      <c r="H939" s="3">
        <v>315</v>
      </c>
      <c r="I939" s="8">
        <v>44935</v>
      </c>
      <c r="J939" s="9">
        <v>57</v>
      </c>
      <c r="K939" s="10">
        <v>553</v>
      </c>
      <c r="L939" s="10">
        <v>238</v>
      </c>
      <c r="M939" s="3" t="s">
        <v>21</v>
      </c>
      <c r="N939" s="3" t="s">
        <v>28</v>
      </c>
      <c r="P939" s="3">
        <v>2023</v>
      </c>
      <c r="Q939" s="3">
        <f>VLOOKUP(C939,layoffs_location!A:F,6,FALSE)</f>
        <v>32.717420199999999</v>
      </c>
      <c r="R939" s="3">
        <f>VLOOKUP(C939,layoffs_location!A:G,7,FALSE)</f>
        <v>-117.162772</v>
      </c>
    </row>
    <row r="940" spans="1:18" x14ac:dyDescent="0.2">
      <c r="A940" s="3">
        <v>939</v>
      </c>
      <c r="B940" s="3" t="s">
        <v>172</v>
      </c>
      <c r="C940" s="3" t="s">
        <v>1370</v>
      </c>
      <c r="D940" s="3" t="str">
        <f>VLOOKUP(C940,layoffs_location!A:B,2,FALSE)</f>
        <v>San Francisco Bay Area</v>
      </c>
      <c r="E940" s="3" t="str">
        <f>VLOOKUP(C940,layoffs_location!A:C,3,FALSE)</f>
        <v>California</v>
      </c>
      <c r="F940" s="3" t="str">
        <f>VLOOKUP(C940,layoffs_location!A:D,4,FALSE)</f>
        <v>USA</v>
      </c>
      <c r="G940" s="3" t="str">
        <f>VLOOKUP(C940,layoffs_location!A:E,5,FALSE)</f>
        <v>North America</v>
      </c>
      <c r="H940" s="3">
        <v>340</v>
      </c>
      <c r="I940" s="8">
        <v>44936</v>
      </c>
      <c r="J940" s="9">
        <v>28</v>
      </c>
      <c r="K940" s="10">
        <v>1214</v>
      </c>
      <c r="L940" s="10">
        <v>874</v>
      </c>
      <c r="M940" s="3" t="s">
        <v>35</v>
      </c>
      <c r="N940" s="3" t="s">
        <v>28</v>
      </c>
      <c r="O940" s="34">
        <v>665</v>
      </c>
      <c r="P940" s="3">
        <v>2023</v>
      </c>
      <c r="Q940" s="3">
        <f>VLOOKUP(C940,layoffs_location!A:F,6,FALSE)</f>
        <v>37.779258800000001</v>
      </c>
      <c r="R940" s="3">
        <f>VLOOKUP(C940,layoffs_location!A:G,7,FALSE)</f>
        <v>-122.4193286</v>
      </c>
    </row>
    <row r="941" spans="1:18" x14ac:dyDescent="0.2">
      <c r="A941" s="3">
        <v>940</v>
      </c>
      <c r="B941" s="3" t="s">
        <v>564</v>
      </c>
      <c r="C941" s="3" t="s">
        <v>83</v>
      </c>
      <c r="D941" s="3" t="str">
        <f>VLOOKUP(C941,layoffs_location!A:B,2,FALSE)</f>
        <v>other</v>
      </c>
      <c r="E941" s="3" t="str">
        <f>VLOOKUP(C941,layoffs_location!A:C,3,FALSE)</f>
        <v>Texas</v>
      </c>
      <c r="F941" s="3" t="str">
        <f>VLOOKUP(C941,layoffs_location!A:D,4,FALSE)</f>
        <v>USA</v>
      </c>
      <c r="G941" s="3" t="str">
        <f>VLOOKUP(C941,layoffs_location!A:E,5,FALSE)</f>
        <v>North America</v>
      </c>
      <c r="H941" s="3">
        <v>25</v>
      </c>
      <c r="I941" s="8">
        <v>44936</v>
      </c>
      <c r="J941" s="9">
        <v>4</v>
      </c>
      <c r="K941" s="10">
        <v>625</v>
      </c>
      <c r="L941" s="10">
        <v>600</v>
      </c>
      <c r="M941" s="3" t="s">
        <v>30</v>
      </c>
      <c r="N941" s="3" t="s">
        <v>22</v>
      </c>
      <c r="O941" s="34">
        <v>383</v>
      </c>
      <c r="P941" s="3">
        <v>2023</v>
      </c>
      <c r="Q941" s="3">
        <f>VLOOKUP(C941,layoffs_location!A:F,6,FALSE)</f>
        <v>30.271128600000001</v>
      </c>
      <c r="R941" s="3">
        <f>VLOOKUP(C941,layoffs_location!A:G,7,FALSE)</f>
        <v>-97.743699500000005</v>
      </c>
    </row>
    <row r="942" spans="1:18" x14ac:dyDescent="0.2">
      <c r="A942" s="3">
        <v>941</v>
      </c>
      <c r="B942" s="3" t="s">
        <v>557</v>
      </c>
      <c r="C942" s="3" t="s">
        <v>1370</v>
      </c>
      <c r="D942" s="3" t="str">
        <f>VLOOKUP(C942,layoffs_location!A:B,2,FALSE)</f>
        <v>San Francisco Bay Area</v>
      </c>
      <c r="E942" s="3" t="str">
        <f>VLOOKUP(C942,layoffs_location!A:C,3,FALSE)</f>
        <v>California</v>
      </c>
      <c r="F942" s="3" t="str">
        <f>VLOOKUP(C942,layoffs_location!A:D,4,FALSE)</f>
        <v>USA</v>
      </c>
      <c r="G942" s="3" t="str">
        <f>VLOOKUP(C942,layoffs_location!A:E,5,FALSE)</f>
        <v>North America</v>
      </c>
      <c r="H942" s="3">
        <v>950</v>
      </c>
      <c r="I942" s="8">
        <v>44936</v>
      </c>
      <c r="J942" s="9">
        <v>20</v>
      </c>
      <c r="K942" s="10">
        <v>4750</v>
      </c>
      <c r="L942" s="10">
        <v>3800</v>
      </c>
      <c r="M942" s="3" t="s">
        <v>117</v>
      </c>
      <c r="N942" s="3" t="s">
        <v>28</v>
      </c>
      <c r="O942" s="34">
        <v>549</v>
      </c>
      <c r="P942" s="3">
        <v>2023</v>
      </c>
      <c r="Q942" s="3">
        <f>VLOOKUP(C942,layoffs_location!A:F,6,FALSE)</f>
        <v>37.779258800000001</v>
      </c>
      <c r="R942" s="3">
        <f>VLOOKUP(C942,layoffs_location!A:G,7,FALSE)</f>
        <v>-122.4193286</v>
      </c>
    </row>
    <row r="943" spans="1:18" x14ac:dyDescent="0.2">
      <c r="A943" s="3">
        <v>942</v>
      </c>
      <c r="B943" s="3" t="s">
        <v>558</v>
      </c>
      <c r="C943" s="3" t="s">
        <v>39</v>
      </c>
      <c r="D943" s="3" t="str">
        <f>VLOOKUP(C943,layoffs_location!A:B,2,FALSE)</f>
        <v>New York</v>
      </c>
      <c r="E943" s="3" t="str">
        <f>VLOOKUP(C943,layoffs_location!A:C,3,FALSE)</f>
        <v>New York</v>
      </c>
      <c r="F943" s="3" t="str">
        <f>VLOOKUP(C943,layoffs_location!A:D,4,FALSE)</f>
        <v>USA</v>
      </c>
      <c r="G943" s="3" t="str">
        <f>VLOOKUP(C943,layoffs_location!A:E,5,FALSE)</f>
        <v>North America</v>
      </c>
      <c r="H943" s="3">
        <v>100</v>
      </c>
      <c r="I943" s="8">
        <v>44936</v>
      </c>
      <c r="J943" s="9">
        <v>11</v>
      </c>
      <c r="K943" s="10">
        <v>909</v>
      </c>
      <c r="L943" s="10">
        <v>809</v>
      </c>
      <c r="M943" s="3" t="s">
        <v>117</v>
      </c>
      <c r="N943" s="3" t="s">
        <v>108</v>
      </c>
      <c r="O943" s="34">
        <v>726</v>
      </c>
      <c r="P943" s="3">
        <v>2023</v>
      </c>
      <c r="Q943" s="3">
        <f>VLOOKUP(C943,layoffs_location!A:F,6,FALSE)</f>
        <v>40.7127281</v>
      </c>
      <c r="R943" s="3">
        <f>VLOOKUP(C943,layoffs_location!A:G,7,FALSE)</f>
        <v>-74.006015199999993</v>
      </c>
    </row>
    <row r="944" spans="1:18" x14ac:dyDescent="0.2">
      <c r="A944" s="3">
        <v>943</v>
      </c>
      <c r="B944" s="3" t="s">
        <v>559</v>
      </c>
      <c r="C944" s="3" t="s">
        <v>47</v>
      </c>
      <c r="D944" s="3" t="str">
        <f>VLOOKUP(C944,layoffs_location!A:B,2,FALSE)</f>
        <v>other</v>
      </c>
      <c r="E944" s="3" t="str">
        <f>VLOOKUP(C944,layoffs_location!A:C,3,FALSE)</f>
        <v>non</v>
      </c>
      <c r="F944" s="3" t="str">
        <f>VLOOKUP(C944,layoffs_location!A:D,4,FALSE)</f>
        <v>Israel</v>
      </c>
      <c r="G944" s="3" t="str">
        <f>VLOOKUP(C944,layoffs_location!A:E,5,FALSE)</f>
        <v>Asia</v>
      </c>
      <c r="H944" s="3">
        <v>100</v>
      </c>
      <c r="I944" s="8">
        <v>44936</v>
      </c>
      <c r="J944" s="9">
        <v>10</v>
      </c>
      <c r="K944" s="10">
        <v>1000</v>
      </c>
      <c r="L944" s="10">
        <v>900</v>
      </c>
      <c r="M944" s="3" t="s">
        <v>139</v>
      </c>
      <c r="N944" s="3" t="s">
        <v>33</v>
      </c>
      <c r="O944" s="34">
        <v>125</v>
      </c>
      <c r="P944" s="3">
        <v>2023</v>
      </c>
      <c r="Q944" s="3">
        <f>VLOOKUP(C944,layoffs_location!A:F,6,FALSE)</f>
        <v>32.0852997</v>
      </c>
      <c r="R944" s="3">
        <f>VLOOKUP(C944,layoffs_location!A:G,7,FALSE)</f>
        <v>34.781806400000001</v>
      </c>
    </row>
    <row r="945" spans="1:18" x14ac:dyDescent="0.2">
      <c r="A945" s="3">
        <v>944</v>
      </c>
      <c r="B945" s="3" t="s">
        <v>563</v>
      </c>
      <c r="C945" s="3" t="s">
        <v>179</v>
      </c>
      <c r="D945" s="3" t="str">
        <f>VLOOKUP(C945,layoffs_location!A:B,2,FALSE)</f>
        <v>other</v>
      </c>
      <c r="E945" s="3" t="str">
        <f>VLOOKUP(C945,layoffs_location!A:C,3,FALSE)</f>
        <v>Ontario</v>
      </c>
      <c r="F945" s="3" t="str">
        <f>VLOOKUP(C945,layoffs_location!A:D,4,FALSE)</f>
        <v>Canada</v>
      </c>
      <c r="G945" s="3" t="str">
        <f>VLOOKUP(C945,layoffs_location!A:E,5,FALSE)</f>
        <v>North America</v>
      </c>
      <c r="H945" s="3">
        <v>55</v>
      </c>
      <c r="I945" s="8">
        <v>44936</v>
      </c>
      <c r="J945" s="9">
        <v>5</v>
      </c>
      <c r="K945" s="10">
        <v>1100</v>
      </c>
      <c r="L945" s="10">
        <v>1045</v>
      </c>
      <c r="M945" s="3" t="s">
        <v>90</v>
      </c>
      <c r="N945" s="3" t="s">
        <v>41</v>
      </c>
      <c r="O945" s="34">
        <v>178</v>
      </c>
      <c r="P945" s="3">
        <v>2023</v>
      </c>
      <c r="Q945" s="3">
        <f>VLOOKUP(C945,layoffs_location!A:F,6,FALSE)</f>
        <v>43.6534817</v>
      </c>
      <c r="R945" s="3">
        <f>VLOOKUP(C945,layoffs_location!A:G,7,FALSE)</f>
        <v>-79.383934699999998</v>
      </c>
    </row>
    <row r="946" spans="1:18" x14ac:dyDescent="0.2">
      <c r="A946" s="3">
        <v>945</v>
      </c>
      <c r="B946" s="3" t="s">
        <v>561</v>
      </c>
      <c r="C946" s="3" t="s">
        <v>562</v>
      </c>
      <c r="D946" s="3" t="str">
        <f>VLOOKUP(C946,layoffs_location!A:B,2,FALSE)</f>
        <v>other</v>
      </c>
      <c r="E946" s="3" t="str">
        <f>VLOOKUP(C946,layoffs_location!A:C,3,FALSE)</f>
        <v>Tennessee</v>
      </c>
      <c r="F946" s="3" t="str">
        <f>VLOOKUP(C946,layoffs_location!A:D,4,FALSE)</f>
        <v>USA</v>
      </c>
      <c r="G946" s="3" t="str">
        <f>VLOOKUP(C946,layoffs_location!A:E,5,FALSE)</f>
        <v>North America</v>
      </c>
      <c r="H946" s="3">
        <v>60</v>
      </c>
      <c r="I946" s="8">
        <v>44936</v>
      </c>
      <c r="J946" s="9">
        <v>75</v>
      </c>
      <c r="K946" s="10">
        <v>80</v>
      </c>
      <c r="L946" s="10">
        <v>20</v>
      </c>
      <c r="M946" s="3" t="s">
        <v>16</v>
      </c>
      <c r="N946" s="3" t="s">
        <v>49</v>
      </c>
      <c r="O946" s="34">
        <v>36</v>
      </c>
      <c r="P946" s="3">
        <v>2023</v>
      </c>
      <c r="Q946" s="3">
        <f>VLOOKUP(C946,layoffs_location!A:F,6,FALSE)</f>
        <v>36.1622767</v>
      </c>
      <c r="R946" s="3">
        <f>VLOOKUP(C946,layoffs_location!A:G,7,FALSE)</f>
        <v>-86.774298400000006</v>
      </c>
    </row>
    <row r="947" spans="1:18" x14ac:dyDescent="0.2">
      <c r="A947" s="3">
        <v>946</v>
      </c>
      <c r="B947" s="3" t="s">
        <v>169</v>
      </c>
      <c r="C947" s="3" t="s">
        <v>47</v>
      </c>
      <c r="D947" s="3" t="str">
        <f>VLOOKUP(C947,layoffs_location!A:B,2,FALSE)</f>
        <v>other</v>
      </c>
      <c r="E947" s="3" t="str">
        <f>VLOOKUP(C947,layoffs_location!A:C,3,FALSE)</f>
        <v>non</v>
      </c>
      <c r="F947" s="3" t="str">
        <f>VLOOKUP(C947,layoffs_location!A:D,4,FALSE)</f>
        <v>Israel</v>
      </c>
      <c r="G947" s="3" t="str">
        <f>VLOOKUP(C947,layoffs_location!A:E,5,FALSE)</f>
        <v>Asia</v>
      </c>
      <c r="H947" s="3">
        <v>40</v>
      </c>
      <c r="I947" s="8">
        <v>44936</v>
      </c>
      <c r="J947" s="9">
        <v>20</v>
      </c>
      <c r="K947" s="10">
        <v>200</v>
      </c>
      <c r="L947" s="10">
        <v>160</v>
      </c>
      <c r="M947" s="3" t="s">
        <v>54</v>
      </c>
      <c r="N947" s="3" t="s">
        <v>49</v>
      </c>
      <c r="O947" s="34">
        <v>111</v>
      </c>
      <c r="P947" s="3">
        <v>2023</v>
      </c>
      <c r="Q947" s="3">
        <f>VLOOKUP(C947,layoffs_location!A:F,6,FALSE)</f>
        <v>32.0852997</v>
      </c>
      <c r="R947" s="3">
        <f>VLOOKUP(C947,layoffs_location!A:G,7,FALSE)</f>
        <v>34.781806400000001</v>
      </c>
    </row>
    <row r="948" spans="1:18" x14ac:dyDescent="0.2">
      <c r="A948" s="3">
        <v>947</v>
      </c>
      <c r="B948" s="3" t="s">
        <v>560</v>
      </c>
      <c r="C948" s="3" t="s">
        <v>271</v>
      </c>
      <c r="D948" s="3" t="str">
        <f>VLOOKUP(C948,layoffs_location!A:B,2,FALSE)</f>
        <v>Cascadia</v>
      </c>
      <c r="E948" s="3" t="str">
        <f>VLOOKUP(C948,layoffs_location!A:C,3,FALSE)</f>
        <v>British Columbia</v>
      </c>
      <c r="F948" s="3" t="str">
        <f>VLOOKUP(C948,layoffs_location!A:D,4,FALSE)</f>
        <v>Canada</v>
      </c>
      <c r="G948" s="3" t="str">
        <f>VLOOKUP(C948,layoffs_location!A:E,5,FALSE)</f>
        <v>North America</v>
      </c>
      <c r="H948" s="3">
        <v>76</v>
      </c>
      <c r="I948" s="8">
        <v>44936</v>
      </c>
      <c r="J948" s="9">
        <v>19</v>
      </c>
      <c r="K948" s="10">
        <v>400</v>
      </c>
      <c r="L948" s="10">
        <v>324</v>
      </c>
      <c r="M948" s="3" t="s">
        <v>68</v>
      </c>
      <c r="N948" s="3" t="s">
        <v>28</v>
      </c>
      <c r="O948" s="34">
        <v>22</v>
      </c>
      <c r="P948" s="3">
        <v>2023</v>
      </c>
      <c r="Q948" s="3">
        <f>VLOOKUP(C948,layoffs_location!A:F,6,FALSE)</f>
        <v>49.260872399999997</v>
      </c>
      <c r="R948" s="3">
        <f>VLOOKUP(C948,layoffs_location!A:G,7,FALSE)</f>
        <v>-123.113952</v>
      </c>
    </row>
    <row r="949" spans="1:18" x14ac:dyDescent="0.2">
      <c r="A949" s="3">
        <v>948</v>
      </c>
      <c r="B949" s="3" t="s">
        <v>554</v>
      </c>
      <c r="C949" s="3" t="s">
        <v>1370</v>
      </c>
      <c r="D949" s="3" t="str">
        <f>VLOOKUP(C949,layoffs_location!A:B,2,FALSE)</f>
        <v>San Francisco Bay Area</v>
      </c>
      <c r="E949" s="3" t="str">
        <f>VLOOKUP(C949,layoffs_location!A:C,3,FALSE)</f>
        <v>California</v>
      </c>
      <c r="F949" s="3" t="str">
        <f>VLOOKUP(C949,layoffs_location!A:D,4,FALSE)</f>
        <v>USA</v>
      </c>
      <c r="G949" s="3" t="str">
        <f>VLOOKUP(C949,layoffs_location!A:E,5,FALSE)</f>
        <v>North America</v>
      </c>
      <c r="H949" s="3">
        <v>640</v>
      </c>
      <c r="I949" s="8">
        <v>44937</v>
      </c>
      <c r="J949" s="9">
        <v>20</v>
      </c>
      <c r="K949" s="10">
        <v>3200</v>
      </c>
      <c r="L949" s="10">
        <v>2560</v>
      </c>
      <c r="M949" s="3" t="s">
        <v>90</v>
      </c>
      <c r="N949" s="3" t="s">
        <v>36</v>
      </c>
      <c r="O949" s="34">
        <v>2400</v>
      </c>
      <c r="P949" s="3">
        <v>2023</v>
      </c>
      <c r="Q949" s="3">
        <f>VLOOKUP(C949,layoffs_location!A:F,6,FALSE)</f>
        <v>37.779258800000001</v>
      </c>
      <c r="R949" s="3">
        <f>VLOOKUP(C949,layoffs_location!A:G,7,FALSE)</f>
        <v>-122.4193286</v>
      </c>
    </row>
    <row r="950" spans="1:18" x14ac:dyDescent="0.2">
      <c r="A950" s="3">
        <v>949</v>
      </c>
      <c r="B950" s="3" t="s">
        <v>556</v>
      </c>
      <c r="C950" s="3" t="s">
        <v>1720</v>
      </c>
      <c r="D950" s="3" t="str">
        <f>VLOOKUP(C950,layoffs_location!A:B,2,FALSE)</f>
        <v>San Francisco Bay Area</v>
      </c>
      <c r="E950" s="3" t="str">
        <f>VLOOKUP(C950,layoffs_location!A:C,3,FALSE)</f>
        <v>California</v>
      </c>
      <c r="F950" s="3" t="str">
        <f>VLOOKUP(C950,layoffs_location!A:D,4,FALSE)</f>
        <v>USA</v>
      </c>
      <c r="G950" s="3" t="str">
        <f>VLOOKUP(C950,layoffs_location!A:E,5,FALSE)</f>
        <v>North America</v>
      </c>
      <c r="H950" s="3">
        <v>100</v>
      </c>
      <c r="I950" s="8">
        <v>44937</v>
      </c>
      <c r="J950" s="9">
        <v>6</v>
      </c>
      <c r="K950" s="10">
        <v>1667</v>
      </c>
      <c r="L950" s="10">
        <v>1567</v>
      </c>
      <c r="M950" s="3" t="s">
        <v>139</v>
      </c>
      <c r="N950" s="3" t="s">
        <v>1696</v>
      </c>
      <c r="O950" s="34">
        <v>205</v>
      </c>
      <c r="P950" s="3">
        <v>2023</v>
      </c>
      <c r="Q950" s="3">
        <f>VLOOKUP(C950,layoffs_location!A:F,6,FALSE)</f>
        <v>37.368830099999997</v>
      </c>
      <c r="R950" s="3">
        <f>VLOOKUP(C950,layoffs_location!A:G,7,FALSE)</f>
        <v>-122.036349</v>
      </c>
    </row>
    <row r="951" spans="1:18" x14ac:dyDescent="0.2">
      <c r="A951" s="3">
        <v>950</v>
      </c>
      <c r="B951" s="3" t="s">
        <v>112</v>
      </c>
      <c r="C951" s="3" t="s">
        <v>113</v>
      </c>
      <c r="D951" s="3" t="str">
        <f>VLOOKUP(C951,layoffs_location!A:B,2,FALSE)</f>
        <v>other</v>
      </c>
      <c r="E951" s="3" t="str">
        <f>VLOOKUP(C951,layoffs_location!A:C,3,FALSE)</f>
        <v>Utah</v>
      </c>
      <c r="F951" s="3" t="str">
        <f>VLOOKUP(C951,layoffs_location!A:D,4,FALSE)</f>
        <v>USA</v>
      </c>
      <c r="G951" s="3" t="str">
        <f>VLOOKUP(C951,layoffs_location!A:E,5,FALSE)</f>
        <v>North America</v>
      </c>
      <c r="H951" s="3">
        <v>270</v>
      </c>
      <c r="I951" s="8">
        <v>44937</v>
      </c>
      <c r="J951" s="9">
        <v>5</v>
      </c>
      <c r="K951" s="10">
        <v>5400</v>
      </c>
      <c r="L951" s="10">
        <v>5130</v>
      </c>
      <c r="M951" s="3" t="s">
        <v>60</v>
      </c>
      <c r="N951" s="3" t="s">
        <v>28</v>
      </c>
      <c r="O951" s="34">
        <v>400</v>
      </c>
      <c r="P951" s="3">
        <v>2023</v>
      </c>
      <c r="Q951" s="3">
        <f>VLOOKUP(C951,layoffs_location!A:F,6,FALSE)</f>
        <v>40.759619800000003</v>
      </c>
      <c r="R951" s="3">
        <f>VLOOKUP(C951,layoffs_location!A:G,7,FALSE)</f>
        <v>-111.886797</v>
      </c>
    </row>
    <row r="952" spans="1:18" x14ac:dyDescent="0.2">
      <c r="A952" s="3">
        <v>951</v>
      </c>
      <c r="B952" s="3" t="s">
        <v>555</v>
      </c>
      <c r="C952" s="3" t="s">
        <v>1727</v>
      </c>
      <c r="D952" s="3" t="str">
        <f>VLOOKUP(C952,layoffs_location!A:B,2,FALSE)</f>
        <v>other</v>
      </c>
      <c r="E952" s="3" t="str">
        <f>VLOOKUP(C952,layoffs_location!A:C,3,FALSE)</f>
        <v>California</v>
      </c>
      <c r="F952" s="3" t="str">
        <f>VLOOKUP(C952,layoffs_location!A:D,4,FALSE)</f>
        <v>USA</v>
      </c>
      <c r="G952" s="3" t="str">
        <f>VLOOKUP(C952,layoffs_location!A:E,5,FALSE)</f>
        <v>North America</v>
      </c>
      <c r="H952" s="3">
        <v>123</v>
      </c>
      <c r="I952" s="8">
        <v>44937</v>
      </c>
      <c r="J952" s="9">
        <v>11</v>
      </c>
      <c r="K952" s="10">
        <v>1118</v>
      </c>
      <c r="L952" s="10">
        <v>995</v>
      </c>
      <c r="M952" s="3" t="s">
        <v>35</v>
      </c>
      <c r="N952" s="3" t="s">
        <v>63</v>
      </c>
      <c r="O952" s="34">
        <v>565</v>
      </c>
      <c r="P952" s="3">
        <v>2023</v>
      </c>
      <c r="Q952" s="3">
        <f>VLOOKUP(C952,layoffs_location!A:F,6,FALSE)</f>
        <v>34.147910000000003</v>
      </c>
      <c r="R952" s="3">
        <f>VLOOKUP(C952,layoffs_location!A:G,7,FALSE)</f>
        <v>-118.7657042</v>
      </c>
    </row>
    <row r="953" spans="1:18" x14ac:dyDescent="0.2">
      <c r="A953" s="3">
        <v>952</v>
      </c>
      <c r="B953" s="3" t="s">
        <v>553</v>
      </c>
      <c r="C953" s="3" t="s">
        <v>71</v>
      </c>
      <c r="D953" s="3" t="str">
        <f>VLOOKUP(C953,layoffs_location!A:B,2,FALSE)</f>
        <v>other</v>
      </c>
      <c r="E953" s="3" t="str">
        <f>VLOOKUP(C953,layoffs_location!A:C,3,FALSE)</f>
        <v>Massachusetts</v>
      </c>
      <c r="F953" s="3" t="str">
        <f>VLOOKUP(C953,layoffs_location!A:D,4,FALSE)</f>
        <v>USA</v>
      </c>
      <c r="G953" s="3" t="str">
        <f>VLOOKUP(C953,layoffs_location!A:E,5,FALSE)</f>
        <v>North America</v>
      </c>
      <c r="H953" s="3">
        <v>46</v>
      </c>
      <c r="I953" s="8">
        <v>44938</v>
      </c>
      <c r="J953" s="9">
        <v>30</v>
      </c>
      <c r="K953" s="10">
        <v>153</v>
      </c>
      <c r="L953" s="10">
        <v>107</v>
      </c>
      <c r="M953" s="3" t="s">
        <v>21</v>
      </c>
      <c r="N953" s="3" t="s">
        <v>28</v>
      </c>
      <c r="O953" s="34">
        <v>301</v>
      </c>
      <c r="P953" s="3">
        <v>2023</v>
      </c>
      <c r="Q953" s="3">
        <f>VLOOKUP(C953,layoffs_location!A:F,6,FALSE)</f>
        <v>42.355433400000003</v>
      </c>
      <c r="R953" s="3">
        <f>VLOOKUP(C953,layoffs_location!A:G,7,FALSE)</f>
        <v>-71.060511000000005</v>
      </c>
    </row>
    <row r="954" spans="1:18" x14ac:dyDescent="0.2">
      <c r="A954" s="3">
        <v>953</v>
      </c>
      <c r="B954" s="3" t="s">
        <v>550</v>
      </c>
      <c r="C954" s="3" t="s">
        <v>58</v>
      </c>
      <c r="D954" s="3" t="str">
        <f>VLOOKUP(C954,layoffs_location!A:B,2,FALSE)</f>
        <v>other</v>
      </c>
      <c r="E954" s="3" t="str">
        <f>VLOOKUP(C954,layoffs_location!A:C,3,FALSE)</f>
        <v>England</v>
      </c>
      <c r="F954" s="3" t="str">
        <f>VLOOKUP(C954,layoffs_location!A:D,4,FALSE)</f>
        <v>UK</v>
      </c>
      <c r="G954" s="3" t="str">
        <f>VLOOKUP(C954,layoffs_location!A:E,5,FALSE)</f>
        <v>Europe</v>
      </c>
      <c r="H954" s="3">
        <v>110</v>
      </c>
      <c r="I954" s="8">
        <v>44938</v>
      </c>
      <c r="J954" s="9">
        <v>28</v>
      </c>
      <c r="K954" s="10">
        <v>393</v>
      </c>
      <c r="L954" s="10">
        <v>283</v>
      </c>
      <c r="M954" s="3" t="s">
        <v>117</v>
      </c>
      <c r="N954" s="3" t="s">
        <v>108</v>
      </c>
      <c r="O954" s="34">
        <v>490</v>
      </c>
      <c r="P954" s="3">
        <v>2023</v>
      </c>
      <c r="Q954" s="3">
        <f>VLOOKUP(C954,layoffs_location!A:F,6,FALSE)</f>
        <v>51.489333500000001</v>
      </c>
      <c r="R954" s="3">
        <f>VLOOKUP(C954,layoffs_location!A:G,7,FALSE)</f>
        <v>-0.14405508452768701</v>
      </c>
    </row>
    <row r="955" spans="1:18" x14ac:dyDescent="0.2">
      <c r="A955" s="3">
        <v>954</v>
      </c>
      <c r="B955" s="3" t="s">
        <v>552</v>
      </c>
      <c r="C955" s="3" t="s">
        <v>171</v>
      </c>
      <c r="D955" s="3" t="str">
        <f>VLOOKUP(C955,layoffs_location!A:B,2,FALSE)</f>
        <v>other</v>
      </c>
      <c r="E955" s="3" t="str">
        <f>VLOOKUP(C955,layoffs_location!A:C,3,FALSE)</f>
        <v>Georgia</v>
      </c>
      <c r="F955" s="3" t="str">
        <f>VLOOKUP(C955,layoffs_location!A:D,4,FALSE)</f>
        <v>USA</v>
      </c>
      <c r="G955" s="3" t="str">
        <f>VLOOKUP(C955,layoffs_location!A:E,5,FALSE)</f>
        <v>North America</v>
      </c>
      <c r="H955" s="3">
        <v>104</v>
      </c>
      <c r="I955" s="8">
        <v>44938</v>
      </c>
      <c r="J955" s="9">
        <v>21</v>
      </c>
      <c r="K955" s="10">
        <v>495</v>
      </c>
      <c r="L955" s="10">
        <v>391</v>
      </c>
      <c r="M955" s="3" t="s">
        <v>35</v>
      </c>
      <c r="N955" s="3" t="s">
        <v>108</v>
      </c>
      <c r="O955" s="34">
        <v>556</v>
      </c>
      <c r="P955" s="3">
        <v>2023</v>
      </c>
      <c r="Q955" s="3">
        <f>VLOOKUP(C955,layoffs_location!A:F,6,FALSE)</f>
        <v>33.748992399999999</v>
      </c>
      <c r="R955" s="3">
        <f>VLOOKUP(C955,layoffs_location!A:G,7,FALSE)</f>
        <v>-84.390264400000007</v>
      </c>
    </row>
    <row r="956" spans="1:18" ht="16" x14ac:dyDescent="0.2">
      <c r="A956" s="3">
        <v>955</v>
      </c>
      <c r="B956" s="3" t="s">
        <v>551</v>
      </c>
      <c r="C956" s="11" t="s">
        <v>1370</v>
      </c>
      <c r="D956" s="3" t="str">
        <f>VLOOKUP(C956,layoffs_location!A:B,2,FALSE)</f>
        <v>San Francisco Bay Area</v>
      </c>
      <c r="E956" s="3" t="str">
        <f>VLOOKUP(C956,layoffs_location!A:C,3,FALSE)</f>
        <v>California</v>
      </c>
      <c r="F956" s="3" t="str">
        <f>VLOOKUP(C956,layoffs_location!A:D,4,FALSE)</f>
        <v>USA</v>
      </c>
      <c r="G956" s="3" t="str">
        <f>VLOOKUP(C956,layoffs_location!A:E,5,FALSE)</f>
        <v>North America</v>
      </c>
      <c r="H956" s="3">
        <v>105</v>
      </c>
      <c r="I956" s="8">
        <v>44938</v>
      </c>
      <c r="J956" s="9">
        <v>15</v>
      </c>
      <c r="K956" s="10">
        <v>700</v>
      </c>
      <c r="L956" s="10">
        <v>595</v>
      </c>
      <c r="M956" s="3" t="s">
        <v>84</v>
      </c>
      <c r="N956" s="3" t="s">
        <v>63</v>
      </c>
      <c r="O956" s="34">
        <v>328</v>
      </c>
      <c r="P956" s="3">
        <v>2023</v>
      </c>
      <c r="Q956" s="3">
        <f>VLOOKUP(C956,layoffs_location!A:F,6,FALSE)</f>
        <v>37.779258800000001</v>
      </c>
      <c r="R956" s="3">
        <f>VLOOKUP(C956,layoffs_location!A:G,7,FALSE)</f>
        <v>-122.4193286</v>
      </c>
    </row>
    <row r="957" spans="1:18" ht="16" x14ac:dyDescent="0.2">
      <c r="A957" s="3">
        <v>956</v>
      </c>
      <c r="B957" s="3" t="s">
        <v>104</v>
      </c>
      <c r="C957" s="11" t="s">
        <v>1370</v>
      </c>
      <c r="D957" s="3" t="str">
        <f>VLOOKUP(C957,layoffs_location!A:B,2,FALSE)</f>
        <v>San Francisco Bay Area</v>
      </c>
      <c r="E957" s="3" t="str">
        <f>VLOOKUP(C957,layoffs_location!A:C,3,FALSE)</f>
        <v>California</v>
      </c>
      <c r="F957" s="3" t="str">
        <f>VLOOKUP(C957,layoffs_location!A:D,4,FALSE)</f>
        <v>USA</v>
      </c>
      <c r="G957" s="3" t="str">
        <f>VLOOKUP(C957,layoffs_location!A:E,5,FALSE)</f>
        <v>North America</v>
      </c>
      <c r="H957" s="3">
        <v>225</v>
      </c>
      <c r="I957" s="8">
        <v>44938</v>
      </c>
      <c r="J957" s="9">
        <v>14</v>
      </c>
      <c r="K957" s="10">
        <v>1607</v>
      </c>
      <c r="L957" s="10">
        <v>1382</v>
      </c>
      <c r="M957" s="3" t="s">
        <v>35</v>
      </c>
      <c r="N957" s="3" t="s">
        <v>28</v>
      </c>
      <c r="O957" s="34">
        <v>392</v>
      </c>
      <c r="P957" s="3">
        <v>2023</v>
      </c>
      <c r="Q957" s="3">
        <f>VLOOKUP(C957,layoffs_location!A:F,6,FALSE)</f>
        <v>37.779258800000001</v>
      </c>
      <c r="R957" s="3">
        <f>VLOOKUP(C957,layoffs_location!A:G,7,FALSE)</f>
        <v>-122.4193286</v>
      </c>
    </row>
    <row r="958" spans="1:18" x14ac:dyDescent="0.2">
      <c r="A958" s="3">
        <v>957</v>
      </c>
      <c r="B958" s="3" t="s">
        <v>549</v>
      </c>
      <c r="C958" s="3" t="s">
        <v>187</v>
      </c>
      <c r="D958" s="3" t="str">
        <f>VLOOKUP(C958,layoffs_location!A:B,2,FALSE)</f>
        <v>other</v>
      </c>
      <c r="E958" s="3" t="str">
        <f>VLOOKUP(C958,layoffs_location!A:C,3,FALSE)</f>
        <v>State of São Paulo</v>
      </c>
      <c r="F958" s="3" t="str">
        <f>VLOOKUP(C958,layoffs_location!A:D,4,FALSE)</f>
        <v>Brazil</v>
      </c>
      <c r="G958" s="3" t="str">
        <f>VLOOKUP(C958,layoffs_location!A:E,5,FALSE)</f>
        <v>South America</v>
      </c>
      <c r="H958" s="3">
        <v>111</v>
      </c>
      <c r="I958" s="8">
        <v>44938</v>
      </c>
      <c r="J958" s="9">
        <v>39</v>
      </c>
      <c r="K958" s="10">
        <v>285</v>
      </c>
      <c r="L958" s="10">
        <v>174</v>
      </c>
      <c r="M958" s="3" t="s">
        <v>35</v>
      </c>
      <c r="N958" s="3" t="s">
        <v>49</v>
      </c>
      <c r="O958" s="34">
        <v>42</v>
      </c>
      <c r="P958" s="3">
        <v>2023</v>
      </c>
      <c r="Q958" s="3">
        <f>VLOOKUP(C958,layoffs_location!A:F,6,FALSE)</f>
        <v>-23.550650699999998</v>
      </c>
      <c r="R958" s="3">
        <f>VLOOKUP(C958,layoffs_location!A:G,7,FALSE)</f>
        <v>-46.633382400000002</v>
      </c>
    </row>
    <row r="959" spans="1:18" x14ac:dyDescent="0.2">
      <c r="A959" s="3">
        <v>958</v>
      </c>
      <c r="B959" s="3" t="s">
        <v>546</v>
      </c>
      <c r="C959" s="3" t="s">
        <v>547</v>
      </c>
      <c r="D959" s="3" t="str">
        <f>VLOOKUP(C959,layoffs_location!A:B,2,FALSE)</f>
        <v>Tokyo</v>
      </c>
      <c r="E959" s="3" t="str">
        <f>VLOOKUP(C959,layoffs_location!A:C,3,FALSE)</f>
        <v>Tokyo</v>
      </c>
      <c r="F959" s="3" t="str">
        <f>VLOOKUP(C959,layoffs_location!A:D,4,FALSE)</f>
        <v>Japan</v>
      </c>
      <c r="G959" s="3" t="str">
        <f>VLOOKUP(C959,layoffs_location!A:E,5,FALSE)</f>
        <v>Asia</v>
      </c>
      <c r="H959" s="3">
        <v>120</v>
      </c>
      <c r="I959" s="8">
        <v>44938</v>
      </c>
      <c r="J959" s="9">
        <v>40</v>
      </c>
      <c r="K959" s="10">
        <v>300</v>
      </c>
      <c r="L959" s="10">
        <v>180</v>
      </c>
      <c r="M959" s="3" t="s">
        <v>54</v>
      </c>
      <c r="N959" s="3" t="s">
        <v>63</v>
      </c>
      <c r="O959" s="34">
        <v>410</v>
      </c>
      <c r="P959" s="3">
        <v>2023</v>
      </c>
      <c r="Q959" s="3">
        <f>VLOOKUP(C959,layoffs_location!A:F,6,FALSE)</f>
        <v>35.682193599999998</v>
      </c>
      <c r="R959" s="3">
        <f>VLOOKUP(C959,layoffs_location!A:G,7,FALSE)</f>
        <v>139.76222100000001</v>
      </c>
    </row>
    <row r="960" spans="1:18" x14ac:dyDescent="0.2">
      <c r="A960" s="3">
        <v>959</v>
      </c>
      <c r="B960" s="3" t="s">
        <v>545</v>
      </c>
      <c r="C960" s="3" t="s">
        <v>56</v>
      </c>
      <c r="D960" s="3" t="str">
        <f>VLOOKUP(C960,layoffs_location!A:B,2,FALSE)</f>
        <v>other</v>
      </c>
      <c r="E960" s="3" t="str">
        <f>VLOOKUP(C960,layoffs_location!A:C,3,FALSE)</f>
        <v>Maharashtra</v>
      </c>
      <c r="F960" s="3" t="str">
        <f>VLOOKUP(C960,layoffs_location!A:D,4,FALSE)</f>
        <v>India</v>
      </c>
      <c r="G960" s="3" t="str">
        <f>VLOOKUP(C960,layoffs_location!A:E,5,FALSE)</f>
        <v>Asia</v>
      </c>
      <c r="H960" s="3">
        <v>40</v>
      </c>
      <c r="I960" s="8">
        <v>44941</v>
      </c>
      <c r="J960" s="9">
        <v>43</v>
      </c>
      <c r="K960" s="10">
        <v>93</v>
      </c>
      <c r="L960" s="10">
        <v>53</v>
      </c>
      <c r="M960" s="3" t="s">
        <v>77</v>
      </c>
      <c r="N960" s="3" t="s">
        <v>69</v>
      </c>
      <c r="O960" s="34">
        <v>21</v>
      </c>
      <c r="P960" s="3">
        <v>2023</v>
      </c>
      <c r="Q960" s="3">
        <f>VLOOKUP(C960,layoffs_location!A:F,6,FALSE)</f>
        <v>19.078545099999999</v>
      </c>
      <c r="R960" s="3">
        <f>VLOOKUP(C960,layoffs_location!A:G,7,FALSE)</f>
        <v>72.878175999999996</v>
      </c>
    </row>
    <row r="961" spans="1:18" x14ac:dyDescent="0.2">
      <c r="A961" s="3">
        <v>960</v>
      </c>
      <c r="B961" s="3" t="s">
        <v>544</v>
      </c>
      <c r="C961" s="3" t="s">
        <v>39</v>
      </c>
      <c r="D961" s="3" t="str">
        <f>VLOOKUP(C961,layoffs_location!A:B,2,FALSE)</f>
        <v>New York</v>
      </c>
      <c r="E961" s="3" t="str">
        <f>VLOOKUP(C961,layoffs_location!A:C,3,FALSE)</f>
        <v>New York</v>
      </c>
      <c r="F961" s="3" t="str">
        <f>VLOOKUP(C961,layoffs_location!A:D,4,FALSE)</f>
        <v>USA</v>
      </c>
      <c r="G961" s="3" t="str">
        <f>VLOOKUP(C961,layoffs_location!A:E,5,FALSE)</f>
        <v>North America</v>
      </c>
      <c r="H961" s="3">
        <v>100</v>
      </c>
      <c r="I961" s="8">
        <v>44941</v>
      </c>
      <c r="J961" s="9">
        <v>30</v>
      </c>
      <c r="K961" s="10">
        <v>333</v>
      </c>
      <c r="L961" s="10">
        <v>233</v>
      </c>
      <c r="M961" s="3" t="s">
        <v>130</v>
      </c>
      <c r="N961" s="3" t="s">
        <v>41</v>
      </c>
      <c r="O961" s="34">
        <v>104</v>
      </c>
      <c r="P961" s="3">
        <v>2023</v>
      </c>
      <c r="Q961" s="3">
        <f>VLOOKUP(C961,layoffs_location!A:F,6,FALSE)</f>
        <v>40.7127281</v>
      </c>
      <c r="R961" s="3">
        <f>VLOOKUP(C961,layoffs_location!A:G,7,FALSE)</f>
        <v>-74.006015199999993</v>
      </c>
    </row>
    <row r="962" spans="1:18" x14ac:dyDescent="0.2">
      <c r="A962" s="3">
        <v>961</v>
      </c>
      <c r="B962" s="3" t="s">
        <v>543</v>
      </c>
      <c r="C962" s="3" t="s">
        <v>179</v>
      </c>
      <c r="D962" s="3" t="str">
        <f>VLOOKUP(C962,layoffs_location!A:B,2,FALSE)</f>
        <v>other</v>
      </c>
      <c r="E962" s="3" t="str">
        <f>VLOOKUP(C962,layoffs_location!A:C,3,FALSE)</f>
        <v>Ontario</v>
      </c>
      <c r="F962" s="3" t="str">
        <f>VLOOKUP(C962,layoffs_location!A:D,4,FALSE)</f>
        <v>Canada</v>
      </c>
      <c r="G962" s="3" t="str">
        <f>VLOOKUP(C962,layoffs_location!A:E,5,FALSE)</f>
        <v>North America</v>
      </c>
      <c r="H962" s="3">
        <v>50</v>
      </c>
      <c r="I962" s="8">
        <v>44942</v>
      </c>
      <c r="J962" s="9">
        <v>30</v>
      </c>
      <c r="K962" s="10">
        <v>167</v>
      </c>
      <c r="L962" s="10">
        <v>117</v>
      </c>
      <c r="M962" s="3" t="s">
        <v>35</v>
      </c>
      <c r="N962" s="3" t="s">
        <v>41</v>
      </c>
      <c r="O962" s="34">
        <v>698</v>
      </c>
      <c r="P962" s="3">
        <v>2023</v>
      </c>
      <c r="Q962" s="3">
        <f>VLOOKUP(C962,layoffs_location!A:F,6,FALSE)</f>
        <v>43.6534817</v>
      </c>
      <c r="R962" s="3">
        <f>VLOOKUP(C962,layoffs_location!A:G,7,FALSE)</f>
        <v>-79.383934699999998</v>
      </c>
    </row>
    <row r="963" spans="1:18" x14ac:dyDescent="0.2">
      <c r="A963" s="3">
        <v>962</v>
      </c>
      <c r="B963" s="3" t="s">
        <v>12</v>
      </c>
      <c r="C963" s="3" t="s">
        <v>13</v>
      </c>
      <c r="D963" s="3" t="str">
        <f>VLOOKUP(C963,layoffs_location!A:B,2,FALSE)</f>
        <v>other</v>
      </c>
      <c r="E963" s="3" t="str">
        <f>VLOOKUP(C963,layoffs_location!A:C,3,FALSE)</f>
        <v>Karnataka</v>
      </c>
      <c r="F963" s="3" t="str">
        <f>VLOOKUP(C963,layoffs_location!A:D,4,FALSE)</f>
        <v>India</v>
      </c>
      <c r="G963" s="3" t="str">
        <f>VLOOKUP(C963,layoffs_location!A:E,5,FALSE)</f>
        <v>Asia</v>
      </c>
      <c r="H963" s="3">
        <v>500</v>
      </c>
      <c r="I963" s="8">
        <v>44942</v>
      </c>
      <c r="J963" s="9">
        <v>20</v>
      </c>
      <c r="K963" s="10">
        <v>2500</v>
      </c>
      <c r="L963" s="10">
        <v>2000</v>
      </c>
      <c r="M963" s="3" t="s">
        <v>16</v>
      </c>
      <c r="N963" s="3" t="s">
        <v>17</v>
      </c>
      <c r="O963" s="34">
        <v>1700</v>
      </c>
      <c r="P963" s="3">
        <v>2023</v>
      </c>
      <c r="Q963" s="3">
        <f>VLOOKUP(C963,layoffs_location!A:F,6,FALSE)</f>
        <v>12.98815675</v>
      </c>
      <c r="R963" s="3">
        <f>VLOOKUP(C963,layoffs_location!A:G,7,FALSE)</f>
        <v>77.622600037959998</v>
      </c>
    </row>
    <row r="964" spans="1:18" x14ac:dyDescent="0.2">
      <c r="A964" s="3">
        <v>963</v>
      </c>
      <c r="B964" s="3" t="s">
        <v>542</v>
      </c>
      <c r="C964" s="3" t="s">
        <v>71</v>
      </c>
      <c r="D964" s="3" t="str">
        <f>VLOOKUP(C964,layoffs_location!A:B,2,FALSE)</f>
        <v>other</v>
      </c>
      <c r="E964" s="3" t="str">
        <f>VLOOKUP(C964,layoffs_location!A:C,3,FALSE)</f>
        <v>Massachusetts</v>
      </c>
      <c r="F964" s="3" t="str">
        <f>VLOOKUP(C964,layoffs_location!A:D,4,FALSE)</f>
        <v>USA</v>
      </c>
      <c r="G964" s="3" t="str">
        <f>VLOOKUP(C964,layoffs_location!A:E,5,FALSE)</f>
        <v>North America</v>
      </c>
      <c r="H964" s="3">
        <v>50</v>
      </c>
      <c r="I964" s="8">
        <v>44943</v>
      </c>
      <c r="J964" s="9">
        <v>65</v>
      </c>
      <c r="K964" s="10">
        <v>77</v>
      </c>
      <c r="L964" s="10">
        <v>27</v>
      </c>
      <c r="M964" s="3" t="s">
        <v>60</v>
      </c>
      <c r="N964" s="3" t="s">
        <v>33</v>
      </c>
      <c r="O964" s="34">
        <v>92</v>
      </c>
      <c r="P964" s="3">
        <v>2023</v>
      </c>
      <c r="Q964" s="3">
        <f>VLOOKUP(C964,layoffs_location!A:F,6,FALSE)</f>
        <v>42.355433400000003</v>
      </c>
      <c r="R964" s="3">
        <f>VLOOKUP(C964,layoffs_location!A:G,7,FALSE)</f>
        <v>-71.060511000000005</v>
      </c>
    </row>
    <row r="965" spans="1:18" x14ac:dyDescent="0.2">
      <c r="A965" s="3">
        <v>964</v>
      </c>
      <c r="B965" s="3" t="s">
        <v>539</v>
      </c>
      <c r="C965" s="3" t="s">
        <v>58</v>
      </c>
      <c r="D965" s="3" t="str">
        <f>VLOOKUP(C965,layoffs_location!A:B,2,FALSE)</f>
        <v>other</v>
      </c>
      <c r="E965" s="3" t="str">
        <f>VLOOKUP(C965,layoffs_location!A:C,3,FALSE)</f>
        <v>England</v>
      </c>
      <c r="F965" s="3" t="str">
        <f>VLOOKUP(C965,layoffs_location!A:D,4,FALSE)</f>
        <v>UK</v>
      </c>
      <c r="G965" s="3" t="str">
        <f>VLOOKUP(C965,layoffs_location!A:E,5,FALSE)</f>
        <v>Europe</v>
      </c>
      <c r="H965" s="3">
        <v>206</v>
      </c>
      <c r="I965" s="8">
        <v>44943</v>
      </c>
      <c r="J965" s="9">
        <v>100</v>
      </c>
      <c r="K965" s="10">
        <v>206</v>
      </c>
      <c r="L965" s="10">
        <v>0</v>
      </c>
      <c r="M965" s="3" t="s">
        <v>32</v>
      </c>
      <c r="N965" s="3" t="s">
        <v>22</v>
      </c>
      <c r="O965" s="34">
        <v>2400</v>
      </c>
      <c r="P965" s="3">
        <v>2023</v>
      </c>
      <c r="Q965" s="3">
        <f>VLOOKUP(C965,layoffs_location!A:F,6,FALSE)</f>
        <v>51.489333500000001</v>
      </c>
      <c r="R965" s="3">
        <f>VLOOKUP(C965,layoffs_location!A:G,7,FALSE)</f>
        <v>-0.14405508452768701</v>
      </c>
    </row>
    <row r="966" spans="1:18" x14ac:dyDescent="0.2">
      <c r="A966" s="3">
        <v>965</v>
      </c>
      <c r="B966" s="3" t="s">
        <v>540</v>
      </c>
      <c r="C966" s="3" t="s">
        <v>13</v>
      </c>
      <c r="D966" s="3" t="str">
        <f>VLOOKUP(C966,layoffs_location!A:B,2,FALSE)</f>
        <v>other</v>
      </c>
      <c r="E966" s="3" t="str">
        <f>VLOOKUP(C966,layoffs_location!A:C,3,FALSE)</f>
        <v>Karnataka</v>
      </c>
      <c r="F966" s="3" t="str">
        <f>VLOOKUP(C966,layoffs_location!A:D,4,FALSE)</f>
        <v>India</v>
      </c>
      <c r="G966" s="3" t="str">
        <f>VLOOKUP(C966,layoffs_location!A:E,5,FALSE)</f>
        <v>Asia</v>
      </c>
      <c r="H966" s="3">
        <v>142</v>
      </c>
      <c r="I966" s="8">
        <v>44943</v>
      </c>
      <c r="J966" s="9">
        <v>15</v>
      </c>
      <c r="K966" s="10">
        <v>947</v>
      </c>
      <c r="L966" s="10">
        <v>805</v>
      </c>
      <c r="M966" s="3" t="s">
        <v>274</v>
      </c>
      <c r="N966" s="3" t="s">
        <v>108</v>
      </c>
      <c r="O966" s="34">
        <v>87</v>
      </c>
      <c r="P966" s="3">
        <v>2023</v>
      </c>
      <c r="Q966" s="3">
        <f>VLOOKUP(C966,layoffs_location!A:F,6,FALSE)</f>
        <v>12.98815675</v>
      </c>
      <c r="R966" s="3">
        <f>VLOOKUP(C966,layoffs_location!A:G,7,FALSE)</f>
        <v>77.622600037959998</v>
      </c>
    </row>
    <row r="967" spans="1:18" x14ac:dyDescent="0.2">
      <c r="A967" s="3">
        <v>966</v>
      </c>
      <c r="B967" s="3" t="s">
        <v>538</v>
      </c>
      <c r="C967" s="3" t="s">
        <v>115</v>
      </c>
      <c r="D967" s="3" t="str">
        <f>VLOOKUP(C967,layoffs_location!A:B,2,FALSE)</f>
        <v>other</v>
      </c>
      <c r="E967" s="3" t="str">
        <f>VLOOKUP(C967,layoffs_location!A:C,3,FALSE)</f>
        <v>Quebec</v>
      </c>
      <c r="F967" s="3" t="str">
        <f>VLOOKUP(C967,layoffs_location!A:D,4,FALSE)</f>
        <v>Canada</v>
      </c>
      <c r="G967" s="3" t="str">
        <f>VLOOKUP(C967,layoffs_location!A:E,5,FALSE)</f>
        <v>North America</v>
      </c>
      <c r="H967" s="3">
        <v>300</v>
      </c>
      <c r="I967" s="8">
        <v>44943</v>
      </c>
      <c r="J967" s="9">
        <v>10</v>
      </c>
      <c r="K967" s="10">
        <v>3000</v>
      </c>
      <c r="L967" s="10">
        <v>2700</v>
      </c>
      <c r="M967" s="3" t="s">
        <v>30</v>
      </c>
      <c r="N967" s="3" t="s">
        <v>28</v>
      </c>
      <c r="P967" s="3">
        <v>2023</v>
      </c>
      <c r="Q967" s="3">
        <f>VLOOKUP(C967,layoffs_location!A:F,6,FALSE)</f>
        <v>45.5031824</v>
      </c>
      <c r="R967" s="3">
        <f>VLOOKUP(C967,layoffs_location!A:G,7,FALSE)</f>
        <v>-73.569806499999999</v>
      </c>
    </row>
    <row r="968" spans="1:18" x14ac:dyDescent="0.2">
      <c r="A968" s="3">
        <v>967</v>
      </c>
      <c r="B968" s="3" t="s">
        <v>541</v>
      </c>
      <c r="C968" s="3" t="s">
        <v>187</v>
      </c>
      <c r="D968" s="3" t="str">
        <f>VLOOKUP(C968,layoffs_location!A:B,2,FALSE)</f>
        <v>other</v>
      </c>
      <c r="E968" s="3" t="str">
        <f>VLOOKUP(C968,layoffs_location!A:C,3,FALSE)</f>
        <v>State of São Paulo</v>
      </c>
      <c r="F968" s="3" t="str">
        <f>VLOOKUP(C968,layoffs_location!A:D,4,FALSE)</f>
        <v>Brazil</v>
      </c>
      <c r="G968" s="3" t="str">
        <f>VLOOKUP(C968,layoffs_location!A:E,5,FALSE)</f>
        <v>South America</v>
      </c>
      <c r="H968" s="3">
        <v>110</v>
      </c>
      <c r="I968" s="8">
        <v>44943</v>
      </c>
      <c r="J968" s="9">
        <v>10</v>
      </c>
      <c r="K968" s="10">
        <v>1100</v>
      </c>
      <c r="L968" s="10">
        <v>990</v>
      </c>
      <c r="M968" s="3" t="s">
        <v>60</v>
      </c>
      <c r="N968" s="3" t="s">
        <v>108</v>
      </c>
      <c r="O968" s="34">
        <v>336</v>
      </c>
      <c r="P968" s="3">
        <v>2023</v>
      </c>
      <c r="Q968" s="3">
        <f>VLOOKUP(C968,layoffs_location!A:F,6,FALSE)</f>
        <v>-23.550650699999998</v>
      </c>
      <c r="R968" s="3">
        <f>VLOOKUP(C968,layoffs_location!A:G,7,FALSE)</f>
        <v>-46.633382400000002</v>
      </c>
    </row>
    <row r="969" spans="1:18" ht="16" x14ac:dyDescent="0.2">
      <c r="A969" s="3">
        <v>968</v>
      </c>
      <c r="B969" s="3" t="s">
        <v>59</v>
      </c>
      <c r="C969" s="11" t="s">
        <v>1370</v>
      </c>
      <c r="D969" s="3" t="str">
        <f>VLOOKUP(C969,layoffs_location!A:B,2,FALSE)</f>
        <v>San Francisco Bay Area</v>
      </c>
      <c r="E969" s="3" t="str">
        <f>VLOOKUP(C969,layoffs_location!A:C,3,FALSE)</f>
        <v>California</v>
      </c>
      <c r="F969" s="3" t="str">
        <f>VLOOKUP(C969,layoffs_location!A:D,4,FALSE)</f>
        <v>USA</v>
      </c>
      <c r="G969" s="3" t="str">
        <f>VLOOKUP(C969,layoffs_location!A:E,5,FALSE)</f>
        <v>North America</v>
      </c>
      <c r="H969" s="3">
        <v>284</v>
      </c>
      <c r="I969" s="8">
        <v>44943</v>
      </c>
      <c r="J969" s="9">
        <v>3</v>
      </c>
      <c r="K969" s="10">
        <v>9467</v>
      </c>
      <c r="L969" s="10">
        <v>9183</v>
      </c>
      <c r="M969" s="3" t="s">
        <v>60</v>
      </c>
      <c r="N969" s="3" t="s">
        <v>28</v>
      </c>
      <c r="O969" s="34">
        <v>1300</v>
      </c>
      <c r="P969" s="3">
        <v>2023</v>
      </c>
      <c r="Q969" s="3">
        <f>VLOOKUP(C969,layoffs_location!A:F,6,FALSE)</f>
        <v>37.779258800000001</v>
      </c>
      <c r="R969" s="3">
        <f>VLOOKUP(C969,layoffs_location!A:G,7,FALSE)</f>
        <v>-122.4193286</v>
      </c>
    </row>
    <row r="970" spans="1:18" x14ac:dyDescent="0.2">
      <c r="A970" s="3">
        <v>969</v>
      </c>
      <c r="B970" s="3" t="s">
        <v>527</v>
      </c>
      <c r="C970" s="3" t="s">
        <v>1705</v>
      </c>
      <c r="D970" s="3" t="str">
        <f>VLOOKUP(C970,layoffs_location!A:B,2,FALSE)</f>
        <v>San Francisco Bay Area</v>
      </c>
      <c r="E970" s="3" t="str">
        <f>VLOOKUP(C970,layoffs_location!A:C,3,FALSE)</f>
        <v>California</v>
      </c>
      <c r="F970" s="3" t="str">
        <f>VLOOKUP(C970,layoffs_location!A:D,4,FALSE)</f>
        <v>USA</v>
      </c>
      <c r="G970" s="3" t="str">
        <f>VLOOKUP(C970,layoffs_location!A:E,5,FALSE)</f>
        <v>North America</v>
      </c>
      <c r="H970" s="3">
        <v>155</v>
      </c>
      <c r="I970" s="8">
        <v>44944</v>
      </c>
      <c r="J970" s="9">
        <v>7</v>
      </c>
      <c r="K970" s="10">
        <v>2214</v>
      </c>
      <c r="L970" s="10">
        <v>2059</v>
      </c>
      <c r="M970" s="3" t="s">
        <v>274</v>
      </c>
      <c r="N970" s="3" t="s">
        <v>28</v>
      </c>
      <c r="O970" s="34">
        <v>253</v>
      </c>
      <c r="P970" s="3">
        <v>2023</v>
      </c>
      <c r="Q970" s="3">
        <f>VLOOKUP(C970,layoffs_location!A:F,6,FALSE)</f>
        <v>37.287166999999997</v>
      </c>
      <c r="R970" s="3">
        <f>VLOOKUP(C970,layoffs_location!A:G,7,FALSE)</f>
        <v>-121.94995900000001</v>
      </c>
    </row>
    <row r="971" spans="1:18" x14ac:dyDescent="0.2">
      <c r="A971" s="3">
        <v>970</v>
      </c>
      <c r="B971" s="3" t="s">
        <v>537</v>
      </c>
      <c r="C971" s="3" t="s">
        <v>1408</v>
      </c>
      <c r="D971" s="3" t="str">
        <f>VLOOKUP(C971,layoffs_location!A:B,2,FALSE)</f>
        <v>San Francisco Bay Area</v>
      </c>
      <c r="E971" s="3" t="str">
        <f>VLOOKUP(C971,layoffs_location!A:C,3,FALSE)</f>
        <v>California</v>
      </c>
      <c r="F971" s="3" t="str">
        <f>VLOOKUP(C971,layoffs_location!A:D,4,FALSE)</f>
        <v>USA</v>
      </c>
      <c r="G971" s="3" t="str">
        <f>VLOOKUP(C971,layoffs_location!A:E,5,FALSE)</f>
        <v>North America</v>
      </c>
      <c r="H971" s="3">
        <v>20</v>
      </c>
      <c r="I971" s="8">
        <v>44944</v>
      </c>
      <c r="J971" s="9">
        <v>3</v>
      </c>
      <c r="K971" s="10">
        <v>667</v>
      </c>
      <c r="L971" s="10">
        <v>647</v>
      </c>
      <c r="M971" s="3" t="s">
        <v>35</v>
      </c>
      <c r="N971" s="3" t="s">
        <v>63</v>
      </c>
      <c r="O971" s="34">
        <v>491</v>
      </c>
      <c r="P971" s="3">
        <v>2023</v>
      </c>
      <c r="Q971" s="3">
        <f>VLOOKUP(C971,layoffs_location!A:F,6,FALSE)</f>
        <v>37.3893889</v>
      </c>
      <c r="R971" s="3">
        <f>VLOOKUP(C971,layoffs_location!A:G,7,FALSE)</f>
        <v>-122.0832101</v>
      </c>
    </row>
    <row r="972" spans="1:18" x14ac:dyDescent="0.2">
      <c r="A972" s="3">
        <v>971</v>
      </c>
      <c r="B972" s="3" t="s">
        <v>529</v>
      </c>
      <c r="C972" s="3" t="s">
        <v>94</v>
      </c>
      <c r="D972" s="3" t="str">
        <f>VLOOKUP(C972,layoffs_location!A:B,2,FALSE)</f>
        <v>other</v>
      </c>
      <c r="E972" s="3" t="str">
        <f>VLOOKUP(C972,layoffs_location!A:C,3,FALSE)</f>
        <v>Alberta</v>
      </c>
      <c r="F972" s="3" t="str">
        <f>VLOOKUP(C972,layoffs_location!A:D,4,FALSE)</f>
        <v>Canada</v>
      </c>
      <c r="G972" s="3" t="str">
        <f>VLOOKUP(C972,layoffs_location!A:E,5,FALSE)</f>
        <v>North America</v>
      </c>
      <c r="H972" s="3">
        <v>137</v>
      </c>
      <c r="I972" s="8">
        <v>44944</v>
      </c>
      <c r="J972" s="9">
        <v>14</v>
      </c>
      <c r="K972" s="10">
        <v>979</v>
      </c>
      <c r="L972" s="10">
        <v>842</v>
      </c>
      <c r="M972" s="3" t="s">
        <v>60</v>
      </c>
      <c r="N972" s="3" t="s">
        <v>22</v>
      </c>
      <c r="O972" s="34">
        <v>69</v>
      </c>
      <c r="P972" s="3">
        <v>2023</v>
      </c>
      <c r="Q972" s="3">
        <f>VLOOKUP(C972,layoffs_location!A:F,6,FALSE)</f>
        <v>51.045606399999997</v>
      </c>
      <c r="R972" s="3">
        <f>VLOOKUP(C972,layoffs_location!A:G,7,FALSE)</f>
        <v>-114.057541</v>
      </c>
    </row>
    <row r="973" spans="1:18" x14ac:dyDescent="0.2">
      <c r="A973" s="3">
        <v>972</v>
      </c>
      <c r="B973" s="3" t="s">
        <v>536</v>
      </c>
      <c r="C973" s="3" t="s">
        <v>135</v>
      </c>
      <c r="D973" s="3" t="str">
        <f>VLOOKUP(C973,layoffs_location!A:B,2,FALSE)</f>
        <v>other</v>
      </c>
      <c r="E973" s="3" t="str">
        <f>VLOOKUP(C973,layoffs_location!A:C,3,FALSE)</f>
        <v>Berlin</v>
      </c>
      <c r="F973" s="3" t="str">
        <f>VLOOKUP(C973,layoffs_location!A:D,4,FALSE)</f>
        <v>Germany</v>
      </c>
      <c r="G973" s="3" t="str">
        <f>VLOOKUP(C973,layoffs_location!A:E,5,FALSE)</f>
        <v>Europe</v>
      </c>
      <c r="H973" s="3">
        <v>31</v>
      </c>
      <c r="I973" s="8">
        <v>44944</v>
      </c>
      <c r="J973" s="9">
        <v>31</v>
      </c>
      <c r="K973" s="10">
        <v>100</v>
      </c>
      <c r="L973" s="10">
        <v>69</v>
      </c>
      <c r="M973" s="3" t="s">
        <v>21</v>
      </c>
      <c r="N973" s="3" t="s">
        <v>22</v>
      </c>
      <c r="O973" s="34">
        <v>47</v>
      </c>
      <c r="P973" s="3">
        <v>2023</v>
      </c>
      <c r="Q973" s="3">
        <f>VLOOKUP(C973,layoffs_location!A:F,6,FALSE)</f>
        <v>52.517036500000003</v>
      </c>
      <c r="R973" s="3">
        <f>VLOOKUP(C973,layoffs_location!A:G,7,FALSE)</f>
        <v>13.3888599</v>
      </c>
    </row>
    <row r="974" spans="1:18" x14ac:dyDescent="0.2">
      <c r="A974" s="3">
        <v>973</v>
      </c>
      <c r="B974" s="3" t="s">
        <v>535</v>
      </c>
      <c r="C974" s="3" t="s">
        <v>271</v>
      </c>
      <c r="D974" s="3" t="str">
        <f>VLOOKUP(C974,layoffs_location!A:B,2,FALSE)</f>
        <v>Cascadia</v>
      </c>
      <c r="E974" s="3" t="str">
        <f>VLOOKUP(C974,layoffs_location!A:C,3,FALSE)</f>
        <v>British Columbia</v>
      </c>
      <c r="F974" s="3" t="str">
        <f>VLOOKUP(C974,layoffs_location!A:D,4,FALSE)</f>
        <v>Canada</v>
      </c>
      <c r="G974" s="3" t="str">
        <f>VLOOKUP(C974,layoffs_location!A:E,5,FALSE)</f>
        <v>North America</v>
      </c>
      <c r="H974" s="3">
        <v>70</v>
      </c>
      <c r="I974" s="8">
        <v>44944</v>
      </c>
      <c r="J974" s="9">
        <v>7</v>
      </c>
      <c r="K974" s="10">
        <v>1000</v>
      </c>
      <c r="L974" s="10">
        <v>930</v>
      </c>
      <c r="M974" s="3" t="s">
        <v>130</v>
      </c>
      <c r="N974" s="3" t="s">
        <v>41</v>
      </c>
      <c r="O974" s="34">
        <v>300</v>
      </c>
      <c r="P974" s="3">
        <v>2023</v>
      </c>
      <c r="Q974" s="3">
        <f>VLOOKUP(C974,layoffs_location!A:F,6,FALSE)</f>
        <v>49.260872399999997</v>
      </c>
      <c r="R974" s="3">
        <f>VLOOKUP(C974,layoffs_location!A:G,7,FALSE)</f>
        <v>-123.113952</v>
      </c>
    </row>
    <row r="975" spans="1:18" x14ac:dyDescent="0.2">
      <c r="A975" s="3">
        <v>974</v>
      </c>
      <c r="B975" s="3" t="s">
        <v>209</v>
      </c>
      <c r="C975" s="3" t="s">
        <v>132</v>
      </c>
      <c r="D975" s="3" t="str">
        <f>VLOOKUP(C975,layoffs_location!A:B,2,FALSE)</f>
        <v>other</v>
      </c>
      <c r="E975" s="3" t="str">
        <f>VLOOKUP(C975,layoffs_location!A:C,3,FALSE)</f>
        <v>Colorado</v>
      </c>
      <c r="F975" s="3" t="str">
        <f>VLOOKUP(C975,layoffs_location!A:D,4,FALSE)</f>
        <v>USA</v>
      </c>
      <c r="G975" s="3" t="str">
        <f>VLOOKUP(C975,layoffs_location!A:E,5,FALSE)</f>
        <v>North America</v>
      </c>
      <c r="H975" s="3">
        <v>109</v>
      </c>
      <c r="I975" s="8">
        <v>44944</v>
      </c>
      <c r="J975" s="9">
        <v>12</v>
      </c>
      <c r="K975" s="10">
        <v>908</v>
      </c>
      <c r="L975" s="10">
        <v>799</v>
      </c>
      <c r="M975" s="3" t="s">
        <v>72</v>
      </c>
      <c r="N975" s="3" t="s">
        <v>28</v>
      </c>
      <c r="O975" s="34">
        <v>179</v>
      </c>
      <c r="P975" s="3">
        <v>2023</v>
      </c>
      <c r="Q975" s="3">
        <f>VLOOKUP(C975,layoffs_location!A:F,6,FALSE)</f>
        <v>39.739236400000003</v>
      </c>
      <c r="R975" s="3">
        <f>VLOOKUP(C975,layoffs_location!A:G,7,FALSE)</f>
        <v>-104.98486200000001</v>
      </c>
    </row>
    <row r="976" spans="1:18" x14ac:dyDescent="0.2">
      <c r="A976" s="3">
        <v>975</v>
      </c>
      <c r="B976" s="3" t="s">
        <v>530</v>
      </c>
      <c r="C976" s="3" t="s">
        <v>531</v>
      </c>
      <c r="D976" s="3" t="str">
        <f>VLOOKUP(C976,layoffs_location!A:B,2,FALSE)</f>
        <v>other</v>
      </c>
      <c r="E976" s="3" t="str">
        <f>VLOOKUP(C976,layoffs_location!A:C,3,FALSE)</f>
        <v>Colorado</v>
      </c>
      <c r="F976" s="3" t="str">
        <f>VLOOKUP(C976,layoffs_location!A:D,4,FALSE)</f>
        <v>USA</v>
      </c>
      <c r="G976" s="3" t="str">
        <f>VLOOKUP(C976,layoffs_location!A:E,5,FALSE)</f>
        <v>North America</v>
      </c>
      <c r="H976" s="3">
        <v>100</v>
      </c>
      <c r="I976" s="8">
        <v>44944</v>
      </c>
      <c r="J976" s="9">
        <v>12</v>
      </c>
      <c r="K976" s="10">
        <v>833</v>
      </c>
      <c r="L976" s="10">
        <v>733</v>
      </c>
      <c r="M976" s="3" t="s">
        <v>139</v>
      </c>
      <c r="N976" s="3" t="s">
        <v>63</v>
      </c>
      <c r="O976" s="34">
        <v>416</v>
      </c>
      <c r="P976" s="3">
        <v>2023</v>
      </c>
      <c r="Q976" s="3">
        <f>VLOOKUP(C976,layoffs_location!A:F,6,FALSE)</f>
        <v>40.014985600000003</v>
      </c>
      <c r="R976" s="3">
        <f>VLOOKUP(C976,layoffs_location!A:G,7,FALSE)</f>
        <v>-105.270545</v>
      </c>
    </row>
    <row r="977" spans="1:18" x14ac:dyDescent="0.2">
      <c r="A977" s="3">
        <v>976</v>
      </c>
      <c r="B977" s="3" t="s">
        <v>523</v>
      </c>
      <c r="C977" s="3" t="s">
        <v>4589</v>
      </c>
      <c r="D977" s="3" t="str">
        <f>VLOOKUP(C977,layoffs_location!A:B,2,FALSE)</f>
        <v>Cascadia</v>
      </c>
      <c r="E977" s="3" t="str">
        <f>VLOOKUP(C977,layoffs_location!A:C,3,FALSE)</f>
        <v>Washington</v>
      </c>
      <c r="F977" s="3" t="str">
        <f>VLOOKUP(C977,layoffs_location!A:D,4,FALSE)</f>
        <v>USA</v>
      </c>
      <c r="G977" s="3" t="str">
        <f>VLOOKUP(C977,layoffs_location!A:E,5,FALSE)</f>
        <v>Asia</v>
      </c>
      <c r="H977" s="3">
        <v>10000</v>
      </c>
      <c r="I977" s="8">
        <v>44944</v>
      </c>
      <c r="J977" s="9">
        <v>5</v>
      </c>
      <c r="K977" s="10">
        <v>200000</v>
      </c>
      <c r="L977" s="10">
        <v>190000</v>
      </c>
      <c r="M977" s="3" t="s">
        <v>1400</v>
      </c>
      <c r="N977" s="3" t="s">
        <v>28</v>
      </c>
      <c r="P977" s="3">
        <v>2023</v>
      </c>
      <c r="Q977" s="3">
        <f>VLOOKUP(C977,layoffs_location!A:F,6,FALSE)</f>
        <v>47.645404522430098</v>
      </c>
      <c r="R977" s="3">
        <f>VLOOKUP(C977,layoffs_location!A:G,7,FALSE)</f>
        <v>-122.13299976733499</v>
      </c>
    </row>
    <row r="978" spans="1:18" x14ac:dyDescent="0.2">
      <c r="A978" s="3">
        <v>977</v>
      </c>
      <c r="B978" s="3" t="s">
        <v>532</v>
      </c>
      <c r="C978" s="3" t="s">
        <v>533</v>
      </c>
      <c r="D978" s="3" t="str">
        <f>VLOOKUP(C978,layoffs_location!A:B,2,FALSE)</f>
        <v>other</v>
      </c>
      <c r="E978" s="3" t="str">
        <f>VLOOKUP(C978,layoffs_location!A:C,3,FALSE)</f>
        <v>Delaware</v>
      </c>
      <c r="F978" s="3" t="str">
        <f>VLOOKUP(C978,layoffs_location!A:D,4,FALSE)</f>
        <v>USA</v>
      </c>
      <c r="G978" s="3" t="str">
        <f>VLOOKUP(C978,layoffs_location!A:E,5,FALSE)</f>
        <v>North America</v>
      </c>
      <c r="H978" s="3">
        <v>100</v>
      </c>
      <c r="I978" s="8">
        <v>44944</v>
      </c>
      <c r="J978" s="9">
        <v>7</v>
      </c>
      <c r="K978" s="10">
        <v>1429</v>
      </c>
      <c r="L978" s="10">
        <v>1329</v>
      </c>
      <c r="M978" s="3" t="s">
        <v>35</v>
      </c>
      <c r="N978" s="3" t="s">
        <v>28</v>
      </c>
      <c r="P978" s="3">
        <v>2023</v>
      </c>
      <c r="Q978" s="3">
        <f>VLOOKUP(C978,layoffs_location!A:F,6,FALSE)</f>
        <v>39.745946799999999</v>
      </c>
      <c r="R978" s="3">
        <f>VLOOKUP(C978,layoffs_location!A:G,7,FALSE)</f>
        <v>-75.546588999999997</v>
      </c>
    </row>
    <row r="979" spans="1:18" x14ac:dyDescent="0.2">
      <c r="A979" s="3">
        <v>978</v>
      </c>
      <c r="B979" s="3" t="s">
        <v>528</v>
      </c>
      <c r="C979" s="3" t="s">
        <v>39</v>
      </c>
      <c r="D979" s="3" t="str">
        <f>VLOOKUP(C979,layoffs_location!A:B,2,FALSE)</f>
        <v>New York</v>
      </c>
      <c r="E979" s="3" t="str">
        <f>VLOOKUP(C979,layoffs_location!A:C,3,FALSE)</f>
        <v>New York</v>
      </c>
      <c r="F979" s="3" t="str">
        <f>VLOOKUP(C979,layoffs_location!A:D,4,FALSE)</f>
        <v>USA</v>
      </c>
      <c r="G979" s="3" t="str">
        <f>VLOOKUP(C979,layoffs_location!A:E,5,FALSE)</f>
        <v>North America</v>
      </c>
      <c r="H979" s="3">
        <v>140</v>
      </c>
      <c r="I979" s="8">
        <v>44944</v>
      </c>
      <c r="J979" s="9">
        <v>20</v>
      </c>
      <c r="K979" s="10">
        <v>700</v>
      </c>
      <c r="L979" s="10">
        <v>560</v>
      </c>
      <c r="M979" s="3" t="s">
        <v>35</v>
      </c>
      <c r="N979" s="3" t="s">
        <v>28</v>
      </c>
      <c r="O979" s="34">
        <v>571</v>
      </c>
      <c r="P979" s="3">
        <v>2023</v>
      </c>
      <c r="Q979" s="3">
        <f>VLOOKUP(C979,layoffs_location!A:F,6,FALSE)</f>
        <v>40.7127281</v>
      </c>
      <c r="R979" s="3">
        <f>VLOOKUP(C979,layoffs_location!A:G,7,FALSE)</f>
        <v>-74.006015199999993</v>
      </c>
    </row>
    <row r="980" spans="1:18" x14ac:dyDescent="0.2">
      <c r="A980" s="3">
        <v>979</v>
      </c>
      <c r="B980" s="3" t="s">
        <v>524</v>
      </c>
      <c r="C980" s="3" t="s">
        <v>525</v>
      </c>
      <c r="D980" s="3" t="str">
        <f>VLOOKUP(C980,layoffs_location!A:B,2,FALSE)</f>
        <v>other</v>
      </c>
      <c r="E980" s="3" t="str">
        <f>VLOOKUP(C980,layoffs_location!A:C,3,FALSE)</f>
        <v>England</v>
      </c>
      <c r="F980" s="3" t="str">
        <f>VLOOKUP(C980,layoffs_location!A:D,4,FALSE)</f>
        <v>UK</v>
      </c>
      <c r="G980" s="3" t="str">
        <f>VLOOKUP(C980,layoffs_location!A:E,5,FALSE)</f>
        <v>Europe</v>
      </c>
      <c r="H980" s="3">
        <v>450</v>
      </c>
      <c r="I980" s="8">
        <v>44944</v>
      </c>
      <c r="J980" s="9">
        <v>10</v>
      </c>
      <c r="K980" s="10">
        <v>4500</v>
      </c>
      <c r="L980" s="10">
        <v>4050</v>
      </c>
      <c r="M980" s="3" t="s">
        <v>139</v>
      </c>
      <c r="N980" s="3" t="s">
        <v>33</v>
      </c>
      <c r="O980" s="34">
        <v>125</v>
      </c>
      <c r="P980" s="3">
        <v>2023</v>
      </c>
      <c r="Q980" s="3">
        <f>VLOOKUP(C980,layoffs_location!A:F,6,FALSE)</f>
        <v>51.752013099999999</v>
      </c>
      <c r="R980" s="3">
        <f>VLOOKUP(C980,layoffs_location!A:G,7,FALSE)</f>
        <v>-1.2578499000000001</v>
      </c>
    </row>
    <row r="981" spans="1:18" x14ac:dyDescent="0.2">
      <c r="A981" s="3">
        <v>980</v>
      </c>
      <c r="B981" s="3" t="s">
        <v>534</v>
      </c>
      <c r="C981" s="3" t="s">
        <v>71</v>
      </c>
      <c r="D981" s="3" t="str">
        <f>VLOOKUP(C981,layoffs_location!A:B,2,FALSE)</f>
        <v>other</v>
      </c>
      <c r="E981" s="3" t="str">
        <f>VLOOKUP(C981,layoffs_location!A:C,3,FALSE)</f>
        <v>Massachusetts</v>
      </c>
      <c r="F981" s="3" t="str">
        <f>VLOOKUP(C981,layoffs_location!A:D,4,FALSE)</f>
        <v>USA</v>
      </c>
      <c r="G981" s="3" t="str">
        <f>VLOOKUP(C981,layoffs_location!A:E,5,FALSE)</f>
        <v>North America</v>
      </c>
      <c r="H981" s="3">
        <v>100</v>
      </c>
      <c r="I981" s="8">
        <v>44944</v>
      </c>
      <c r="J981" s="9">
        <v>24</v>
      </c>
      <c r="K981" s="10">
        <v>417</v>
      </c>
      <c r="L981" s="10">
        <v>317</v>
      </c>
      <c r="M981" s="3" t="s">
        <v>60</v>
      </c>
      <c r="N981" s="3" t="s">
        <v>28</v>
      </c>
      <c r="O981" s="34">
        <v>260</v>
      </c>
      <c r="P981" s="3">
        <v>2023</v>
      </c>
      <c r="Q981" s="3">
        <f>VLOOKUP(C981,layoffs_location!A:F,6,FALSE)</f>
        <v>42.355433400000003</v>
      </c>
      <c r="R981" s="3">
        <f>VLOOKUP(C981,layoffs_location!A:G,7,FALSE)</f>
        <v>-71.060511000000005</v>
      </c>
    </row>
    <row r="982" spans="1:18" x14ac:dyDescent="0.2">
      <c r="A982" s="3">
        <v>981</v>
      </c>
      <c r="B982" s="3" t="s">
        <v>526</v>
      </c>
      <c r="C982" s="3" t="s">
        <v>39</v>
      </c>
      <c r="D982" s="3" t="str">
        <f>VLOOKUP(C982,layoffs_location!A:B,2,FALSE)</f>
        <v>New York</v>
      </c>
      <c r="E982" s="3" t="str">
        <f>VLOOKUP(C982,layoffs_location!A:C,3,FALSE)</f>
        <v>New York</v>
      </c>
      <c r="F982" s="3" t="str">
        <f>VLOOKUP(C982,layoffs_location!A:D,4,FALSE)</f>
        <v>USA</v>
      </c>
      <c r="G982" s="3" t="str">
        <f>VLOOKUP(C982,layoffs_location!A:E,5,FALSE)</f>
        <v>North America</v>
      </c>
      <c r="H982" s="3">
        <v>300</v>
      </c>
      <c r="I982" s="8">
        <v>44944</v>
      </c>
      <c r="J982" s="9">
        <v>6</v>
      </c>
      <c r="K982" s="10">
        <v>5000</v>
      </c>
      <c r="L982" s="10">
        <v>4700</v>
      </c>
      <c r="M982" s="3" t="s">
        <v>21</v>
      </c>
      <c r="N982" s="3" t="s">
        <v>28</v>
      </c>
      <c r="O982" s="34">
        <v>172</v>
      </c>
      <c r="P982" s="3">
        <v>2023</v>
      </c>
      <c r="Q982" s="3">
        <f>VLOOKUP(C982,layoffs_location!A:F,6,FALSE)</f>
        <v>40.7127281</v>
      </c>
      <c r="R982" s="3">
        <f>VLOOKUP(C982,layoffs_location!A:G,7,FALSE)</f>
        <v>-74.006015199999993</v>
      </c>
    </row>
    <row r="983" spans="1:18" x14ac:dyDescent="0.2">
      <c r="A983" s="3">
        <v>982</v>
      </c>
      <c r="B983" s="3" t="s">
        <v>318</v>
      </c>
      <c r="C983" s="3" t="s">
        <v>39</v>
      </c>
      <c r="D983" s="3" t="str">
        <f>VLOOKUP(C983,layoffs_location!A:B,2,FALSE)</f>
        <v>New York</v>
      </c>
      <c r="E983" s="3" t="str">
        <f>VLOOKUP(C983,layoffs_location!A:C,3,FALSE)</f>
        <v>New York</v>
      </c>
      <c r="F983" s="3" t="str">
        <f>VLOOKUP(C983,layoffs_location!A:D,4,FALSE)</f>
        <v>USA</v>
      </c>
      <c r="G983" s="3" t="str">
        <f>VLOOKUP(C983,layoffs_location!A:E,5,FALSE)</f>
        <v>North America</v>
      </c>
      <c r="H983" s="3">
        <v>275</v>
      </c>
      <c r="I983" s="8">
        <v>44944</v>
      </c>
      <c r="J983" s="9">
        <v>20</v>
      </c>
      <c r="K983" s="10">
        <v>1375</v>
      </c>
      <c r="L983" s="10">
        <v>1100</v>
      </c>
      <c r="M983" s="3" t="s">
        <v>32</v>
      </c>
      <c r="N983" s="3" t="s">
        <v>28</v>
      </c>
      <c r="P983" s="3">
        <v>2023</v>
      </c>
      <c r="Q983" s="3">
        <f>VLOOKUP(C983,layoffs_location!A:F,6,FALSE)</f>
        <v>40.7127281</v>
      </c>
      <c r="R983" s="3">
        <f>VLOOKUP(C983,layoffs_location!A:G,7,FALSE)</f>
        <v>-74.006015199999993</v>
      </c>
    </row>
    <row r="984" spans="1:18" x14ac:dyDescent="0.2">
      <c r="A984" s="3">
        <v>983</v>
      </c>
      <c r="B984" s="3" t="s">
        <v>522</v>
      </c>
      <c r="C984" s="3" t="s">
        <v>83</v>
      </c>
      <c r="D984" s="3" t="str">
        <f>VLOOKUP(C984,layoffs_location!A:B,2,FALSE)</f>
        <v>other</v>
      </c>
      <c r="E984" s="3" t="str">
        <f>VLOOKUP(C984,layoffs_location!A:C,3,FALSE)</f>
        <v>Texas</v>
      </c>
      <c r="F984" s="3" t="str">
        <f>VLOOKUP(C984,layoffs_location!A:D,4,FALSE)</f>
        <v>USA</v>
      </c>
      <c r="G984" s="3" t="str">
        <f>VLOOKUP(C984,layoffs_location!A:E,5,FALSE)</f>
        <v>North America</v>
      </c>
      <c r="H984" s="3">
        <v>62</v>
      </c>
      <c r="I984" s="8">
        <v>44945</v>
      </c>
      <c r="J984" s="9">
        <v>9</v>
      </c>
      <c r="K984" s="10">
        <v>689</v>
      </c>
      <c r="L984" s="10">
        <v>627</v>
      </c>
      <c r="M984" s="3" t="s">
        <v>478</v>
      </c>
      <c r="N984" s="3" t="s">
        <v>28</v>
      </c>
      <c r="O984" s="34">
        <v>233</v>
      </c>
      <c r="P984" s="3">
        <v>2023</v>
      </c>
      <c r="Q984" s="3">
        <f>VLOOKUP(C984,layoffs_location!A:F,6,FALSE)</f>
        <v>30.271128600000001</v>
      </c>
      <c r="R984" s="3">
        <f>VLOOKUP(C984,layoffs_location!A:G,7,FALSE)</f>
        <v>-97.743699500000005</v>
      </c>
    </row>
    <row r="985" spans="1:18" x14ac:dyDescent="0.2">
      <c r="A985" s="3">
        <v>984</v>
      </c>
      <c r="B985" s="3" t="s">
        <v>520</v>
      </c>
      <c r="C985" s="3" t="s">
        <v>1370</v>
      </c>
      <c r="D985" s="3" t="str">
        <f>VLOOKUP(C985,layoffs_location!A:B,2,FALSE)</f>
        <v>San Francisco Bay Area</v>
      </c>
      <c r="E985" s="3" t="str">
        <f>VLOOKUP(C985,layoffs_location!A:C,3,FALSE)</f>
        <v>California</v>
      </c>
      <c r="F985" s="3" t="str">
        <f>VLOOKUP(C985,layoffs_location!A:D,4,FALSE)</f>
        <v>USA</v>
      </c>
      <c r="G985" s="3" t="str">
        <f>VLOOKUP(C985,layoffs_location!A:E,5,FALSE)</f>
        <v>North America</v>
      </c>
      <c r="H985" s="3">
        <v>115</v>
      </c>
      <c r="I985" s="8">
        <v>44945</v>
      </c>
      <c r="J985" s="9">
        <v>35</v>
      </c>
      <c r="K985" s="10">
        <v>329</v>
      </c>
      <c r="L985" s="10">
        <v>214</v>
      </c>
      <c r="M985" s="3" t="s">
        <v>60</v>
      </c>
      <c r="N985" s="3" t="s">
        <v>49</v>
      </c>
      <c r="O985" s="34">
        <v>153</v>
      </c>
      <c r="P985" s="3">
        <v>2023</v>
      </c>
      <c r="Q985" s="3">
        <f>VLOOKUP(C985,layoffs_location!A:F,6,FALSE)</f>
        <v>37.779258800000001</v>
      </c>
      <c r="R985" s="3">
        <f>VLOOKUP(C985,layoffs_location!A:G,7,FALSE)</f>
        <v>-122.4193286</v>
      </c>
    </row>
    <row r="986" spans="1:18" x14ac:dyDescent="0.2">
      <c r="A986" s="3">
        <v>985</v>
      </c>
      <c r="B986" s="3" t="s">
        <v>521</v>
      </c>
      <c r="C986" s="3" t="s">
        <v>39</v>
      </c>
      <c r="D986" s="3" t="str">
        <f>VLOOKUP(C986,layoffs_location!A:B,2,FALSE)</f>
        <v>New York</v>
      </c>
      <c r="E986" s="3" t="str">
        <f>VLOOKUP(C986,layoffs_location!A:C,3,FALSE)</f>
        <v>New York</v>
      </c>
      <c r="F986" s="3" t="str">
        <f>VLOOKUP(C986,layoffs_location!A:D,4,FALSE)</f>
        <v>USA</v>
      </c>
      <c r="G986" s="3" t="str">
        <f>VLOOKUP(C986,layoffs_location!A:E,5,FALSE)</f>
        <v>North America</v>
      </c>
      <c r="H986" s="3">
        <v>100</v>
      </c>
      <c r="I986" s="8">
        <v>44945</v>
      </c>
      <c r="J986" s="9">
        <v>5</v>
      </c>
      <c r="K986" s="10">
        <v>2000</v>
      </c>
      <c r="L986" s="10">
        <v>1900</v>
      </c>
      <c r="M986" s="3" t="s">
        <v>30</v>
      </c>
      <c r="N986" s="3" t="s">
        <v>22</v>
      </c>
      <c r="O986" s="34">
        <v>965</v>
      </c>
      <c r="P986" s="3">
        <v>2023</v>
      </c>
      <c r="Q986" s="3">
        <f>VLOOKUP(C986,layoffs_location!A:F,6,FALSE)</f>
        <v>40.7127281</v>
      </c>
      <c r="R986" s="3">
        <f>VLOOKUP(C986,layoffs_location!A:G,7,FALSE)</f>
        <v>-74.006015199999993</v>
      </c>
    </row>
    <row r="987" spans="1:18" x14ac:dyDescent="0.2">
      <c r="A987" s="3">
        <v>986</v>
      </c>
      <c r="B987" s="3" t="s">
        <v>519</v>
      </c>
      <c r="C987" s="3" t="s">
        <v>1710</v>
      </c>
      <c r="D987" s="3" t="str">
        <f>VLOOKUP(C987,layoffs_location!A:B,2,FALSE)</f>
        <v>San Francisco Bay Area</v>
      </c>
      <c r="E987" s="3" t="str">
        <f>VLOOKUP(C987,layoffs_location!A:C,3,FALSE)</f>
        <v>California</v>
      </c>
      <c r="F987" s="3" t="str">
        <f>VLOOKUP(C987,layoffs_location!A:D,4,FALSE)</f>
        <v>USA</v>
      </c>
      <c r="G987" s="3" t="str">
        <f>VLOOKUP(C987,layoffs_location!A:E,5,FALSE)</f>
        <v>North America</v>
      </c>
      <c r="H987" s="3">
        <v>22</v>
      </c>
      <c r="I987" s="8">
        <v>44946</v>
      </c>
      <c r="J987" s="9">
        <v>27</v>
      </c>
      <c r="K987" s="10">
        <v>81</v>
      </c>
      <c r="L987" s="10">
        <v>59</v>
      </c>
      <c r="M987" s="3" t="s">
        <v>79</v>
      </c>
      <c r="N987" s="3" t="s">
        <v>41</v>
      </c>
      <c r="O987" s="34">
        <v>64</v>
      </c>
      <c r="P987" s="3">
        <v>2023</v>
      </c>
      <c r="Q987" s="3">
        <f>VLOOKUP(C987,layoffs_location!A:F,6,FALSE)</f>
        <v>37.486323900000002</v>
      </c>
      <c r="R987" s="3">
        <f>VLOOKUP(C987,layoffs_location!A:G,7,FALSE)</f>
        <v>-122.232523</v>
      </c>
    </row>
    <row r="988" spans="1:18" x14ac:dyDescent="0.2">
      <c r="A988" s="3">
        <v>987</v>
      </c>
      <c r="B988" s="3" t="s">
        <v>518</v>
      </c>
      <c r="C988" s="3" t="s">
        <v>187</v>
      </c>
      <c r="D988" s="3" t="str">
        <f>VLOOKUP(C988,layoffs_location!A:B,2,FALSE)</f>
        <v>other</v>
      </c>
      <c r="E988" s="3" t="str">
        <f>VLOOKUP(C988,layoffs_location!A:C,3,FALSE)</f>
        <v>State of São Paulo</v>
      </c>
      <c r="F988" s="3" t="str">
        <f>VLOOKUP(C988,layoffs_location!A:D,4,FALSE)</f>
        <v>Brazil</v>
      </c>
      <c r="G988" s="3" t="str">
        <f>VLOOKUP(C988,layoffs_location!A:E,5,FALSE)</f>
        <v>South America</v>
      </c>
      <c r="H988" s="3">
        <v>31</v>
      </c>
      <c r="I988" s="8">
        <v>44946</v>
      </c>
      <c r="J988" s="9">
        <v>10</v>
      </c>
      <c r="K988" s="10">
        <v>310</v>
      </c>
      <c r="L988" s="10">
        <v>279</v>
      </c>
      <c r="M988" s="3" t="s">
        <v>30</v>
      </c>
      <c r="N988" s="3" t="s">
        <v>22</v>
      </c>
      <c r="O988" s="34">
        <v>14</v>
      </c>
      <c r="P988" s="3">
        <v>2023</v>
      </c>
      <c r="Q988" s="3">
        <f>VLOOKUP(C988,layoffs_location!A:F,6,FALSE)</f>
        <v>-23.550650699999998</v>
      </c>
      <c r="R988" s="3">
        <f>VLOOKUP(C988,layoffs_location!A:G,7,FALSE)</f>
        <v>-46.633382400000002</v>
      </c>
    </row>
    <row r="989" spans="1:18" x14ac:dyDescent="0.2">
      <c r="A989" s="3">
        <v>988</v>
      </c>
      <c r="B989" s="3" t="s">
        <v>513</v>
      </c>
      <c r="C989" s="3" t="s">
        <v>1408</v>
      </c>
      <c r="D989" s="3" t="str">
        <f>VLOOKUP(C989,layoffs_location!A:B,2,FALSE)</f>
        <v>San Francisco Bay Area</v>
      </c>
      <c r="E989" s="3" t="str">
        <f>VLOOKUP(C989,layoffs_location!A:C,3,FALSE)</f>
        <v>California</v>
      </c>
      <c r="F989" s="3" t="str">
        <f>VLOOKUP(C989,layoffs_location!A:D,4,FALSE)</f>
        <v>USA</v>
      </c>
      <c r="G989" s="3" t="str">
        <f>VLOOKUP(C989,layoffs_location!A:E,5,FALSE)</f>
        <v>North America</v>
      </c>
      <c r="H989" s="3">
        <v>12000</v>
      </c>
      <c r="I989" s="8">
        <v>44946</v>
      </c>
      <c r="J989" s="9">
        <v>6</v>
      </c>
      <c r="K989" s="10">
        <v>200000</v>
      </c>
      <c r="L989" s="10">
        <v>188000</v>
      </c>
      <c r="M989" s="3" t="s">
        <v>16</v>
      </c>
      <c r="N989" s="3" t="s">
        <v>28</v>
      </c>
      <c r="O989" s="34">
        <v>26</v>
      </c>
      <c r="P989" s="3">
        <v>2023</v>
      </c>
      <c r="Q989" s="3">
        <f>VLOOKUP(C989,layoffs_location!A:F,6,FALSE)</f>
        <v>37.3893889</v>
      </c>
      <c r="R989" s="3">
        <f>VLOOKUP(C989,layoffs_location!A:G,7,FALSE)</f>
        <v>-122.0832101</v>
      </c>
    </row>
    <row r="990" spans="1:18" x14ac:dyDescent="0.2">
      <c r="A990" s="3">
        <v>989</v>
      </c>
      <c r="B990" s="3" t="s">
        <v>516</v>
      </c>
      <c r="C990" s="3" t="s">
        <v>13</v>
      </c>
      <c r="D990" s="3" t="str">
        <f>VLOOKUP(C990,layoffs_location!A:B,2,FALSE)</f>
        <v>other</v>
      </c>
      <c r="E990" s="3" t="str">
        <f>VLOOKUP(C990,layoffs_location!A:C,3,FALSE)</f>
        <v>Karnataka</v>
      </c>
      <c r="F990" s="3" t="str">
        <f>VLOOKUP(C990,layoffs_location!A:D,4,FALSE)</f>
        <v>India</v>
      </c>
      <c r="G990" s="3" t="str">
        <f>VLOOKUP(C990,layoffs_location!A:E,5,FALSE)</f>
        <v>Asia</v>
      </c>
      <c r="H990" s="3">
        <v>200</v>
      </c>
      <c r="I990" s="8">
        <v>44946</v>
      </c>
      <c r="J990" s="9">
        <v>8</v>
      </c>
      <c r="K990" s="10">
        <v>2500</v>
      </c>
      <c r="L990" s="10">
        <v>2300</v>
      </c>
      <c r="M990" s="3" t="s">
        <v>21</v>
      </c>
      <c r="N990" s="3" t="s">
        <v>33</v>
      </c>
      <c r="O990" s="34">
        <v>192</v>
      </c>
      <c r="P990" s="3">
        <v>2023</v>
      </c>
      <c r="Q990" s="3">
        <f>VLOOKUP(C990,layoffs_location!A:F,6,FALSE)</f>
        <v>12.98815675</v>
      </c>
      <c r="R990" s="3">
        <f>VLOOKUP(C990,layoffs_location!A:G,7,FALSE)</f>
        <v>77.622600037959998</v>
      </c>
    </row>
    <row r="991" spans="1:18" x14ac:dyDescent="0.2">
      <c r="A991" s="3">
        <v>990</v>
      </c>
      <c r="B991" s="3" t="s">
        <v>515</v>
      </c>
      <c r="C991" s="3" t="s">
        <v>13</v>
      </c>
      <c r="D991" s="3" t="str">
        <f>VLOOKUP(C991,layoffs_location!A:B,2,FALSE)</f>
        <v>other</v>
      </c>
      <c r="E991" s="3" t="str">
        <f>VLOOKUP(C991,layoffs_location!A:C,3,FALSE)</f>
        <v>Karnataka</v>
      </c>
      <c r="F991" s="3" t="str">
        <f>VLOOKUP(C991,layoffs_location!A:D,4,FALSE)</f>
        <v>India</v>
      </c>
      <c r="G991" s="3" t="str">
        <f>VLOOKUP(C991,layoffs_location!A:E,5,FALSE)</f>
        <v>Asia</v>
      </c>
      <c r="H991" s="3">
        <v>380</v>
      </c>
      <c r="I991" s="8">
        <v>44946</v>
      </c>
      <c r="J991" s="9">
        <v>6</v>
      </c>
      <c r="K991" s="10">
        <v>6333</v>
      </c>
      <c r="L991" s="10">
        <v>5953</v>
      </c>
      <c r="M991" s="3" t="s">
        <v>77</v>
      </c>
      <c r="N991" s="3" t="s">
        <v>22</v>
      </c>
      <c r="P991" s="3">
        <v>2023</v>
      </c>
      <c r="Q991" s="3">
        <f>VLOOKUP(C991,layoffs_location!A:F,6,FALSE)</f>
        <v>12.98815675</v>
      </c>
      <c r="R991" s="3">
        <f>VLOOKUP(C991,layoffs_location!A:G,7,FALSE)</f>
        <v>77.622600037959998</v>
      </c>
    </row>
    <row r="992" spans="1:18" x14ac:dyDescent="0.2">
      <c r="A992" s="3">
        <v>991</v>
      </c>
      <c r="B992" s="3" t="s">
        <v>517</v>
      </c>
      <c r="C992" s="3" t="s">
        <v>260</v>
      </c>
      <c r="D992" s="3" t="str">
        <f>VLOOKUP(C992,layoffs_location!A:B,2,FALSE)</f>
        <v>other</v>
      </c>
      <c r="E992" s="3" t="str">
        <f>VLOOKUP(C992,layoffs_location!A:C,3,FALSE)</f>
        <v>District of Columbia</v>
      </c>
      <c r="F992" s="3" t="str">
        <f>VLOOKUP(C992,layoffs_location!A:D,4,FALSE)</f>
        <v>USA</v>
      </c>
      <c r="G992" s="3" t="str">
        <f>VLOOKUP(C992,layoffs_location!A:E,5,FALSE)</f>
        <v>North America</v>
      </c>
      <c r="H992" s="3">
        <v>130</v>
      </c>
      <c r="I992" s="8">
        <v>44946</v>
      </c>
      <c r="J992" s="9">
        <v>7</v>
      </c>
      <c r="K992" s="10">
        <v>1857</v>
      </c>
      <c r="L992" s="10">
        <v>1727</v>
      </c>
      <c r="M992" s="3" t="s">
        <v>54</v>
      </c>
      <c r="N992" s="3" t="s">
        <v>63</v>
      </c>
      <c r="O992" s="34">
        <v>307</v>
      </c>
      <c r="P992" s="3">
        <v>2023</v>
      </c>
      <c r="Q992" s="3">
        <f>VLOOKUP(C992,layoffs_location!A:F,6,FALSE)</f>
        <v>38.8950368</v>
      </c>
      <c r="R992" s="3">
        <f>VLOOKUP(C992,layoffs_location!A:G,7,FALSE)</f>
        <v>-77.036542699999998</v>
      </c>
    </row>
    <row r="993" spans="1:18" x14ac:dyDescent="0.2">
      <c r="A993" s="3">
        <v>992</v>
      </c>
      <c r="B993" s="3" t="s">
        <v>514</v>
      </c>
      <c r="C993" s="3" t="s">
        <v>71</v>
      </c>
      <c r="D993" s="3" t="str">
        <f>VLOOKUP(C993,layoffs_location!A:B,2,FALSE)</f>
        <v>other</v>
      </c>
      <c r="E993" s="3" t="str">
        <f>VLOOKUP(C993,layoffs_location!A:C,3,FALSE)</f>
        <v>Massachusetts</v>
      </c>
      <c r="F993" s="3" t="str">
        <f>VLOOKUP(C993,layoffs_location!A:D,4,FALSE)</f>
        <v>USA</v>
      </c>
      <c r="G993" s="3" t="str">
        <f>VLOOKUP(C993,layoffs_location!A:E,5,FALSE)</f>
        <v>North America</v>
      </c>
      <c r="H993" s="3">
        <v>1750</v>
      </c>
      <c r="I993" s="8">
        <v>44946</v>
      </c>
      <c r="J993" s="9">
        <v>10</v>
      </c>
      <c r="K993" s="10">
        <v>17500</v>
      </c>
      <c r="L993" s="10">
        <v>15750</v>
      </c>
      <c r="M993" s="3" t="s">
        <v>30</v>
      </c>
      <c r="N993" s="3" t="s">
        <v>28</v>
      </c>
      <c r="O993" s="34">
        <v>1700</v>
      </c>
      <c r="P993" s="3">
        <v>2023</v>
      </c>
      <c r="Q993" s="3">
        <f>VLOOKUP(C993,layoffs_location!A:F,6,FALSE)</f>
        <v>42.355433400000003</v>
      </c>
      <c r="R993" s="3">
        <f>VLOOKUP(C993,layoffs_location!A:G,7,FALSE)</f>
        <v>-71.060511000000005</v>
      </c>
    </row>
    <row r="994" spans="1:18" x14ac:dyDescent="0.2">
      <c r="A994" s="3">
        <v>993</v>
      </c>
      <c r="B994" s="3" t="s">
        <v>511</v>
      </c>
      <c r="C994" s="3" t="s">
        <v>1473</v>
      </c>
      <c r="D994" s="3" t="str">
        <f>VLOOKUP(C994,layoffs_location!A:B,2,FALSE)</f>
        <v>San Francisco Bay Area</v>
      </c>
      <c r="E994" s="3" t="str">
        <f>VLOOKUP(C994,layoffs_location!A:C,3,FALSE)</f>
        <v>California</v>
      </c>
      <c r="F994" s="3" t="str">
        <f>VLOOKUP(C994,layoffs_location!A:D,4,FALSE)</f>
        <v>USA</v>
      </c>
      <c r="G994" s="3" t="str">
        <f>VLOOKUP(C994,layoffs_location!A:E,5,FALSE)</f>
        <v>North America</v>
      </c>
      <c r="H994" s="3">
        <v>30</v>
      </c>
      <c r="I994" s="8">
        <v>44949</v>
      </c>
      <c r="J994" s="9">
        <v>17</v>
      </c>
      <c r="K994" s="10">
        <v>176</v>
      </c>
      <c r="L994" s="10">
        <v>146</v>
      </c>
      <c r="M994" s="3" t="s">
        <v>139</v>
      </c>
      <c r="N994" s="3" t="s">
        <v>49</v>
      </c>
      <c r="O994" s="34">
        <v>97</v>
      </c>
      <c r="P994" s="3">
        <v>2023</v>
      </c>
      <c r="Q994" s="3">
        <f>VLOOKUP(C994,layoffs_location!A:F,6,FALSE)</f>
        <v>37.4443293</v>
      </c>
      <c r="R994" s="3">
        <f>VLOOKUP(C994,layoffs_location!A:G,7,FALSE)</f>
        <v>-122.1598465</v>
      </c>
    </row>
    <row r="995" spans="1:18" x14ac:dyDescent="0.2">
      <c r="A995" s="3">
        <v>994</v>
      </c>
      <c r="B995" s="3" t="s">
        <v>510</v>
      </c>
      <c r="C995" s="3" t="s">
        <v>39</v>
      </c>
      <c r="D995" s="3" t="str">
        <f>VLOOKUP(C995,layoffs_location!A:B,2,FALSE)</f>
        <v>New York</v>
      </c>
      <c r="E995" s="3" t="str">
        <f>VLOOKUP(C995,layoffs_location!A:C,3,FALSE)</f>
        <v>New York</v>
      </c>
      <c r="F995" s="3" t="str">
        <f>VLOOKUP(C995,layoffs_location!A:D,4,FALSE)</f>
        <v>USA</v>
      </c>
      <c r="G995" s="3" t="str">
        <f>VLOOKUP(C995,layoffs_location!A:E,5,FALSE)</f>
        <v>North America</v>
      </c>
      <c r="H995" s="3">
        <v>40</v>
      </c>
      <c r="I995" s="8">
        <v>44949</v>
      </c>
      <c r="J995" s="9">
        <v>10</v>
      </c>
      <c r="K995" s="10">
        <v>400</v>
      </c>
      <c r="L995" s="10">
        <v>360</v>
      </c>
      <c r="M995" s="3" t="s">
        <v>130</v>
      </c>
      <c r="N995" s="3" t="s">
        <v>28</v>
      </c>
      <c r="O995" s="34">
        <v>295</v>
      </c>
      <c r="P995" s="3">
        <v>2023</v>
      </c>
      <c r="Q995" s="3">
        <f>VLOOKUP(C995,layoffs_location!A:F,6,FALSE)</f>
        <v>40.7127281</v>
      </c>
      <c r="R995" s="3">
        <f>VLOOKUP(C995,layoffs_location!A:G,7,FALSE)</f>
        <v>-74.006015199999993</v>
      </c>
    </row>
    <row r="996" spans="1:18" x14ac:dyDescent="0.2">
      <c r="A996" s="3">
        <v>995</v>
      </c>
      <c r="B996" s="3" t="s">
        <v>512</v>
      </c>
      <c r="C996" s="3" t="s">
        <v>47</v>
      </c>
      <c r="D996" s="3" t="str">
        <f>VLOOKUP(C996,layoffs_location!A:B,2,FALSE)</f>
        <v>other</v>
      </c>
      <c r="E996" s="3" t="str">
        <f>VLOOKUP(C996,layoffs_location!A:C,3,FALSE)</f>
        <v>non</v>
      </c>
      <c r="F996" s="3" t="str">
        <f>VLOOKUP(C996,layoffs_location!A:D,4,FALSE)</f>
        <v>Israel</v>
      </c>
      <c r="G996" s="3" t="str">
        <f>VLOOKUP(C996,layoffs_location!A:E,5,FALSE)</f>
        <v>Asia</v>
      </c>
      <c r="H996" s="3">
        <v>20</v>
      </c>
      <c r="I996" s="8">
        <v>44949</v>
      </c>
      <c r="J996" s="9">
        <v>15</v>
      </c>
      <c r="K996" s="10">
        <v>133</v>
      </c>
      <c r="L996" s="10">
        <v>113</v>
      </c>
      <c r="M996" s="3" t="s">
        <v>130</v>
      </c>
      <c r="N996" s="3" t="s">
        <v>41</v>
      </c>
      <c r="O996" s="34">
        <v>69</v>
      </c>
      <c r="P996" s="3">
        <v>2023</v>
      </c>
      <c r="Q996" s="3">
        <f>VLOOKUP(C996,layoffs_location!A:F,6,FALSE)</f>
        <v>32.0852997</v>
      </c>
      <c r="R996" s="3">
        <f>VLOOKUP(C996,layoffs_location!A:G,7,FALSE)</f>
        <v>34.781806400000001</v>
      </c>
    </row>
    <row r="997" spans="1:18" x14ac:dyDescent="0.2">
      <c r="A997" s="3">
        <v>996</v>
      </c>
      <c r="B997" s="3" t="s">
        <v>50</v>
      </c>
      <c r="C997" s="3" t="s">
        <v>51</v>
      </c>
      <c r="D997" s="3" t="str">
        <f>VLOOKUP(C997,layoffs_location!A:B,2,FALSE)</f>
        <v>other</v>
      </c>
      <c r="E997" s="3" t="str">
        <f>VLOOKUP(C997,layoffs_location!A:C,3,FALSE)</f>
        <v>non</v>
      </c>
      <c r="F997" s="3" t="str">
        <f>VLOOKUP(C997,layoffs_location!A:D,4,FALSE)</f>
        <v>Sweden</v>
      </c>
      <c r="G997" s="3" t="str">
        <f>VLOOKUP(C997,layoffs_location!A:E,5,FALSE)</f>
        <v>Europe</v>
      </c>
      <c r="H997" s="3">
        <v>600</v>
      </c>
      <c r="I997" s="8">
        <v>44949</v>
      </c>
      <c r="J997" s="9">
        <v>6</v>
      </c>
      <c r="K997" s="10">
        <v>10000</v>
      </c>
      <c r="L997" s="10">
        <v>9400</v>
      </c>
      <c r="M997" s="3" t="s">
        <v>54</v>
      </c>
      <c r="N997" s="3" t="s">
        <v>28</v>
      </c>
      <c r="O997" s="34">
        <v>2100</v>
      </c>
      <c r="P997" s="3">
        <v>2023</v>
      </c>
      <c r="Q997" s="3">
        <f>VLOOKUP(C997,layoffs_location!A:F,6,FALSE)</f>
        <v>59.325117200000001</v>
      </c>
      <c r="R997" s="3">
        <f>VLOOKUP(C997,layoffs_location!A:G,7,FALSE)</f>
        <v>18.0710935</v>
      </c>
    </row>
    <row r="998" spans="1:18" ht="16" x14ac:dyDescent="0.2">
      <c r="A998" s="3">
        <v>997</v>
      </c>
      <c r="B998" s="3" t="s">
        <v>509</v>
      </c>
      <c r="C998" s="11" t="s">
        <v>1370</v>
      </c>
      <c r="D998" s="3" t="str">
        <f>VLOOKUP(C998,layoffs_location!A:B,2,FALSE)</f>
        <v>San Francisco Bay Area</v>
      </c>
      <c r="E998" s="3" t="str">
        <f>VLOOKUP(C998,layoffs_location!A:C,3,FALSE)</f>
        <v>California</v>
      </c>
      <c r="F998" s="3" t="str">
        <f>VLOOKUP(C998,layoffs_location!A:D,4,FALSE)</f>
        <v>USA</v>
      </c>
      <c r="G998" s="3" t="str">
        <f>VLOOKUP(C998,layoffs_location!A:E,5,FALSE)</f>
        <v>North America</v>
      </c>
      <c r="H998" s="3">
        <v>150</v>
      </c>
      <c r="I998" s="8">
        <v>44949</v>
      </c>
      <c r="J998" s="9">
        <v>3</v>
      </c>
      <c r="K998" s="10">
        <v>5000</v>
      </c>
      <c r="L998" s="10">
        <v>4850</v>
      </c>
      <c r="M998" s="3" t="s">
        <v>90</v>
      </c>
      <c r="N998" s="3" t="s">
        <v>1697</v>
      </c>
      <c r="O998" s="34">
        <v>2700</v>
      </c>
      <c r="P998" s="3">
        <v>2023</v>
      </c>
      <c r="Q998" s="3">
        <f>VLOOKUP(C998,layoffs_location!A:F,6,FALSE)</f>
        <v>37.779258800000001</v>
      </c>
      <c r="R998" s="3">
        <f>VLOOKUP(C998,layoffs_location!A:G,7,FALSE)</f>
        <v>-122.4193286</v>
      </c>
    </row>
    <row r="999" spans="1:18" x14ac:dyDescent="0.2">
      <c r="A999" s="3">
        <v>998</v>
      </c>
      <c r="B999" s="3" t="s">
        <v>34</v>
      </c>
      <c r="C999" s="3" t="s">
        <v>1370</v>
      </c>
      <c r="D999" s="3" t="str">
        <f>VLOOKUP(C999,layoffs_location!A:B,2,FALSE)</f>
        <v>San Francisco Bay Area</v>
      </c>
      <c r="E999" s="3" t="str">
        <f>VLOOKUP(C999,layoffs_location!A:C,3,FALSE)</f>
        <v>California</v>
      </c>
      <c r="F999" s="3" t="str">
        <f>VLOOKUP(C999,layoffs_location!A:D,4,FALSE)</f>
        <v>USA</v>
      </c>
      <c r="G999" s="3" t="str">
        <f>VLOOKUP(C999,layoffs_location!A:E,5,FALSE)</f>
        <v>North America</v>
      </c>
      <c r="H999" s="3">
        <v>50</v>
      </c>
      <c r="I999" s="8">
        <v>44950</v>
      </c>
      <c r="J999" s="9">
        <v>10</v>
      </c>
      <c r="K999" s="10">
        <v>500</v>
      </c>
      <c r="L999" s="10">
        <v>450</v>
      </c>
      <c r="M999" s="3" t="s">
        <v>35</v>
      </c>
      <c r="N999" s="3" t="s">
        <v>36</v>
      </c>
      <c r="O999" s="34">
        <v>1300</v>
      </c>
      <c r="P999" s="3">
        <v>2023</v>
      </c>
      <c r="Q999" s="3">
        <f>VLOOKUP(C999,layoffs_location!A:F,6,FALSE)</f>
        <v>37.779258800000001</v>
      </c>
      <c r="R999" s="3">
        <f>VLOOKUP(C999,layoffs_location!A:G,7,FALSE)</f>
        <v>-122.4193286</v>
      </c>
    </row>
    <row r="1000" spans="1:18" x14ac:dyDescent="0.2">
      <c r="A1000" s="3">
        <v>999</v>
      </c>
      <c r="B1000" s="3" t="s">
        <v>507</v>
      </c>
      <c r="C1000" s="3" t="s">
        <v>508</v>
      </c>
      <c r="D1000" s="3" t="str">
        <f>VLOOKUP(C1000,layoffs_location!A:B,2,FALSE)</f>
        <v>other</v>
      </c>
      <c r="E1000" s="3" t="str">
        <f>VLOOKUP(C1000,layoffs_location!A:C,3,FALSE)</f>
        <v>Schleswig-Holstein</v>
      </c>
      <c r="F1000" s="3" t="str">
        <f>VLOOKUP(C1000,layoffs_location!A:D,4,FALSE)</f>
        <v>Germany</v>
      </c>
      <c r="G1000" s="3" t="str">
        <f>VLOOKUP(C1000,layoffs_location!A:E,5,FALSE)</f>
        <v>Europe</v>
      </c>
      <c r="H1000" s="3">
        <v>21</v>
      </c>
      <c r="I1000" s="8">
        <v>44950</v>
      </c>
      <c r="J1000" s="9">
        <v>28</v>
      </c>
      <c r="K1000" s="10">
        <v>75</v>
      </c>
      <c r="L1000" s="10">
        <v>54</v>
      </c>
      <c r="M1000" s="3" t="s">
        <v>48</v>
      </c>
      <c r="N1000" s="3" t="s">
        <v>69</v>
      </c>
      <c r="O1000" s="34">
        <v>41</v>
      </c>
      <c r="P1000" s="3">
        <v>2023</v>
      </c>
      <c r="Q1000" s="3">
        <f>VLOOKUP(C1000,layoffs_location!A:F,6,FALSE)</f>
        <v>54.322708499999997</v>
      </c>
      <c r="R1000" s="3">
        <f>VLOOKUP(C1000,layoffs_location!A:G,7,FALSE)</f>
        <v>10.135555</v>
      </c>
    </row>
    <row r="1001" spans="1:18" x14ac:dyDescent="0.2">
      <c r="A1001" s="3">
        <v>1000</v>
      </c>
      <c r="B1001" s="3" t="s">
        <v>505</v>
      </c>
      <c r="C1001" s="3" t="s">
        <v>1370</v>
      </c>
      <c r="D1001" s="3" t="str">
        <f>VLOOKUP(C1001,layoffs_location!A:B,2,FALSE)</f>
        <v>San Francisco Bay Area</v>
      </c>
      <c r="E1001" s="3" t="str">
        <f>VLOOKUP(C1001,layoffs_location!A:C,3,FALSE)</f>
        <v>California</v>
      </c>
      <c r="F1001" s="3" t="str">
        <f>VLOOKUP(C1001,layoffs_location!A:D,4,FALSE)</f>
        <v>USA</v>
      </c>
      <c r="G1001" s="3" t="str">
        <f>VLOOKUP(C1001,layoffs_location!A:E,5,FALSE)</f>
        <v>North America</v>
      </c>
      <c r="H1001" s="3">
        <v>245</v>
      </c>
      <c r="I1001" s="8">
        <v>44950</v>
      </c>
      <c r="J1001" s="9">
        <v>15</v>
      </c>
      <c r="K1001" s="10">
        <v>1633</v>
      </c>
      <c r="L1001" s="10">
        <v>1388</v>
      </c>
      <c r="M1001" s="3" t="s">
        <v>21</v>
      </c>
      <c r="N1001" s="3" t="s">
        <v>36</v>
      </c>
      <c r="O1001" s="34">
        <v>379</v>
      </c>
      <c r="P1001" s="3">
        <v>2023</v>
      </c>
      <c r="Q1001" s="3">
        <f>VLOOKUP(C1001,layoffs_location!A:F,6,FALSE)</f>
        <v>37.779258800000001</v>
      </c>
      <c r="R1001" s="3">
        <f>VLOOKUP(C1001,layoffs_location!A:G,7,FALSE)</f>
        <v>-122.4193286</v>
      </c>
    </row>
    <row r="1002" spans="1:18" x14ac:dyDescent="0.2">
      <c r="A1002" s="3">
        <v>1001</v>
      </c>
      <c r="B1002" s="3" t="s">
        <v>506</v>
      </c>
      <c r="C1002" s="3" t="s">
        <v>179</v>
      </c>
      <c r="D1002" s="3" t="str">
        <f>VLOOKUP(C1002,layoffs_location!A:B,2,FALSE)</f>
        <v>other</v>
      </c>
      <c r="E1002" s="3" t="str">
        <f>VLOOKUP(C1002,layoffs_location!A:C,3,FALSE)</f>
        <v>Ontario</v>
      </c>
      <c r="F1002" s="3" t="str">
        <f>VLOOKUP(C1002,layoffs_location!A:D,4,FALSE)</f>
        <v>Canada</v>
      </c>
      <c r="G1002" s="3" t="str">
        <f>VLOOKUP(C1002,layoffs_location!A:E,5,FALSE)</f>
        <v>North America</v>
      </c>
      <c r="H1002" s="3">
        <v>40</v>
      </c>
      <c r="I1002" s="8">
        <v>44950</v>
      </c>
      <c r="J1002" s="9">
        <v>20</v>
      </c>
      <c r="K1002" s="10">
        <v>200</v>
      </c>
      <c r="L1002" s="10">
        <v>160</v>
      </c>
      <c r="M1002" s="3" t="s">
        <v>92</v>
      </c>
      <c r="N1002" s="3" t="s">
        <v>49</v>
      </c>
      <c r="O1002" s="34">
        <v>36</v>
      </c>
      <c r="P1002" s="3">
        <v>2023</v>
      </c>
      <c r="Q1002" s="3">
        <f>VLOOKUP(C1002,layoffs_location!A:F,6,FALSE)</f>
        <v>43.6534817</v>
      </c>
      <c r="R1002" s="3">
        <f>VLOOKUP(C1002,layoffs_location!A:G,7,FALSE)</f>
        <v>-79.383934699999998</v>
      </c>
    </row>
    <row r="1003" spans="1:18" x14ac:dyDescent="0.2">
      <c r="A1003" s="3">
        <v>1002</v>
      </c>
      <c r="B1003" s="3" t="s">
        <v>504</v>
      </c>
      <c r="C1003" s="3" t="s">
        <v>145</v>
      </c>
      <c r="D1003" s="3" t="str">
        <f>VLOOKUP(C1003,layoffs_location!A:B,2,FALSE)</f>
        <v>Cascadia</v>
      </c>
      <c r="E1003" s="3" t="str">
        <f>VLOOKUP(C1003,layoffs_location!A:C,3,FALSE)</f>
        <v>Oregon</v>
      </c>
      <c r="F1003" s="3" t="str">
        <f>VLOOKUP(C1003,layoffs_location!A:D,4,FALSE)</f>
        <v>USA</v>
      </c>
      <c r="G1003" s="3" t="str">
        <f>VLOOKUP(C1003,layoffs_location!A:E,5,FALSE)</f>
        <v>North America</v>
      </c>
      <c r="H1003" s="3">
        <v>1300</v>
      </c>
      <c r="I1003" s="8">
        <v>44950</v>
      </c>
      <c r="J1003" s="9">
        <v>17</v>
      </c>
      <c r="K1003" s="10">
        <v>7647</v>
      </c>
      <c r="L1003" s="10">
        <v>6347</v>
      </c>
      <c r="M1003" s="3" t="s">
        <v>72</v>
      </c>
      <c r="N1003" s="3" t="s">
        <v>28</v>
      </c>
      <c r="O1003" s="34">
        <v>834</v>
      </c>
      <c r="P1003" s="3">
        <v>2023</v>
      </c>
      <c r="Q1003" s="3">
        <f>VLOOKUP(C1003,layoffs_location!A:F,6,FALSE)</f>
        <v>45.520247099999999</v>
      </c>
      <c r="R1003" s="3">
        <f>VLOOKUP(C1003,layoffs_location!A:G,7,FALSE)</f>
        <v>-122.674194</v>
      </c>
    </row>
    <row r="1004" spans="1:18" x14ac:dyDescent="0.2">
      <c r="A1004" s="3">
        <v>1003</v>
      </c>
      <c r="B1004" s="3" t="s">
        <v>501</v>
      </c>
      <c r="C1004" s="3" t="s">
        <v>1473</v>
      </c>
      <c r="D1004" s="3" t="str">
        <f>VLOOKUP(C1004,layoffs_location!A:B,2,FALSE)</f>
        <v>San Francisco Bay Area</v>
      </c>
      <c r="E1004" s="3" t="str">
        <f>VLOOKUP(C1004,layoffs_location!A:C,3,FALSE)</f>
        <v>California</v>
      </c>
      <c r="F1004" s="3" t="str">
        <f>VLOOKUP(C1004,layoffs_location!A:D,4,FALSE)</f>
        <v>USA</v>
      </c>
      <c r="G1004" s="3" t="str">
        <f>VLOOKUP(C1004,layoffs_location!A:E,5,FALSE)</f>
        <v>North America</v>
      </c>
      <c r="H1004" s="3">
        <v>130</v>
      </c>
      <c r="I1004" s="8">
        <v>44951</v>
      </c>
      <c r="J1004" s="9">
        <v>7</v>
      </c>
      <c r="K1004" s="10">
        <v>1857</v>
      </c>
      <c r="L1004" s="10">
        <v>1727</v>
      </c>
      <c r="M1004" s="3" t="s">
        <v>21</v>
      </c>
      <c r="N1004" s="3" t="s">
        <v>28</v>
      </c>
      <c r="O1004" s="34">
        <v>550</v>
      </c>
      <c r="P1004" s="3">
        <v>2023</v>
      </c>
      <c r="Q1004" s="3">
        <f>VLOOKUP(C1004,layoffs_location!A:F,6,FALSE)</f>
        <v>37.4443293</v>
      </c>
      <c r="R1004" s="3">
        <f>VLOOKUP(C1004,layoffs_location!A:G,7,FALSE)</f>
        <v>-122.1598465</v>
      </c>
    </row>
    <row r="1005" spans="1:18" x14ac:dyDescent="0.2">
      <c r="A1005" s="3">
        <v>1004</v>
      </c>
      <c r="B1005" s="3" t="s">
        <v>500</v>
      </c>
      <c r="C1005" s="3" t="s">
        <v>58</v>
      </c>
      <c r="D1005" s="3" t="str">
        <f>VLOOKUP(C1005,layoffs_location!A:B,2,FALSE)</f>
        <v>other</v>
      </c>
      <c r="E1005" s="3" t="str">
        <f>VLOOKUP(C1005,layoffs_location!A:C,3,FALSE)</f>
        <v>England</v>
      </c>
      <c r="F1005" s="3" t="str">
        <f>VLOOKUP(C1005,layoffs_location!A:D,4,FALSE)</f>
        <v>UK</v>
      </c>
      <c r="G1005" s="3" t="str">
        <f>VLOOKUP(C1005,layoffs_location!A:E,5,FALSE)</f>
        <v>Europe</v>
      </c>
      <c r="H1005" s="3">
        <v>330</v>
      </c>
      <c r="I1005" s="8">
        <v>44951</v>
      </c>
      <c r="J1005" s="9">
        <v>35</v>
      </c>
      <c r="K1005" s="10">
        <v>943</v>
      </c>
      <c r="L1005" s="10">
        <v>613</v>
      </c>
      <c r="M1005" s="3" t="s">
        <v>117</v>
      </c>
      <c r="N1005" s="3" t="s">
        <v>33</v>
      </c>
      <c r="O1005" s="34">
        <v>13</v>
      </c>
      <c r="P1005" s="3">
        <v>2023</v>
      </c>
      <c r="Q1005" s="3">
        <f>VLOOKUP(C1005,layoffs_location!A:F,6,FALSE)</f>
        <v>51.489333500000001</v>
      </c>
      <c r="R1005" s="3">
        <f>VLOOKUP(C1005,layoffs_location!A:G,7,FALSE)</f>
        <v>-0.14405508452768701</v>
      </c>
    </row>
    <row r="1006" spans="1:18" x14ac:dyDescent="0.2">
      <c r="A1006" s="3">
        <v>1005</v>
      </c>
      <c r="B1006" s="3" t="s">
        <v>502</v>
      </c>
      <c r="C1006" s="3" t="s">
        <v>43</v>
      </c>
      <c r="D1006" s="3" t="str">
        <f>VLOOKUP(C1006,layoffs_location!A:B,2,FALSE)</f>
        <v>Cascadia</v>
      </c>
      <c r="E1006" s="3" t="str">
        <f>VLOOKUP(C1006,layoffs_location!A:C,3,FALSE)</f>
        <v>Washington</v>
      </c>
      <c r="F1006" s="3" t="str">
        <f>VLOOKUP(C1006,layoffs_location!A:D,4,FALSE)</f>
        <v>USA</v>
      </c>
      <c r="G1006" s="3" t="str">
        <f>VLOOKUP(C1006,layoffs_location!A:E,5,FALSE)</f>
        <v>North America</v>
      </c>
      <c r="H1006" s="3">
        <v>130</v>
      </c>
      <c r="I1006" s="8">
        <v>44951</v>
      </c>
      <c r="J1006" s="9">
        <v>15</v>
      </c>
      <c r="K1006" s="10">
        <v>867</v>
      </c>
      <c r="L1006" s="10">
        <v>737</v>
      </c>
      <c r="M1006" s="3" t="s">
        <v>478</v>
      </c>
      <c r="N1006" s="3" t="s">
        <v>108</v>
      </c>
      <c r="O1006" s="34">
        <v>171</v>
      </c>
      <c r="P1006" s="3">
        <v>2023</v>
      </c>
      <c r="Q1006" s="3">
        <f>VLOOKUP(C1006,layoffs_location!A:F,6,FALSE)</f>
        <v>47.603832099999998</v>
      </c>
      <c r="R1006" s="3">
        <f>VLOOKUP(C1006,layoffs_location!A:G,7,FALSE)</f>
        <v>-122.330062</v>
      </c>
    </row>
    <row r="1007" spans="1:18" x14ac:dyDescent="0.2">
      <c r="A1007" s="3">
        <v>1006</v>
      </c>
      <c r="B1007" s="3" t="s">
        <v>503</v>
      </c>
      <c r="C1007" s="3" t="s">
        <v>135</v>
      </c>
      <c r="D1007" s="3" t="str">
        <f>VLOOKUP(C1007,layoffs_location!A:B,2,FALSE)</f>
        <v>other</v>
      </c>
      <c r="E1007" s="3" t="str">
        <f>VLOOKUP(C1007,layoffs_location!A:C,3,FALSE)</f>
        <v>Berlin</v>
      </c>
      <c r="F1007" s="3" t="str">
        <f>VLOOKUP(C1007,layoffs_location!A:D,4,FALSE)</f>
        <v>Germany</v>
      </c>
      <c r="G1007" s="3" t="str">
        <f>VLOOKUP(C1007,layoffs_location!A:E,5,FALSE)</f>
        <v>Europe</v>
      </c>
      <c r="H1007" s="3">
        <v>80</v>
      </c>
      <c r="I1007" s="8">
        <v>44951</v>
      </c>
      <c r="J1007" s="9">
        <v>7</v>
      </c>
      <c r="K1007" s="10">
        <v>1143</v>
      </c>
      <c r="L1007" s="10">
        <v>1063</v>
      </c>
      <c r="M1007" s="3" t="s">
        <v>32</v>
      </c>
      <c r="N1007" s="3" t="s">
        <v>108</v>
      </c>
      <c r="O1007" s="34">
        <v>646</v>
      </c>
      <c r="P1007" s="3">
        <v>2023</v>
      </c>
      <c r="Q1007" s="3">
        <f>VLOOKUP(C1007,layoffs_location!A:F,6,FALSE)</f>
        <v>52.517036500000003</v>
      </c>
      <c r="R1007" s="3">
        <f>VLOOKUP(C1007,layoffs_location!A:G,7,FALSE)</f>
        <v>13.3888599</v>
      </c>
    </row>
    <row r="1008" spans="1:18" x14ac:dyDescent="0.2">
      <c r="A1008" s="3">
        <v>1007</v>
      </c>
      <c r="B1008" s="3" t="s">
        <v>498</v>
      </c>
      <c r="C1008" s="3" t="s">
        <v>1408</v>
      </c>
      <c r="D1008" s="3" t="str">
        <f>VLOOKUP(C1008,layoffs_location!A:B,2,FALSE)</f>
        <v>San Francisco Bay Area</v>
      </c>
      <c r="E1008" s="3" t="str">
        <f>VLOOKUP(C1008,layoffs_location!A:C,3,FALSE)</f>
        <v>California</v>
      </c>
      <c r="F1008" s="3" t="str">
        <f>VLOOKUP(C1008,layoffs_location!A:D,4,FALSE)</f>
        <v>USA</v>
      </c>
      <c r="G1008" s="3" t="str">
        <f>VLOOKUP(C1008,layoffs_location!A:E,5,FALSE)</f>
        <v>North America</v>
      </c>
      <c r="H1008" s="3">
        <v>221</v>
      </c>
      <c r="I1008" s="8">
        <v>44952</v>
      </c>
      <c r="J1008" s="9">
        <v>8</v>
      </c>
      <c r="K1008" s="10">
        <v>2763</v>
      </c>
      <c r="L1008" s="10">
        <v>2542</v>
      </c>
      <c r="M1008" s="3" t="s">
        <v>79</v>
      </c>
      <c r="N1008" s="3" t="s">
        <v>28</v>
      </c>
      <c r="O1008" s="34">
        <v>455</v>
      </c>
      <c r="P1008" s="3">
        <v>2023</v>
      </c>
      <c r="Q1008" s="3">
        <f>VLOOKUP(C1008,layoffs_location!A:F,6,FALSE)</f>
        <v>37.3893889</v>
      </c>
      <c r="R1008" s="3">
        <f>VLOOKUP(C1008,layoffs_location!A:G,7,FALSE)</f>
        <v>-122.0832101</v>
      </c>
    </row>
    <row r="1009" spans="1:18" x14ac:dyDescent="0.2">
      <c r="A1009" s="3">
        <v>1008</v>
      </c>
      <c r="B1009" s="3" t="s">
        <v>499</v>
      </c>
      <c r="C1009" s="3" t="s">
        <v>58</v>
      </c>
      <c r="D1009" s="3" t="str">
        <f>VLOOKUP(C1009,layoffs_location!A:B,2,FALSE)</f>
        <v>other</v>
      </c>
      <c r="E1009" s="3" t="str">
        <f>VLOOKUP(C1009,layoffs_location!A:C,3,FALSE)</f>
        <v>England</v>
      </c>
      <c r="F1009" s="3" t="str">
        <f>VLOOKUP(C1009,layoffs_location!A:D,4,FALSE)</f>
        <v>UK</v>
      </c>
      <c r="G1009" s="3" t="str">
        <f>VLOOKUP(C1009,layoffs_location!A:E,5,FALSE)</f>
        <v>Europe</v>
      </c>
      <c r="H1009" s="3">
        <v>25</v>
      </c>
      <c r="I1009" s="8">
        <v>44952</v>
      </c>
      <c r="J1009" s="9">
        <v>100</v>
      </c>
      <c r="K1009" s="10">
        <v>25</v>
      </c>
      <c r="L1009" s="10">
        <v>0</v>
      </c>
      <c r="M1009" s="3" t="s">
        <v>72</v>
      </c>
      <c r="N1009" s="3" t="s">
        <v>22</v>
      </c>
      <c r="O1009" s="34">
        <v>1</v>
      </c>
      <c r="P1009" s="3">
        <v>2023</v>
      </c>
      <c r="Q1009" s="3">
        <f>VLOOKUP(C1009,layoffs_location!A:F,6,FALSE)</f>
        <v>51.489333500000001</v>
      </c>
      <c r="R1009" s="3">
        <f>VLOOKUP(C1009,layoffs_location!A:G,7,FALSE)</f>
        <v>-0.14405508452768701</v>
      </c>
    </row>
    <row r="1010" spans="1:18" x14ac:dyDescent="0.2">
      <c r="A1010" s="3">
        <v>1009</v>
      </c>
      <c r="B1010" s="3" t="s">
        <v>496</v>
      </c>
      <c r="C1010" s="3" t="s">
        <v>497</v>
      </c>
      <c r="D1010" s="3" t="str">
        <f>VLOOKUP(C1010,layoffs_location!A:B,2,FALSE)</f>
        <v>other</v>
      </c>
      <c r="E1010" s="3" t="str">
        <f>VLOOKUP(C1010,layoffs_location!A:C,3,FALSE)</f>
        <v>Baden-Würtemberg</v>
      </c>
      <c r="F1010" s="3" t="str">
        <f>VLOOKUP(C1010,layoffs_location!A:D,4,FALSE)</f>
        <v>Germany</v>
      </c>
      <c r="G1010" s="3" t="str">
        <f>VLOOKUP(C1010,layoffs_location!A:E,5,FALSE)</f>
        <v>Europe</v>
      </c>
      <c r="H1010" s="3">
        <v>3000</v>
      </c>
      <c r="I1010" s="8">
        <v>44952</v>
      </c>
      <c r="J1010" s="9">
        <v>3</v>
      </c>
      <c r="K1010" s="10">
        <v>100000</v>
      </c>
      <c r="L1010" s="10">
        <v>97000</v>
      </c>
      <c r="M1010" s="3" t="s">
        <v>60</v>
      </c>
      <c r="N1010" s="3" t="s">
        <v>28</v>
      </c>
      <c r="O1010" s="34">
        <v>1300</v>
      </c>
      <c r="P1010" s="3">
        <v>2023</v>
      </c>
      <c r="Q1010" s="3">
        <f>VLOOKUP(C1010,layoffs_location!A:F,6,FALSE)</f>
        <v>49.303813400000003</v>
      </c>
      <c r="R1010" s="3">
        <f>VLOOKUP(C1010,layoffs_location!A:G,7,FALSE)</f>
        <v>8.6433517999999996</v>
      </c>
    </row>
    <row r="1011" spans="1:18" x14ac:dyDescent="0.2">
      <c r="A1011" s="3">
        <v>1010</v>
      </c>
      <c r="B1011" s="3" t="s">
        <v>495</v>
      </c>
      <c r="C1011" s="3" t="s">
        <v>179</v>
      </c>
      <c r="D1011" s="3" t="str">
        <f>VLOOKUP(C1011,layoffs_location!A:B,2,FALSE)</f>
        <v>other</v>
      </c>
      <c r="E1011" s="3" t="str">
        <f>VLOOKUP(C1011,layoffs_location!A:C,3,FALSE)</f>
        <v>Ontario</v>
      </c>
      <c r="F1011" s="3" t="str">
        <f>VLOOKUP(C1011,layoffs_location!A:D,4,FALSE)</f>
        <v>Canada</v>
      </c>
      <c r="G1011" s="3" t="str">
        <f>VLOOKUP(C1011,layoffs_location!A:E,5,FALSE)</f>
        <v>North America</v>
      </c>
      <c r="H1011" s="3">
        <v>19</v>
      </c>
      <c r="I1011" s="8">
        <v>44953</v>
      </c>
      <c r="J1011" s="9">
        <v>17</v>
      </c>
      <c r="K1011" s="10">
        <v>112</v>
      </c>
      <c r="L1011" s="10">
        <v>93</v>
      </c>
      <c r="M1011" s="3" t="s">
        <v>130</v>
      </c>
      <c r="N1011" s="3" t="s">
        <v>49</v>
      </c>
      <c r="O1011" s="34">
        <v>21</v>
      </c>
      <c r="P1011" s="3">
        <v>2023</v>
      </c>
      <c r="Q1011" s="3">
        <f>VLOOKUP(C1011,layoffs_location!A:F,6,FALSE)</f>
        <v>43.6534817</v>
      </c>
      <c r="R1011" s="3">
        <f>VLOOKUP(C1011,layoffs_location!A:G,7,FALSE)</f>
        <v>-79.383934699999998</v>
      </c>
    </row>
    <row r="1012" spans="1:18" x14ac:dyDescent="0.2">
      <c r="A1012" s="3">
        <v>1011</v>
      </c>
      <c r="B1012" s="3" t="s">
        <v>492</v>
      </c>
      <c r="C1012" s="3" t="s">
        <v>13</v>
      </c>
      <c r="D1012" s="3" t="str">
        <f>VLOOKUP(C1012,layoffs_location!A:B,2,FALSE)</f>
        <v>other</v>
      </c>
      <c r="E1012" s="3" t="str">
        <f>VLOOKUP(C1012,layoffs_location!A:C,3,FALSE)</f>
        <v>Karnataka</v>
      </c>
      <c r="F1012" s="3" t="str">
        <f>VLOOKUP(C1012,layoffs_location!A:D,4,FALSE)</f>
        <v>India</v>
      </c>
      <c r="G1012" s="3" t="str">
        <f>VLOOKUP(C1012,layoffs_location!A:E,5,FALSE)</f>
        <v>Asia</v>
      </c>
      <c r="H1012" s="3">
        <v>100</v>
      </c>
      <c r="I1012" s="8">
        <v>44953</v>
      </c>
      <c r="J1012" s="9">
        <v>6</v>
      </c>
      <c r="K1012" s="10">
        <v>1667</v>
      </c>
      <c r="L1012" s="10">
        <v>1567</v>
      </c>
      <c r="M1012" s="3" t="s">
        <v>30</v>
      </c>
      <c r="N1012" s="3" t="s">
        <v>36</v>
      </c>
      <c r="O1012" s="34">
        <v>390</v>
      </c>
      <c r="P1012" s="3">
        <v>2023</v>
      </c>
      <c r="Q1012" s="3">
        <f>VLOOKUP(C1012,layoffs_location!A:F,6,FALSE)</f>
        <v>12.98815675</v>
      </c>
      <c r="R1012" s="3">
        <f>VLOOKUP(C1012,layoffs_location!A:G,7,FALSE)</f>
        <v>77.622600037959998</v>
      </c>
    </row>
    <row r="1013" spans="1:18" x14ac:dyDescent="0.2">
      <c r="A1013" s="3">
        <v>1012</v>
      </c>
      <c r="B1013" s="3" t="s">
        <v>493</v>
      </c>
      <c r="C1013" s="3" t="s">
        <v>244</v>
      </c>
      <c r="D1013" s="3" t="str">
        <f>VLOOKUP(C1013,layoffs_location!A:B,2,FALSE)</f>
        <v>other</v>
      </c>
      <c r="E1013" s="3" t="str">
        <f>VLOOKUP(C1013,layoffs_location!A:C,3,FALSE)</f>
        <v>non</v>
      </c>
      <c r="F1013" s="3" t="str">
        <f>VLOOKUP(C1013,layoffs_location!A:D,4,FALSE)</f>
        <v>Singapore</v>
      </c>
      <c r="G1013" s="3" t="str">
        <f>VLOOKUP(C1013,layoffs_location!A:E,5,FALSE)</f>
        <v>Asia</v>
      </c>
      <c r="H1013" s="3">
        <v>29</v>
      </c>
      <c r="I1013" s="8">
        <v>44953</v>
      </c>
      <c r="J1013" s="9">
        <v>10</v>
      </c>
      <c r="K1013" s="10">
        <v>290</v>
      </c>
      <c r="L1013" s="10">
        <v>261</v>
      </c>
      <c r="M1013" s="3" t="s">
        <v>117</v>
      </c>
      <c r="N1013" s="3" t="s">
        <v>41</v>
      </c>
      <c r="O1013" s="34">
        <v>100</v>
      </c>
      <c r="P1013" s="3">
        <v>2023</v>
      </c>
      <c r="Q1013" s="3">
        <f>VLOOKUP(C1013,layoffs_location!A:F,6,FALSE)</f>
        <v>1.2899175000000001</v>
      </c>
      <c r="R1013" s="3">
        <f>VLOOKUP(C1013,layoffs_location!A:G,7,FALSE)</f>
        <v>103.8519072</v>
      </c>
    </row>
    <row r="1014" spans="1:18" x14ac:dyDescent="0.2">
      <c r="A1014" s="3">
        <v>1013</v>
      </c>
      <c r="B1014" s="3" t="s">
        <v>494</v>
      </c>
      <c r="C1014" s="3" t="s">
        <v>115</v>
      </c>
      <c r="D1014" s="3" t="str">
        <f>VLOOKUP(C1014,layoffs_location!A:B,2,FALSE)</f>
        <v>other</v>
      </c>
      <c r="E1014" s="3" t="str">
        <f>VLOOKUP(C1014,layoffs_location!A:C,3,FALSE)</f>
        <v>Quebec</v>
      </c>
      <c r="F1014" s="3" t="str">
        <f>VLOOKUP(C1014,layoffs_location!A:D,4,FALSE)</f>
        <v>Canada</v>
      </c>
      <c r="G1014" s="3" t="str">
        <f>VLOOKUP(C1014,layoffs_location!A:E,5,FALSE)</f>
        <v>North America</v>
      </c>
      <c r="H1014" s="3">
        <v>21</v>
      </c>
      <c r="I1014" s="8">
        <v>44953</v>
      </c>
      <c r="J1014" s="9">
        <v>25</v>
      </c>
      <c r="K1014" s="10">
        <v>84</v>
      </c>
      <c r="L1014" s="10">
        <v>63</v>
      </c>
      <c r="M1014" s="3" t="s">
        <v>117</v>
      </c>
      <c r="N1014" s="3" t="s">
        <v>69</v>
      </c>
      <c r="O1014" s="34">
        <v>45</v>
      </c>
      <c r="P1014" s="3">
        <v>2023</v>
      </c>
      <c r="Q1014" s="3">
        <f>VLOOKUP(C1014,layoffs_location!A:F,6,FALSE)</f>
        <v>45.5031824</v>
      </c>
      <c r="R1014" s="3">
        <f>VLOOKUP(C1014,layoffs_location!A:G,7,FALSE)</f>
        <v>-73.569806499999999</v>
      </c>
    </row>
    <row r="1015" spans="1:18" x14ac:dyDescent="0.2">
      <c r="A1015" s="3">
        <v>1014</v>
      </c>
      <c r="B1015" s="3" t="s">
        <v>111</v>
      </c>
      <c r="C1015" s="3" t="s">
        <v>58</v>
      </c>
      <c r="D1015" s="3" t="str">
        <f>VLOOKUP(C1015,layoffs_location!A:B,2,FALSE)</f>
        <v>other</v>
      </c>
      <c r="E1015" s="3" t="str">
        <f>VLOOKUP(C1015,layoffs_location!A:C,3,FALSE)</f>
        <v>England</v>
      </c>
      <c r="F1015" s="3" t="str">
        <f>VLOOKUP(C1015,layoffs_location!A:D,4,FALSE)</f>
        <v>UK</v>
      </c>
      <c r="G1015" s="3" t="str">
        <f>VLOOKUP(C1015,layoffs_location!A:E,5,FALSE)</f>
        <v>Europe</v>
      </c>
      <c r="H1015" s="3">
        <v>800</v>
      </c>
      <c r="I1015" s="8">
        <v>44956</v>
      </c>
      <c r="J1015" s="9">
        <v>50</v>
      </c>
      <c r="K1015" s="10">
        <v>1600</v>
      </c>
      <c r="L1015" s="10">
        <v>800</v>
      </c>
      <c r="M1015" s="3" t="s">
        <v>32</v>
      </c>
      <c r="N1015" s="3" t="s">
        <v>28</v>
      </c>
      <c r="O1015" s="34">
        <v>629</v>
      </c>
      <c r="P1015" s="3">
        <v>2023</v>
      </c>
      <c r="Q1015" s="3">
        <f>VLOOKUP(C1015,layoffs_location!A:F,6,FALSE)</f>
        <v>51.489333500000001</v>
      </c>
      <c r="R1015" s="3">
        <f>VLOOKUP(C1015,layoffs_location!A:G,7,FALSE)</f>
        <v>-0.14405508452768701</v>
      </c>
    </row>
    <row r="1016" spans="1:18" x14ac:dyDescent="0.2">
      <c r="A1016" s="3">
        <v>1015</v>
      </c>
      <c r="B1016" s="3" t="s">
        <v>490</v>
      </c>
      <c r="C1016" s="3" t="s">
        <v>491</v>
      </c>
      <c r="D1016" s="3" t="str">
        <f>VLOOKUP(C1016,layoffs_location!A:B,2,FALSE)</f>
        <v>other</v>
      </c>
      <c r="E1016" s="3" t="str">
        <f>VLOOKUP(C1016,layoffs_location!A:C,3,FALSE)</f>
        <v>Baden-Würtemberg</v>
      </c>
      <c r="F1016" s="3" t="str">
        <f>VLOOKUP(C1016,layoffs_location!A:D,4,FALSE)</f>
        <v>Germany</v>
      </c>
      <c r="G1016" s="3" t="str">
        <f>VLOOKUP(C1016,layoffs_location!A:E,5,FALSE)</f>
        <v>Europe</v>
      </c>
      <c r="H1016" s="3">
        <v>65</v>
      </c>
      <c r="I1016" s="8">
        <v>44956</v>
      </c>
      <c r="J1016" s="9">
        <v>13</v>
      </c>
      <c r="K1016" s="10">
        <v>500</v>
      </c>
      <c r="L1016" s="10">
        <v>435</v>
      </c>
      <c r="M1016" s="3" t="s">
        <v>30</v>
      </c>
      <c r="N1016" s="3" t="s">
        <v>41</v>
      </c>
      <c r="O1016" s="34">
        <v>205</v>
      </c>
      <c r="P1016" s="3">
        <v>2023</v>
      </c>
      <c r="Q1016" s="3">
        <f>VLOOKUP(C1016,layoffs_location!A:F,6,FALSE)</f>
        <v>49.006870499999998</v>
      </c>
      <c r="R1016" s="3">
        <f>VLOOKUP(C1016,layoffs_location!A:G,7,FALSE)</f>
        <v>8.4034195</v>
      </c>
    </row>
    <row r="1017" spans="1:18" x14ac:dyDescent="0.2">
      <c r="A1017" s="3">
        <v>1016</v>
      </c>
      <c r="B1017" s="3" t="s">
        <v>488</v>
      </c>
      <c r="C1017" s="3" t="s">
        <v>135</v>
      </c>
      <c r="D1017" s="3" t="str">
        <f>VLOOKUP(C1017,layoffs_location!A:B,2,FALSE)</f>
        <v>other</v>
      </c>
      <c r="E1017" s="3" t="str">
        <f>VLOOKUP(C1017,layoffs_location!A:C,3,FALSE)</f>
        <v>Berlin</v>
      </c>
      <c r="F1017" s="3" t="str">
        <f>VLOOKUP(C1017,layoffs_location!A:D,4,FALSE)</f>
        <v>Germany</v>
      </c>
      <c r="G1017" s="3" t="str">
        <f>VLOOKUP(C1017,layoffs_location!A:E,5,FALSE)</f>
        <v>Europe</v>
      </c>
      <c r="H1017" s="3">
        <v>156</v>
      </c>
      <c r="I1017" s="8">
        <v>44956</v>
      </c>
      <c r="J1017" s="9">
        <v>4</v>
      </c>
      <c r="K1017" s="10">
        <v>3900</v>
      </c>
      <c r="L1017" s="10">
        <v>3744</v>
      </c>
      <c r="M1017" s="3" t="s">
        <v>77</v>
      </c>
      <c r="N1017" s="3" t="s">
        <v>28</v>
      </c>
      <c r="P1017" s="3">
        <v>2023</v>
      </c>
      <c r="Q1017" s="3">
        <f>VLOOKUP(C1017,layoffs_location!A:F,6,FALSE)</f>
        <v>52.517036500000003</v>
      </c>
      <c r="R1017" s="3">
        <f>VLOOKUP(C1017,layoffs_location!A:G,7,FALSE)</f>
        <v>13.3888599</v>
      </c>
    </row>
    <row r="1018" spans="1:18" x14ac:dyDescent="0.2">
      <c r="A1018" s="3">
        <v>1017</v>
      </c>
      <c r="B1018" s="3" t="s">
        <v>486</v>
      </c>
      <c r="C1018" s="3" t="s">
        <v>487</v>
      </c>
      <c r="D1018" s="3" t="str">
        <f>VLOOKUP(C1018,layoffs_location!A:B,2,FALSE)</f>
        <v>other</v>
      </c>
      <c r="E1018" s="3" t="str">
        <f>VLOOKUP(C1018,layoffs_location!A:C,3,FALSE)</f>
        <v>Catalonia</v>
      </c>
      <c r="F1018" s="3" t="str">
        <f>VLOOKUP(C1018,layoffs_location!A:D,4,FALSE)</f>
        <v>Spain</v>
      </c>
      <c r="G1018" s="3" t="str">
        <f>VLOOKUP(C1018,layoffs_location!A:E,5,FALSE)</f>
        <v>Europe</v>
      </c>
      <c r="H1018" s="3">
        <v>250</v>
      </c>
      <c r="I1018" s="8">
        <v>44956</v>
      </c>
      <c r="J1018" s="9">
        <v>6</v>
      </c>
      <c r="K1018" s="10">
        <v>4167</v>
      </c>
      <c r="L1018" s="10">
        <v>3917</v>
      </c>
      <c r="M1018" s="3" t="s">
        <v>77</v>
      </c>
      <c r="N1018" s="3" t="s">
        <v>33</v>
      </c>
      <c r="P1018" s="3">
        <v>2023</v>
      </c>
      <c r="Q1018" s="3">
        <f>VLOOKUP(C1018,layoffs_location!A:F,6,FALSE)</f>
        <v>41.382893899999999</v>
      </c>
      <c r="R1018" s="3">
        <f>VLOOKUP(C1018,layoffs_location!A:G,7,FALSE)</f>
        <v>2.1774322000000002</v>
      </c>
    </row>
    <row r="1019" spans="1:18" x14ac:dyDescent="0.2">
      <c r="A1019" s="3">
        <v>1018</v>
      </c>
      <c r="B1019" s="3" t="s">
        <v>489</v>
      </c>
      <c r="C1019" s="3" t="s">
        <v>1710</v>
      </c>
      <c r="D1019" s="3" t="str">
        <f>VLOOKUP(C1019,layoffs_location!A:B,2,FALSE)</f>
        <v>San Francisco Bay Area</v>
      </c>
      <c r="E1019" s="3" t="str">
        <f>VLOOKUP(C1019,layoffs_location!A:C,3,FALSE)</f>
        <v>California</v>
      </c>
      <c r="F1019" s="3" t="str">
        <f>VLOOKUP(C1019,layoffs_location!A:D,4,FALSE)</f>
        <v>USA</v>
      </c>
      <c r="G1019" s="3" t="str">
        <f>VLOOKUP(C1019,layoffs_location!A:E,5,FALSE)</f>
        <v>North America</v>
      </c>
      <c r="H1019" s="3">
        <v>140</v>
      </c>
      <c r="I1019" s="8">
        <v>44956</v>
      </c>
      <c r="J1019" s="9">
        <v>20</v>
      </c>
      <c r="K1019" s="10">
        <v>700</v>
      </c>
      <c r="L1019" s="10">
        <v>560</v>
      </c>
      <c r="M1019" s="3" t="s">
        <v>77</v>
      </c>
      <c r="N1019" s="3" t="s">
        <v>17</v>
      </c>
      <c r="O1019" s="34">
        <v>1900</v>
      </c>
      <c r="P1019" s="3">
        <v>2023</v>
      </c>
      <c r="Q1019" s="3">
        <f>VLOOKUP(C1019,layoffs_location!A:F,6,FALSE)</f>
        <v>37.486323900000002</v>
      </c>
      <c r="R1019" s="3">
        <f>VLOOKUP(C1019,layoffs_location!A:G,7,FALSE)</f>
        <v>-122.232523</v>
      </c>
    </row>
    <row r="1020" spans="1:18" x14ac:dyDescent="0.2">
      <c r="A1020" s="3">
        <v>1019</v>
      </c>
      <c r="B1020" s="3" t="s">
        <v>485</v>
      </c>
      <c r="C1020" s="3" t="s">
        <v>47</v>
      </c>
      <c r="D1020" s="3" t="str">
        <f>VLOOKUP(C1020,layoffs_location!A:B,2,FALSE)</f>
        <v>other</v>
      </c>
      <c r="E1020" s="3" t="str">
        <f>VLOOKUP(C1020,layoffs_location!A:C,3,FALSE)</f>
        <v>non</v>
      </c>
      <c r="F1020" s="3" t="str">
        <f>VLOOKUP(C1020,layoffs_location!A:D,4,FALSE)</f>
        <v>Israel</v>
      </c>
      <c r="G1020" s="3" t="str">
        <f>VLOOKUP(C1020,layoffs_location!A:E,5,FALSE)</f>
        <v>Asia</v>
      </c>
      <c r="H1020" s="3">
        <v>19</v>
      </c>
      <c r="I1020" s="8">
        <v>44957</v>
      </c>
      <c r="J1020" s="9">
        <v>9</v>
      </c>
      <c r="K1020" s="10">
        <v>211</v>
      </c>
      <c r="L1020" s="10">
        <v>192</v>
      </c>
      <c r="M1020" s="3" t="s">
        <v>139</v>
      </c>
      <c r="N1020" s="3" t="s">
        <v>22</v>
      </c>
      <c r="O1020" s="34">
        <v>80</v>
      </c>
      <c r="P1020" s="3">
        <v>2023</v>
      </c>
      <c r="Q1020" s="3">
        <f>VLOOKUP(C1020,layoffs_location!A:F,6,FALSE)</f>
        <v>32.0852997</v>
      </c>
      <c r="R1020" s="3">
        <f>VLOOKUP(C1020,layoffs_location!A:G,7,FALSE)</f>
        <v>34.781806400000001</v>
      </c>
    </row>
    <row r="1021" spans="1:18" x14ac:dyDescent="0.2">
      <c r="A1021" s="3">
        <v>1020</v>
      </c>
      <c r="B1021" s="3" t="s">
        <v>481</v>
      </c>
      <c r="C1021" s="3" t="s">
        <v>71</v>
      </c>
      <c r="D1021" s="3" t="str">
        <f>VLOOKUP(C1021,layoffs_location!A:B,2,FALSE)</f>
        <v>other</v>
      </c>
      <c r="E1021" s="3" t="str">
        <f>VLOOKUP(C1021,layoffs_location!A:C,3,FALSE)</f>
        <v>Massachusetts</v>
      </c>
      <c r="F1021" s="3" t="str">
        <f>VLOOKUP(C1021,layoffs_location!A:D,4,FALSE)</f>
        <v>USA</v>
      </c>
      <c r="G1021" s="3" t="str">
        <f>VLOOKUP(C1021,layoffs_location!A:E,5,FALSE)</f>
        <v>North America</v>
      </c>
      <c r="H1021" s="3">
        <v>500</v>
      </c>
      <c r="I1021" s="8">
        <v>44957</v>
      </c>
      <c r="J1021" s="9">
        <v>7</v>
      </c>
      <c r="K1021" s="10">
        <v>7143</v>
      </c>
      <c r="L1021" s="10">
        <v>6643</v>
      </c>
      <c r="M1021" s="3" t="s">
        <v>130</v>
      </c>
      <c r="N1021" s="3" t="s">
        <v>28</v>
      </c>
      <c r="O1021" s="34">
        <v>100</v>
      </c>
      <c r="P1021" s="3">
        <v>2023</v>
      </c>
      <c r="Q1021" s="3">
        <f>VLOOKUP(C1021,layoffs_location!A:F,6,FALSE)</f>
        <v>42.355433400000003</v>
      </c>
      <c r="R1021" s="3">
        <f>VLOOKUP(C1021,layoffs_location!A:G,7,FALSE)</f>
        <v>-71.060511000000005</v>
      </c>
    </row>
    <row r="1022" spans="1:18" x14ac:dyDescent="0.2">
      <c r="A1022" s="3">
        <v>1021</v>
      </c>
      <c r="B1022" s="3" t="s">
        <v>479</v>
      </c>
      <c r="C1022" s="3" t="s">
        <v>1694</v>
      </c>
      <c r="D1022" s="3" t="str">
        <f>VLOOKUP(C1022,layoffs_location!A:B,2,FALSE)</f>
        <v>San Francisco Bay Area</v>
      </c>
      <c r="E1022" s="3" t="str">
        <f>VLOOKUP(C1022,layoffs_location!A:C,3,FALSE)</f>
        <v>California</v>
      </c>
      <c r="F1022" s="3" t="str">
        <f>VLOOKUP(C1022,layoffs_location!A:D,4,FALSE)</f>
        <v>USA</v>
      </c>
      <c r="G1022" s="3" t="str">
        <f>VLOOKUP(C1022,layoffs_location!A:E,5,FALSE)</f>
        <v>North America</v>
      </c>
      <c r="H1022" s="3">
        <v>2000</v>
      </c>
      <c r="I1022" s="8">
        <v>44957</v>
      </c>
      <c r="J1022" s="9">
        <v>7</v>
      </c>
      <c r="K1022" s="10">
        <v>28571</v>
      </c>
      <c r="L1022" s="10">
        <v>26571</v>
      </c>
      <c r="M1022" s="3" t="s">
        <v>35</v>
      </c>
      <c r="N1022" s="3" t="s">
        <v>28</v>
      </c>
      <c r="O1022" s="34">
        <v>216</v>
      </c>
      <c r="P1022" s="3">
        <v>2023</v>
      </c>
      <c r="Q1022" s="3">
        <f>VLOOKUP(C1022,layoffs_location!A:F,6,FALSE)</f>
        <v>37.336166300000002</v>
      </c>
      <c r="R1022" s="3">
        <f>VLOOKUP(C1022,layoffs_location!A:G,7,FALSE)</f>
        <v>-121.890591</v>
      </c>
    </row>
    <row r="1023" spans="1:18" x14ac:dyDescent="0.2">
      <c r="A1023" s="3">
        <v>1022</v>
      </c>
      <c r="B1023" s="3" t="s">
        <v>483</v>
      </c>
      <c r="C1023" s="3" t="s">
        <v>1488</v>
      </c>
      <c r="D1023" s="3" t="str">
        <f>VLOOKUP(C1023,layoffs_location!A:B,2,FALSE)</f>
        <v>other</v>
      </c>
      <c r="E1023" s="3" t="str">
        <f>VLOOKUP(C1023,layoffs_location!A:C,3,FALSE)</f>
        <v>Hessen</v>
      </c>
      <c r="F1023" s="3" t="str">
        <f>VLOOKUP(C1023,layoffs_location!A:D,4,FALSE)</f>
        <v>Germany</v>
      </c>
      <c r="G1023" s="3" t="str">
        <f>VLOOKUP(C1023,layoffs_location!A:E,5,FALSE)</f>
        <v>Europe</v>
      </c>
      <c r="H1023" s="3">
        <v>200</v>
      </c>
      <c r="I1023" s="8">
        <v>44957</v>
      </c>
      <c r="J1023" s="9">
        <v>4</v>
      </c>
      <c r="K1023" s="10">
        <v>5000</v>
      </c>
      <c r="L1023" s="10">
        <v>4800</v>
      </c>
      <c r="M1023" s="3" t="s">
        <v>79</v>
      </c>
      <c r="N1023" s="3" t="s">
        <v>28</v>
      </c>
      <c r="O1023" s="34">
        <v>344</v>
      </c>
      <c r="P1023" s="3">
        <v>2023</v>
      </c>
      <c r="Q1023" s="3">
        <f>VLOOKUP(C1023,layoffs_location!A:F,6,FALSE)</f>
        <v>50.110644399999998</v>
      </c>
      <c r="R1023" s="3">
        <f>VLOOKUP(C1023,layoffs_location!A:G,7,FALSE)</f>
        <v>8.6820917000000009</v>
      </c>
    </row>
    <row r="1024" spans="1:18" x14ac:dyDescent="0.2">
      <c r="A1024" s="3">
        <v>1023</v>
      </c>
      <c r="B1024" s="3" t="s">
        <v>484</v>
      </c>
      <c r="C1024" s="3" t="s">
        <v>39</v>
      </c>
      <c r="D1024" s="3" t="str">
        <f>VLOOKUP(C1024,layoffs_location!A:B,2,FALSE)</f>
        <v>New York</v>
      </c>
      <c r="E1024" s="3" t="str">
        <f>VLOOKUP(C1024,layoffs_location!A:C,3,FALSE)</f>
        <v>New York</v>
      </c>
      <c r="F1024" s="3" t="str">
        <f>VLOOKUP(C1024,layoffs_location!A:D,4,FALSE)</f>
        <v>USA</v>
      </c>
      <c r="G1024" s="3" t="str">
        <f>VLOOKUP(C1024,layoffs_location!A:E,5,FALSE)</f>
        <v>North America</v>
      </c>
      <c r="H1024" s="3">
        <v>60</v>
      </c>
      <c r="I1024" s="8">
        <v>44957</v>
      </c>
      <c r="J1024" s="9">
        <v>14</v>
      </c>
      <c r="K1024" s="10">
        <v>429</v>
      </c>
      <c r="L1024" s="10">
        <v>369</v>
      </c>
      <c r="M1024" s="3" t="s">
        <v>16</v>
      </c>
      <c r="N1024" s="3" t="s">
        <v>22</v>
      </c>
      <c r="O1024" s="34">
        <v>235</v>
      </c>
      <c r="P1024" s="3">
        <v>2023</v>
      </c>
      <c r="Q1024" s="3">
        <f>VLOOKUP(C1024,layoffs_location!A:F,6,FALSE)</f>
        <v>40.7127281</v>
      </c>
      <c r="R1024" s="3">
        <f>VLOOKUP(C1024,layoffs_location!A:G,7,FALSE)</f>
        <v>-74.006015199999993</v>
      </c>
    </row>
    <row r="1025" spans="1:18" x14ac:dyDescent="0.2">
      <c r="A1025" s="3">
        <v>1024</v>
      </c>
      <c r="B1025" s="3" t="s">
        <v>482</v>
      </c>
      <c r="C1025" s="3" t="s">
        <v>1713</v>
      </c>
      <c r="D1025" s="3" t="str">
        <f>VLOOKUP(C1025,layoffs_location!A:B,2,FALSE)</f>
        <v>San Francisco Bay Area</v>
      </c>
      <c r="E1025" s="3" t="str">
        <f>VLOOKUP(C1025,layoffs_location!A:C,3,FALSE)</f>
        <v>California</v>
      </c>
      <c r="F1025" s="3" t="str">
        <f>VLOOKUP(C1025,layoffs_location!A:D,4,FALSE)</f>
        <v>USA</v>
      </c>
      <c r="G1025" s="3" t="str">
        <f>VLOOKUP(C1025,layoffs_location!A:E,5,FALSE)</f>
        <v>North America</v>
      </c>
      <c r="H1025" s="3">
        <v>365</v>
      </c>
      <c r="I1025" s="8">
        <v>44957</v>
      </c>
      <c r="J1025" s="9">
        <v>20</v>
      </c>
      <c r="K1025" s="10">
        <v>1825</v>
      </c>
      <c r="L1025" s="10">
        <v>1460</v>
      </c>
      <c r="M1025" s="3" t="s">
        <v>35</v>
      </c>
      <c r="N1025" s="3" t="s">
        <v>28</v>
      </c>
      <c r="O1025" s="34">
        <v>144</v>
      </c>
      <c r="P1025" s="3">
        <v>2023</v>
      </c>
      <c r="Q1025" s="3">
        <f>VLOOKUP(C1025,layoffs_location!A:F,6,FALSE)</f>
        <v>37.496904000000001</v>
      </c>
      <c r="R1025" s="3">
        <f>VLOOKUP(C1025,layoffs_location!A:G,7,FALSE)</f>
        <v>-122.33305729999999</v>
      </c>
    </row>
    <row r="1026" spans="1:18" x14ac:dyDescent="0.2">
      <c r="A1026" s="3">
        <v>1025</v>
      </c>
      <c r="B1026" s="3" t="s">
        <v>201</v>
      </c>
      <c r="C1026" s="3" t="s">
        <v>1370</v>
      </c>
      <c r="D1026" s="3" t="str">
        <f>VLOOKUP(C1026,layoffs_location!A:B,2,FALSE)</f>
        <v>San Francisco Bay Area</v>
      </c>
      <c r="E1026" s="3" t="str">
        <f>VLOOKUP(C1026,layoffs_location!A:C,3,FALSE)</f>
        <v>California</v>
      </c>
      <c r="F1026" s="3" t="str">
        <f>VLOOKUP(C1026,layoffs_location!A:D,4,FALSE)</f>
        <v>USA</v>
      </c>
      <c r="G1026" s="3" t="str">
        <f>VLOOKUP(C1026,layoffs_location!A:E,5,FALSE)</f>
        <v>North America</v>
      </c>
      <c r="H1026" s="3">
        <v>150</v>
      </c>
      <c r="I1026" s="8">
        <v>44957</v>
      </c>
      <c r="J1026" s="9">
        <v>17</v>
      </c>
      <c r="K1026" s="10">
        <v>882</v>
      </c>
      <c r="L1026" s="10">
        <v>732</v>
      </c>
      <c r="M1026" s="3" t="s">
        <v>30</v>
      </c>
      <c r="N1026" s="3" t="s">
        <v>28</v>
      </c>
      <c r="O1026" s="34">
        <v>1600</v>
      </c>
      <c r="P1026" s="3">
        <v>2023</v>
      </c>
      <c r="Q1026" s="3">
        <f>VLOOKUP(C1026,layoffs_location!A:F,6,FALSE)</f>
        <v>37.779258800000001</v>
      </c>
      <c r="R1026" s="3">
        <f>VLOOKUP(C1026,layoffs_location!A:G,7,FALSE)</f>
        <v>-122.4193286</v>
      </c>
    </row>
    <row r="1027" spans="1:18" x14ac:dyDescent="0.2">
      <c r="A1027" s="3">
        <v>1026</v>
      </c>
      <c r="B1027" s="3" t="s">
        <v>480</v>
      </c>
      <c r="C1027" s="3" t="s">
        <v>1704</v>
      </c>
      <c r="D1027" s="3" t="str">
        <f>VLOOKUP(C1027,layoffs_location!A:B,2,FALSE)</f>
        <v>San Francisco Bay Area</v>
      </c>
      <c r="E1027" s="3" t="str">
        <f>VLOOKUP(C1027,layoffs_location!A:C,3,FALSE)</f>
        <v>California</v>
      </c>
      <c r="F1027" s="3" t="str">
        <f>VLOOKUP(C1027,layoffs_location!A:D,4,FALSE)</f>
        <v>USA</v>
      </c>
      <c r="G1027" s="3" t="str">
        <f>VLOOKUP(C1027,layoffs_location!A:E,5,FALSE)</f>
        <v>North America</v>
      </c>
      <c r="H1027" s="3">
        <v>525</v>
      </c>
      <c r="I1027" s="8">
        <v>44957</v>
      </c>
      <c r="J1027" s="9">
        <v>3</v>
      </c>
      <c r="K1027" s="10">
        <v>17500</v>
      </c>
      <c r="L1027" s="10">
        <v>16975</v>
      </c>
      <c r="M1027" s="3" t="s">
        <v>84</v>
      </c>
      <c r="N1027" s="3" t="s">
        <v>28</v>
      </c>
      <c r="O1027" s="34">
        <v>230</v>
      </c>
      <c r="P1027" s="3">
        <v>2023</v>
      </c>
      <c r="Q1027" s="3">
        <f>VLOOKUP(C1027,layoffs_location!A:F,6,FALSE)</f>
        <v>37.6624312</v>
      </c>
      <c r="R1027" s="3">
        <f>VLOOKUP(C1027,layoffs_location!A:G,7,FALSE)</f>
        <v>-121.87467890000001</v>
      </c>
    </row>
    <row r="1028" spans="1:18" x14ac:dyDescent="0.2">
      <c r="A1028" s="3">
        <v>1027</v>
      </c>
      <c r="B1028" s="3" t="s">
        <v>116</v>
      </c>
      <c r="C1028" s="3" t="s">
        <v>39</v>
      </c>
      <c r="D1028" s="3" t="str">
        <f>VLOOKUP(C1028,layoffs_location!A:B,2,FALSE)</f>
        <v>New York</v>
      </c>
      <c r="E1028" s="3" t="str">
        <f>VLOOKUP(C1028,layoffs_location!A:C,3,FALSE)</f>
        <v>New York</v>
      </c>
      <c r="F1028" s="3" t="str">
        <f>VLOOKUP(C1028,layoffs_location!A:D,4,FALSE)</f>
        <v>USA</v>
      </c>
      <c r="G1028" s="3" t="str">
        <f>VLOOKUP(C1028,layoffs_location!A:E,5,FALSE)</f>
        <v>North America</v>
      </c>
      <c r="H1028" s="3">
        <v>44</v>
      </c>
      <c r="I1028" s="8">
        <v>44958</v>
      </c>
      <c r="J1028" s="9">
        <v>5</v>
      </c>
      <c r="K1028" s="10">
        <v>880</v>
      </c>
      <c r="L1028" s="10">
        <v>836</v>
      </c>
      <c r="M1028" s="3" t="s">
        <v>117</v>
      </c>
      <c r="N1028" s="3" t="s">
        <v>63</v>
      </c>
      <c r="O1028" s="34">
        <v>536</v>
      </c>
      <c r="P1028" s="3">
        <v>2023</v>
      </c>
      <c r="Q1028" s="3">
        <f>VLOOKUP(C1028,layoffs_location!A:F,6,FALSE)</f>
        <v>40.7127281</v>
      </c>
      <c r="R1028" s="3">
        <f>VLOOKUP(C1028,layoffs_location!A:G,7,FALSE)</f>
        <v>-74.006015199999993</v>
      </c>
    </row>
    <row r="1029" spans="1:18" x14ac:dyDescent="0.2">
      <c r="A1029" s="3">
        <v>1028</v>
      </c>
      <c r="B1029" s="3" t="s">
        <v>474</v>
      </c>
      <c r="C1029" s="3" t="s">
        <v>71</v>
      </c>
      <c r="D1029" s="3" t="str">
        <f>VLOOKUP(C1029,layoffs_location!A:B,2,FALSE)</f>
        <v>other</v>
      </c>
      <c r="E1029" s="3" t="str">
        <f>VLOOKUP(C1029,layoffs_location!A:C,3,FALSE)</f>
        <v>Massachusetts</v>
      </c>
      <c r="F1029" s="3" t="str">
        <f>VLOOKUP(C1029,layoffs_location!A:D,4,FALSE)</f>
        <v>USA</v>
      </c>
      <c r="G1029" s="3" t="str">
        <f>VLOOKUP(C1029,layoffs_location!A:E,5,FALSE)</f>
        <v>North America</v>
      </c>
      <c r="H1029" s="3">
        <v>140</v>
      </c>
      <c r="I1029" s="8">
        <v>44958</v>
      </c>
      <c r="J1029" s="9">
        <v>4</v>
      </c>
      <c r="K1029" s="10">
        <v>3500</v>
      </c>
      <c r="L1029" s="10">
        <v>3360</v>
      </c>
      <c r="M1029" s="3" t="s">
        <v>16</v>
      </c>
      <c r="N1029" s="3" t="s">
        <v>28</v>
      </c>
      <c r="O1029" s="34">
        <v>719</v>
      </c>
      <c r="P1029" s="3">
        <v>2023</v>
      </c>
      <c r="Q1029" s="3">
        <f>VLOOKUP(C1029,layoffs_location!A:F,6,FALSE)</f>
        <v>42.355433400000003</v>
      </c>
      <c r="R1029" s="3">
        <f>VLOOKUP(C1029,layoffs_location!A:G,7,FALSE)</f>
        <v>-71.060511000000005</v>
      </c>
    </row>
    <row r="1030" spans="1:18" x14ac:dyDescent="0.2">
      <c r="A1030" s="3">
        <v>1029</v>
      </c>
      <c r="B1030" s="3" t="s">
        <v>477</v>
      </c>
      <c r="C1030" s="3" t="s">
        <v>145</v>
      </c>
      <c r="D1030" s="3" t="str">
        <f>VLOOKUP(C1030,layoffs_location!A:B,2,FALSE)</f>
        <v>Cascadia</v>
      </c>
      <c r="E1030" s="3" t="str">
        <f>VLOOKUP(C1030,layoffs_location!A:C,3,FALSE)</f>
        <v>Oregon</v>
      </c>
      <c r="F1030" s="3" t="str">
        <f>VLOOKUP(C1030,layoffs_location!A:D,4,FALSE)</f>
        <v>USA</v>
      </c>
      <c r="G1030" s="3" t="str">
        <f>VLOOKUP(C1030,layoffs_location!A:E,5,FALSE)</f>
        <v>North America</v>
      </c>
      <c r="H1030" s="3">
        <v>24</v>
      </c>
      <c r="I1030" s="8">
        <v>44958</v>
      </c>
      <c r="J1030" s="9">
        <v>3</v>
      </c>
      <c r="K1030" s="10">
        <v>800</v>
      </c>
      <c r="L1030" s="10">
        <v>776</v>
      </c>
      <c r="M1030" s="3" t="s">
        <v>478</v>
      </c>
      <c r="N1030" s="3" t="s">
        <v>1696</v>
      </c>
      <c r="O1030" s="34">
        <v>100</v>
      </c>
      <c r="P1030" s="3">
        <v>2023</v>
      </c>
      <c r="Q1030" s="3">
        <f>VLOOKUP(C1030,layoffs_location!A:F,6,FALSE)</f>
        <v>45.520247099999999</v>
      </c>
      <c r="R1030" s="3">
        <f>VLOOKUP(C1030,layoffs_location!A:G,7,FALSE)</f>
        <v>-122.674194</v>
      </c>
    </row>
    <row r="1031" spans="1:18" x14ac:dyDescent="0.2">
      <c r="A1031" s="3">
        <v>1030</v>
      </c>
      <c r="B1031" s="3" t="s">
        <v>78</v>
      </c>
      <c r="C1031" s="3" t="s">
        <v>1694</v>
      </c>
      <c r="D1031" s="3" t="str">
        <f>VLOOKUP(C1031,layoffs_location!A:B,2,FALSE)</f>
        <v>San Francisco Bay Area</v>
      </c>
      <c r="E1031" s="3" t="str">
        <f>VLOOKUP(C1031,layoffs_location!A:C,3,FALSE)</f>
        <v>California</v>
      </c>
      <c r="F1031" s="3" t="str">
        <f>VLOOKUP(C1031,layoffs_location!A:D,4,FALSE)</f>
        <v>USA</v>
      </c>
      <c r="G1031" s="3" t="str">
        <f>VLOOKUP(C1031,layoffs_location!A:E,5,FALSE)</f>
        <v>North America</v>
      </c>
      <c r="H1031" s="3">
        <v>325</v>
      </c>
      <c r="I1031" s="8">
        <v>44958</v>
      </c>
      <c r="J1031" s="9">
        <v>4</v>
      </c>
      <c r="K1031" s="10">
        <v>8125</v>
      </c>
      <c r="L1031" s="10">
        <v>7800</v>
      </c>
      <c r="M1031" s="3" t="s">
        <v>79</v>
      </c>
      <c r="N1031" s="3" t="s">
        <v>28</v>
      </c>
      <c r="O1031" s="34">
        <v>2400</v>
      </c>
      <c r="P1031" s="3">
        <v>2023</v>
      </c>
      <c r="Q1031" s="3">
        <f>VLOOKUP(C1031,layoffs_location!A:F,6,FALSE)</f>
        <v>37.336166300000002</v>
      </c>
      <c r="R1031" s="3">
        <f>VLOOKUP(C1031,layoffs_location!A:G,7,FALSE)</f>
        <v>-121.890591</v>
      </c>
    </row>
    <row r="1032" spans="1:18" x14ac:dyDescent="0.2">
      <c r="A1032" s="3">
        <v>1031</v>
      </c>
      <c r="B1032" s="3" t="s">
        <v>311</v>
      </c>
      <c r="C1032" s="3" t="s">
        <v>39</v>
      </c>
      <c r="D1032" s="3" t="str">
        <f>VLOOKUP(C1032,layoffs_location!A:B,2,FALSE)</f>
        <v>New York</v>
      </c>
      <c r="E1032" s="3" t="str">
        <f>VLOOKUP(C1032,layoffs_location!A:C,3,FALSE)</f>
        <v>New York</v>
      </c>
      <c r="F1032" s="3" t="str">
        <f>VLOOKUP(C1032,layoffs_location!A:D,4,FALSE)</f>
        <v>USA</v>
      </c>
      <c r="G1032" s="3" t="str">
        <f>VLOOKUP(C1032,layoffs_location!A:E,5,FALSE)</f>
        <v>North America</v>
      </c>
      <c r="H1032" s="3">
        <v>17</v>
      </c>
      <c r="I1032" s="8">
        <v>44958</v>
      </c>
      <c r="J1032" s="9">
        <v>10</v>
      </c>
      <c r="K1032" s="10">
        <v>170</v>
      </c>
      <c r="L1032" s="10">
        <v>153</v>
      </c>
      <c r="M1032" s="3" t="s">
        <v>54</v>
      </c>
      <c r="N1032" s="3" t="s">
        <v>41</v>
      </c>
      <c r="O1032" s="34">
        <v>28</v>
      </c>
      <c r="P1032" s="3">
        <v>2023</v>
      </c>
      <c r="Q1032" s="3">
        <f>VLOOKUP(C1032,layoffs_location!A:F,6,FALSE)</f>
        <v>40.7127281</v>
      </c>
      <c r="R1032" s="3">
        <f>VLOOKUP(C1032,layoffs_location!A:G,7,FALSE)</f>
        <v>-74.006015199999993</v>
      </c>
    </row>
    <row r="1033" spans="1:18" x14ac:dyDescent="0.2">
      <c r="A1033" s="3">
        <v>1032</v>
      </c>
      <c r="B1033" s="3" t="s">
        <v>476</v>
      </c>
      <c r="C1033" s="3" t="s">
        <v>83</v>
      </c>
      <c r="D1033" s="3" t="str">
        <f>VLOOKUP(C1033,layoffs_location!A:B,2,FALSE)</f>
        <v>other</v>
      </c>
      <c r="E1033" s="3" t="str">
        <f>VLOOKUP(C1033,layoffs_location!A:C,3,FALSE)</f>
        <v>Texas</v>
      </c>
      <c r="F1033" s="3" t="str">
        <f>VLOOKUP(C1033,layoffs_location!A:D,4,FALSE)</f>
        <v>USA</v>
      </c>
      <c r="G1033" s="3" t="str">
        <f>VLOOKUP(C1033,layoffs_location!A:E,5,FALSE)</f>
        <v>North America</v>
      </c>
      <c r="H1033" s="3">
        <v>56</v>
      </c>
      <c r="I1033" s="8">
        <v>44958</v>
      </c>
      <c r="J1033" s="9">
        <v>28</v>
      </c>
      <c r="K1033" s="10">
        <v>200</v>
      </c>
      <c r="L1033" s="10">
        <v>144</v>
      </c>
      <c r="M1033" s="3" t="s">
        <v>21</v>
      </c>
      <c r="N1033" s="3" t="s">
        <v>41</v>
      </c>
      <c r="O1033" s="34">
        <v>215</v>
      </c>
      <c r="P1033" s="3">
        <v>2023</v>
      </c>
      <c r="Q1033" s="3">
        <f>VLOOKUP(C1033,layoffs_location!A:F,6,FALSE)</f>
        <v>30.271128600000001</v>
      </c>
      <c r="R1033" s="3">
        <f>VLOOKUP(C1033,layoffs_location!A:G,7,FALSE)</f>
        <v>-97.743699500000005</v>
      </c>
    </row>
    <row r="1034" spans="1:18" x14ac:dyDescent="0.2">
      <c r="A1034" s="3">
        <v>1033</v>
      </c>
      <c r="B1034" s="3" t="s">
        <v>475</v>
      </c>
      <c r="C1034" s="3" t="s">
        <v>1408</v>
      </c>
      <c r="D1034" s="3" t="str">
        <f>VLOOKUP(C1034,layoffs_location!A:B,2,FALSE)</f>
        <v>San Francisco Bay Area</v>
      </c>
      <c r="E1034" s="3" t="str">
        <f>VLOOKUP(C1034,layoffs_location!A:C,3,FALSE)</f>
        <v>California</v>
      </c>
      <c r="F1034" s="3" t="str">
        <f>VLOOKUP(C1034,layoffs_location!A:D,4,FALSE)</f>
        <v>USA</v>
      </c>
      <c r="G1034" s="3" t="str">
        <f>VLOOKUP(C1034,layoffs_location!A:E,5,FALSE)</f>
        <v>North America</v>
      </c>
      <c r="H1034" s="3">
        <v>90</v>
      </c>
      <c r="I1034" s="8">
        <v>44958</v>
      </c>
      <c r="J1034" s="9">
        <v>10</v>
      </c>
      <c r="K1034" s="10">
        <v>900</v>
      </c>
      <c r="L1034" s="10">
        <v>810</v>
      </c>
      <c r="M1034" s="3" t="s">
        <v>60</v>
      </c>
      <c r="N1034" s="3" t="s">
        <v>36</v>
      </c>
      <c r="O1034" s="34">
        <v>415</v>
      </c>
      <c r="P1034" s="3">
        <v>2023</v>
      </c>
      <c r="Q1034" s="3">
        <f>VLOOKUP(C1034,layoffs_location!A:F,6,FALSE)</f>
        <v>37.3893889</v>
      </c>
      <c r="R1034" s="3">
        <f>VLOOKUP(C1034,layoffs_location!A:G,7,FALSE)</f>
        <v>-122.0832101</v>
      </c>
    </row>
    <row r="1035" spans="1:18" x14ac:dyDescent="0.2">
      <c r="A1035" s="3">
        <v>1034</v>
      </c>
      <c r="B1035" s="3" t="s">
        <v>262</v>
      </c>
      <c r="C1035" s="3" t="s">
        <v>43</v>
      </c>
      <c r="D1035" s="3" t="str">
        <f>VLOOKUP(C1035,layoffs_location!A:B,2,FALSE)</f>
        <v>Cascadia</v>
      </c>
      <c r="E1035" s="3" t="str">
        <f>VLOOKUP(C1035,layoffs_location!A:C,3,FALSE)</f>
        <v>Washington</v>
      </c>
      <c r="F1035" s="3" t="str">
        <f>VLOOKUP(C1035,layoffs_location!A:D,4,FALSE)</f>
        <v>USA</v>
      </c>
      <c r="G1035" s="3" t="str">
        <f>VLOOKUP(C1035,layoffs_location!A:E,5,FALSE)</f>
        <v>North America</v>
      </c>
      <c r="H1035" s="3">
        <v>100</v>
      </c>
      <c r="I1035" s="8">
        <v>44959</v>
      </c>
      <c r="J1035" s="9">
        <v>10</v>
      </c>
      <c r="K1035" s="10">
        <v>1000</v>
      </c>
      <c r="L1035" s="10">
        <v>900</v>
      </c>
      <c r="M1035" s="3" t="s">
        <v>92</v>
      </c>
      <c r="N1035" s="3" t="s">
        <v>63</v>
      </c>
      <c r="O1035" s="34">
        <v>644</v>
      </c>
      <c r="P1035" s="3">
        <v>2023</v>
      </c>
      <c r="Q1035" s="3">
        <f>VLOOKUP(C1035,layoffs_location!A:F,6,FALSE)</f>
        <v>47.603832099999998</v>
      </c>
      <c r="R1035" s="3">
        <f>VLOOKUP(C1035,layoffs_location!A:G,7,FALSE)</f>
        <v>-122.330062</v>
      </c>
    </row>
    <row r="1036" spans="1:18" ht="16" x14ac:dyDescent="0.2">
      <c r="A1036" s="3">
        <v>1035</v>
      </c>
      <c r="B1036" s="3" t="s">
        <v>473</v>
      </c>
      <c r="C1036" s="11" t="s">
        <v>1370</v>
      </c>
      <c r="D1036" s="3" t="str">
        <f>VLOOKUP(C1036,layoffs_location!A:B,2,FALSE)</f>
        <v>San Francisco Bay Area</v>
      </c>
      <c r="E1036" s="3" t="str">
        <f>VLOOKUP(C1036,layoffs_location!A:C,3,FALSE)</f>
        <v>California</v>
      </c>
      <c r="F1036" s="3" t="str">
        <f>VLOOKUP(C1036,layoffs_location!A:D,4,FALSE)</f>
        <v>USA</v>
      </c>
      <c r="G1036" s="3" t="str">
        <f>VLOOKUP(C1036,layoffs_location!A:E,5,FALSE)</f>
        <v>North America</v>
      </c>
      <c r="H1036" s="3">
        <v>119</v>
      </c>
      <c r="I1036" s="8">
        <v>44959</v>
      </c>
      <c r="J1036" s="9">
        <v>7</v>
      </c>
      <c r="K1036" s="10">
        <v>1700</v>
      </c>
      <c r="L1036" s="10">
        <v>1581</v>
      </c>
      <c r="M1036" s="3" t="s">
        <v>60</v>
      </c>
      <c r="N1036" s="3" t="s">
        <v>41</v>
      </c>
      <c r="O1036" s="34">
        <v>476</v>
      </c>
      <c r="P1036" s="3">
        <v>2023</v>
      </c>
      <c r="Q1036" s="3">
        <f>VLOOKUP(C1036,layoffs_location!A:F,6,FALSE)</f>
        <v>37.779258800000001</v>
      </c>
      <c r="R1036" s="3">
        <f>VLOOKUP(C1036,layoffs_location!A:G,7,FALSE)</f>
        <v>-122.4193286</v>
      </c>
    </row>
    <row r="1037" spans="1:18" ht="16" x14ac:dyDescent="0.2">
      <c r="A1037" s="3">
        <v>1036</v>
      </c>
      <c r="B1037" s="3" t="s">
        <v>472</v>
      </c>
      <c r="C1037" s="11" t="s">
        <v>1370</v>
      </c>
      <c r="D1037" s="3" t="str">
        <f>VLOOKUP(C1037,layoffs_location!A:B,2,FALSE)</f>
        <v>San Francisco Bay Area</v>
      </c>
      <c r="E1037" s="3" t="str">
        <f>VLOOKUP(C1037,layoffs_location!A:C,3,FALSE)</f>
        <v>California</v>
      </c>
      <c r="F1037" s="3" t="str">
        <f>VLOOKUP(C1037,layoffs_location!A:D,4,FALSE)</f>
        <v>USA</v>
      </c>
      <c r="G1037" s="3" t="str">
        <f>VLOOKUP(C1037,layoffs_location!A:E,5,FALSE)</f>
        <v>North America</v>
      </c>
      <c r="H1037" s="3">
        <v>300</v>
      </c>
      <c r="I1037" s="8">
        <v>44959</v>
      </c>
      <c r="J1037" s="9">
        <v>5</v>
      </c>
      <c r="K1037" s="10">
        <v>6000</v>
      </c>
      <c r="L1037" s="10">
        <v>5700</v>
      </c>
      <c r="M1037" s="3" t="s">
        <v>139</v>
      </c>
      <c r="N1037" s="3" t="s">
        <v>28</v>
      </c>
      <c r="O1037" s="34">
        <v>1200</v>
      </c>
      <c r="P1037" s="3">
        <v>2023</v>
      </c>
      <c r="Q1037" s="3">
        <f>VLOOKUP(C1037,layoffs_location!A:F,6,FALSE)</f>
        <v>37.779258800000001</v>
      </c>
      <c r="R1037" s="3">
        <f>VLOOKUP(C1037,layoffs_location!A:G,7,FALSE)</f>
        <v>-122.4193286</v>
      </c>
    </row>
    <row r="1038" spans="1:18" x14ac:dyDescent="0.2">
      <c r="A1038" s="3">
        <v>1037</v>
      </c>
      <c r="B1038" s="3" t="s">
        <v>470</v>
      </c>
      <c r="C1038" s="3" t="s">
        <v>1415</v>
      </c>
      <c r="D1038" s="3" t="str">
        <f>VLOOKUP(C1038,layoffs_location!A:B,2,FALSE)</f>
        <v>San Francisco Bay Area</v>
      </c>
      <c r="E1038" s="3" t="str">
        <f>VLOOKUP(C1038,layoffs_location!A:C,3,FALSE)</f>
        <v>California</v>
      </c>
      <c r="F1038" s="3" t="str">
        <f>VLOOKUP(C1038,layoffs_location!A:D,4,FALSE)</f>
        <v>USA</v>
      </c>
      <c r="G1038" s="3" t="str">
        <f>VLOOKUP(C1038,layoffs_location!A:E,5,FALSE)</f>
        <v>North America</v>
      </c>
      <c r="H1038" s="3">
        <v>90</v>
      </c>
      <c r="I1038" s="8">
        <v>44960</v>
      </c>
      <c r="J1038" s="9">
        <v>15</v>
      </c>
      <c r="K1038" s="10">
        <v>600</v>
      </c>
      <c r="L1038" s="10">
        <v>510</v>
      </c>
      <c r="M1038" s="3" t="s">
        <v>84</v>
      </c>
      <c r="N1038" s="3" t="s">
        <v>36</v>
      </c>
      <c r="O1038" s="34">
        <v>396</v>
      </c>
      <c r="P1038" s="3">
        <v>2023</v>
      </c>
      <c r="Q1038" s="3">
        <f>VLOOKUP(C1038,layoffs_location!A:F,6,FALSE)</f>
        <v>37.354106999999999</v>
      </c>
      <c r="R1038" s="3">
        <f>VLOOKUP(C1038,layoffs_location!A:G,7,FALSE)</f>
        <v>-121.95523799999999</v>
      </c>
    </row>
    <row r="1039" spans="1:18" ht="16" x14ac:dyDescent="0.2">
      <c r="A1039" s="3">
        <v>1038</v>
      </c>
      <c r="B1039" s="3" t="s">
        <v>471</v>
      </c>
      <c r="C1039" s="11" t="s">
        <v>1370</v>
      </c>
      <c r="D1039" s="3" t="str">
        <f>VLOOKUP(C1039,layoffs_location!A:B,2,FALSE)</f>
        <v>San Francisco Bay Area</v>
      </c>
      <c r="E1039" s="3" t="str">
        <f>VLOOKUP(C1039,layoffs_location!A:C,3,FALSE)</f>
        <v>California</v>
      </c>
      <c r="F1039" s="3" t="str">
        <f>VLOOKUP(C1039,layoffs_location!A:D,4,FALSE)</f>
        <v>USA</v>
      </c>
      <c r="G1039" s="3" t="str">
        <f>VLOOKUP(C1039,layoffs_location!A:E,5,FALSE)</f>
        <v>North America</v>
      </c>
      <c r="H1039" s="3">
        <v>89</v>
      </c>
      <c r="I1039" s="8">
        <v>44960</v>
      </c>
      <c r="J1039" s="9">
        <v>20</v>
      </c>
      <c r="K1039" s="10">
        <v>445</v>
      </c>
      <c r="L1039" s="10">
        <v>356</v>
      </c>
      <c r="M1039" s="3" t="s">
        <v>117</v>
      </c>
      <c r="N1039" s="3" t="s">
        <v>22</v>
      </c>
      <c r="O1039" s="34">
        <v>10</v>
      </c>
      <c r="P1039" s="3">
        <v>2023</v>
      </c>
      <c r="Q1039" s="3">
        <f>VLOOKUP(C1039,layoffs_location!A:F,6,FALSE)</f>
        <v>37.779258800000001</v>
      </c>
      <c r="R1039" s="3">
        <f>VLOOKUP(C1039,layoffs_location!A:G,7,FALSE)</f>
        <v>-122.4193286</v>
      </c>
    </row>
    <row r="1040" spans="1:18" x14ac:dyDescent="0.2">
      <c r="A1040" s="3">
        <v>1039</v>
      </c>
      <c r="B1040" s="3" t="s">
        <v>469</v>
      </c>
      <c r="C1040" s="3" t="s">
        <v>47</v>
      </c>
      <c r="D1040" s="3" t="str">
        <f>VLOOKUP(C1040,layoffs_location!A:B,2,FALSE)</f>
        <v>other</v>
      </c>
      <c r="E1040" s="3" t="str">
        <f>VLOOKUP(C1040,layoffs_location!A:C,3,FALSE)</f>
        <v>non</v>
      </c>
      <c r="F1040" s="3" t="str">
        <f>VLOOKUP(C1040,layoffs_location!A:D,4,FALSE)</f>
        <v>Israel</v>
      </c>
      <c r="G1040" s="3" t="str">
        <f>VLOOKUP(C1040,layoffs_location!A:E,5,FALSE)</f>
        <v>Asia</v>
      </c>
      <c r="H1040" s="3">
        <v>20</v>
      </c>
      <c r="I1040" s="8">
        <v>44962</v>
      </c>
      <c r="J1040" s="9">
        <v>25</v>
      </c>
      <c r="K1040" s="10">
        <v>80</v>
      </c>
      <c r="L1040" s="10">
        <v>60</v>
      </c>
      <c r="M1040" s="3" t="s">
        <v>35</v>
      </c>
      <c r="N1040" s="3" t="s">
        <v>49</v>
      </c>
      <c r="O1040" s="34">
        <v>42</v>
      </c>
      <c r="P1040" s="3">
        <v>2023</v>
      </c>
      <c r="Q1040" s="3">
        <f>VLOOKUP(C1040,layoffs_location!A:F,6,FALSE)</f>
        <v>32.0852997</v>
      </c>
      <c r="R1040" s="3">
        <f>VLOOKUP(C1040,layoffs_location!A:G,7,FALSE)</f>
        <v>34.781806400000001</v>
      </c>
    </row>
    <row r="1041" spans="1:18" x14ac:dyDescent="0.2">
      <c r="A1041" s="3">
        <v>1040</v>
      </c>
      <c r="B1041" s="3" t="s">
        <v>467</v>
      </c>
      <c r="C1041" s="3" t="s">
        <v>187</v>
      </c>
      <c r="D1041" s="3" t="str">
        <f>VLOOKUP(C1041,layoffs_location!A:B,2,FALSE)</f>
        <v>other</v>
      </c>
      <c r="E1041" s="3" t="str">
        <f>VLOOKUP(C1041,layoffs_location!A:C,3,FALSE)</f>
        <v>State of São Paulo</v>
      </c>
      <c r="F1041" s="3" t="str">
        <f>VLOOKUP(C1041,layoffs_location!A:D,4,FALSE)</f>
        <v>Brazil</v>
      </c>
      <c r="G1041" s="3" t="str">
        <f>VLOOKUP(C1041,layoffs_location!A:E,5,FALSE)</f>
        <v>South America</v>
      </c>
      <c r="H1041" s="3">
        <v>300</v>
      </c>
      <c r="I1041" s="8">
        <v>44963</v>
      </c>
      <c r="J1041" s="9">
        <v>7</v>
      </c>
      <c r="K1041" s="10">
        <v>4286</v>
      </c>
      <c r="L1041" s="10">
        <v>3986</v>
      </c>
      <c r="M1041" s="3" t="s">
        <v>90</v>
      </c>
      <c r="N1041" s="3" t="s">
        <v>63</v>
      </c>
      <c r="O1041" s="34">
        <v>507</v>
      </c>
      <c r="P1041" s="3">
        <v>2023</v>
      </c>
      <c r="Q1041" s="3">
        <f>VLOOKUP(C1041,layoffs_location!A:F,6,FALSE)</f>
        <v>-23.550650699999998</v>
      </c>
      <c r="R1041" s="3">
        <f>VLOOKUP(C1041,layoffs_location!A:G,7,FALSE)</f>
        <v>-46.633382400000002</v>
      </c>
    </row>
    <row r="1042" spans="1:18" x14ac:dyDescent="0.2">
      <c r="A1042" s="3">
        <v>1041</v>
      </c>
      <c r="B1042" s="3" t="s">
        <v>468</v>
      </c>
      <c r="C1042" s="3" t="s">
        <v>56</v>
      </c>
      <c r="D1042" s="3" t="str">
        <f>VLOOKUP(C1042,layoffs_location!A:B,2,FALSE)</f>
        <v>other</v>
      </c>
      <c r="E1042" s="3" t="str">
        <f>VLOOKUP(C1042,layoffs_location!A:C,3,FALSE)</f>
        <v>Maharashtra</v>
      </c>
      <c r="F1042" s="3" t="str">
        <f>VLOOKUP(C1042,layoffs_location!A:D,4,FALSE)</f>
        <v>India</v>
      </c>
      <c r="G1042" s="3" t="str">
        <f>VLOOKUP(C1042,layoffs_location!A:E,5,FALSE)</f>
        <v>Asia</v>
      </c>
      <c r="H1042" s="3">
        <v>50</v>
      </c>
      <c r="I1042" s="8">
        <v>44963</v>
      </c>
      <c r="J1042" s="9">
        <v>25</v>
      </c>
      <c r="K1042" s="10">
        <v>200</v>
      </c>
      <c r="L1042" s="10">
        <v>150</v>
      </c>
      <c r="M1042" s="3" t="s">
        <v>54</v>
      </c>
      <c r="N1042" s="3" t="s">
        <v>22</v>
      </c>
      <c r="O1042" s="34">
        <v>19</v>
      </c>
      <c r="P1042" s="3">
        <v>2023</v>
      </c>
      <c r="Q1042" s="3">
        <f>VLOOKUP(C1042,layoffs_location!A:F,6,FALSE)</f>
        <v>19.078545099999999</v>
      </c>
      <c r="R1042" s="3">
        <f>VLOOKUP(C1042,layoffs_location!A:G,7,FALSE)</f>
        <v>72.878175999999996</v>
      </c>
    </row>
    <row r="1043" spans="1:18" x14ac:dyDescent="0.2">
      <c r="A1043" s="3">
        <v>1042</v>
      </c>
      <c r="B1043" s="3" t="s">
        <v>463</v>
      </c>
      <c r="C1043" s="3" t="s">
        <v>1370</v>
      </c>
      <c r="D1043" s="3" t="str">
        <f>VLOOKUP(C1043,layoffs_location!A:B,2,FALSE)</f>
        <v>San Francisco Bay Area</v>
      </c>
      <c r="E1043" s="3" t="str">
        <f>VLOOKUP(C1043,layoffs_location!A:C,3,FALSE)</f>
        <v>California</v>
      </c>
      <c r="F1043" s="3" t="str">
        <f>VLOOKUP(C1043,layoffs_location!A:D,4,FALSE)</f>
        <v>USA</v>
      </c>
      <c r="G1043" s="3" t="str">
        <f>VLOOKUP(C1043,layoffs_location!A:E,5,FALSE)</f>
        <v>North America</v>
      </c>
      <c r="H1043" s="3">
        <v>500</v>
      </c>
      <c r="I1043" s="8">
        <v>44964</v>
      </c>
      <c r="J1043" s="9">
        <v>4</v>
      </c>
      <c r="K1043" s="10">
        <v>12500</v>
      </c>
      <c r="L1043" s="10">
        <v>12000</v>
      </c>
      <c r="M1043" s="3" t="s">
        <v>1478</v>
      </c>
      <c r="N1043" s="3" t="s">
        <v>28</v>
      </c>
      <c r="O1043" s="34">
        <v>1200</v>
      </c>
      <c r="P1043" s="3">
        <v>2023</v>
      </c>
      <c r="Q1043" s="3">
        <f>VLOOKUP(C1043,layoffs_location!A:F,6,FALSE)</f>
        <v>37.779258800000001</v>
      </c>
      <c r="R1043" s="3">
        <f>VLOOKUP(C1043,layoffs_location!A:G,7,FALSE)</f>
        <v>-122.4193286</v>
      </c>
    </row>
    <row r="1044" spans="1:18" x14ac:dyDescent="0.2">
      <c r="A1044" s="3">
        <v>1043</v>
      </c>
      <c r="B1044" s="3" t="s">
        <v>466</v>
      </c>
      <c r="C1044" s="3" t="s">
        <v>217</v>
      </c>
      <c r="D1044" s="3" t="str">
        <f>VLOOKUP(C1044,layoffs_location!A:B,2,FALSE)</f>
        <v>other</v>
      </c>
      <c r="E1044" s="3" t="str">
        <f>VLOOKUP(C1044,layoffs_location!A:C,3,FALSE)</f>
        <v>non</v>
      </c>
      <c r="F1044" s="3" t="str">
        <f>VLOOKUP(C1044,layoffs_location!A:D,4,FALSE)</f>
        <v>Ireland</v>
      </c>
      <c r="G1044" s="3" t="str">
        <f>VLOOKUP(C1044,layoffs_location!A:E,5,FALSE)</f>
        <v>Europe</v>
      </c>
      <c r="H1044" s="3">
        <v>27</v>
      </c>
      <c r="I1044" s="8">
        <v>44964</v>
      </c>
      <c r="J1044" s="9">
        <v>9</v>
      </c>
      <c r="K1044" s="10">
        <v>300</v>
      </c>
      <c r="L1044" s="10">
        <v>273</v>
      </c>
      <c r="M1044" s="3" t="s">
        <v>68</v>
      </c>
      <c r="N1044" s="3" t="s">
        <v>1696</v>
      </c>
      <c r="O1044" s="34">
        <v>56</v>
      </c>
      <c r="P1044" s="3">
        <v>2023</v>
      </c>
      <c r="Q1044" s="3">
        <f>VLOOKUP(C1044,layoffs_location!A:F,6,FALSE)</f>
        <v>53.349379499999998</v>
      </c>
      <c r="R1044" s="3">
        <f>VLOOKUP(C1044,layoffs_location!A:G,7,FALSE)</f>
        <v>-6.2605592999999997</v>
      </c>
    </row>
    <row r="1045" spans="1:18" x14ac:dyDescent="0.2">
      <c r="A1045" s="3">
        <v>1044</v>
      </c>
      <c r="B1045" s="3" t="s">
        <v>465</v>
      </c>
      <c r="C1045" s="3" t="s">
        <v>267</v>
      </c>
      <c r="D1045" s="3" t="str">
        <f>VLOOKUP(C1045,layoffs_location!A:B,2,FALSE)</f>
        <v>other</v>
      </c>
      <c r="E1045" s="3" t="str">
        <f>VLOOKUP(C1045,layoffs_location!A:C,3,FALSE)</f>
        <v>Victoria</v>
      </c>
      <c r="F1045" s="3" t="str">
        <f>VLOOKUP(C1045,layoffs_location!A:D,4,FALSE)</f>
        <v>Australia</v>
      </c>
      <c r="G1045" s="3" t="str">
        <f>VLOOKUP(C1045,layoffs_location!A:E,5,FALSE)</f>
        <v>Oceana</v>
      </c>
      <c r="H1045" s="3">
        <v>83</v>
      </c>
      <c r="I1045" s="8">
        <v>44964</v>
      </c>
      <c r="J1045" s="9">
        <v>100</v>
      </c>
      <c r="K1045" s="10">
        <v>83</v>
      </c>
      <c r="L1045" s="10">
        <v>0</v>
      </c>
      <c r="M1045" s="3" t="s">
        <v>35</v>
      </c>
      <c r="N1045" s="3" t="s">
        <v>28</v>
      </c>
      <c r="O1045" s="34">
        <v>299</v>
      </c>
      <c r="P1045" s="3">
        <v>2023</v>
      </c>
      <c r="Q1045" s="3">
        <f>VLOOKUP(C1045,layoffs_location!A:F,6,FALSE)</f>
        <v>-37.814245399999997</v>
      </c>
      <c r="R1045" s="3">
        <f>VLOOKUP(C1045,layoffs_location!A:G,7,FALSE)</f>
        <v>144.9631732</v>
      </c>
    </row>
    <row r="1046" spans="1:18" x14ac:dyDescent="0.2">
      <c r="A1046" s="3">
        <v>1045</v>
      </c>
      <c r="B1046" s="3" t="s">
        <v>464</v>
      </c>
      <c r="C1046" s="3" t="s">
        <v>171</v>
      </c>
      <c r="D1046" s="3" t="str">
        <f>VLOOKUP(C1046,layoffs_location!A:B,2,FALSE)</f>
        <v>other</v>
      </c>
      <c r="E1046" s="3" t="str">
        <f>VLOOKUP(C1046,layoffs_location!A:C,3,FALSE)</f>
        <v>Georgia</v>
      </c>
      <c r="F1046" s="3" t="str">
        <f>VLOOKUP(C1046,layoffs_location!A:D,4,FALSE)</f>
        <v>USA</v>
      </c>
      <c r="G1046" s="3" t="str">
        <f>VLOOKUP(C1046,layoffs_location!A:E,5,FALSE)</f>
        <v>North America</v>
      </c>
      <c r="H1046" s="3">
        <v>100</v>
      </c>
      <c r="I1046" s="8">
        <v>44964</v>
      </c>
      <c r="J1046" s="9">
        <v>10</v>
      </c>
      <c r="K1046" s="10">
        <v>1000</v>
      </c>
      <c r="L1046" s="10">
        <v>900</v>
      </c>
      <c r="M1046" s="3" t="s">
        <v>92</v>
      </c>
      <c r="N1046" s="3" t="s">
        <v>33</v>
      </c>
      <c r="O1046" s="34">
        <v>245</v>
      </c>
      <c r="P1046" s="3">
        <v>2023</v>
      </c>
      <c r="Q1046" s="3">
        <f>VLOOKUP(C1046,layoffs_location!A:F,6,FALSE)</f>
        <v>33.748992399999999</v>
      </c>
      <c r="R1046" s="3">
        <f>VLOOKUP(C1046,layoffs_location!A:G,7,FALSE)</f>
        <v>-84.390264400000007</v>
      </c>
    </row>
    <row r="1047" spans="1:18" x14ac:dyDescent="0.2">
      <c r="A1047" s="3">
        <v>1046</v>
      </c>
      <c r="B1047" s="3" t="s">
        <v>170</v>
      </c>
      <c r="C1047" s="3" t="s">
        <v>171</v>
      </c>
      <c r="D1047" s="3" t="str">
        <f>VLOOKUP(C1047,layoffs_location!A:B,2,FALSE)</f>
        <v>other</v>
      </c>
      <c r="E1047" s="3" t="str">
        <f>VLOOKUP(C1047,layoffs_location!A:C,3,FALSE)</f>
        <v>Georgia</v>
      </c>
      <c r="F1047" s="3" t="str">
        <f>VLOOKUP(C1047,layoffs_location!A:D,4,FALSE)</f>
        <v>USA</v>
      </c>
      <c r="G1047" s="3" t="str">
        <f>VLOOKUP(C1047,layoffs_location!A:E,5,FALSE)</f>
        <v>North America</v>
      </c>
      <c r="H1047" s="3">
        <v>212</v>
      </c>
      <c r="I1047" s="8">
        <v>44964</v>
      </c>
      <c r="J1047" s="9">
        <v>9</v>
      </c>
      <c r="K1047" s="10">
        <v>2356</v>
      </c>
      <c r="L1047" s="10">
        <v>2144</v>
      </c>
      <c r="M1047" s="3" t="s">
        <v>139</v>
      </c>
      <c r="N1047" s="3" t="s">
        <v>28</v>
      </c>
      <c r="O1047" s="34">
        <v>83</v>
      </c>
      <c r="P1047" s="3">
        <v>2023</v>
      </c>
      <c r="Q1047" s="3">
        <f>VLOOKUP(C1047,layoffs_location!A:F,6,FALSE)</f>
        <v>33.748992399999999</v>
      </c>
      <c r="R1047" s="3">
        <f>VLOOKUP(C1047,layoffs_location!A:G,7,FALSE)</f>
        <v>-84.390264400000007</v>
      </c>
    </row>
    <row r="1048" spans="1:18" x14ac:dyDescent="0.2">
      <c r="A1048" s="3">
        <v>1047</v>
      </c>
      <c r="B1048" s="3" t="s">
        <v>462</v>
      </c>
      <c r="C1048" s="3" t="s">
        <v>1694</v>
      </c>
      <c r="D1048" s="3" t="str">
        <f>VLOOKUP(C1048,layoffs_location!A:B,2,FALSE)</f>
        <v>San Francisco Bay Area</v>
      </c>
      <c r="E1048" s="3" t="str">
        <f>VLOOKUP(C1048,layoffs_location!A:C,3,FALSE)</f>
        <v>California</v>
      </c>
      <c r="F1048" s="3" t="str">
        <f>VLOOKUP(C1048,layoffs_location!A:D,4,FALSE)</f>
        <v>USA</v>
      </c>
      <c r="G1048" s="3" t="str">
        <f>VLOOKUP(C1048,layoffs_location!A:E,5,FALSE)</f>
        <v>North America</v>
      </c>
      <c r="H1048" s="3">
        <v>1300</v>
      </c>
      <c r="I1048" s="8">
        <v>44964</v>
      </c>
      <c r="J1048" s="9">
        <v>15</v>
      </c>
      <c r="K1048" s="10">
        <v>8667</v>
      </c>
      <c r="L1048" s="10">
        <v>7367</v>
      </c>
      <c r="M1048" s="3" t="s">
        <v>60</v>
      </c>
      <c r="N1048" s="3" t="s">
        <v>28</v>
      </c>
      <c r="O1048" s="34">
        <v>276</v>
      </c>
      <c r="P1048" s="3">
        <v>2023</v>
      </c>
      <c r="Q1048" s="3">
        <f>VLOOKUP(C1048,layoffs_location!A:F,6,FALSE)</f>
        <v>37.336166300000002</v>
      </c>
      <c r="R1048" s="3">
        <f>VLOOKUP(C1048,layoffs_location!A:G,7,FALSE)</f>
        <v>-121.890591</v>
      </c>
    </row>
    <row r="1049" spans="1:18" x14ac:dyDescent="0.2">
      <c r="A1049" s="3">
        <v>1048</v>
      </c>
      <c r="B1049" s="3" t="s">
        <v>457</v>
      </c>
      <c r="C1049" s="3" t="s">
        <v>1370</v>
      </c>
      <c r="D1049" s="3" t="str">
        <f>VLOOKUP(C1049,layoffs_location!A:B,2,FALSE)</f>
        <v>San Francisco Bay Area</v>
      </c>
      <c r="E1049" s="3" t="str">
        <f>VLOOKUP(C1049,layoffs_location!A:C,3,FALSE)</f>
        <v>California</v>
      </c>
      <c r="F1049" s="3" t="str">
        <f>VLOOKUP(C1049,layoffs_location!A:D,4,FALSE)</f>
        <v>USA</v>
      </c>
      <c r="G1049" s="3" t="str">
        <f>VLOOKUP(C1049,layoffs_location!A:E,5,FALSE)</f>
        <v>North America</v>
      </c>
      <c r="H1049" s="3">
        <v>500</v>
      </c>
      <c r="I1049" s="8">
        <v>44965</v>
      </c>
      <c r="J1049" s="9">
        <v>19</v>
      </c>
      <c r="K1049" s="10">
        <v>2632</v>
      </c>
      <c r="L1049" s="10">
        <v>2132</v>
      </c>
      <c r="M1049" s="3" t="s">
        <v>35</v>
      </c>
      <c r="N1049" s="3" t="s">
        <v>28</v>
      </c>
      <c r="O1049" s="34">
        <v>1500</v>
      </c>
      <c r="P1049" s="3">
        <v>2023</v>
      </c>
      <c r="Q1049" s="3">
        <f>VLOOKUP(C1049,layoffs_location!A:F,6,FALSE)</f>
        <v>37.779258800000001</v>
      </c>
      <c r="R1049" s="3">
        <f>VLOOKUP(C1049,layoffs_location!A:G,7,FALSE)</f>
        <v>-122.4193286</v>
      </c>
    </row>
    <row r="1050" spans="1:18" x14ac:dyDescent="0.2">
      <c r="A1050" s="3">
        <v>1049</v>
      </c>
      <c r="B1050" s="3" t="s">
        <v>460</v>
      </c>
      <c r="C1050" s="3" t="s">
        <v>452</v>
      </c>
      <c r="D1050" s="3" t="str">
        <f>VLOOKUP(C1050,layoffs_location!A:B,2,FALSE)</f>
        <v>other</v>
      </c>
      <c r="E1050" s="3" t="str">
        <f>VLOOKUP(C1050,layoffs_location!A:C,3,FALSE)</f>
        <v>Ohio</v>
      </c>
      <c r="F1050" s="3" t="str">
        <f>VLOOKUP(C1050,layoffs_location!A:D,4,FALSE)</f>
        <v>USA</v>
      </c>
      <c r="G1050" s="3" t="str">
        <f>VLOOKUP(C1050,layoffs_location!A:E,5,FALSE)</f>
        <v>North America</v>
      </c>
      <c r="H1050" s="3">
        <v>31</v>
      </c>
      <c r="I1050" s="8">
        <v>44965</v>
      </c>
      <c r="J1050" s="9">
        <v>8</v>
      </c>
      <c r="K1050" s="10">
        <v>388</v>
      </c>
      <c r="L1050" s="10">
        <v>357</v>
      </c>
      <c r="M1050" s="3" t="s">
        <v>21</v>
      </c>
      <c r="N1050" s="3" t="s">
        <v>36</v>
      </c>
      <c r="O1050" s="34">
        <v>168</v>
      </c>
      <c r="P1050" s="3">
        <v>2023</v>
      </c>
      <c r="Q1050" s="3">
        <f>VLOOKUP(C1050,layoffs_location!A:F,6,FALSE)</f>
        <v>39.962260100000002</v>
      </c>
      <c r="R1050" s="3">
        <f>VLOOKUP(C1050,layoffs_location!A:G,7,FALSE)</f>
        <v>-83.000706500000007</v>
      </c>
    </row>
    <row r="1051" spans="1:18" x14ac:dyDescent="0.2">
      <c r="A1051" s="3">
        <v>1050</v>
      </c>
      <c r="B1051" s="3" t="s">
        <v>461</v>
      </c>
      <c r="C1051" s="3" t="s">
        <v>1473</v>
      </c>
      <c r="D1051" s="3" t="str">
        <f>VLOOKUP(C1051,layoffs_location!A:B,2,FALSE)</f>
        <v>San Francisco Bay Area</v>
      </c>
      <c r="E1051" s="3" t="str">
        <f>VLOOKUP(C1051,layoffs_location!A:C,3,FALSE)</f>
        <v>California</v>
      </c>
      <c r="F1051" s="3" t="str">
        <f>VLOOKUP(C1051,layoffs_location!A:D,4,FALSE)</f>
        <v>USA</v>
      </c>
      <c r="G1051" s="3" t="str">
        <f>VLOOKUP(C1051,layoffs_location!A:E,5,FALSE)</f>
        <v>North America</v>
      </c>
      <c r="H1051" s="3">
        <v>24</v>
      </c>
      <c r="I1051" s="8">
        <v>44965</v>
      </c>
      <c r="J1051" s="9">
        <v>25</v>
      </c>
      <c r="K1051" s="10">
        <v>96</v>
      </c>
      <c r="L1051" s="10">
        <v>72</v>
      </c>
      <c r="M1051" s="3" t="s">
        <v>35</v>
      </c>
      <c r="N1051" s="3" t="s">
        <v>49</v>
      </c>
      <c r="O1051" s="34">
        <v>85</v>
      </c>
      <c r="P1051" s="3">
        <v>2023</v>
      </c>
      <c r="Q1051" s="3">
        <f>VLOOKUP(C1051,layoffs_location!A:F,6,FALSE)</f>
        <v>37.4443293</v>
      </c>
      <c r="R1051" s="3">
        <f>VLOOKUP(C1051,layoffs_location!A:G,7,FALSE)</f>
        <v>-122.1598465</v>
      </c>
    </row>
    <row r="1052" spans="1:18" x14ac:dyDescent="0.2">
      <c r="A1052" s="3">
        <v>1051</v>
      </c>
      <c r="B1052" s="3" t="s">
        <v>456</v>
      </c>
      <c r="C1052" s="3" t="s">
        <v>264</v>
      </c>
      <c r="D1052" s="3" t="str">
        <f>VLOOKUP(C1052,layoffs_location!A:B,2,FALSE)</f>
        <v>other</v>
      </c>
      <c r="E1052" s="3" t="str">
        <f>VLOOKUP(C1052,layoffs_location!A:C,3,FALSE)</f>
        <v>Arizona</v>
      </c>
      <c r="F1052" s="3" t="str">
        <f>VLOOKUP(C1052,layoffs_location!A:D,4,FALSE)</f>
        <v>USA</v>
      </c>
      <c r="G1052" s="3" t="str">
        <f>VLOOKUP(C1052,layoffs_location!A:E,5,FALSE)</f>
        <v>North America</v>
      </c>
      <c r="H1052" s="3">
        <v>530</v>
      </c>
      <c r="I1052" s="8">
        <v>44965</v>
      </c>
      <c r="J1052" s="9">
        <v>8</v>
      </c>
      <c r="K1052" s="10">
        <v>6625</v>
      </c>
      <c r="L1052" s="10">
        <v>6095</v>
      </c>
      <c r="M1052" s="3" t="s">
        <v>130</v>
      </c>
      <c r="N1052" s="3" t="s">
        <v>28</v>
      </c>
      <c r="O1052" s="34">
        <v>800</v>
      </c>
      <c r="P1052" s="3">
        <v>2023</v>
      </c>
      <c r="Q1052" s="3">
        <f>VLOOKUP(C1052,layoffs_location!A:F,6,FALSE)</f>
        <v>33.448436700000002</v>
      </c>
      <c r="R1052" s="3">
        <f>VLOOKUP(C1052,layoffs_location!A:G,7,FALSE)</f>
        <v>-112.074141</v>
      </c>
    </row>
    <row r="1053" spans="1:18" x14ac:dyDescent="0.2">
      <c r="A1053" s="3">
        <v>1052</v>
      </c>
      <c r="B1053" s="3" t="s">
        <v>459</v>
      </c>
      <c r="C1053" s="3" t="s">
        <v>1370</v>
      </c>
      <c r="D1053" s="3" t="str">
        <f>VLOOKUP(C1053,layoffs_location!A:B,2,FALSE)</f>
        <v>San Francisco Bay Area</v>
      </c>
      <c r="E1053" s="3" t="str">
        <f>VLOOKUP(C1053,layoffs_location!A:C,3,FALSE)</f>
        <v>California</v>
      </c>
      <c r="F1053" s="3" t="str">
        <f>VLOOKUP(C1053,layoffs_location!A:D,4,FALSE)</f>
        <v>USA</v>
      </c>
      <c r="G1053" s="3" t="str">
        <f>VLOOKUP(C1053,layoffs_location!A:E,5,FALSE)</f>
        <v>North America</v>
      </c>
      <c r="H1053" s="3">
        <v>80</v>
      </c>
      <c r="I1053" s="8">
        <v>44965</v>
      </c>
      <c r="J1053" s="9">
        <v>7</v>
      </c>
      <c r="K1053" s="10">
        <v>1143</v>
      </c>
      <c r="L1053" s="10">
        <v>1063</v>
      </c>
      <c r="M1053" s="3" t="s">
        <v>92</v>
      </c>
      <c r="N1053" s="3" t="s">
        <v>36</v>
      </c>
      <c r="O1053" s="34">
        <v>583</v>
      </c>
      <c r="P1053" s="3">
        <v>2023</v>
      </c>
      <c r="Q1053" s="3">
        <f>VLOOKUP(C1053,layoffs_location!A:F,6,FALSE)</f>
        <v>37.779258800000001</v>
      </c>
      <c r="R1053" s="3">
        <f>VLOOKUP(C1053,layoffs_location!A:G,7,FALSE)</f>
        <v>-122.4193286</v>
      </c>
    </row>
    <row r="1054" spans="1:18" x14ac:dyDescent="0.2">
      <c r="A1054" s="3">
        <v>1053</v>
      </c>
      <c r="B1054" s="3" t="s">
        <v>458</v>
      </c>
      <c r="C1054" s="3" t="s">
        <v>1370</v>
      </c>
      <c r="D1054" s="3" t="str">
        <f>VLOOKUP(C1054,layoffs_location!A:B,2,FALSE)</f>
        <v>San Francisco Bay Area</v>
      </c>
      <c r="E1054" s="3" t="str">
        <f>VLOOKUP(C1054,layoffs_location!A:C,3,FALSE)</f>
        <v>California</v>
      </c>
      <c r="F1054" s="3" t="str">
        <f>VLOOKUP(C1054,layoffs_location!A:D,4,FALSE)</f>
        <v>USA</v>
      </c>
      <c r="G1054" s="3" t="str">
        <f>VLOOKUP(C1054,layoffs_location!A:E,5,FALSE)</f>
        <v>North America</v>
      </c>
      <c r="H1054" s="3">
        <v>126</v>
      </c>
      <c r="I1054" s="8">
        <v>44965</v>
      </c>
      <c r="J1054" s="9">
        <v>5</v>
      </c>
      <c r="K1054" s="10">
        <v>2520</v>
      </c>
      <c r="L1054" s="10">
        <v>2394</v>
      </c>
      <c r="M1054" s="3" t="s">
        <v>84</v>
      </c>
      <c r="N1054" s="3" t="s">
        <v>36</v>
      </c>
      <c r="O1054" s="34">
        <v>746</v>
      </c>
      <c r="P1054" s="3">
        <v>2023</v>
      </c>
      <c r="Q1054" s="3">
        <f>VLOOKUP(C1054,layoffs_location!A:F,6,FALSE)</f>
        <v>37.779258800000001</v>
      </c>
      <c r="R1054" s="3">
        <f>VLOOKUP(C1054,layoffs_location!A:G,7,FALSE)</f>
        <v>-122.4193286</v>
      </c>
    </row>
    <row r="1055" spans="1:18" x14ac:dyDescent="0.2">
      <c r="A1055" s="3">
        <v>1054</v>
      </c>
      <c r="B1055" s="3" t="s">
        <v>450</v>
      </c>
      <c r="C1055" s="3" t="s">
        <v>58</v>
      </c>
      <c r="D1055" s="3" t="str">
        <f>VLOOKUP(C1055,layoffs_location!A:B,2,FALSE)</f>
        <v>other</v>
      </c>
      <c r="E1055" s="3" t="str">
        <f>VLOOKUP(C1055,layoffs_location!A:C,3,FALSE)</f>
        <v>England</v>
      </c>
      <c r="F1055" s="3" t="str">
        <f>VLOOKUP(C1055,layoffs_location!A:D,4,FALSE)</f>
        <v>UK</v>
      </c>
      <c r="G1055" s="3" t="str">
        <f>VLOOKUP(C1055,layoffs_location!A:E,5,FALSE)</f>
        <v>Europe</v>
      </c>
      <c r="H1055" s="3">
        <v>350</v>
      </c>
      <c r="I1055" s="8">
        <v>44966</v>
      </c>
      <c r="J1055" s="9">
        <v>9</v>
      </c>
      <c r="K1055" s="10">
        <v>3889</v>
      </c>
      <c r="L1055" s="10">
        <v>3539</v>
      </c>
      <c r="M1055" s="3" t="s">
        <v>77</v>
      </c>
      <c r="N1055" s="3" t="s">
        <v>28</v>
      </c>
      <c r="O1055" s="34">
        <v>1700</v>
      </c>
      <c r="P1055" s="3">
        <v>2023</v>
      </c>
      <c r="Q1055" s="3">
        <f>VLOOKUP(C1055,layoffs_location!A:F,6,FALSE)</f>
        <v>51.489333500000001</v>
      </c>
      <c r="R1055" s="3">
        <f>VLOOKUP(C1055,layoffs_location!A:G,7,FALSE)</f>
        <v>-0.14405508452768701</v>
      </c>
    </row>
    <row r="1056" spans="1:18" x14ac:dyDescent="0.2">
      <c r="A1056" s="3">
        <v>1055</v>
      </c>
      <c r="B1056" s="3" t="s">
        <v>454</v>
      </c>
      <c r="C1056" s="3" t="s">
        <v>1370</v>
      </c>
      <c r="D1056" s="3" t="str">
        <f>VLOOKUP(C1056,layoffs_location!A:B,2,FALSE)</f>
        <v>San Francisco Bay Area</v>
      </c>
      <c r="E1056" s="3" t="str">
        <f>VLOOKUP(C1056,layoffs_location!A:C,3,FALSE)</f>
        <v>California</v>
      </c>
      <c r="F1056" s="3" t="str">
        <f>VLOOKUP(C1056,layoffs_location!A:D,4,FALSE)</f>
        <v>USA</v>
      </c>
      <c r="G1056" s="3" t="str">
        <f>VLOOKUP(C1056,layoffs_location!A:E,5,FALSE)</f>
        <v>North America</v>
      </c>
      <c r="H1056" s="3">
        <v>130</v>
      </c>
      <c r="I1056" s="8">
        <v>44966</v>
      </c>
      <c r="J1056" s="9">
        <v>7</v>
      </c>
      <c r="K1056" s="10">
        <v>1857</v>
      </c>
      <c r="L1056" s="10">
        <v>1727</v>
      </c>
      <c r="M1056" s="3" t="s">
        <v>48</v>
      </c>
      <c r="N1056" s="3" t="s">
        <v>28</v>
      </c>
      <c r="O1056" s="34">
        <v>413</v>
      </c>
      <c r="P1056" s="3">
        <v>2023</v>
      </c>
      <c r="Q1056" s="3">
        <f>VLOOKUP(C1056,layoffs_location!A:F,6,FALSE)</f>
        <v>37.779258800000001</v>
      </c>
      <c r="R1056" s="3">
        <f>VLOOKUP(C1056,layoffs_location!A:G,7,FALSE)</f>
        <v>-122.4193286</v>
      </c>
    </row>
    <row r="1057" spans="1:18" x14ac:dyDescent="0.2">
      <c r="A1057" s="3">
        <v>1056</v>
      </c>
      <c r="B1057" s="3" t="s">
        <v>1685</v>
      </c>
      <c r="C1057" s="3" t="s">
        <v>362</v>
      </c>
      <c r="D1057" s="3" t="str">
        <f>VLOOKUP(C1057,layoffs_location!A:B,2,FALSE)</f>
        <v>other</v>
      </c>
      <c r="E1057" s="3" t="str">
        <f>VLOOKUP(C1057,layoffs_location!A:C,3,FALSE)</f>
        <v>Pennsylvania</v>
      </c>
      <c r="F1057" s="3" t="str">
        <f>VLOOKUP(C1057,layoffs_location!A:D,4,FALSE)</f>
        <v>USA</v>
      </c>
      <c r="G1057" s="3" t="str">
        <f>VLOOKUP(C1057,layoffs_location!A:E,5,FALSE)</f>
        <v>North America</v>
      </c>
      <c r="H1057" s="3">
        <v>649</v>
      </c>
      <c r="I1057" s="8">
        <v>44966</v>
      </c>
      <c r="J1057" s="9">
        <v>33</v>
      </c>
      <c r="K1057" s="10">
        <v>1967</v>
      </c>
      <c r="L1057" s="10">
        <v>1318</v>
      </c>
      <c r="M1057" s="3" t="s">
        <v>77</v>
      </c>
      <c r="N1057" s="3" t="s">
        <v>41</v>
      </c>
      <c r="O1057" s="34">
        <v>526</v>
      </c>
      <c r="P1057" s="3">
        <v>2023</v>
      </c>
      <c r="Q1057" s="3">
        <f>VLOOKUP(C1057,layoffs_location!A:F,6,FALSE)</f>
        <v>39.9527237</v>
      </c>
      <c r="R1057" s="3">
        <f>VLOOKUP(C1057,layoffs_location!A:G,7,FALSE)</f>
        <v>-75.163526200000007</v>
      </c>
    </row>
    <row r="1058" spans="1:18" x14ac:dyDescent="0.2">
      <c r="A1058" s="3">
        <v>1057</v>
      </c>
      <c r="B1058" s="3" t="s">
        <v>451</v>
      </c>
      <c r="C1058" s="3" t="s">
        <v>452</v>
      </c>
      <c r="D1058" s="3" t="str">
        <f>VLOOKUP(C1058,layoffs_location!A:B,2,FALSE)</f>
        <v>other</v>
      </c>
      <c r="E1058" s="3" t="str">
        <f>VLOOKUP(C1058,layoffs_location!A:C,3,FALSE)</f>
        <v>Ohio</v>
      </c>
      <c r="F1058" s="3" t="str">
        <f>VLOOKUP(C1058,layoffs_location!A:D,4,FALSE)</f>
        <v>USA</v>
      </c>
      <c r="G1058" s="3" t="str">
        <f>VLOOKUP(C1058,layoffs_location!A:E,5,FALSE)</f>
        <v>North America</v>
      </c>
      <c r="H1058" s="3">
        <v>215</v>
      </c>
      <c r="I1058" s="8">
        <v>44966</v>
      </c>
      <c r="J1058" s="9">
        <v>35</v>
      </c>
      <c r="K1058" s="10">
        <v>614</v>
      </c>
      <c r="L1058" s="10">
        <v>399</v>
      </c>
      <c r="M1058" s="3" t="s">
        <v>21</v>
      </c>
      <c r="N1058" s="3" t="s">
        <v>17</v>
      </c>
      <c r="O1058" s="34">
        <v>856</v>
      </c>
      <c r="P1058" s="3">
        <v>2023</v>
      </c>
      <c r="Q1058" s="3">
        <f>VLOOKUP(C1058,layoffs_location!A:F,6,FALSE)</f>
        <v>39.962260100000002</v>
      </c>
      <c r="R1058" s="3">
        <f>VLOOKUP(C1058,layoffs_location!A:G,7,FALSE)</f>
        <v>-83.000706500000007</v>
      </c>
    </row>
    <row r="1059" spans="1:18" x14ac:dyDescent="0.2">
      <c r="A1059" s="3">
        <v>1058</v>
      </c>
      <c r="B1059" s="3" t="s">
        <v>453</v>
      </c>
      <c r="C1059" s="3" t="s">
        <v>1724</v>
      </c>
      <c r="D1059" s="3" t="str">
        <f>VLOOKUP(C1059,layoffs_location!A:B,2,FALSE)</f>
        <v>San Francisco Bay Area</v>
      </c>
      <c r="E1059" s="3" t="str">
        <f>VLOOKUP(C1059,layoffs_location!A:C,3,FALSE)</f>
        <v>California</v>
      </c>
      <c r="F1059" s="3" t="str">
        <f>VLOOKUP(C1059,layoffs_location!A:D,4,FALSE)</f>
        <v>USA</v>
      </c>
      <c r="G1059" s="3" t="str">
        <f>VLOOKUP(C1059,layoffs_location!A:E,5,FALSE)</f>
        <v>North America</v>
      </c>
      <c r="H1059" s="3">
        <v>155</v>
      </c>
      <c r="I1059" s="8">
        <v>44966</v>
      </c>
      <c r="J1059" s="9">
        <v>10</v>
      </c>
      <c r="K1059" s="10">
        <v>1550</v>
      </c>
      <c r="L1059" s="10">
        <v>1395</v>
      </c>
      <c r="M1059" s="3" t="s">
        <v>35</v>
      </c>
      <c r="N1059" s="3" t="s">
        <v>28</v>
      </c>
      <c r="O1059" s="34">
        <v>566</v>
      </c>
      <c r="P1059" s="3">
        <v>2023</v>
      </c>
      <c r="Q1059" s="3">
        <f>VLOOKUP(C1059,layoffs_location!A:F,6,FALSE)</f>
        <v>37.504936000000001</v>
      </c>
      <c r="R1059" s="3">
        <f>VLOOKUP(C1059,layoffs_location!A:G,7,FALSE)</f>
        <v>-122.26182300000001</v>
      </c>
    </row>
    <row r="1060" spans="1:18" x14ac:dyDescent="0.2">
      <c r="A1060" s="3">
        <v>1059</v>
      </c>
      <c r="B1060" s="3" t="s">
        <v>455</v>
      </c>
      <c r="C1060" s="3" t="s">
        <v>47</v>
      </c>
      <c r="D1060" s="3" t="str">
        <f>VLOOKUP(C1060,layoffs_location!A:B,2,FALSE)</f>
        <v>other</v>
      </c>
      <c r="E1060" s="3" t="str">
        <f>VLOOKUP(C1060,layoffs_location!A:C,3,FALSE)</f>
        <v>non</v>
      </c>
      <c r="F1060" s="3" t="str">
        <f>VLOOKUP(C1060,layoffs_location!A:D,4,FALSE)</f>
        <v>Israel</v>
      </c>
      <c r="G1060" s="3" t="str">
        <f>VLOOKUP(C1060,layoffs_location!A:E,5,FALSE)</f>
        <v>Asia</v>
      </c>
      <c r="H1060" s="3">
        <v>31</v>
      </c>
      <c r="I1060" s="8">
        <v>44966</v>
      </c>
      <c r="J1060" s="9">
        <v>11</v>
      </c>
      <c r="K1060" s="10">
        <v>282</v>
      </c>
      <c r="L1060" s="10">
        <v>251</v>
      </c>
      <c r="M1060" s="3" t="s">
        <v>32</v>
      </c>
      <c r="N1060" s="3" t="s">
        <v>28</v>
      </c>
      <c r="O1060" s="34">
        <v>317</v>
      </c>
      <c r="P1060" s="3">
        <v>2023</v>
      </c>
      <c r="Q1060" s="3">
        <f>VLOOKUP(C1060,layoffs_location!A:F,6,FALSE)</f>
        <v>32.0852997</v>
      </c>
      <c r="R1060" s="3">
        <f>VLOOKUP(C1060,layoffs_location!A:G,7,FALSE)</f>
        <v>34.781806400000001</v>
      </c>
    </row>
    <row r="1061" spans="1:18" x14ac:dyDescent="0.2">
      <c r="A1061" s="3">
        <v>1060</v>
      </c>
      <c r="B1061" s="3" t="s">
        <v>158</v>
      </c>
      <c r="C1061" s="3" t="s">
        <v>159</v>
      </c>
      <c r="D1061" s="3" t="str">
        <f>VLOOKUP(C1061,layoffs_location!A:B,2,FALSE)</f>
        <v>other</v>
      </c>
      <c r="E1061" s="3" t="str">
        <f>VLOOKUP(C1061,layoffs_location!A:C,3,FALSE)</f>
        <v>non</v>
      </c>
      <c r="F1061" s="3" t="str">
        <f>VLOOKUP(C1061,layoffs_location!A:D,4,FALSE)</f>
        <v>Estonia</v>
      </c>
      <c r="G1061" s="3" t="str">
        <f>VLOOKUP(C1061,layoffs_location!A:E,5,FALSE)</f>
        <v>Europe</v>
      </c>
      <c r="H1061" s="3">
        <v>66</v>
      </c>
      <c r="I1061" s="8">
        <v>44966</v>
      </c>
      <c r="J1061" s="9">
        <v>12</v>
      </c>
      <c r="K1061" s="10">
        <v>550</v>
      </c>
      <c r="L1061" s="10">
        <v>484</v>
      </c>
      <c r="M1061" s="3" t="s">
        <v>139</v>
      </c>
      <c r="N1061" s="3" t="s">
        <v>41</v>
      </c>
      <c r="O1061" s="34">
        <v>192</v>
      </c>
      <c r="P1061" s="3">
        <v>2023</v>
      </c>
      <c r="Q1061" s="3">
        <f>VLOOKUP(C1061,layoffs_location!A:F,6,FALSE)</f>
        <v>59.437215500000001</v>
      </c>
      <c r="R1061" s="3">
        <f>VLOOKUP(C1061,layoffs_location!A:G,7,FALSE)</f>
        <v>24.745368800000001</v>
      </c>
    </row>
    <row r="1062" spans="1:18" x14ac:dyDescent="0.2">
      <c r="A1062" s="3">
        <v>1061</v>
      </c>
      <c r="B1062" s="3" t="s">
        <v>449</v>
      </c>
      <c r="C1062" s="3" t="s">
        <v>1720</v>
      </c>
      <c r="D1062" s="3" t="str">
        <f>VLOOKUP(C1062,layoffs_location!A:B,2,FALSE)</f>
        <v>San Francisco Bay Area</v>
      </c>
      <c r="E1062" s="3" t="str">
        <f>VLOOKUP(C1062,layoffs_location!A:C,3,FALSE)</f>
        <v>California</v>
      </c>
      <c r="F1062" s="3" t="str">
        <f>VLOOKUP(C1062,layoffs_location!A:D,4,FALSE)</f>
        <v>USA</v>
      </c>
      <c r="G1062" s="3" t="str">
        <f>VLOOKUP(C1062,layoffs_location!A:E,5,FALSE)</f>
        <v>North America</v>
      </c>
      <c r="H1062" s="3">
        <v>1600</v>
      </c>
      <c r="I1062" s="8">
        <v>44966</v>
      </c>
      <c r="J1062" s="9">
        <v>20</v>
      </c>
      <c r="K1062" s="10">
        <v>8000</v>
      </c>
      <c r="L1062" s="10">
        <v>6400</v>
      </c>
      <c r="M1062" s="3" t="s">
        <v>16</v>
      </c>
      <c r="N1062" s="3" t="s">
        <v>33</v>
      </c>
      <c r="O1062" s="34">
        <v>6</v>
      </c>
      <c r="P1062" s="3">
        <v>2023</v>
      </c>
      <c r="Q1062" s="3">
        <f>VLOOKUP(C1062,layoffs_location!A:F,6,FALSE)</f>
        <v>37.368830099999997</v>
      </c>
      <c r="R1062" s="3">
        <f>VLOOKUP(C1062,layoffs_location!A:G,7,FALSE)</f>
        <v>-122.036349</v>
      </c>
    </row>
    <row r="1063" spans="1:18" x14ac:dyDescent="0.2">
      <c r="A1063" s="3">
        <v>1062</v>
      </c>
      <c r="B1063" s="3" t="s">
        <v>448</v>
      </c>
      <c r="C1063" s="3" t="s">
        <v>179</v>
      </c>
      <c r="D1063" s="3" t="str">
        <f>VLOOKUP(C1063,layoffs_location!A:B,2,FALSE)</f>
        <v>other</v>
      </c>
      <c r="E1063" s="3" t="str">
        <f>VLOOKUP(C1063,layoffs_location!A:C,3,FALSE)</f>
        <v>Ontario</v>
      </c>
      <c r="F1063" s="3" t="str">
        <f>VLOOKUP(C1063,layoffs_location!A:D,4,FALSE)</f>
        <v>Canada</v>
      </c>
      <c r="G1063" s="3" t="str">
        <f>VLOOKUP(C1063,layoffs_location!A:E,5,FALSE)</f>
        <v>North America</v>
      </c>
      <c r="H1063" s="3">
        <v>48</v>
      </c>
      <c r="I1063" s="8">
        <v>44967</v>
      </c>
      <c r="J1063" s="9">
        <v>72</v>
      </c>
      <c r="K1063" s="10">
        <v>67</v>
      </c>
      <c r="L1063" s="10">
        <v>19</v>
      </c>
      <c r="M1063" s="3" t="s">
        <v>21</v>
      </c>
      <c r="N1063" s="3" t="s">
        <v>28</v>
      </c>
      <c r="O1063" s="34">
        <v>278</v>
      </c>
      <c r="P1063" s="3">
        <v>2023</v>
      </c>
      <c r="Q1063" s="3">
        <f>VLOOKUP(C1063,layoffs_location!A:F,6,FALSE)</f>
        <v>43.6534817</v>
      </c>
      <c r="R1063" s="3">
        <f>VLOOKUP(C1063,layoffs_location!A:G,7,FALSE)</f>
        <v>-79.383934699999998</v>
      </c>
    </row>
    <row r="1064" spans="1:18" x14ac:dyDescent="0.2">
      <c r="A1064" s="3">
        <v>1063</v>
      </c>
      <c r="B1064" s="3" t="s">
        <v>447</v>
      </c>
      <c r="C1064" s="3" t="s">
        <v>39</v>
      </c>
      <c r="D1064" s="3" t="str">
        <f>VLOOKUP(C1064,layoffs_location!A:B,2,FALSE)</f>
        <v>New York</v>
      </c>
      <c r="E1064" s="3" t="str">
        <f>VLOOKUP(C1064,layoffs_location!A:C,3,FALSE)</f>
        <v>New York</v>
      </c>
      <c r="F1064" s="3" t="str">
        <f>VLOOKUP(C1064,layoffs_location!A:D,4,FALSE)</f>
        <v>USA</v>
      </c>
      <c r="G1064" s="3" t="str">
        <f>VLOOKUP(C1064,layoffs_location!A:E,5,FALSE)</f>
        <v>North America</v>
      </c>
      <c r="H1064" s="3">
        <v>100</v>
      </c>
      <c r="I1064" s="8">
        <v>44967</v>
      </c>
      <c r="J1064" s="9">
        <v>20</v>
      </c>
      <c r="K1064" s="10">
        <v>500</v>
      </c>
      <c r="L1064" s="10">
        <v>400</v>
      </c>
      <c r="M1064" s="3" t="s">
        <v>130</v>
      </c>
      <c r="N1064" s="3" t="s">
        <v>33</v>
      </c>
      <c r="O1064" s="34">
        <v>16</v>
      </c>
      <c r="P1064" s="3">
        <v>2023</v>
      </c>
      <c r="Q1064" s="3">
        <f>VLOOKUP(C1064,layoffs_location!A:F,6,FALSE)</f>
        <v>40.7127281</v>
      </c>
      <c r="R1064" s="3">
        <f>VLOOKUP(C1064,layoffs_location!A:G,7,FALSE)</f>
        <v>-74.006015199999993</v>
      </c>
    </row>
    <row r="1065" spans="1:18" x14ac:dyDescent="0.2">
      <c r="A1065" s="3">
        <v>1064</v>
      </c>
      <c r="B1065" s="3" t="s">
        <v>444</v>
      </c>
      <c r="C1065" s="3" t="s">
        <v>445</v>
      </c>
      <c r="D1065" s="3" t="str">
        <f>VLOOKUP(C1065,layoffs_location!A:B,2,FALSE)</f>
        <v>other</v>
      </c>
      <c r="E1065" s="3" t="str">
        <f>VLOOKUP(C1065,layoffs_location!A:C,3,FALSE)</f>
        <v>non</v>
      </c>
      <c r="F1065" s="3" t="str">
        <f>VLOOKUP(C1065,layoffs_location!A:D,4,FALSE)</f>
        <v>Indonesia</v>
      </c>
      <c r="G1065" s="3" t="str">
        <f>VLOOKUP(C1065,layoffs_location!A:E,5,FALSE)</f>
        <v>Asia</v>
      </c>
      <c r="H1065" s="3">
        <v>360</v>
      </c>
      <c r="I1065" s="8">
        <v>44969</v>
      </c>
      <c r="J1065" s="9">
        <v>11</v>
      </c>
      <c r="K1065" s="10">
        <v>3273</v>
      </c>
      <c r="L1065" s="10">
        <v>2913</v>
      </c>
      <c r="M1065" s="3" t="s">
        <v>32</v>
      </c>
      <c r="N1065" s="3" t="s">
        <v>49</v>
      </c>
      <c r="O1065" s="34">
        <v>138</v>
      </c>
      <c r="P1065" s="3">
        <v>2023</v>
      </c>
      <c r="Q1065" s="3">
        <f>VLOOKUP(C1065,layoffs_location!A:F,6,FALSE)</f>
        <v>-6.1752469999999997</v>
      </c>
      <c r="R1065" s="3">
        <f>VLOOKUP(C1065,layoffs_location!A:G,7,FALSE)</f>
        <v>106.8270488</v>
      </c>
    </row>
    <row r="1066" spans="1:18" x14ac:dyDescent="0.2">
      <c r="A1066" s="3">
        <v>1065</v>
      </c>
      <c r="B1066" s="3" t="s">
        <v>442</v>
      </c>
      <c r="C1066" s="3" t="s">
        <v>39</v>
      </c>
      <c r="D1066" s="3" t="str">
        <f>VLOOKUP(C1066,layoffs_location!A:B,2,FALSE)</f>
        <v>New York</v>
      </c>
      <c r="E1066" s="3" t="str">
        <f>VLOOKUP(C1066,layoffs_location!A:C,3,FALSE)</f>
        <v>New York</v>
      </c>
      <c r="F1066" s="3" t="str">
        <f>VLOOKUP(C1066,layoffs_location!A:D,4,FALSE)</f>
        <v>USA</v>
      </c>
      <c r="G1066" s="3" t="str">
        <f>VLOOKUP(C1066,layoffs_location!A:E,5,FALSE)</f>
        <v>North America</v>
      </c>
      <c r="H1066" s="3">
        <v>141</v>
      </c>
      <c r="I1066" s="8">
        <v>44970</v>
      </c>
      <c r="J1066" s="9">
        <v>25</v>
      </c>
      <c r="K1066" s="10">
        <v>564</v>
      </c>
      <c r="L1066" s="10">
        <v>423</v>
      </c>
      <c r="M1066" s="3" t="s">
        <v>60</v>
      </c>
      <c r="N1066" s="3" t="s">
        <v>108</v>
      </c>
      <c r="O1066" s="34">
        <v>212</v>
      </c>
      <c r="P1066" s="3">
        <v>2023</v>
      </c>
      <c r="Q1066" s="3">
        <f>VLOOKUP(C1066,layoffs_location!A:F,6,FALSE)</f>
        <v>40.7127281</v>
      </c>
      <c r="R1066" s="3">
        <f>VLOOKUP(C1066,layoffs_location!A:G,7,FALSE)</f>
        <v>-74.006015199999993</v>
      </c>
    </row>
    <row r="1067" spans="1:18" x14ac:dyDescent="0.2">
      <c r="A1067" s="3">
        <v>1066</v>
      </c>
      <c r="B1067" s="3" t="s">
        <v>443</v>
      </c>
      <c r="C1067" s="3" t="s">
        <v>71</v>
      </c>
      <c r="D1067" s="3" t="str">
        <f>VLOOKUP(C1067,layoffs_location!A:B,2,FALSE)</f>
        <v>other</v>
      </c>
      <c r="E1067" s="3" t="str">
        <f>VLOOKUP(C1067,layoffs_location!A:C,3,FALSE)</f>
        <v>Massachusetts</v>
      </c>
      <c r="F1067" s="3" t="str">
        <f>VLOOKUP(C1067,layoffs_location!A:D,4,FALSE)</f>
        <v>USA</v>
      </c>
      <c r="G1067" s="3" t="str">
        <f>VLOOKUP(C1067,layoffs_location!A:E,5,FALSE)</f>
        <v>North America</v>
      </c>
      <c r="H1067" s="3">
        <v>85</v>
      </c>
      <c r="I1067" s="8">
        <v>44970</v>
      </c>
      <c r="J1067" s="9">
        <v>7</v>
      </c>
      <c r="K1067" s="10">
        <v>1214</v>
      </c>
      <c r="L1067" s="10">
        <v>1129</v>
      </c>
      <c r="M1067" s="3" t="s">
        <v>16</v>
      </c>
      <c r="N1067" s="3" t="s">
        <v>33</v>
      </c>
      <c r="O1067" s="34">
        <v>30</v>
      </c>
      <c r="P1067" s="3">
        <v>2023</v>
      </c>
      <c r="Q1067" s="3">
        <f>VLOOKUP(C1067,layoffs_location!A:F,6,FALSE)</f>
        <v>42.355433400000003</v>
      </c>
      <c r="R1067" s="3">
        <f>VLOOKUP(C1067,layoffs_location!A:G,7,FALSE)</f>
        <v>-71.060511000000005</v>
      </c>
    </row>
    <row r="1068" spans="1:18" ht="16" x14ac:dyDescent="0.2">
      <c r="A1068" s="3">
        <v>1067</v>
      </c>
      <c r="B1068" s="3" t="s">
        <v>441</v>
      </c>
      <c r="C1068" s="11" t="s">
        <v>1370</v>
      </c>
      <c r="D1068" s="3" t="str">
        <f>VLOOKUP(C1068,layoffs_location!A:B,2,FALSE)</f>
        <v>San Francisco Bay Area</v>
      </c>
      <c r="E1068" s="3" t="str">
        <f>VLOOKUP(C1068,layoffs_location!A:C,3,FALSE)</f>
        <v>California</v>
      </c>
      <c r="F1068" s="3" t="str">
        <f>VLOOKUP(C1068,layoffs_location!A:D,4,FALSE)</f>
        <v>USA</v>
      </c>
      <c r="G1068" s="3" t="str">
        <f>VLOOKUP(C1068,layoffs_location!A:E,5,FALSE)</f>
        <v>North America</v>
      </c>
      <c r="H1068" s="3">
        <v>1500</v>
      </c>
      <c r="I1068" s="8">
        <v>44970</v>
      </c>
      <c r="J1068" s="9">
        <v>17</v>
      </c>
      <c r="K1068" s="10">
        <v>8824</v>
      </c>
      <c r="L1068" s="10">
        <v>7324</v>
      </c>
      <c r="M1068" s="3" t="s">
        <v>60</v>
      </c>
      <c r="N1068" s="3" t="s">
        <v>28</v>
      </c>
      <c r="O1068" s="34">
        <v>614</v>
      </c>
      <c r="P1068" s="3">
        <v>2023</v>
      </c>
      <c r="Q1068" s="3">
        <f>VLOOKUP(C1068,layoffs_location!A:F,6,FALSE)</f>
        <v>37.779258800000001</v>
      </c>
      <c r="R1068" s="3">
        <f>VLOOKUP(C1068,layoffs_location!A:G,7,FALSE)</f>
        <v>-122.4193286</v>
      </c>
    </row>
    <row r="1069" spans="1:18" x14ac:dyDescent="0.2">
      <c r="A1069" s="3">
        <v>1068</v>
      </c>
      <c r="B1069" s="3" t="s">
        <v>440</v>
      </c>
      <c r="C1069" s="3" t="s">
        <v>135</v>
      </c>
      <c r="D1069" s="3" t="str">
        <f>VLOOKUP(C1069,layoffs_location!A:B,2,FALSE)</f>
        <v>other</v>
      </c>
      <c r="E1069" s="3" t="str">
        <f>VLOOKUP(C1069,layoffs_location!A:C,3,FALSE)</f>
        <v>Berlin</v>
      </c>
      <c r="F1069" s="3" t="str">
        <f>VLOOKUP(C1069,layoffs_location!A:D,4,FALSE)</f>
        <v>Germany</v>
      </c>
      <c r="G1069" s="3" t="str">
        <f>VLOOKUP(C1069,layoffs_location!A:E,5,FALSE)</f>
        <v>Europe</v>
      </c>
      <c r="H1069" s="3">
        <v>60</v>
      </c>
      <c r="I1069" s="8">
        <v>44971</v>
      </c>
      <c r="J1069" s="9">
        <v>100</v>
      </c>
      <c r="K1069" s="10">
        <v>60</v>
      </c>
      <c r="L1069" s="10">
        <v>0</v>
      </c>
      <c r="M1069" s="3" t="s">
        <v>30</v>
      </c>
      <c r="N1069" s="3" t="s">
        <v>22</v>
      </c>
      <c r="O1069" s="34">
        <v>2</v>
      </c>
      <c r="P1069" s="3">
        <v>2023</v>
      </c>
      <c r="Q1069" s="3">
        <f>VLOOKUP(C1069,layoffs_location!A:F,6,FALSE)</f>
        <v>52.517036500000003</v>
      </c>
      <c r="R1069" s="3">
        <f>VLOOKUP(C1069,layoffs_location!A:G,7,FALSE)</f>
        <v>13.3888599</v>
      </c>
    </row>
    <row r="1070" spans="1:18" x14ac:dyDescent="0.2">
      <c r="A1070" s="3">
        <v>1069</v>
      </c>
      <c r="B1070" s="3" t="s">
        <v>438</v>
      </c>
      <c r="C1070" s="3" t="s">
        <v>39</v>
      </c>
      <c r="D1070" s="3" t="str">
        <f>VLOOKUP(C1070,layoffs_location!A:B,2,FALSE)</f>
        <v>New York</v>
      </c>
      <c r="E1070" s="3" t="str">
        <f>VLOOKUP(C1070,layoffs_location!A:C,3,FALSE)</f>
        <v>New York</v>
      </c>
      <c r="F1070" s="3" t="str">
        <f>VLOOKUP(C1070,layoffs_location!A:D,4,FALSE)</f>
        <v>USA</v>
      </c>
      <c r="G1070" s="3" t="str">
        <f>VLOOKUP(C1070,layoffs_location!A:E,5,FALSE)</f>
        <v>North America</v>
      </c>
      <c r="H1070" s="3">
        <v>200</v>
      </c>
      <c r="I1070" s="8">
        <v>44972</v>
      </c>
      <c r="J1070" s="9">
        <v>11</v>
      </c>
      <c r="K1070" s="10">
        <v>1818</v>
      </c>
      <c r="L1070" s="10">
        <v>1618</v>
      </c>
      <c r="M1070" s="3" t="s">
        <v>239</v>
      </c>
      <c r="N1070" s="3" t="s">
        <v>28</v>
      </c>
      <c r="O1070" s="34">
        <v>491</v>
      </c>
      <c r="P1070" s="3">
        <v>2023</v>
      </c>
      <c r="Q1070" s="3">
        <f>VLOOKUP(C1070,layoffs_location!A:F,6,FALSE)</f>
        <v>40.7127281</v>
      </c>
      <c r="R1070" s="3">
        <f>VLOOKUP(C1070,layoffs_location!A:G,7,FALSE)</f>
        <v>-74.006015199999993</v>
      </c>
    </row>
    <row r="1071" spans="1:18" x14ac:dyDescent="0.2">
      <c r="A1071" s="3">
        <v>1070</v>
      </c>
      <c r="B1071" s="3" t="s">
        <v>437</v>
      </c>
      <c r="C1071" s="3" t="s">
        <v>187</v>
      </c>
      <c r="D1071" s="3" t="str">
        <f>VLOOKUP(C1071,layoffs_location!A:B,2,FALSE)</f>
        <v>other</v>
      </c>
      <c r="E1071" s="3" t="str">
        <f>VLOOKUP(C1071,layoffs_location!A:C,3,FALSE)</f>
        <v>State of São Paulo</v>
      </c>
      <c r="F1071" s="3" t="str">
        <f>VLOOKUP(C1071,layoffs_location!A:D,4,FALSE)</f>
        <v>Brazil</v>
      </c>
      <c r="G1071" s="3" t="str">
        <f>VLOOKUP(C1071,layoffs_location!A:E,5,FALSE)</f>
        <v>South America</v>
      </c>
      <c r="H1071" s="3">
        <v>210</v>
      </c>
      <c r="I1071" s="8">
        <v>44972</v>
      </c>
      <c r="J1071" s="9">
        <v>9</v>
      </c>
      <c r="K1071" s="10">
        <v>2333</v>
      </c>
      <c r="L1071" s="10">
        <v>2123</v>
      </c>
      <c r="M1071" s="3" t="s">
        <v>35</v>
      </c>
      <c r="N1071" s="3" t="s">
        <v>108</v>
      </c>
      <c r="O1071" s="34">
        <v>720</v>
      </c>
      <c r="P1071" s="3">
        <v>2023</v>
      </c>
      <c r="Q1071" s="3">
        <f>VLOOKUP(C1071,layoffs_location!A:F,6,FALSE)</f>
        <v>-23.550650699999998</v>
      </c>
      <c r="R1071" s="3">
        <f>VLOOKUP(C1071,layoffs_location!A:G,7,FALSE)</f>
        <v>-46.633382400000002</v>
      </c>
    </row>
    <row r="1072" spans="1:18" x14ac:dyDescent="0.2">
      <c r="A1072" s="3">
        <v>1071</v>
      </c>
      <c r="B1072" s="3" t="s">
        <v>436</v>
      </c>
      <c r="C1072" s="3" t="s">
        <v>76</v>
      </c>
      <c r="D1072" s="3" t="str">
        <f>VLOOKUP(C1072,layoffs_location!A:B,2,FALSE)</f>
        <v>other</v>
      </c>
      <c r="E1072" s="3" t="str">
        <f>VLOOKUP(C1072,layoffs_location!A:C,3,FALSE)</f>
        <v>California</v>
      </c>
      <c r="F1072" s="3" t="str">
        <f>VLOOKUP(C1072,layoffs_location!A:D,4,FALSE)</f>
        <v>USA</v>
      </c>
      <c r="G1072" s="3" t="str">
        <f>VLOOKUP(C1072,layoffs_location!A:E,5,FALSE)</f>
        <v>North America</v>
      </c>
      <c r="H1072" s="3">
        <v>221</v>
      </c>
      <c r="I1072" s="8">
        <v>44972</v>
      </c>
      <c r="J1072" s="9">
        <v>8</v>
      </c>
      <c r="K1072" s="10">
        <v>2763</v>
      </c>
      <c r="L1072" s="10">
        <v>2542</v>
      </c>
      <c r="M1072" s="3" t="s">
        <v>92</v>
      </c>
      <c r="N1072" s="3" t="s">
        <v>81</v>
      </c>
      <c r="O1072" s="34">
        <v>1100</v>
      </c>
      <c r="P1072" s="3">
        <v>2023</v>
      </c>
      <c r="Q1072" s="3">
        <f>VLOOKUP(C1072,layoffs_location!A:F,6,FALSE)</f>
        <v>34.053690899999999</v>
      </c>
      <c r="R1072" s="3">
        <f>VLOOKUP(C1072,layoffs_location!A:G,7,FALSE)</f>
        <v>-118.242766</v>
      </c>
    </row>
    <row r="1073" spans="1:18" x14ac:dyDescent="0.2">
      <c r="A1073" s="3">
        <v>1072</v>
      </c>
      <c r="B1073" s="3" t="s">
        <v>439</v>
      </c>
      <c r="C1073" s="3" t="s">
        <v>39</v>
      </c>
      <c r="D1073" s="3" t="str">
        <f>VLOOKUP(C1073,layoffs_location!A:B,2,FALSE)</f>
        <v>New York</v>
      </c>
      <c r="E1073" s="3" t="str">
        <f>VLOOKUP(C1073,layoffs_location!A:C,3,FALSE)</f>
        <v>New York</v>
      </c>
      <c r="F1073" s="3" t="str">
        <f>VLOOKUP(C1073,layoffs_location!A:D,4,FALSE)</f>
        <v>USA</v>
      </c>
      <c r="G1073" s="3" t="str">
        <f>VLOOKUP(C1073,layoffs_location!A:E,5,FALSE)</f>
        <v>North America</v>
      </c>
      <c r="H1073" s="3">
        <v>100</v>
      </c>
      <c r="I1073" s="8">
        <v>44972</v>
      </c>
      <c r="J1073" s="9">
        <v>4</v>
      </c>
      <c r="K1073" s="10">
        <v>2500</v>
      </c>
      <c r="L1073" s="10">
        <v>2400</v>
      </c>
      <c r="M1073" s="3" t="s">
        <v>1400</v>
      </c>
      <c r="N1073" s="3" t="s">
        <v>28</v>
      </c>
      <c r="O1073" s="34">
        <v>429</v>
      </c>
      <c r="P1073" s="3">
        <v>2023</v>
      </c>
      <c r="Q1073" s="3">
        <f>VLOOKUP(C1073,layoffs_location!A:F,6,FALSE)</f>
        <v>40.7127281</v>
      </c>
      <c r="R1073" s="3">
        <f>VLOOKUP(C1073,layoffs_location!A:G,7,FALSE)</f>
        <v>-74.006015199999993</v>
      </c>
    </row>
    <row r="1074" spans="1:18" x14ac:dyDescent="0.2">
      <c r="A1074" s="3">
        <v>1073</v>
      </c>
      <c r="B1074" s="3" t="s">
        <v>435</v>
      </c>
      <c r="C1074" s="3" t="s">
        <v>47</v>
      </c>
      <c r="D1074" s="3" t="str">
        <f>VLOOKUP(C1074,layoffs_location!A:B,2,FALSE)</f>
        <v>other</v>
      </c>
      <c r="E1074" s="3" t="str">
        <f>VLOOKUP(C1074,layoffs_location!A:C,3,FALSE)</f>
        <v>non</v>
      </c>
      <c r="F1074" s="3" t="str">
        <f>VLOOKUP(C1074,layoffs_location!A:D,4,FALSE)</f>
        <v>Israel</v>
      </c>
      <c r="G1074" s="3" t="str">
        <f>VLOOKUP(C1074,layoffs_location!A:E,5,FALSE)</f>
        <v>Asia</v>
      </c>
      <c r="H1074" s="3">
        <v>370</v>
      </c>
      <c r="I1074" s="8">
        <v>44972</v>
      </c>
      <c r="J1074" s="9">
        <v>6</v>
      </c>
      <c r="K1074" s="10">
        <v>6167</v>
      </c>
      <c r="L1074" s="10">
        <v>5797</v>
      </c>
      <c r="M1074" s="3" t="s">
        <v>130</v>
      </c>
      <c r="N1074" s="3" t="s">
        <v>28</v>
      </c>
      <c r="O1074" s="34">
        <v>58</v>
      </c>
      <c r="P1074" s="3">
        <v>2023</v>
      </c>
      <c r="Q1074" s="3">
        <f>VLOOKUP(C1074,layoffs_location!A:F,6,FALSE)</f>
        <v>32.0852997</v>
      </c>
      <c r="R1074" s="3">
        <f>VLOOKUP(C1074,layoffs_location!A:G,7,FALSE)</f>
        <v>34.781806400000001</v>
      </c>
    </row>
    <row r="1075" spans="1:18" x14ac:dyDescent="0.2">
      <c r="A1075" s="3">
        <v>1074</v>
      </c>
      <c r="B1075" s="3" t="s">
        <v>431</v>
      </c>
      <c r="C1075" s="3" t="s">
        <v>1370</v>
      </c>
      <c r="D1075" s="3" t="str">
        <f>VLOOKUP(C1075,layoffs_location!A:B,2,FALSE)</f>
        <v>San Francisco Bay Area</v>
      </c>
      <c r="E1075" s="3" t="str">
        <f>VLOOKUP(C1075,layoffs_location!A:C,3,FALSE)</f>
        <v>California</v>
      </c>
      <c r="F1075" s="3" t="str">
        <f>VLOOKUP(C1075,layoffs_location!A:D,4,FALSE)</f>
        <v>USA</v>
      </c>
      <c r="G1075" s="3" t="str">
        <f>VLOOKUP(C1075,layoffs_location!A:E,5,FALSE)</f>
        <v>North America</v>
      </c>
      <c r="H1075" s="3">
        <v>680</v>
      </c>
      <c r="I1075" s="8">
        <v>44973</v>
      </c>
      <c r="J1075" s="9">
        <v>10</v>
      </c>
      <c r="K1075" s="10">
        <v>6800</v>
      </c>
      <c r="L1075" s="10">
        <v>6120</v>
      </c>
      <c r="M1075" s="3" t="s">
        <v>92</v>
      </c>
      <c r="N1075" s="3" t="s">
        <v>28</v>
      </c>
      <c r="O1075" s="34">
        <v>536</v>
      </c>
      <c r="P1075" s="3">
        <v>2023</v>
      </c>
      <c r="Q1075" s="3">
        <f>VLOOKUP(C1075,layoffs_location!A:F,6,FALSE)</f>
        <v>37.779258800000001</v>
      </c>
      <c r="R1075" s="3">
        <f>VLOOKUP(C1075,layoffs_location!A:G,7,FALSE)</f>
        <v>-122.4193286</v>
      </c>
    </row>
    <row r="1076" spans="1:18" ht="16" x14ac:dyDescent="0.2">
      <c r="A1076" s="3">
        <v>1075</v>
      </c>
      <c r="B1076" s="3" t="s">
        <v>432</v>
      </c>
      <c r="C1076" s="11" t="s">
        <v>1370</v>
      </c>
      <c r="D1076" s="3" t="str">
        <f>VLOOKUP(C1076,layoffs_location!A:B,2,FALSE)</f>
        <v>San Francisco Bay Area</v>
      </c>
      <c r="E1076" s="3" t="str">
        <f>VLOOKUP(C1076,layoffs_location!A:C,3,FALSE)</f>
        <v>California</v>
      </c>
      <c r="F1076" s="3" t="str">
        <f>VLOOKUP(C1076,layoffs_location!A:D,4,FALSE)</f>
        <v>USA</v>
      </c>
      <c r="G1076" s="3" t="str">
        <f>VLOOKUP(C1076,layoffs_location!A:E,5,FALSE)</f>
        <v>North America</v>
      </c>
      <c r="H1076" s="3">
        <v>400</v>
      </c>
      <c r="I1076" s="8">
        <v>44973</v>
      </c>
      <c r="J1076" s="9">
        <v>20</v>
      </c>
      <c r="K1076" s="10">
        <v>2000</v>
      </c>
      <c r="L1076" s="10">
        <v>1600</v>
      </c>
      <c r="M1076" s="3" t="s">
        <v>60</v>
      </c>
      <c r="N1076" s="3" t="s">
        <v>33</v>
      </c>
      <c r="O1076" s="34">
        <v>62</v>
      </c>
      <c r="P1076" s="3">
        <v>2023</v>
      </c>
      <c r="Q1076" s="3">
        <f>VLOOKUP(C1076,layoffs_location!A:F,6,FALSE)</f>
        <v>37.779258800000001</v>
      </c>
      <c r="R1076" s="3">
        <f>VLOOKUP(C1076,layoffs_location!A:G,7,FALSE)</f>
        <v>-122.4193286</v>
      </c>
    </row>
    <row r="1077" spans="1:18" x14ac:dyDescent="0.2">
      <c r="A1077" s="3">
        <v>1076</v>
      </c>
      <c r="B1077" s="3" t="s">
        <v>434</v>
      </c>
      <c r="C1077" s="3" t="s">
        <v>43</v>
      </c>
      <c r="D1077" s="3" t="str">
        <f>VLOOKUP(C1077,layoffs_location!A:B,2,FALSE)</f>
        <v>Cascadia</v>
      </c>
      <c r="E1077" s="3" t="str">
        <f>VLOOKUP(C1077,layoffs_location!A:C,3,FALSE)</f>
        <v>Washington</v>
      </c>
      <c r="F1077" s="3" t="str">
        <f>VLOOKUP(C1077,layoffs_location!A:D,4,FALSE)</f>
        <v>USA</v>
      </c>
      <c r="G1077" s="3" t="str">
        <f>VLOOKUP(C1077,layoffs_location!A:E,5,FALSE)</f>
        <v>North America</v>
      </c>
      <c r="H1077" s="3">
        <v>85</v>
      </c>
      <c r="I1077" s="8">
        <v>44973</v>
      </c>
      <c r="J1077" s="9">
        <v>3</v>
      </c>
      <c r="K1077" s="10">
        <v>2833</v>
      </c>
      <c r="L1077" s="10">
        <v>2748</v>
      </c>
      <c r="M1077" s="3" t="s">
        <v>60</v>
      </c>
      <c r="N1077" s="3" t="s">
        <v>28</v>
      </c>
      <c r="O1077" s="34">
        <v>152</v>
      </c>
      <c r="P1077" s="3">
        <v>2023</v>
      </c>
      <c r="Q1077" s="3">
        <f>VLOOKUP(C1077,layoffs_location!A:F,6,FALSE)</f>
        <v>47.603832099999998</v>
      </c>
      <c r="R1077" s="3">
        <f>VLOOKUP(C1077,layoffs_location!A:G,7,FALSE)</f>
        <v>-122.330062</v>
      </c>
    </row>
    <row r="1078" spans="1:18" ht="16" x14ac:dyDescent="0.2">
      <c r="A1078" s="3">
        <v>1077</v>
      </c>
      <c r="B1078" s="3" t="s">
        <v>433</v>
      </c>
      <c r="C1078" s="11" t="s">
        <v>1370</v>
      </c>
      <c r="D1078" s="3" t="str">
        <f>VLOOKUP(C1078,layoffs_location!A:B,2,FALSE)</f>
        <v>San Francisco Bay Area</v>
      </c>
      <c r="E1078" s="3" t="str">
        <f>VLOOKUP(C1078,layoffs_location!A:C,3,FALSE)</f>
        <v>California</v>
      </c>
      <c r="F1078" s="3" t="str">
        <f>VLOOKUP(C1078,layoffs_location!A:D,4,FALSE)</f>
        <v>USA</v>
      </c>
      <c r="G1078" s="3" t="str">
        <f>VLOOKUP(C1078,layoffs_location!A:E,5,FALSE)</f>
        <v>North America</v>
      </c>
      <c r="H1078" s="3">
        <v>230</v>
      </c>
      <c r="I1078" s="8">
        <v>44973</v>
      </c>
      <c r="J1078" s="9">
        <v>7</v>
      </c>
      <c r="K1078" s="10">
        <v>3286</v>
      </c>
      <c r="L1078" s="10">
        <v>3056</v>
      </c>
      <c r="M1078" s="3" t="s">
        <v>30</v>
      </c>
      <c r="N1078" s="3" t="s">
        <v>28</v>
      </c>
      <c r="O1078" s="34">
        <v>356</v>
      </c>
      <c r="P1078" s="3">
        <v>2023</v>
      </c>
      <c r="Q1078" s="3">
        <f>VLOOKUP(C1078,layoffs_location!A:F,6,FALSE)</f>
        <v>37.779258800000001</v>
      </c>
      <c r="R1078" s="3">
        <f>VLOOKUP(C1078,layoffs_location!A:G,7,FALSE)</f>
        <v>-122.4193286</v>
      </c>
    </row>
    <row r="1079" spans="1:18" x14ac:dyDescent="0.2">
      <c r="A1079" s="3">
        <v>1078</v>
      </c>
      <c r="B1079" s="3" t="s">
        <v>40</v>
      </c>
      <c r="C1079" s="3" t="s">
        <v>1370</v>
      </c>
      <c r="D1079" s="3" t="str">
        <f>VLOOKUP(C1079,layoffs_location!A:B,2,FALSE)</f>
        <v>San Francisco Bay Area</v>
      </c>
      <c r="E1079" s="3" t="str">
        <f>VLOOKUP(C1079,layoffs_location!A:C,3,FALSE)</f>
        <v>California</v>
      </c>
      <c r="F1079" s="3" t="str">
        <f>VLOOKUP(C1079,layoffs_location!A:D,4,FALSE)</f>
        <v>USA</v>
      </c>
      <c r="G1079" s="3" t="str">
        <f>VLOOKUP(C1079,layoffs_location!A:E,5,FALSE)</f>
        <v>North America</v>
      </c>
      <c r="H1079" s="3">
        <v>100</v>
      </c>
      <c r="I1079" s="8">
        <v>44974</v>
      </c>
      <c r="J1079" s="9">
        <v>33</v>
      </c>
      <c r="K1079" s="10">
        <v>303</v>
      </c>
      <c r="L1079" s="10">
        <v>203</v>
      </c>
      <c r="M1079" s="3" t="s">
        <v>35</v>
      </c>
      <c r="N1079" s="3" t="s">
        <v>41</v>
      </c>
      <c r="O1079" s="34">
        <v>302</v>
      </c>
      <c r="P1079" s="3">
        <v>2023</v>
      </c>
      <c r="Q1079" s="3">
        <f>VLOOKUP(C1079,layoffs_location!A:F,6,FALSE)</f>
        <v>37.779258800000001</v>
      </c>
      <c r="R1079" s="3">
        <f>VLOOKUP(C1079,layoffs_location!A:G,7,FALSE)</f>
        <v>-122.4193286</v>
      </c>
    </row>
    <row r="1080" spans="1:18" x14ac:dyDescent="0.2">
      <c r="A1080" s="3">
        <v>1079</v>
      </c>
      <c r="B1080" s="3" t="s">
        <v>429</v>
      </c>
      <c r="C1080" s="3" t="s">
        <v>430</v>
      </c>
      <c r="D1080" s="3" t="str">
        <f>VLOOKUP(C1080,layoffs_location!A:B,2,FALSE)</f>
        <v>other</v>
      </c>
      <c r="E1080" s="3" t="str">
        <f>VLOOKUP(C1080,layoffs_location!A:C,3,FALSE)</f>
        <v>Idaho</v>
      </c>
      <c r="F1080" s="3" t="str">
        <f>VLOOKUP(C1080,layoffs_location!A:D,4,FALSE)</f>
        <v>USA</v>
      </c>
      <c r="G1080" s="3" t="str">
        <f>VLOOKUP(C1080,layoffs_location!A:E,5,FALSE)</f>
        <v>North America</v>
      </c>
      <c r="H1080" s="3">
        <v>2400</v>
      </c>
      <c r="I1080" s="8">
        <v>44974</v>
      </c>
      <c r="J1080" s="9">
        <v>5</v>
      </c>
      <c r="K1080" s="10">
        <v>48000</v>
      </c>
      <c r="L1080" s="10">
        <v>45600</v>
      </c>
      <c r="M1080" s="3" t="s">
        <v>87</v>
      </c>
      <c r="N1080" s="3" t="s">
        <v>28</v>
      </c>
      <c r="O1080" s="34">
        <v>50</v>
      </c>
      <c r="P1080" s="3">
        <v>2023</v>
      </c>
      <c r="Q1080" s="3">
        <f>VLOOKUP(C1080,layoffs_location!A:F,6,FALSE)</f>
        <v>43.616616299999997</v>
      </c>
      <c r="R1080" s="3">
        <f>VLOOKUP(C1080,layoffs_location!A:G,7,FALSE)</f>
        <v>-116.200886</v>
      </c>
    </row>
    <row r="1081" spans="1:18" x14ac:dyDescent="0.2">
      <c r="A1081" s="3">
        <v>1080</v>
      </c>
      <c r="B1081" s="3" t="s">
        <v>427</v>
      </c>
      <c r="C1081" s="3" t="s">
        <v>39</v>
      </c>
      <c r="D1081" s="3" t="str">
        <f>VLOOKUP(C1081,layoffs_location!A:B,2,FALSE)</f>
        <v>New York</v>
      </c>
      <c r="E1081" s="3" t="str">
        <f>VLOOKUP(C1081,layoffs_location!A:C,3,FALSE)</f>
        <v>New York</v>
      </c>
      <c r="F1081" s="3" t="str">
        <f>VLOOKUP(C1081,layoffs_location!A:D,4,FALSE)</f>
        <v>USA</v>
      </c>
      <c r="G1081" s="3" t="str">
        <f>VLOOKUP(C1081,layoffs_location!A:E,5,FALSE)</f>
        <v>North America</v>
      </c>
      <c r="H1081" s="3">
        <v>30</v>
      </c>
      <c r="I1081" s="8">
        <v>44977</v>
      </c>
      <c r="J1081" s="9">
        <v>5</v>
      </c>
      <c r="K1081" s="10">
        <v>600</v>
      </c>
      <c r="L1081" s="10">
        <v>570</v>
      </c>
      <c r="M1081" s="3" t="s">
        <v>117</v>
      </c>
      <c r="N1081" s="3" t="s">
        <v>36</v>
      </c>
      <c r="O1081" s="34">
        <v>1000</v>
      </c>
      <c r="P1081" s="3">
        <v>2023</v>
      </c>
      <c r="Q1081" s="3">
        <f>VLOOKUP(C1081,layoffs_location!A:F,6,FALSE)</f>
        <v>40.7127281</v>
      </c>
      <c r="R1081" s="3">
        <f>VLOOKUP(C1081,layoffs_location!A:G,7,FALSE)</f>
        <v>-74.006015199999993</v>
      </c>
    </row>
    <row r="1082" spans="1:18" x14ac:dyDescent="0.2">
      <c r="A1082" s="3">
        <v>1081</v>
      </c>
      <c r="B1082" s="3" t="s">
        <v>428</v>
      </c>
      <c r="C1082" s="3" t="s">
        <v>231</v>
      </c>
      <c r="D1082" s="3" t="str">
        <f>VLOOKUP(C1082,layoffs_location!A:B,2,FALSE)</f>
        <v>other</v>
      </c>
      <c r="E1082" s="3" t="str">
        <f>VLOOKUP(C1082,layoffs_location!A:C,3,FALSE)</f>
        <v>New South Wales</v>
      </c>
      <c r="F1082" s="3" t="str">
        <f>VLOOKUP(C1082,layoffs_location!A:D,4,FALSE)</f>
        <v>Australia</v>
      </c>
      <c r="G1082" s="3" t="str">
        <f>VLOOKUP(C1082,layoffs_location!A:E,5,FALSE)</f>
        <v>Oceana</v>
      </c>
      <c r="H1082" s="3">
        <v>8</v>
      </c>
      <c r="I1082" s="8">
        <v>44977</v>
      </c>
      <c r="J1082" s="9">
        <v>28</v>
      </c>
      <c r="K1082" s="10">
        <v>29</v>
      </c>
      <c r="L1082" s="10">
        <v>21</v>
      </c>
      <c r="M1082" s="3" t="s">
        <v>60</v>
      </c>
      <c r="N1082" s="3" t="s">
        <v>147</v>
      </c>
      <c r="O1082" s="34">
        <v>10</v>
      </c>
      <c r="P1082" s="3">
        <v>2023</v>
      </c>
      <c r="Q1082" s="3">
        <f>VLOOKUP(C1082,layoffs_location!A:F,6,FALSE)</f>
        <v>-33.869843899999999</v>
      </c>
      <c r="R1082" s="3">
        <f>VLOOKUP(C1082,layoffs_location!A:G,7,FALSE)</f>
        <v>151.2082848</v>
      </c>
    </row>
    <row r="1083" spans="1:18" x14ac:dyDescent="0.2">
      <c r="A1083" s="3">
        <v>1082</v>
      </c>
      <c r="B1083" s="3" t="s">
        <v>426</v>
      </c>
      <c r="C1083" s="3" t="s">
        <v>13</v>
      </c>
      <c r="D1083" s="3" t="str">
        <f>VLOOKUP(C1083,layoffs_location!A:B,2,FALSE)</f>
        <v>other</v>
      </c>
      <c r="E1083" s="3" t="str">
        <f>VLOOKUP(C1083,layoffs_location!A:C,3,FALSE)</f>
        <v>Karnataka</v>
      </c>
      <c r="F1083" s="3" t="str">
        <f>VLOOKUP(C1083,layoffs_location!A:D,4,FALSE)</f>
        <v>India</v>
      </c>
      <c r="G1083" s="3" t="str">
        <f>VLOOKUP(C1083,layoffs_location!A:E,5,FALSE)</f>
        <v>Asia</v>
      </c>
      <c r="H1083" s="3">
        <v>200</v>
      </c>
      <c r="I1083" s="8">
        <v>44977</v>
      </c>
      <c r="J1083" s="9">
        <v>30</v>
      </c>
      <c r="K1083" s="10">
        <v>667</v>
      </c>
      <c r="L1083" s="10">
        <v>467</v>
      </c>
      <c r="M1083" s="3" t="s">
        <v>60</v>
      </c>
      <c r="N1083" s="3" t="s">
        <v>49</v>
      </c>
      <c r="O1083" s="34">
        <v>79</v>
      </c>
      <c r="P1083" s="3">
        <v>2023</v>
      </c>
      <c r="Q1083" s="3">
        <f>VLOOKUP(C1083,layoffs_location!A:F,6,FALSE)</f>
        <v>12.98815675</v>
      </c>
      <c r="R1083" s="3">
        <f>VLOOKUP(C1083,layoffs_location!A:G,7,FALSE)</f>
        <v>77.622600037959998</v>
      </c>
    </row>
    <row r="1084" spans="1:18" x14ac:dyDescent="0.2">
      <c r="A1084" s="3">
        <v>1083</v>
      </c>
      <c r="B1084" s="3" t="s">
        <v>425</v>
      </c>
      <c r="C1084" s="3" t="s">
        <v>154</v>
      </c>
      <c r="D1084" s="3" t="str">
        <f>VLOOKUP(C1084,layoffs_location!A:B,2,FALSE)</f>
        <v>other</v>
      </c>
      <c r="E1084" s="3" t="str">
        <f>VLOOKUP(C1084,layoffs_location!A:C,3,FALSE)</f>
        <v>Illinois</v>
      </c>
      <c r="F1084" s="3" t="str">
        <f>VLOOKUP(C1084,layoffs_location!A:D,4,FALSE)</f>
        <v>USA</v>
      </c>
      <c r="G1084" s="3" t="str">
        <f>VLOOKUP(C1084,layoffs_location!A:E,5,FALSE)</f>
        <v>North America</v>
      </c>
      <c r="H1084" s="3">
        <v>40</v>
      </c>
      <c r="I1084" s="8">
        <v>44978</v>
      </c>
      <c r="J1084" s="9">
        <v>4</v>
      </c>
      <c r="K1084" s="10">
        <v>1000</v>
      </c>
      <c r="L1084" s="10">
        <v>960</v>
      </c>
      <c r="M1084" s="3" t="s">
        <v>130</v>
      </c>
      <c r="N1084" s="3" t="s">
        <v>49</v>
      </c>
      <c r="O1084" s="34">
        <v>52</v>
      </c>
      <c r="P1084" s="3">
        <v>2023</v>
      </c>
      <c r="Q1084" s="3">
        <f>VLOOKUP(C1084,layoffs_location!A:F,6,FALSE)</f>
        <v>41.875561599999997</v>
      </c>
      <c r="R1084" s="3">
        <f>VLOOKUP(C1084,layoffs_location!A:G,7,FALSE)</f>
        <v>-87.6244212</v>
      </c>
    </row>
    <row r="1085" spans="1:18" x14ac:dyDescent="0.2">
      <c r="A1085" s="3">
        <v>1084</v>
      </c>
      <c r="B1085" s="3" t="s">
        <v>421</v>
      </c>
      <c r="C1085" s="3" t="s">
        <v>422</v>
      </c>
      <c r="D1085" s="3" t="str">
        <f>VLOOKUP(C1085,layoffs_location!A:B,2,FALSE)</f>
        <v>other</v>
      </c>
      <c r="E1085" s="3" t="str">
        <f>VLOOKUP(C1085,layoffs_location!A:C,3,FALSE)</f>
        <v>non</v>
      </c>
      <c r="F1085" s="3" t="str">
        <f>VLOOKUP(C1085,layoffs_location!A:D,4,FALSE)</f>
        <v>South Korea</v>
      </c>
      <c r="G1085" s="3" t="str">
        <f>VLOOKUP(C1085,layoffs_location!A:E,5,FALSE)</f>
        <v>Asia</v>
      </c>
      <c r="H1085" s="3">
        <v>350</v>
      </c>
      <c r="I1085" s="8">
        <v>44978</v>
      </c>
      <c r="J1085" s="9">
        <v>70</v>
      </c>
      <c r="K1085" s="10">
        <v>500</v>
      </c>
      <c r="L1085" s="10">
        <v>150</v>
      </c>
      <c r="M1085" s="3" t="s">
        <v>77</v>
      </c>
      <c r="N1085" s="3" t="s">
        <v>41</v>
      </c>
      <c r="O1085" s="34">
        <v>214</v>
      </c>
      <c r="P1085" s="3">
        <v>2023</v>
      </c>
      <c r="Q1085" s="3">
        <f>VLOOKUP(C1085,layoffs_location!A:F,6,FALSE)</f>
        <v>37.566679100000002</v>
      </c>
      <c r="R1085" s="3">
        <f>VLOOKUP(C1085,layoffs_location!A:G,7,FALSE)</f>
        <v>126.9782914</v>
      </c>
    </row>
    <row r="1086" spans="1:18" x14ac:dyDescent="0.2">
      <c r="A1086" s="3">
        <v>1085</v>
      </c>
      <c r="B1086" s="3" t="s">
        <v>424</v>
      </c>
      <c r="C1086" s="3" t="s">
        <v>13</v>
      </c>
      <c r="D1086" s="3" t="str">
        <f>VLOOKUP(C1086,layoffs_location!A:B,2,FALSE)</f>
        <v>other</v>
      </c>
      <c r="E1086" s="3" t="str">
        <f>VLOOKUP(C1086,layoffs_location!A:C,3,FALSE)</f>
        <v>Karnataka</v>
      </c>
      <c r="F1086" s="3" t="str">
        <f>VLOOKUP(C1086,layoffs_location!A:D,4,FALSE)</f>
        <v>India</v>
      </c>
      <c r="G1086" s="3" t="str">
        <f>VLOOKUP(C1086,layoffs_location!A:E,5,FALSE)</f>
        <v>Asia</v>
      </c>
      <c r="H1086" s="3">
        <v>100</v>
      </c>
      <c r="I1086" s="8">
        <v>44978</v>
      </c>
      <c r="J1086" s="9">
        <v>20</v>
      </c>
      <c r="K1086" s="10">
        <v>500</v>
      </c>
      <c r="L1086" s="10">
        <v>400</v>
      </c>
      <c r="M1086" s="3" t="s">
        <v>117</v>
      </c>
      <c r="N1086" s="3" t="s">
        <v>22</v>
      </c>
      <c r="O1086" s="34">
        <v>451</v>
      </c>
      <c r="P1086" s="3">
        <v>2023</v>
      </c>
      <c r="Q1086" s="3">
        <f>VLOOKUP(C1086,layoffs_location!A:F,6,FALSE)</f>
        <v>12.98815675</v>
      </c>
      <c r="R1086" s="3">
        <f>VLOOKUP(C1086,layoffs_location!A:G,7,FALSE)</f>
        <v>77.622600037959998</v>
      </c>
    </row>
    <row r="1087" spans="1:18" x14ac:dyDescent="0.2">
      <c r="A1087" s="3">
        <v>1086</v>
      </c>
      <c r="B1087" s="3" t="s">
        <v>420</v>
      </c>
      <c r="C1087" s="3" t="s">
        <v>135</v>
      </c>
      <c r="D1087" s="3" t="str">
        <f>VLOOKUP(C1087,layoffs_location!A:B,2,FALSE)</f>
        <v>other</v>
      </c>
      <c r="E1087" s="3" t="str">
        <f>VLOOKUP(C1087,layoffs_location!A:C,3,FALSE)</f>
        <v>Berlin</v>
      </c>
      <c r="F1087" s="3" t="str">
        <f>VLOOKUP(C1087,layoffs_location!A:D,4,FALSE)</f>
        <v>Germany</v>
      </c>
      <c r="G1087" s="3" t="str">
        <f>VLOOKUP(C1087,layoffs_location!A:E,5,FALSE)</f>
        <v>Europe</v>
      </c>
      <c r="H1087" s="3">
        <v>150</v>
      </c>
      <c r="I1087" s="8">
        <v>44980</v>
      </c>
      <c r="J1087" s="9">
        <v>32</v>
      </c>
      <c r="K1087" s="10">
        <v>469</v>
      </c>
      <c r="L1087" s="10">
        <v>319</v>
      </c>
      <c r="M1087" s="3" t="s">
        <v>130</v>
      </c>
      <c r="N1087" s="3" t="s">
        <v>108</v>
      </c>
      <c r="O1087" s="34">
        <v>442</v>
      </c>
      <c r="P1087" s="3">
        <v>2023</v>
      </c>
      <c r="Q1087" s="3">
        <f>VLOOKUP(C1087,layoffs_location!A:F,6,FALSE)</f>
        <v>52.517036500000003</v>
      </c>
      <c r="R1087" s="3">
        <f>VLOOKUP(C1087,layoffs_location!A:G,7,FALSE)</f>
        <v>13.3888599</v>
      </c>
    </row>
    <row r="1088" spans="1:18" x14ac:dyDescent="0.2">
      <c r="A1088" s="3">
        <v>1087</v>
      </c>
      <c r="B1088" s="3" t="s">
        <v>419</v>
      </c>
      <c r="C1088" s="3" t="s">
        <v>51</v>
      </c>
      <c r="D1088" s="3" t="str">
        <f>VLOOKUP(C1088,layoffs_location!A:B,2,FALSE)</f>
        <v>other</v>
      </c>
      <c r="E1088" s="3" t="str">
        <f>VLOOKUP(C1088,layoffs_location!A:C,3,FALSE)</f>
        <v>non</v>
      </c>
      <c r="F1088" s="3" t="str">
        <f>VLOOKUP(C1088,layoffs_location!A:D,4,FALSE)</f>
        <v>Sweden</v>
      </c>
      <c r="G1088" s="3" t="str">
        <f>VLOOKUP(C1088,layoffs_location!A:E,5,FALSE)</f>
        <v>Europe</v>
      </c>
      <c r="H1088" s="3">
        <v>8500</v>
      </c>
      <c r="I1088" s="8">
        <v>44981</v>
      </c>
      <c r="J1088" s="9">
        <v>8</v>
      </c>
      <c r="K1088" s="10">
        <v>106250</v>
      </c>
      <c r="L1088" s="10">
        <v>97750</v>
      </c>
      <c r="M1088" s="3" t="s">
        <v>60</v>
      </c>
      <c r="N1088" s="3" t="s">
        <v>28</v>
      </c>
      <c r="O1088" s="34">
        <v>663</v>
      </c>
      <c r="P1088" s="3">
        <v>2023</v>
      </c>
      <c r="Q1088" s="3">
        <f>VLOOKUP(C1088,layoffs_location!A:F,6,FALSE)</f>
        <v>59.325117200000001</v>
      </c>
      <c r="R1088" s="3">
        <f>VLOOKUP(C1088,layoffs_location!A:G,7,FALSE)</f>
        <v>18.0710935</v>
      </c>
    </row>
    <row r="1089" spans="1:18" ht="16" x14ac:dyDescent="0.2">
      <c r="A1089" s="3">
        <v>1088</v>
      </c>
      <c r="B1089" s="3" t="s">
        <v>418</v>
      </c>
      <c r="C1089" s="11" t="s">
        <v>1370</v>
      </c>
      <c r="D1089" s="3" t="str">
        <f>VLOOKUP(C1089,layoffs_location!A:B,2,FALSE)</f>
        <v>San Francisco Bay Area</v>
      </c>
      <c r="E1089" s="3" t="str">
        <f>VLOOKUP(C1089,layoffs_location!A:C,3,FALSE)</f>
        <v>California</v>
      </c>
      <c r="F1089" s="3" t="str">
        <f>VLOOKUP(C1089,layoffs_location!A:D,4,FALSE)</f>
        <v>USA</v>
      </c>
      <c r="G1089" s="3" t="str">
        <f>VLOOKUP(C1089,layoffs_location!A:E,5,FALSE)</f>
        <v>North America</v>
      </c>
      <c r="H1089" s="3">
        <v>200</v>
      </c>
      <c r="I1089" s="8">
        <v>44982</v>
      </c>
      <c r="J1089" s="9">
        <v>10</v>
      </c>
      <c r="K1089" s="10">
        <v>2000</v>
      </c>
      <c r="L1089" s="10">
        <v>1800</v>
      </c>
      <c r="M1089" s="3" t="s">
        <v>16</v>
      </c>
      <c r="N1089" s="3" t="s">
        <v>28</v>
      </c>
      <c r="O1089" s="34">
        <v>12900</v>
      </c>
      <c r="P1089" s="3">
        <v>2023</v>
      </c>
      <c r="Q1089" s="3">
        <f>VLOOKUP(C1089,layoffs_location!A:F,6,FALSE)</f>
        <v>37.779258800000001</v>
      </c>
      <c r="R1089" s="3">
        <f>VLOOKUP(C1089,layoffs_location!A:G,7,FALSE)</f>
        <v>-122.4193286</v>
      </c>
    </row>
    <row r="1090" spans="1:18" x14ac:dyDescent="0.2">
      <c r="A1090" s="3">
        <v>1089</v>
      </c>
      <c r="B1090" s="3" t="s">
        <v>414</v>
      </c>
      <c r="C1090" s="3" t="s">
        <v>154</v>
      </c>
      <c r="D1090" s="3" t="str">
        <f>VLOOKUP(C1090,layoffs_location!A:B,2,FALSE)</f>
        <v>other</v>
      </c>
      <c r="E1090" s="3" t="str">
        <f>VLOOKUP(C1090,layoffs_location!A:C,3,FALSE)</f>
        <v>Illinois</v>
      </c>
      <c r="F1090" s="3" t="str">
        <f>VLOOKUP(C1090,layoffs_location!A:D,4,FALSE)</f>
        <v>USA</v>
      </c>
      <c r="G1090" s="3" t="str">
        <f>VLOOKUP(C1090,layoffs_location!A:E,5,FALSE)</f>
        <v>North America</v>
      </c>
      <c r="H1090" s="3">
        <v>130</v>
      </c>
      <c r="I1090" s="8">
        <v>44984</v>
      </c>
      <c r="J1090" s="9">
        <v>25</v>
      </c>
      <c r="K1090" s="10">
        <v>520</v>
      </c>
      <c r="L1090" s="10">
        <v>390</v>
      </c>
      <c r="M1090" s="3" t="s">
        <v>35</v>
      </c>
      <c r="N1090" s="3" t="s">
        <v>22</v>
      </c>
      <c r="O1090" s="34">
        <v>283</v>
      </c>
      <c r="P1090" s="3">
        <v>2023</v>
      </c>
      <c r="Q1090" s="3">
        <f>VLOOKUP(C1090,layoffs_location!A:F,6,FALSE)</f>
        <v>41.875561599999997</v>
      </c>
      <c r="R1090" s="3">
        <f>VLOOKUP(C1090,layoffs_location!A:G,7,FALSE)</f>
        <v>-87.6244212</v>
      </c>
    </row>
    <row r="1091" spans="1:18" x14ac:dyDescent="0.2">
      <c r="A1091" s="3">
        <v>1090</v>
      </c>
      <c r="B1091" s="3" t="s">
        <v>413</v>
      </c>
      <c r="C1091" s="3" t="s">
        <v>1327</v>
      </c>
      <c r="D1091" s="3" t="str">
        <f>VLOOKUP(C1091,layoffs_location!A:B,2,FALSE)</f>
        <v>San Francisco Bay Area</v>
      </c>
      <c r="E1091" s="3" t="str">
        <f>VLOOKUP(C1091,layoffs_location!A:C,3,FALSE)</f>
        <v>California</v>
      </c>
      <c r="F1091" s="3" t="str">
        <f>VLOOKUP(C1091,layoffs_location!A:D,4,FALSE)</f>
        <v>USA</v>
      </c>
      <c r="G1091" s="3" t="str">
        <f>VLOOKUP(C1091,layoffs_location!A:E,5,FALSE)</f>
        <v>North America</v>
      </c>
      <c r="H1091" s="3">
        <v>285</v>
      </c>
      <c r="I1091" s="8">
        <v>44984</v>
      </c>
      <c r="J1091" s="9">
        <v>15</v>
      </c>
      <c r="K1091" s="10">
        <v>1900</v>
      </c>
      <c r="L1091" s="10">
        <v>1615</v>
      </c>
      <c r="M1091" s="3" t="s">
        <v>21</v>
      </c>
      <c r="N1091" s="3" t="s">
        <v>41</v>
      </c>
      <c r="O1091" s="34">
        <v>462</v>
      </c>
      <c r="P1091" s="3">
        <v>2023</v>
      </c>
      <c r="Q1091" s="3" t="str">
        <f>VLOOKUP(C1091,layoffs_location!A:F,6,FALSE)</f>
        <v xml:space="preserve">	37,910076</v>
      </c>
      <c r="R1091" s="3">
        <f>VLOOKUP(C1091,layoffs_location!A:G,7,FALSE)</f>
        <v>-122.065186</v>
      </c>
    </row>
    <row r="1092" spans="1:18" x14ac:dyDescent="0.2">
      <c r="A1092" s="3">
        <v>1091</v>
      </c>
      <c r="B1092" s="3" t="s">
        <v>416</v>
      </c>
      <c r="C1092" s="3" t="s">
        <v>43</v>
      </c>
      <c r="D1092" s="3" t="str">
        <f>VLOOKUP(C1092,layoffs_location!A:B,2,FALSE)</f>
        <v>Cascadia</v>
      </c>
      <c r="E1092" s="3" t="str">
        <f>VLOOKUP(C1092,layoffs_location!A:C,3,FALSE)</f>
        <v>Washington</v>
      </c>
      <c r="F1092" s="3" t="str">
        <f>VLOOKUP(C1092,layoffs_location!A:D,4,FALSE)</f>
        <v>USA</v>
      </c>
      <c r="G1092" s="3" t="str">
        <f>VLOOKUP(C1092,layoffs_location!A:E,5,FALSE)</f>
        <v>North America</v>
      </c>
      <c r="H1092" s="3">
        <v>70</v>
      </c>
      <c r="I1092" s="8">
        <v>44984</v>
      </c>
      <c r="J1092" s="9">
        <v>7</v>
      </c>
      <c r="K1092" s="10">
        <v>1000</v>
      </c>
      <c r="L1092" s="10">
        <v>930</v>
      </c>
      <c r="M1092" s="3" t="s">
        <v>92</v>
      </c>
      <c r="N1092" s="3" t="s">
        <v>81</v>
      </c>
      <c r="O1092" s="34">
        <v>489</v>
      </c>
      <c r="P1092" s="3">
        <v>2023</v>
      </c>
      <c r="Q1092" s="3">
        <f>VLOOKUP(C1092,layoffs_location!A:F,6,FALSE)</f>
        <v>47.603832099999998</v>
      </c>
      <c r="R1092" s="3">
        <f>VLOOKUP(C1092,layoffs_location!A:G,7,FALSE)</f>
        <v>-122.330062</v>
      </c>
    </row>
    <row r="1093" spans="1:18" x14ac:dyDescent="0.2">
      <c r="A1093" s="3">
        <v>1092</v>
      </c>
      <c r="B1093" s="3" t="s">
        <v>415</v>
      </c>
      <c r="C1093" s="3" t="s">
        <v>132</v>
      </c>
      <c r="D1093" s="3" t="str">
        <f>VLOOKUP(C1093,layoffs_location!A:B,2,FALSE)</f>
        <v>other</v>
      </c>
      <c r="E1093" s="3" t="str">
        <f>VLOOKUP(C1093,layoffs_location!A:C,3,FALSE)</f>
        <v>Colorado</v>
      </c>
      <c r="F1093" s="3" t="str">
        <f>VLOOKUP(C1093,layoffs_location!A:D,4,FALSE)</f>
        <v>USA</v>
      </c>
      <c r="G1093" s="3" t="str">
        <f>VLOOKUP(C1093,layoffs_location!A:E,5,FALSE)</f>
        <v>North America</v>
      </c>
      <c r="H1093" s="3">
        <v>75</v>
      </c>
      <c r="I1093" s="8">
        <v>44984</v>
      </c>
      <c r="J1093" s="9">
        <v>2</v>
      </c>
      <c r="K1093" s="10">
        <v>3750</v>
      </c>
      <c r="L1093" s="10">
        <v>3675</v>
      </c>
      <c r="M1093" s="3" t="s">
        <v>79</v>
      </c>
      <c r="N1093" s="3" t="s">
        <v>28</v>
      </c>
      <c r="O1093" s="34">
        <v>3000</v>
      </c>
      <c r="P1093" s="3">
        <v>2023</v>
      </c>
      <c r="Q1093" s="3">
        <f>VLOOKUP(C1093,layoffs_location!A:F,6,FALSE)</f>
        <v>39.739236400000003</v>
      </c>
      <c r="R1093" s="3">
        <f>VLOOKUP(C1093,layoffs_location!A:G,7,FALSE)</f>
        <v>-104.98486200000001</v>
      </c>
    </row>
    <row r="1094" spans="1:18" ht="16" x14ac:dyDescent="0.2">
      <c r="A1094" s="3">
        <v>1093</v>
      </c>
      <c r="B1094" s="3" t="s">
        <v>417</v>
      </c>
      <c r="C1094" s="11" t="s">
        <v>1370</v>
      </c>
      <c r="D1094" s="3" t="str">
        <f>VLOOKUP(C1094,layoffs_location!A:B,2,FALSE)</f>
        <v>San Francisco Bay Area</v>
      </c>
      <c r="E1094" s="3" t="str">
        <f>VLOOKUP(C1094,layoffs_location!A:C,3,FALSE)</f>
        <v>California</v>
      </c>
      <c r="F1094" s="3" t="str">
        <f>VLOOKUP(C1094,layoffs_location!A:D,4,FALSE)</f>
        <v>USA</v>
      </c>
      <c r="G1094" s="3" t="str">
        <f>VLOOKUP(C1094,layoffs_location!A:E,5,FALSE)</f>
        <v>North America</v>
      </c>
      <c r="H1094" s="3">
        <v>19</v>
      </c>
      <c r="I1094" s="8">
        <v>44984</v>
      </c>
      <c r="J1094" s="9">
        <v>25</v>
      </c>
      <c r="K1094" s="10">
        <v>76</v>
      </c>
      <c r="L1094" s="10">
        <v>57</v>
      </c>
      <c r="M1094" s="3" t="s">
        <v>139</v>
      </c>
      <c r="N1094" s="3" t="s">
        <v>49</v>
      </c>
      <c r="O1094" s="34">
        <v>126</v>
      </c>
      <c r="P1094" s="3">
        <v>2023</v>
      </c>
      <c r="Q1094" s="3">
        <f>VLOOKUP(C1094,layoffs_location!A:F,6,FALSE)</f>
        <v>37.779258800000001</v>
      </c>
      <c r="R1094" s="3">
        <f>VLOOKUP(C1094,layoffs_location!A:G,7,FALSE)</f>
        <v>-122.4193286</v>
      </c>
    </row>
    <row r="1095" spans="1:18" x14ac:dyDescent="0.2">
      <c r="A1095" s="3">
        <v>1094</v>
      </c>
      <c r="B1095" s="3" t="s">
        <v>412</v>
      </c>
      <c r="C1095" s="3" t="s">
        <v>1370</v>
      </c>
      <c r="D1095" s="3" t="str">
        <f>VLOOKUP(C1095,layoffs_location!A:B,2,FALSE)</f>
        <v>San Francisco Bay Area</v>
      </c>
      <c r="E1095" s="3" t="str">
        <f>VLOOKUP(C1095,layoffs_location!A:C,3,FALSE)</f>
        <v>California</v>
      </c>
      <c r="F1095" s="3" t="str">
        <f>VLOOKUP(C1095,layoffs_location!A:D,4,FALSE)</f>
        <v>USA</v>
      </c>
      <c r="G1095" s="3" t="str">
        <f>VLOOKUP(C1095,layoffs_location!A:E,5,FALSE)</f>
        <v>North America</v>
      </c>
      <c r="H1095" s="3">
        <v>80</v>
      </c>
      <c r="I1095" s="8">
        <v>44985</v>
      </c>
      <c r="J1095" s="9">
        <v>8</v>
      </c>
      <c r="K1095" s="10">
        <v>1000</v>
      </c>
      <c r="L1095" s="10">
        <v>920</v>
      </c>
      <c r="M1095" s="3" t="s">
        <v>16</v>
      </c>
      <c r="N1095" s="3" t="s">
        <v>28</v>
      </c>
      <c r="O1095" s="34">
        <v>557</v>
      </c>
      <c r="P1095" s="3">
        <v>2023</v>
      </c>
      <c r="Q1095" s="3">
        <f>VLOOKUP(C1095,layoffs_location!A:F,6,FALSE)</f>
        <v>37.779258800000001</v>
      </c>
      <c r="R1095" s="3">
        <f>VLOOKUP(C1095,layoffs_location!A:G,7,FALSE)</f>
        <v>-122.4193286</v>
      </c>
    </row>
    <row r="1096" spans="1:18" x14ac:dyDescent="0.2">
      <c r="A1096" s="3">
        <v>1095</v>
      </c>
      <c r="B1096" s="3" t="s">
        <v>408</v>
      </c>
      <c r="C1096" s="3" t="s">
        <v>187</v>
      </c>
      <c r="D1096" s="3" t="str">
        <f>VLOOKUP(C1096,layoffs_location!A:B,2,FALSE)</f>
        <v>other</v>
      </c>
      <c r="E1096" s="3" t="str">
        <f>VLOOKUP(C1096,layoffs_location!A:C,3,FALSE)</f>
        <v>State of São Paulo</v>
      </c>
      <c r="F1096" s="3" t="str">
        <f>VLOOKUP(C1096,layoffs_location!A:D,4,FALSE)</f>
        <v>Brazil</v>
      </c>
      <c r="G1096" s="3" t="str">
        <f>VLOOKUP(C1096,layoffs_location!A:E,5,FALSE)</f>
        <v>South America</v>
      </c>
      <c r="H1096" s="3">
        <v>355</v>
      </c>
      <c r="I1096" s="8">
        <v>44986</v>
      </c>
      <c r="J1096" s="9">
        <v>6</v>
      </c>
      <c r="K1096" s="10">
        <v>5917</v>
      </c>
      <c r="L1096" s="10">
        <v>5562</v>
      </c>
      <c r="M1096" s="3" t="s">
        <v>77</v>
      </c>
      <c r="N1096" s="3" t="s">
        <v>1697</v>
      </c>
      <c r="O1096" s="34">
        <v>2100</v>
      </c>
      <c r="P1096" s="3">
        <v>2023</v>
      </c>
      <c r="Q1096" s="3">
        <f>VLOOKUP(C1096,layoffs_location!A:F,6,FALSE)</f>
        <v>-23.550650699999998</v>
      </c>
      <c r="R1096" s="3">
        <f>VLOOKUP(C1096,layoffs_location!A:G,7,FALSE)</f>
        <v>-46.633382400000002</v>
      </c>
    </row>
    <row r="1097" spans="1:18" x14ac:dyDescent="0.2">
      <c r="A1097" s="3">
        <v>1096</v>
      </c>
      <c r="B1097" s="3" t="s">
        <v>410</v>
      </c>
      <c r="C1097" s="3" t="s">
        <v>97</v>
      </c>
      <c r="D1097" s="3" t="str">
        <f>VLOOKUP(C1097,layoffs_location!A:B,2,FALSE)</f>
        <v>other</v>
      </c>
      <c r="E1097" s="3" t="str">
        <f>VLOOKUP(C1097,layoffs_location!A:C,3,FALSE)</f>
        <v>non</v>
      </c>
      <c r="F1097" s="3" t="str">
        <f>VLOOKUP(C1097,layoffs_location!A:D,4,FALSE)</f>
        <v>France</v>
      </c>
      <c r="G1097" s="3" t="str">
        <f>VLOOKUP(C1097,layoffs_location!A:E,5,FALSE)</f>
        <v>Europe</v>
      </c>
      <c r="H1097" s="3">
        <v>200</v>
      </c>
      <c r="I1097" s="8">
        <v>44986</v>
      </c>
      <c r="J1097" s="9">
        <v>20</v>
      </c>
      <c r="K1097" s="10">
        <v>1000</v>
      </c>
      <c r="L1097" s="10">
        <v>800</v>
      </c>
      <c r="M1097" s="3" t="s">
        <v>84</v>
      </c>
      <c r="N1097" s="3" t="s">
        <v>36</v>
      </c>
      <c r="O1097" s="34">
        <v>495</v>
      </c>
      <c r="P1097" s="3">
        <v>2023</v>
      </c>
      <c r="Q1097" s="3">
        <f>VLOOKUP(C1097,layoffs_location!A:F,6,FALSE)</f>
        <v>48.858889699999999</v>
      </c>
      <c r="R1097" s="3">
        <f>VLOOKUP(C1097,layoffs_location!A:G,7,FALSE)</f>
        <v>2.32004102172007</v>
      </c>
    </row>
    <row r="1098" spans="1:18" ht="16" x14ac:dyDescent="0.2">
      <c r="A1098" s="3">
        <v>1097</v>
      </c>
      <c r="B1098" s="3" t="s">
        <v>411</v>
      </c>
      <c r="C1098" s="11" t="s">
        <v>1370</v>
      </c>
      <c r="D1098" s="3" t="str">
        <f>VLOOKUP(C1098,layoffs_location!A:B,2,FALSE)</f>
        <v>San Francisco Bay Area</v>
      </c>
      <c r="E1098" s="3" t="str">
        <f>VLOOKUP(C1098,layoffs_location!A:C,3,FALSE)</f>
        <v>California</v>
      </c>
      <c r="F1098" s="3" t="str">
        <f>VLOOKUP(C1098,layoffs_location!A:D,4,FALSE)</f>
        <v>USA</v>
      </c>
      <c r="G1098" s="3" t="str">
        <f>VLOOKUP(C1098,layoffs_location!A:E,5,FALSE)</f>
        <v>North America</v>
      </c>
      <c r="H1098" s="3">
        <v>100</v>
      </c>
      <c r="I1098" s="8">
        <v>44986</v>
      </c>
      <c r="J1098" s="9">
        <v>14</v>
      </c>
      <c r="K1098" s="10">
        <v>714</v>
      </c>
      <c r="L1098" s="10">
        <v>614</v>
      </c>
      <c r="M1098" s="3" t="s">
        <v>72</v>
      </c>
      <c r="N1098" s="3" t="s">
        <v>28</v>
      </c>
      <c r="O1098" s="34">
        <v>839</v>
      </c>
      <c r="P1098" s="3">
        <v>2023</v>
      </c>
      <c r="Q1098" s="3">
        <f>VLOOKUP(C1098,layoffs_location!A:F,6,FALSE)</f>
        <v>37.779258800000001</v>
      </c>
      <c r="R1098" s="3">
        <f>VLOOKUP(C1098,layoffs_location!A:G,7,FALSE)</f>
        <v>-122.4193286</v>
      </c>
    </row>
    <row r="1099" spans="1:18" x14ac:dyDescent="0.2">
      <c r="A1099" s="3">
        <v>1098</v>
      </c>
      <c r="B1099" s="3" t="s">
        <v>174</v>
      </c>
      <c r="C1099" s="3" t="s">
        <v>154</v>
      </c>
      <c r="D1099" s="3" t="str">
        <f>VLOOKUP(C1099,layoffs_location!A:B,2,FALSE)</f>
        <v>other</v>
      </c>
      <c r="E1099" s="3" t="str">
        <f>VLOOKUP(C1099,layoffs_location!A:C,3,FALSE)</f>
        <v>Illinois</v>
      </c>
      <c r="F1099" s="3" t="str">
        <f>VLOOKUP(C1099,layoffs_location!A:D,4,FALSE)</f>
        <v>USA</v>
      </c>
      <c r="G1099" s="3" t="str">
        <f>VLOOKUP(C1099,layoffs_location!A:E,5,FALSE)</f>
        <v>North America</v>
      </c>
      <c r="H1099" s="3">
        <v>500</v>
      </c>
      <c r="I1099" s="8">
        <v>44986</v>
      </c>
      <c r="J1099" s="9">
        <v>4</v>
      </c>
      <c r="K1099" s="10">
        <v>12500</v>
      </c>
      <c r="L1099" s="10">
        <v>12000</v>
      </c>
      <c r="M1099" s="3" t="s">
        <v>60</v>
      </c>
      <c r="N1099" s="3" t="s">
        <v>28</v>
      </c>
      <c r="O1099" s="34">
        <v>748</v>
      </c>
      <c r="P1099" s="3">
        <v>2023</v>
      </c>
      <c r="Q1099" s="3">
        <f>VLOOKUP(C1099,layoffs_location!A:F,6,FALSE)</f>
        <v>41.875561599999997</v>
      </c>
      <c r="R1099" s="3">
        <f>VLOOKUP(C1099,layoffs_location!A:G,7,FALSE)</f>
        <v>-87.6244212</v>
      </c>
    </row>
    <row r="1100" spans="1:18" x14ac:dyDescent="0.2">
      <c r="A1100" s="3">
        <v>1099</v>
      </c>
      <c r="B1100" s="3" t="s">
        <v>409</v>
      </c>
      <c r="C1100" s="3" t="s">
        <v>1408</v>
      </c>
      <c r="D1100" s="3" t="str">
        <f>VLOOKUP(C1100,layoffs_location!A:B,2,FALSE)</f>
        <v>San Francisco Bay Area</v>
      </c>
      <c r="E1100" s="3" t="str">
        <f>VLOOKUP(C1100,layoffs_location!A:C,3,FALSE)</f>
        <v>California</v>
      </c>
      <c r="F1100" s="3" t="str">
        <f>VLOOKUP(C1100,layoffs_location!A:D,4,FALSE)</f>
        <v>USA</v>
      </c>
      <c r="G1100" s="3" t="str">
        <f>VLOOKUP(C1100,layoffs_location!A:E,5,FALSE)</f>
        <v>North America</v>
      </c>
      <c r="H1100" s="3">
        <v>209</v>
      </c>
      <c r="I1100" s="8">
        <v>44986</v>
      </c>
      <c r="J1100" s="9">
        <v>8</v>
      </c>
      <c r="K1100" s="10">
        <v>2613</v>
      </c>
      <c r="L1100" s="10">
        <v>2404</v>
      </c>
      <c r="M1100" s="3" t="s">
        <v>32</v>
      </c>
      <c r="N1100" s="3" t="s">
        <v>1697</v>
      </c>
      <c r="O1100" s="34">
        <v>5500</v>
      </c>
      <c r="P1100" s="3">
        <v>2023</v>
      </c>
      <c r="Q1100" s="3">
        <f>VLOOKUP(C1100,layoffs_location!A:F,6,FALSE)</f>
        <v>37.3893889</v>
      </c>
      <c r="R1100" s="3">
        <f>VLOOKUP(C1100,layoffs_location!A:G,7,FALSE)</f>
        <v>-122.0832101</v>
      </c>
    </row>
    <row r="1101" spans="1:18" x14ac:dyDescent="0.2">
      <c r="A1101" s="3">
        <v>1100</v>
      </c>
      <c r="B1101" s="3" t="s">
        <v>407</v>
      </c>
      <c r="C1101" s="3" t="s">
        <v>1370</v>
      </c>
      <c r="D1101" s="3" t="str">
        <f>VLOOKUP(C1101,layoffs_location!A:B,2,FALSE)</f>
        <v>San Francisco Bay Area</v>
      </c>
      <c r="E1101" s="3" t="str">
        <f>VLOOKUP(C1101,layoffs_location!A:C,3,FALSE)</f>
        <v>California</v>
      </c>
      <c r="F1101" s="3" t="str">
        <f>VLOOKUP(C1101,layoffs_location!A:D,4,FALSE)</f>
        <v>USA</v>
      </c>
      <c r="G1101" s="3" t="str">
        <f>VLOOKUP(C1101,layoffs_location!A:E,5,FALSE)</f>
        <v>North America</v>
      </c>
      <c r="H1101" s="3">
        <v>12</v>
      </c>
      <c r="I1101" s="8">
        <v>44987</v>
      </c>
      <c r="J1101" s="9">
        <v>10</v>
      </c>
      <c r="K1101" s="10">
        <v>120</v>
      </c>
      <c r="L1101" s="10">
        <v>108</v>
      </c>
      <c r="M1101" s="3" t="s">
        <v>54</v>
      </c>
      <c r="N1101" s="3" t="s">
        <v>33</v>
      </c>
      <c r="O1101" s="34">
        <v>20</v>
      </c>
      <c r="P1101" s="3">
        <v>2023</v>
      </c>
      <c r="Q1101" s="3">
        <f>VLOOKUP(C1101,layoffs_location!A:F,6,FALSE)</f>
        <v>37.779258800000001</v>
      </c>
      <c r="R1101" s="3">
        <f>VLOOKUP(C1101,layoffs_location!A:G,7,FALSE)</f>
        <v>-122.4193286</v>
      </c>
    </row>
    <row r="1102" spans="1:18" x14ac:dyDescent="0.2">
      <c r="A1102" s="3">
        <v>1101</v>
      </c>
      <c r="B1102" s="3" t="s">
        <v>405</v>
      </c>
      <c r="C1102" s="3" t="s">
        <v>406</v>
      </c>
      <c r="D1102" s="3" t="str">
        <f>VLOOKUP(C1102,layoffs_location!A:B,2,FALSE)</f>
        <v>other</v>
      </c>
      <c r="E1102" s="3" t="str">
        <f>VLOOKUP(C1102,layoffs_location!A:C,3,FALSE)</f>
        <v>Maharashtra</v>
      </c>
      <c r="F1102" s="3" t="str">
        <f>VLOOKUP(C1102,layoffs_location!A:D,4,FALSE)</f>
        <v>India</v>
      </c>
      <c r="G1102" s="3" t="str">
        <f>VLOOKUP(C1102,layoffs_location!A:E,5,FALSE)</f>
        <v>Asia</v>
      </c>
      <c r="H1102" s="3">
        <v>30</v>
      </c>
      <c r="I1102" s="8">
        <v>44987</v>
      </c>
      <c r="J1102" s="9">
        <v>11</v>
      </c>
      <c r="K1102" s="10">
        <v>273</v>
      </c>
      <c r="L1102" s="10">
        <v>243</v>
      </c>
      <c r="M1102" s="3" t="s">
        <v>399</v>
      </c>
      <c r="N1102" s="3" t="s">
        <v>69</v>
      </c>
      <c r="O1102" s="34">
        <v>13</v>
      </c>
      <c r="P1102" s="3">
        <v>2023</v>
      </c>
      <c r="Q1102" s="3">
        <f>VLOOKUP(C1102,layoffs_location!A:F,6,FALSE)</f>
        <v>18.521428</v>
      </c>
      <c r="R1102" s="3">
        <f>VLOOKUP(C1102,layoffs_location!A:G,7,FALSE)</f>
        <v>73.854454099999998</v>
      </c>
    </row>
    <row r="1103" spans="1:18" x14ac:dyDescent="0.2">
      <c r="A1103" s="3">
        <v>1102</v>
      </c>
      <c r="B1103" s="3" t="s">
        <v>404</v>
      </c>
      <c r="C1103" s="3" t="s">
        <v>1694</v>
      </c>
      <c r="D1103" s="3" t="str">
        <f>VLOOKUP(C1103,layoffs_location!A:B,2,FALSE)</f>
        <v>San Francisco Bay Area</v>
      </c>
      <c r="E1103" s="3" t="str">
        <f>VLOOKUP(C1103,layoffs_location!A:C,3,FALSE)</f>
        <v>California</v>
      </c>
      <c r="F1103" s="3" t="str">
        <f>VLOOKUP(C1103,layoffs_location!A:D,4,FALSE)</f>
        <v>USA</v>
      </c>
      <c r="G1103" s="3" t="str">
        <f>VLOOKUP(C1103,layoffs_location!A:E,5,FALSE)</f>
        <v>North America</v>
      </c>
      <c r="H1103" s="3">
        <v>177</v>
      </c>
      <c r="I1103" s="8">
        <v>44987</v>
      </c>
      <c r="J1103" s="9">
        <v>3</v>
      </c>
      <c r="K1103" s="10">
        <v>5900</v>
      </c>
      <c r="L1103" s="10">
        <v>5723</v>
      </c>
      <c r="M1103" s="3" t="s">
        <v>139</v>
      </c>
      <c r="N1103" s="3" t="s">
        <v>28</v>
      </c>
      <c r="O1103" s="34">
        <v>148</v>
      </c>
      <c r="P1103" s="3">
        <v>2023</v>
      </c>
      <c r="Q1103" s="3">
        <f>VLOOKUP(C1103,layoffs_location!A:F,6,FALSE)</f>
        <v>37.336166300000002</v>
      </c>
      <c r="R1103" s="3">
        <f>VLOOKUP(C1103,layoffs_location!A:G,7,FALSE)</f>
        <v>-121.890591</v>
      </c>
    </row>
    <row r="1104" spans="1:18" x14ac:dyDescent="0.2">
      <c r="A1104" s="3">
        <v>1103</v>
      </c>
      <c r="B1104" s="3" t="s">
        <v>403</v>
      </c>
      <c r="C1104" s="3" t="s">
        <v>1370</v>
      </c>
      <c r="D1104" s="3" t="str">
        <f>VLOOKUP(C1104,layoffs_location!A:B,2,FALSE)</f>
        <v>San Francisco Bay Area</v>
      </c>
      <c r="E1104" s="3" t="str">
        <f>VLOOKUP(C1104,layoffs_location!A:C,3,FALSE)</f>
        <v>California</v>
      </c>
      <c r="F1104" s="3" t="str">
        <f>VLOOKUP(C1104,layoffs_location!A:D,4,FALSE)</f>
        <v>USA</v>
      </c>
      <c r="G1104" s="3" t="str">
        <f>VLOOKUP(C1104,layoffs_location!A:E,5,FALSE)</f>
        <v>North America</v>
      </c>
      <c r="H1104" s="3">
        <v>230</v>
      </c>
      <c r="I1104" s="8">
        <v>44988</v>
      </c>
      <c r="J1104" s="9">
        <v>70</v>
      </c>
      <c r="K1104" s="10">
        <v>329</v>
      </c>
      <c r="L1104" s="10">
        <v>99</v>
      </c>
      <c r="M1104" s="3" t="s">
        <v>32</v>
      </c>
      <c r="N1104" s="3" t="s">
        <v>28</v>
      </c>
      <c r="O1104" s="34">
        <v>317</v>
      </c>
      <c r="P1104" s="3">
        <v>2023</v>
      </c>
      <c r="Q1104" s="3">
        <f>VLOOKUP(C1104,layoffs_location!A:F,6,FALSE)</f>
        <v>37.779258800000001</v>
      </c>
      <c r="R1104" s="3">
        <f>VLOOKUP(C1104,layoffs_location!A:G,7,FALSE)</f>
        <v>-122.4193286</v>
      </c>
    </row>
    <row r="1105" spans="1:18" x14ac:dyDescent="0.2">
      <c r="A1105" s="3">
        <v>1104</v>
      </c>
      <c r="B1105" s="3" t="s">
        <v>402</v>
      </c>
      <c r="C1105" s="3" t="s">
        <v>187</v>
      </c>
      <c r="D1105" s="3" t="str">
        <f>VLOOKUP(C1105,layoffs_location!A:B,2,FALSE)</f>
        <v>other</v>
      </c>
      <c r="E1105" s="3" t="str">
        <f>VLOOKUP(C1105,layoffs_location!A:C,3,FALSE)</f>
        <v>State of São Paulo</v>
      </c>
      <c r="F1105" s="3" t="str">
        <f>VLOOKUP(C1105,layoffs_location!A:D,4,FALSE)</f>
        <v>Brazil</v>
      </c>
      <c r="G1105" s="3" t="str">
        <f>VLOOKUP(C1105,layoffs_location!A:E,5,FALSE)</f>
        <v>South America</v>
      </c>
      <c r="H1105" s="3">
        <v>340</v>
      </c>
      <c r="I1105" s="8">
        <v>44988</v>
      </c>
      <c r="J1105" s="9">
        <v>15</v>
      </c>
      <c r="K1105" s="10">
        <v>2267</v>
      </c>
      <c r="L1105" s="10">
        <v>1927</v>
      </c>
      <c r="M1105" s="3" t="s">
        <v>137</v>
      </c>
      <c r="N1105" s="3" t="s">
        <v>22</v>
      </c>
      <c r="O1105" s="34">
        <v>788</v>
      </c>
      <c r="P1105" s="3">
        <v>2023</v>
      </c>
      <c r="Q1105" s="3">
        <f>VLOOKUP(C1105,layoffs_location!A:F,6,FALSE)</f>
        <v>-23.550650699999998</v>
      </c>
      <c r="R1105" s="3">
        <f>VLOOKUP(C1105,layoffs_location!A:G,7,FALSE)</f>
        <v>-46.633382400000002</v>
      </c>
    </row>
    <row r="1106" spans="1:18" x14ac:dyDescent="0.2">
      <c r="A1106" s="3">
        <v>1105</v>
      </c>
      <c r="B1106" s="3" t="s">
        <v>400</v>
      </c>
      <c r="C1106" s="3" t="s">
        <v>231</v>
      </c>
      <c r="D1106" s="3" t="str">
        <f>VLOOKUP(C1106,layoffs_location!A:B,2,FALSE)</f>
        <v>other</v>
      </c>
      <c r="E1106" s="3" t="str">
        <f>VLOOKUP(C1106,layoffs_location!A:C,3,FALSE)</f>
        <v>New South Wales</v>
      </c>
      <c r="F1106" s="3" t="str">
        <f>VLOOKUP(C1106,layoffs_location!A:D,4,FALSE)</f>
        <v>Australia</v>
      </c>
      <c r="G1106" s="3" t="str">
        <f>VLOOKUP(C1106,layoffs_location!A:E,5,FALSE)</f>
        <v>Oceana</v>
      </c>
      <c r="H1106" s="3">
        <v>500</v>
      </c>
      <c r="I1106" s="8">
        <v>44991</v>
      </c>
      <c r="J1106" s="9">
        <v>5</v>
      </c>
      <c r="K1106" s="10">
        <v>10000</v>
      </c>
      <c r="L1106" s="10">
        <v>9500</v>
      </c>
      <c r="M1106" s="3" t="s">
        <v>60</v>
      </c>
      <c r="N1106" s="3" t="s">
        <v>28</v>
      </c>
      <c r="O1106" s="34">
        <v>210</v>
      </c>
      <c r="P1106" s="3">
        <v>2023</v>
      </c>
      <c r="Q1106" s="3">
        <f>VLOOKUP(C1106,layoffs_location!A:F,6,FALSE)</f>
        <v>-33.869843899999999</v>
      </c>
      <c r="R1106" s="3">
        <f>VLOOKUP(C1106,layoffs_location!A:G,7,FALSE)</f>
        <v>151.2082848</v>
      </c>
    </row>
    <row r="1107" spans="1:18" x14ac:dyDescent="0.2">
      <c r="A1107" s="3">
        <v>1106</v>
      </c>
      <c r="B1107" s="3" t="s">
        <v>401</v>
      </c>
      <c r="C1107" s="3" t="s">
        <v>39</v>
      </c>
      <c r="D1107" s="3" t="str">
        <f>VLOOKUP(C1107,layoffs_location!A:B,2,FALSE)</f>
        <v>New York</v>
      </c>
      <c r="E1107" s="3" t="str">
        <f>VLOOKUP(C1107,layoffs_location!A:C,3,FALSE)</f>
        <v>New York</v>
      </c>
      <c r="F1107" s="3" t="str">
        <f>VLOOKUP(C1107,layoffs_location!A:D,4,FALSE)</f>
        <v>USA</v>
      </c>
      <c r="G1107" s="3" t="str">
        <f>VLOOKUP(C1107,layoffs_location!A:E,5,FALSE)</f>
        <v>North America</v>
      </c>
      <c r="H1107" s="3">
        <v>475</v>
      </c>
      <c r="I1107" s="8">
        <v>44991</v>
      </c>
      <c r="J1107" s="9">
        <v>8</v>
      </c>
      <c r="K1107" s="10">
        <v>5938</v>
      </c>
      <c r="L1107" s="10">
        <v>5463</v>
      </c>
      <c r="M1107" s="3" t="s">
        <v>54</v>
      </c>
      <c r="N1107" s="3" t="s">
        <v>28</v>
      </c>
      <c r="O1107" s="34">
        <v>525</v>
      </c>
      <c r="P1107" s="3">
        <v>2023</v>
      </c>
      <c r="Q1107" s="3">
        <f>VLOOKUP(C1107,layoffs_location!A:F,6,FALSE)</f>
        <v>40.7127281</v>
      </c>
      <c r="R1107" s="3">
        <f>VLOOKUP(C1107,layoffs_location!A:G,7,FALSE)</f>
        <v>-74.006015199999993</v>
      </c>
    </row>
    <row r="1108" spans="1:18" x14ac:dyDescent="0.2">
      <c r="A1108" s="3">
        <v>1107</v>
      </c>
      <c r="B1108" s="3" t="s">
        <v>397</v>
      </c>
      <c r="C1108" s="3" t="s">
        <v>182</v>
      </c>
      <c r="D1108" s="3" t="str">
        <f>VLOOKUP(C1108,layoffs_location!A:B,2,FALSE)</f>
        <v>other</v>
      </c>
      <c r="E1108" s="3" t="str">
        <f>VLOOKUP(C1108,layoffs_location!A:C,3,FALSE)</f>
        <v>Haryana</v>
      </c>
      <c r="F1108" s="3" t="str">
        <f>VLOOKUP(C1108,layoffs_location!A:D,4,FALSE)</f>
        <v>India</v>
      </c>
      <c r="G1108" s="3" t="str">
        <f>VLOOKUP(C1108,layoffs_location!A:E,5,FALSE)</f>
        <v>Asia</v>
      </c>
      <c r="H1108" s="3">
        <v>300</v>
      </c>
      <c r="I1108" s="8">
        <v>44992</v>
      </c>
      <c r="J1108" s="9">
        <v>15</v>
      </c>
      <c r="K1108" s="10">
        <v>2000</v>
      </c>
      <c r="L1108" s="10">
        <v>1700</v>
      </c>
      <c r="M1108" s="3" t="s">
        <v>21</v>
      </c>
      <c r="N1108" s="3" t="s">
        <v>36</v>
      </c>
      <c r="O1108" s="34">
        <v>177</v>
      </c>
      <c r="P1108" s="3">
        <v>2023</v>
      </c>
      <c r="Q1108" s="3">
        <f>VLOOKUP(C1108,layoffs_location!A:F,6,FALSE)</f>
        <v>28.4646148</v>
      </c>
      <c r="R1108" s="3">
        <f>VLOOKUP(C1108,layoffs_location!A:G,7,FALSE)</f>
        <v>77.029919399999997</v>
      </c>
    </row>
    <row r="1109" spans="1:18" x14ac:dyDescent="0.2">
      <c r="A1109" s="3">
        <v>1108</v>
      </c>
      <c r="B1109" s="3" t="s">
        <v>398</v>
      </c>
      <c r="C1109" s="3" t="s">
        <v>76</v>
      </c>
      <c r="D1109" s="3" t="str">
        <f>VLOOKUP(C1109,layoffs_location!A:B,2,FALSE)</f>
        <v>other</v>
      </c>
      <c r="E1109" s="3" t="str">
        <f>VLOOKUP(C1109,layoffs_location!A:C,3,FALSE)</f>
        <v>California</v>
      </c>
      <c r="F1109" s="3" t="str">
        <f>VLOOKUP(C1109,layoffs_location!A:D,4,FALSE)</f>
        <v>USA</v>
      </c>
      <c r="G1109" s="3" t="str">
        <f>VLOOKUP(C1109,layoffs_location!A:E,5,FALSE)</f>
        <v>North America</v>
      </c>
      <c r="H1109" s="3">
        <v>80</v>
      </c>
      <c r="I1109" s="8">
        <v>44992</v>
      </c>
      <c r="J1109" s="9">
        <v>15</v>
      </c>
      <c r="K1109" s="10">
        <v>533</v>
      </c>
      <c r="L1109" s="10">
        <v>453</v>
      </c>
      <c r="M1109" s="3" t="s">
        <v>399</v>
      </c>
      <c r="N1109" s="3" t="s">
        <v>41</v>
      </c>
      <c r="O1109" s="34">
        <v>619</v>
      </c>
      <c r="P1109" s="3">
        <v>2023</v>
      </c>
      <c r="Q1109" s="3">
        <f>VLOOKUP(C1109,layoffs_location!A:F,6,FALSE)</f>
        <v>34.053690899999999</v>
      </c>
      <c r="R1109" s="3">
        <f>VLOOKUP(C1109,layoffs_location!A:G,7,FALSE)</f>
        <v>-118.242766</v>
      </c>
    </row>
    <row r="1110" spans="1:18" x14ac:dyDescent="0.2">
      <c r="A1110" s="3">
        <v>1109</v>
      </c>
      <c r="B1110" s="3" t="s">
        <v>396</v>
      </c>
      <c r="C1110" s="3" t="s">
        <v>179</v>
      </c>
      <c r="D1110" s="3" t="str">
        <f>VLOOKUP(C1110,layoffs_location!A:B,2,FALSE)</f>
        <v>other</v>
      </c>
      <c r="E1110" s="3" t="str">
        <f>VLOOKUP(C1110,layoffs_location!A:C,3,FALSE)</f>
        <v>Ontario</v>
      </c>
      <c r="F1110" s="3" t="str">
        <f>VLOOKUP(C1110,layoffs_location!A:D,4,FALSE)</f>
        <v>Canada</v>
      </c>
      <c r="G1110" s="3" t="str">
        <f>VLOOKUP(C1110,layoffs_location!A:E,5,FALSE)</f>
        <v>North America</v>
      </c>
      <c r="H1110" s="3">
        <v>42</v>
      </c>
      <c r="I1110" s="8">
        <v>44993</v>
      </c>
      <c r="J1110" s="9">
        <v>15</v>
      </c>
      <c r="K1110" s="10">
        <v>280</v>
      </c>
      <c r="L1110" s="10">
        <v>238</v>
      </c>
      <c r="M1110" s="3" t="s">
        <v>54</v>
      </c>
      <c r="N1110" s="3" t="s">
        <v>33</v>
      </c>
      <c r="O1110" s="34">
        <v>117</v>
      </c>
      <c r="P1110" s="3">
        <v>2023</v>
      </c>
      <c r="Q1110" s="3">
        <f>VLOOKUP(C1110,layoffs_location!A:F,6,FALSE)</f>
        <v>43.6534817</v>
      </c>
      <c r="R1110" s="3">
        <f>VLOOKUP(C1110,layoffs_location!A:G,7,FALSE)</f>
        <v>-79.383934699999998</v>
      </c>
    </row>
    <row r="1111" spans="1:18" x14ac:dyDescent="0.2">
      <c r="A1111" s="3">
        <v>1110</v>
      </c>
      <c r="B1111" s="3" t="s">
        <v>395</v>
      </c>
      <c r="C1111" s="3" t="s">
        <v>362</v>
      </c>
      <c r="D1111" s="3" t="str">
        <f>VLOOKUP(C1111,layoffs_location!A:B,2,FALSE)</f>
        <v>other</v>
      </c>
      <c r="E1111" s="3" t="str">
        <f>VLOOKUP(C1111,layoffs_location!A:C,3,FALSE)</f>
        <v>Pennsylvania</v>
      </c>
      <c r="F1111" s="3" t="str">
        <f>VLOOKUP(C1111,layoffs_location!A:D,4,FALSE)</f>
        <v>USA</v>
      </c>
      <c r="G1111" s="3" t="str">
        <f>VLOOKUP(C1111,layoffs_location!A:E,5,FALSE)</f>
        <v>North America</v>
      </c>
      <c r="H1111" s="3">
        <v>100</v>
      </c>
      <c r="I1111" s="8">
        <v>44994</v>
      </c>
      <c r="J1111" s="9">
        <v>2</v>
      </c>
      <c r="K1111" s="10">
        <v>5000</v>
      </c>
      <c r="L1111" s="10">
        <v>4900</v>
      </c>
      <c r="M1111" s="3" t="s">
        <v>77</v>
      </c>
      <c r="N1111" s="3" t="s">
        <v>17</v>
      </c>
      <c r="O1111" s="34">
        <v>3400</v>
      </c>
      <c r="P1111" s="3">
        <v>2023</v>
      </c>
      <c r="Q1111" s="3">
        <f>VLOOKUP(C1111,layoffs_location!A:F,6,FALSE)</f>
        <v>39.9527237</v>
      </c>
      <c r="R1111" s="3">
        <f>VLOOKUP(C1111,layoffs_location!A:G,7,FALSE)</f>
        <v>-75.163526200000007</v>
      </c>
    </row>
    <row r="1112" spans="1:18" x14ac:dyDescent="0.2">
      <c r="A1112" s="3">
        <v>1111</v>
      </c>
      <c r="B1112" s="3" t="s">
        <v>393</v>
      </c>
      <c r="C1112" s="3" t="s">
        <v>394</v>
      </c>
      <c r="D1112" s="3" t="str">
        <f>VLOOKUP(C1112,layoffs_location!A:B,2,FALSE)</f>
        <v>other</v>
      </c>
      <c r="E1112" s="3" t="str">
        <f>VLOOKUP(C1112,layoffs_location!A:C,3,FALSE)</f>
        <v>non</v>
      </c>
      <c r="F1112" s="3" t="str">
        <f>VLOOKUP(C1112,layoffs_location!A:D,4,FALSE)</f>
        <v>New Zealand</v>
      </c>
      <c r="G1112" s="3" t="str">
        <f>VLOOKUP(C1112,layoffs_location!A:E,5,FALSE)</f>
        <v>Oceana</v>
      </c>
      <c r="H1112" s="3">
        <v>800</v>
      </c>
      <c r="I1112" s="8">
        <v>44994</v>
      </c>
      <c r="J1112" s="9">
        <v>15</v>
      </c>
      <c r="K1112" s="10">
        <v>5333</v>
      </c>
      <c r="L1112" s="10">
        <v>4533</v>
      </c>
      <c r="M1112" s="3" t="s">
        <v>35</v>
      </c>
      <c r="N1112" s="3" t="s">
        <v>28</v>
      </c>
      <c r="O1112" s="34">
        <v>681</v>
      </c>
      <c r="P1112" s="3">
        <v>2023</v>
      </c>
      <c r="Q1112" s="3">
        <f>VLOOKUP(C1112,layoffs_location!A:F,6,FALSE)</f>
        <v>-41.288795299999997</v>
      </c>
      <c r="R1112" s="3">
        <f>VLOOKUP(C1112,layoffs_location!A:G,7,FALSE)</f>
        <v>174.7772114</v>
      </c>
    </row>
    <row r="1113" spans="1:18" x14ac:dyDescent="0.2">
      <c r="A1113" s="3">
        <v>1112</v>
      </c>
      <c r="B1113" s="3" t="s">
        <v>388</v>
      </c>
      <c r="C1113" s="3" t="s">
        <v>1370</v>
      </c>
      <c r="D1113" s="3" t="str">
        <f>VLOOKUP(C1113,layoffs_location!A:B,2,FALSE)</f>
        <v>San Francisco Bay Area</v>
      </c>
      <c r="E1113" s="3" t="str">
        <f>VLOOKUP(C1113,layoffs_location!A:C,3,FALSE)</f>
        <v>California</v>
      </c>
      <c r="F1113" s="3" t="str">
        <f>VLOOKUP(C1113,layoffs_location!A:D,4,FALSE)</f>
        <v>USA</v>
      </c>
      <c r="G1113" s="3" t="str">
        <f>VLOOKUP(C1113,layoffs_location!A:E,5,FALSE)</f>
        <v>North America</v>
      </c>
      <c r="H1113" s="3">
        <v>75</v>
      </c>
      <c r="I1113" s="8">
        <v>44999</v>
      </c>
      <c r="J1113" s="9">
        <v>20</v>
      </c>
      <c r="K1113" s="10">
        <v>375</v>
      </c>
      <c r="L1113" s="10">
        <v>300</v>
      </c>
      <c r="M1113" s="3" t="s">
        <v>117</v>
      </c>
      <c r="N1113" s="3" t="s">
        <v>108</v>
      </c>
      <c r="O1113" s="34">
        <v>487</v>
      </c>
      <c r="P1113" s="3">
        <v>2023</v>
      </c>
      <c r="Q1113" s="3">
        <f>VLOOKUP(C1113,layoffs_location!A:F,6,FALSE)</f>
        <v>37.779258800000001</v>
      </c>
      <c r="R1113" s="3">
        <f>VLOOKUP(C1113,layoffs_location!A:G,7,FALSE)</f>
        <v>-122.4193286</v>
      </c>
    </row>
    <row r="1114" spans="1:18" x14ac:dyDescent="0.2">
      <c r="A1114" s="3">
        <v>1113</v>
      </c>
      <c r="B1114" s="3" t="s">
        <v>389</v>
      </c>
      <c r="C1114" s="3" t="s">
        <v>390</v>
      </c>
      <c r="D1114" s="3" t="str">
        <f>VLOOKUP(C1114,layoffs_location!A:B,2,FALSE)</f>
        <v>other</v>
      </c>
      <c r="E1114" s="3" t="str">
        <f>VLOOKUP(C1114,layoffs_location!A:C,3,FALSE)</f>
        <v>Ontario</v>
      </c>
      <c r="F1114" s="3" t="str">
        <f>VLOOKUP(C1114,layoffs_location!A:D,4,FALSE)</f>
        <v>Canada</v>
      </c>
      <c r="G1114" s="3" t="str">
        <f>VLOOKUP(C1114,layoffs_location!A:E,5,FALSE)</f>
        <v>North America</v>
      </c>
      <c r="H1114" s="3">
        <v>50</v>
      </c>
      <c r="I1114" s="8">
        <v>44999</v>
      </c>
      <c r="J1114" s="9">
        <v>14</v>
      </c>
      <c r="K1114" s="10">
        <v>357</v>
      </c>
      <c r="L1114" s="10">
        <v>307</v>
      </c>
      <c r="M1114" s="3" t="s">
        <v>87</v>
      </c>
      <c r="N1114" s="3" t="s">
        <v>41</v>
      </c>
      <c r="O1114" s="34">
        <v>106</v>
      </c>
      <c r="P1114" s="3">
        <v>2023</v>
      </c>
      <c r="Q1114" s="3">
        <f>VLOOKUP(C1114,layoffs_location!A:F,6,FALSE)</f>
        <v>43.451290999999998</v>
      </c>
      <c r="R1114" s="3">
        <f>VLOOKUP(C1114,layoffs_location!A:G,7,FALSE)</f>
        <v>-80.492781500000007</v>
      </c>
    </row>
    <row r="1115" spans="1:18" x14ac:dyDescent="0.2">
      <c r="A1115" s="3">
        <v>1114</v>
      </c>
      <c r="B1115" s="3" t="s">
        <v>386</v>
      </c>
      <c r="C1115" s="3" t="s">
        <v>387</v>
      </c>
      <c r="D1115" s="3" t="str">
        <f>VLOOKUP(C1115,layoffs_location!A:B,2,FALSE)</f>
        <v>other</v>
      </c>
      <c r="E1115" s="3" t="str">
        <f>VLOOKUP(C1115,layoffs_location!A:C,3,FALSE)</f>
        <v>Wisconsin</v>
      </c>
      <c r="F1115" s="3" t="str">
        <f>VLOOKUP(C1115,layoffs_location!A:D,4,FALSE)</f>
        <v>USA</v>
      </c>
      <c r="G1115" s="3" t="str">
        <f>VLOOKUP(C1115,layoffs_location!A:E,5,FALSE)</f>
        <v>North America</v>
      </c>
      <c r="H1115" s="3">
        <v>100</v>
      </c>
      <c r="I1115" s="8">
        <v>44999</v>
      </c>
      <c r="J1115" s="9">
        <v>10</v>
      </c>
      <c r="K1115" s="10">
        <v>1000</v>
      </c>
      <c r="L1115" s="10">
        <v>900</v>
      </c>
      <c r="M1115" s="3" t="s">
        <v>30</v>
      </c>
      <c r="N1115" s="3" t="s">
        <v>36</v>
      </c>
      <c r="O1115" s="34">
        <v>581</v>
      </c>
      <c r="P1115" s="3">
        <v>2023</v>
      </c>
      <c r="Q1115" s="3">
        <f>VLOOKUP(C1115,layoffs_location!A:F,6,FALSE)</f>
        <v>43.074761000000002</v>
      </c>
      <c r="R1115" s="3">
        <f>VLOOKUP(C1115,layoffs_location!A:G,7,FALSE)</f>
        <v>-89.383761300000003</v>
      </c>
    </row>
    <row r="1116" spans="1:18" x14ac:dyDescent="0.2">
      <c r="A1116" s="3">
        <v>1115</v>
      </c>
      <c r="B1116" s="3" t="s">
        <v>391</v>
      </c>
      <c r="C1116" s="3" t="s">
        <v>392</v>
      </c>
      <c r="D1116" s="3" t="str">
        <f>VLOOKUP(C1116,layoffs_location!A:B,2,FALSE)</f>
        <v>other</v>
      </c>
      <c r="E1116" s="3" t="str">
        <f>VLOOKUP(C1116,layoffs_location!A:C,3,FALSE)</f>
        <v>Minnesota</v>
      </c>
      <c r="F1116" s="3" t="str">
        <f>VLOOKUP(C1116,layoffs_location!A:D,4,FALSE)</f>
        <v>USA</v>
      </c>
      <c r="G1116" s="3" t="str">
        <f>VLOOKUP(C1116,layoffs_location!A:E,5,FALSE)</f>
        <v>North America</v>
      </c>
      <c r="H1116" s="3">
        <v>15</v>
      </c>
      <c r="I1116" s="8">
        <v>44999</v>
      </c>
      <c r="J1116" s="9">
        <v>30</v>
      </c>
      <c r="K1116" s="10">
        <v>50</v>
      </c>
      <c r="L1116" s="10">
        <v>35</v>
      </c>
      <c r="M1116" s="3" t="s">
        <v>35</v>
      </c>
      <c r="N1116" s="3" t="s">
        <v>69</v>
      </c>
      <c r="O1116" s="34">
        <v>16</v>
      </c>
      <c r="P1116" s="3">
        <v>2023</v>
      </c>
      <c r="Q1116" s="3">
        <f>VLOOKUP(C1116,layoffs_location!A:F,6,FALSE)</f>
        <v>44.977299500000001</v>
      </c>
      <c r="R1116" s="3">
        <f>VLOOKUP(C1116,layoffs_location!A:G,7,FALSE)</f>
        <v>-93.265469199999998</v>
      </c>
    </row>
    <row r="1117" spans="1:18" x14ac:dyDescent="0.2">
      <c r="A1117" s="3">
        <v>1116</v>
      </c>
      <c r="B1117" s="3" t="s">
        <v>385</v>
      </c>
      <c r="C1117" s="3" t="s">
        <v>1443</v>
      </c>
      <c r="D1117" s="3" t="str">
        <f>VLOOKUP(C1117,layoffs_location!A:B,2,FALSE)</f>
        <v>San Francisco Bay Area</v>
      </c>
      <c r="E1117" s="3" t="str">
        <f>VLOOKUP(C1117,layoffs_location!A:C,3,FALSE)</f>
        <v>California</v>
      </c>
      <c r="F1117" s="3" t="str">
        <f>VLOOKUP(C1117,layoffs_location!A:D,4,FALSE)</f>
        <v>USA</v>
      </c>
      <c r="G1117" s="3" t="str">
        <f>VLOOKUP(C1117,layoffs_location!A:E,5,FALSE)</f>
        <v>North America</v>
      </c>
      <c r="H1117" s="3">
        <v>10000</v>
      </c>
      <c r="I1117" s="8">
        <v>44999</v>
      </c>
      <c r="J1117" s="9">
        <v>13.5841170323929</v>
      </c>
      <c r="K1117" s="10">
        <v>73615</v>
      </c>
      <c r="L1117" s="10">
        <v>63615</v>
      </c>
      <c r="M1117" s="3" t="s">
        <v>16</v>
      </c>
      <c r="N1117" s="3" t="s">
        <v>28</v>
      </c>
      <c r="O1117" s="34">
        <v>26000</v>
      </c>
      <c r="P1117" s="3">
        <v>2023</v>
      </c>
      <c r="Q1117" s="3">
        <f>VLOOKUP(C1117,layoffs_location!A:F,6,FALSE)</f>
        <v>37.451967099999997</v>
      </c>
      <c r="R1117" s="3">
        <f>VLOOKUP(C1117,layoffs_location!A:G,7,FALSE)</f>
        <v>-122.177992</v>
      </c>
    </row>
    <row r="1118" spans="1:18" x14ac:dyDescent="0.2">
      <c r="A1118" s="3">
        <v>1117</v>
      </c>
      <c r="B1118" s="3" t="s">
        <v>383</v>
      </c>
      <c r="C1118" s="3" t="s">
        <v>39</v>
      </c>
      <c r="D1118" s="3" t="str">
        <f>VLOOKUP(C1118,layoffs_location!A:B,2,FALSE)</f>
        <v>New York</v>
      </c>
      <c r="E1118" s="3" t="str">
        <f>VLOOKUP(C1118,layoffs_location!A:C,3,FALSE)</f>
        <v>New York</v>
      </c>
      <c r="F1118" s="3" t="str">
        <f>VLOOKUP(C1118,layoffs_location!A:D,4,FALSE)</f>
        <v>USA</v>
      </c>
      <c r="G1118" s="3" t="str">
        <f>VLOOKUP(C1118,layoffs_location!A:E,5,FALSE)</f>
        <v>North America</v>
      </c>
      <c r="H1118" s="3">
        <v>32</v>
      </c>
      <c r="I1118" s="8">
        <v>45000</v>
      </c>
      <c r="J1118" s="9">
        <v>25</v>
      </c>
      <c r="K1118" s="10">
        <v>128</v>
      </c>
      <c r="L1118" s="10">
        <v>96</v>
      </c>
      <c r="M1118" s="3" t="s">
        <v>30</v>
      </c>
      <c r="N1118" s="3" t="s">
        <v>28</v>
      </c>
      <c r="O1118" s="34">
        <v>365</v>
      </c>
      <c r="P1118" s="3">
        <v>2023</v>
      </c>
      <c r="Q1118" s="3">
        <f>VLOOKUP(C1118,layoffs_location!A:F,6,FALSE)</f>
        <v>40.7127281</v>
      </c>
      <c r="R1118" s="3">
        <f>VLOOKUP(C1118,layoffs_location!A:G,7,FALSE)</f>
        <v>-74.006015199999993</v>
      </c>
    </row>
    <row r="1119" spans="1:18" x14ac:dyDescent="0.2">
      <c r="A1119" s="3">
        <v>1118</v>
      </c>
      <c r="B1119" s="3" t="s">
        <v>382</v>
      </c>
      <c r="C1119" s="3" t="s">
        <v>13</v>
      </c>
      <c r="D1119" s="3" t="str">
        <f>VLOOKUP(C1119,layoffs_location!A:B,2,FALSE)</f>
        <v>other</v>
      </c>
      <c r="E1119" s="3" t="str">
        <f>VLOOKUP(C1119,layoffs_location!A:C,3,FALSE)</f>
        <v>Karnataka</v>
      </c>
      <c r="F1119" s="3" t="str">
        <f>VLOOKUP(C1119,layoffs_location!A:D,4,FALSE)</f>
        <v>India</v>
      </c>
      <c r="G1119" s="3" t="str">
        <f>VLOOKUP(C1119,layoffs_location!A:E,5,FALSE)</f>
        <v>Asia</v>
      </c>
      <c r="H1119" s="3">
        <v>56</v>
      </c>
      <c r="I1119" s="8">
        <v>45000</v>
      </c>
      <c r="J1119" s="9">
        <v>30</v>
      </c>
      <c r="K1119" s="10">
        <v>187</v>
      </c>
      <c r="L1119" s="10">
        <v>131</v>
      </c>
      <c r="M1119" s="3" t="s">
        <v>30</v>
      </c>
      <c r="N1119" s="3" t="s">
        <v>69</v>
      </c>
      <c r="O1119" s="34">
        <v>17</v>
      </c>
      <c r="P1119" s="3">
        <v>2023</v>
      </c>
      <c r="Q1119" s="3">
        <f>VLOOKUP(C1119,layoffs_location!A:F,6,FALSE)</f>
        <v>12.98815675</v>
      </c>
      <c r="R1119" s="3">
        <f>VLOOKUP(C1119,layoffs_location!A:G,7,FALSE)</f>
        <v>77.622600037959998</v>
      </c>
    </row>
    <row r="1120" spans="1:18" x14ac:dyDescent="0.2">
      <c r="A1120" s="3">
        <v>1119</v>
      </c>
      <c r="B1120" s="3" t="s">
        <v>384</v>
      </c>
      <c r="C1120" s="3" t="s">
        <v>197</v>
      </c>
      <c r="D1120" s="3" t="str">
        <f>VLOOKUP(C1120,layoffs_location!A:B,2,FALSE)</f>
        <v>other</v>
      </c>
      <c r="E1120" s="3" t="str">
        <f>VLOOKUP(C1120,layoffs_location!A:C,3,FALSE)</f>
        <v>non</v>
      </c>
      <c r="F1120" s="3" t="str">
        <f>VLOOKUP(C1120,layoffs_location!A:D,4,FALSE)</f>
        <v>New Zealand</v>
      </c>
      <c r="G1120" s="3" t="str">
        <f>VLOOKUP(C1120,layoffs_location!A:E,5,FALSE)</f>
        <v>Oceana</v>
      </c>
      <c r="H1120" s="3">
        <v>25</v>
      </c>
      <c r="I1120" s="8">
        <v>45000</v>
      </c>
      <c r="J1120" s="9">
        <v>30</v>
      </c>
      <c r="K1120" s="10">
        <v>83</v>
      </c>
      <c r="L1120" s="10">
        <v>58</v>
      </c>
      <c r="M1120" s="3" t="s">
        <v>35</v>
      </c>
      <c r="N1120" s="3" t="s">
        <v>49</v>
      </c>
      <c r="O1120" s="34">
        <v>24</v>
      </c>
      <c r="P1120" s="3">
        <v>2023</v>
      </c>
      <c r="Q1120" s="3">
        <f>VLOOKUP(C1120,layoffs_location!A:F,6,FALSE)</f>
        <v>-36.852094999999998</v>
      </c>
      <c r="R1120" s="3">
        <f>VLOOKUP(C1120,layoffs_location!A:G,7,FALSE)</f>
        <v>174.76318029999999</v>
      </c>
    </row>
    <row r="1121" spans="1:18" x14ac:dyDescent="0.2">
      <c r="A1121" s="3">
        <v>1120</v>
      </c>
      <c r="B1121" s="3" t="s">
        <v>380</v>
      </c>
      <c r="C1121" s="3" t="s">
        <v>1710</v>
      </c>
      <c r="D1121" s="3" t="str">
        <f>VLOOKUP(C1121,layoffs_location!A:B,2,FALSE)</f>
        <v>San Francisco Bay Area</v>
      </c>
      <c r="E1121" s="3" t="str">
        <f>VLOOKUP(C1121,layoffs_location!A:C,3,FALSE)</f>
        <v>California</v>
      </c>
      <c r="F1121" s="3" t="str">
        <f>VLOOKUP(C1121,layoffs_location!A:D,4,FALSE)</f>
        <v>USA</v>
      </c>
      <c r="G1121" s="3" t="str">
        <f>VLOOKUP(C1121,layoffs_location!A:E,5,FALSE)</f>
        <v>North America</v>
      </c>
      <c r="H1121" s="3">
        <v>42</v>
      </c>
      <c r="I1121" s="8">
        <v>45001</v>
      </c>
      <c r="J1121" s="9">
        <v>15</v>
      </c>
      <c r="K1121" s="10">
        <v>280</v>
      </c>
      <c r="L1121" s="10">
        <v>238</v>
      </c>
      <c r="M1121" s="3" t="s">
        <v>68</v>
      </c>
      <c r="N1121" s="3" t="s">
        <v>41</v>
      </c>
      <c r="O1121" s="34">
        <v>477</v>
      </c>
      <c r="P1121" s="3">
        <v>2023</v>
      </c>
      <c r="Q1121" s="3">
        <f>VLOOKUP(C1121,layoffs_location!A:F,6,FALSE)</f>
        <v>37.486323900000002</v>
      </c>
      <c r="R1121" s="3">
        <f>VLOOKUP(C1121,layoffs_location!A:G,7,FALSE)</f>
        <v>-122.232523</v>
      </c>
    </row>
    <row r="1122" spans="1:18" x14ac:dyDescent="0.2">
      <c r="A1122" s="3">
        <v>1121</v>
      </c>
      <c r="B1122" s="3" t="s">
        <v>379</v>
      </c>
      <c r="C1122" s="3" t="s">
        <v>1713</v>
      </c>
      <c r="D1122" s="3" t="str">
        <f>VLOOKUP(C1122,layoffs_location!A:B,2,FALSE)</f>
        <v>San Francisco Bay Area</v>
      </c>
      <c r="E1122" s="3" t="str">
        <f>VLOOKUP(C1122,layoffs_location!A:C,3,FALSE)</f>
        <v>California</v>
      </c>
      <c r="F1122" s="3" t="str">
        <f>VLOOKUP(C1122,layoffs_location!A:D,4,FALSE)</f>
        <v>USA</v>
      </c>
      <c r="G1122" s="3" t="str">
        <f>VLOOKUP(C1122,layoffs_location!A:E,5,FALSE)</f>
        <v>North America</v>
      </c>
      <c r="H1122" s="3">
        <v>114</v>
      </c>
      <c r="I1122" s="8">
        <v>45001</v>
      </c>
      <c r="J1122" s="9">
        <v>2</v>
      </c>
      <c r="K1122" s="10">
        <v>5700</v>
      </c>
      <c r="L1122" s="10">
        <v>5586</v>
      </c>
      <c r="M1122" s="3" t="s">
        <v>274</v>
      </c>
      <c r="N1122" s="3" t="s">
        <v>28</v>
      </c>
      <c r="O1122" s="34">
        <v>484</v>
      </c>
      <c r="P1122" s="3">
        <v>2023</v>
      </c>
      <c r="Q1122" s="3">
        <f>VLOOKUP(C1122,layoffs_location!A:F,6,FALSE)</f>
        <v>37.496904000000001</v>
      </c>
      <c r="R1122" s="3">
        <f>VLOOKUP(C1122,layoffs_location!A:G,7,FALSE)</f>
        <v>-122.33305729999999</v>
      </c>
    </row>
    <row r="1123" spans="1:18" x14ac:dyDescent="0.2">
      <c r="A1123" s="3">
        <v>1122</v>
      </c>
      <c r="B1123" s="3" t="s">
        <v>381</v>
      </c>
      <c r="C1123" s="3" t="s">
        <v>43</v>
      </c>
      <c r="D1123" s="3" t="str">
        <f>VLOOKUP(C1123,layoffs_location!A:B,2,FALSE)</f>
        <v>Cascadia</v>
      </c>
      <c r="E1123" s="3" t="str">
        <f>VLOOKUP(C1123,layoffs_location!A:C,3,FALSE)</f>
        <v>Washington</v>
      </c>
      <c r="F1123" s="3" t="str">
        <f>VLOOKUP(C1123,layoffs_location!A:D,4,FALSE)</f>
        <v>USA</v>
      </c>
      <c r="G1123" s="3" t="str">
        <f>VLOOKUP(C1123,layoffs_location!A:E,5,FALSE)</f>
        <v>North America</v>
      </c>
      <c r="H1123" s="3">
        <v>40</v>
      </c>
      <c r="I1123" s="8">
        <v>45001</v>
      </c>
      <c r="J1123" s="9">
        <v>21</v>
      </c>
      <c r="K1123" s="10">
        <v>190</v>
      </c>
      <c r="L1123" s="10">
        <v>150</v>
      </c>
      <c r="M1123" s="3" t="s">
        <v>30</v>
      </c>
      <c r="N1123" s="3" t="s">
        <v>28</v>
      </c>
      <c r="O1123" s="34">
        <v>71</v>
      </c>
      <c r="P1123" s="3">
        <v>2023</v>
      </c>
      <c r="Q1123" s="3">
        <f>VLOOKUP(C1123,layoffs_location!A:F,6,FALSE)</f>
        <v>47.603832099999998</v>
      </c>
      <c r="R1123" s="3">
        <f>VLOOKUP(C1123,layoffs_location!A:G,7,FALSE)</f>
        <v>-122.330062</v>
      </c>
    </row>
    <row r="1124" spans="1:18" x14ac:dyDescent="0.2">
      <c r="A1124" s="3">
        <v>1123</v>
      </c>
      <c r="B1124" s="3" t="s">
        <v>377</v>
      </c>
      <c r="C1124" s="3" t="s">
        <v>13</v>
      </c>
      <c r="D1124" s="3" t="str">
        <f>VLOOKUP(C1124,layoffs_location!A:B,2,FALSE)</f>
        <v>other</v>
      </c>
      <c r="E1124" s="3" t="str">
        <f>VLOOKUP(C1124,layoffs_location!A:C,3,FALSE)</f>
        <v>Karnataka</v>
      </c>
      <c r="F1124" s="3" t="str">
        <f>VLOOKUP(C1124,layoffs_location!A:D,4,FALSE)</f>
        <v>India</v>
      </c>
      <c r="G1124" s="3" t="str">
        <f>VLOOKUP(C1124,layoffs_location!A:E,5,FALSE)</f>
        <v>Asia</v>
      </c>
      <c r="H1124" s="3">
        <v>100</v>
      </c>
      <c r="I1124" s="8">
        <v>45002</v>
      </c>
      <c r="J1124" s="9">
        <v>2</v>
      </c>
      <c r="K1124" s="10">
        <v>5000</v>
      </c>
      <c r="L1124" s="10">
        <v>4900</v>
      </c>
      <c r="M1124" s="3" t="s">
        <v>30</v>
      </c>
      <c r="N1124" s="3" t="s">
        <v>63</v>
      </c>
      <c r="O1124" s="34">
        <v>431</v>
      </c>
      <c r="P1124" s="3">
        <v>2023</v>
      </c>
      <c r="Q1124" s="3">
        <f>VLOOKUP(C1124,layoffs_location!A:F,6,FALSE)</f>
        <v>12.98815675</v>
      </c>
      <c r="R1124" s="3">
        <f>VLOOKUP(C1124,layoffs_location!A:G,7,FALSE)</f>
        <v>77.622600037959998</v>
      </c>
    </row>
    <row r="1125" spans="1:18" x14ac:dyDescent="0.2">
      <c r="A1125" s="3">
        <v>1124</v>
      </c>
      <c r="B1125" s="3" t="s">
        <v>378</v>
      </c>
      <c r="C1125" s="3" t="s">
        <v>94</v>
      </c>
      <c r="D1125" s="3" t="str">
        <f>VLOOKUP(C1125,layoffs_location!A:B,2,FALSE)</f>
        <v>other</v>
      </c>
      <c r="E1125" s="3" t="str">
        <f>VLOOKUP(C1125,layoffs_location!A:C,3,FALSE)</f>
        <v>Alberta</v>
      </c>
      <c r="F1125" s="3" t="str">
        <f>VLOOKUP(C1125,layoffs_location!A:D,4,FALSE)</f>
        <v>Canada</v>
      </c>
      <c r="G1125" s="3" t="str">
        <f>VLOOKUP(C1125,layoffs_location!A:E,5,FALSE)</f>
        <v>North America</v>
      </c>
      <c r="H1125" s="3">
        <v>50</v>
      </c>
      <c r="I1125" s="8">
        <v>45002</v>
      </c>
      <c r="J1125" s="9">
        <v>25</v>
      </c>
      <c r="K1125" s="10">
        <v>200</v>
      </c>
      <c r="L1125" s="10">
        <v>150</v>
      </c>
      <c r="M1125" s="3" t="s">
        <v>60</v>
      </c>
      <c r="N1125" s="3" t="s">
        <v>41</v>
      </c>
      <c r="O1125" s="34">
        <v>148</v>
      </c>
      <c r="P1125" s="3">
        <v>2023</v>
      </c>
      <c r="Q1125" s="3">
        <f>VLOOKUP(C1125,layoffs_location!A:F,6,FALSE)</f>
        <v>51.045606399999997</v>
      </c>
      <c r="R1125" s="3">
        <f>VLOOKUP(C1125,layoffs_location!A:G,7,FALSE)</f>
        <v>-114.057541</v>
      </c>
    </row>
    <row r="1126" spans="1:18" x14ac:dyDescent="0.2">
      <c r="A1126" s="3">
        <v>1125</v>
      </c>
      <c r="B1126" s="3" t="s">
        <v>376</v>
      </c>
      <c r="C1126" s="3" t="s">
        <v>43</v>
      </c>
      <c r="D1126" s="3" t="str">
        <f>VLOOKUP(C1126,layoffs_location!A:B,2,FALSE)</f>
        <v>Cascadia</v>
      </c>
      <c r="E1126" s="3" t="str">
        <f>VLOOKUP(C1126,layoffs_location!A:C,3,FALSE)</f>
        <v>Washington</v>
      </c>
      <c r="F1126" s="3" t="str">
        <f>VLOOKUP(C1126,layoffs_location!A:D,4,FALSE)</f>
        <v>USA</v>
      </c>
      <c r="G1126" s="3" t="str">
        <f>VLOOKUP(C1126,layoffs_location!A:E,5,FALSE)</f>
        <v>North America</v>
      </c>
      <c r="H1126" s="3">
        <v>9000</v>
      </c>
      <c r="I1126" s="8">
        <v>45005</v>
      </c>
      <c r="J1126" s="9">
        <v>2.295918367346939</v>
      </c>
      <c r="K1126" s="10">
        <v>392000</v>
      </c>
      <c r="L1126" s="10">
        <v>383000</v>
      </c>
      <c r="M1126" s="3" t="s">
        <v>30</v>
      </c>
      <c r="N1126" s="3" t="s">
        <v>28</v>
      </c>
      <c r="O1126" s="34">
        <v>108</v>
      </c>
      <c r="P1126" s="3">
        <v>2023</v>
      </c>
      <c r="Q1126" s="3">
        <f>VLOOKUP(C1126,layoffs_location!A:F,6,FALSE)</f>
        <v>47.603832099999998</v>
      </c>
      <c r="R1126" s="3">
        <f>VLOOKUP(C1126,layoffs_location!A:G,7,FALSE)</f>
        <v>-122.330062</v>
      </c>
    </row>
    <row r="1127" spans="1:18" x14ac:dyDescent="0.2">
      <c r="A1127" s="3">
        <v>1126</v>
      </c>
      <c r="B1127" s="3" t="s">
        <v>374</v>
      </c>
      <c r="C1127" s="3" t="s">
        <v>179</v>
      </c>
      <c r="D1127" s="3" t="str">
        <f>VLOOKUP(C1127,layoffs_location!A:B,2,FALSE)</f>
        <v>other</v>
      </c>
      <c r="E1127" s="3" t="str">
        <f>VLOOKUP(C1127,layoffs_location!A:C,3,FALSE)</f>
        <v>Ontario</v>
      </c>
      <c r="F1127" s="3" t="str">
        <f>VLOOKUP(C1127,layoffs_location!A:D,4,FALSE)</f>
        <v>Canada</v>
      </c>
      <c r="G1127" s="3" t="str">
        <f>VLOOKUP(C1127,layoffs_location!A:E,5,FALSE)</f>
        <v>North America</v>
      </c>
      <c r="H1127" s="3">
        <v>80</v>
      </c>
      <c r="I1127" s="8">
        <v>45006</v>
      </c>
      <c r="J1127" s="9">
        <v>10</v>
      </c>
      <c r="K1127" s="10">
        <v>800</v>
      </c>
      <c r="L1127" s="10">
        <v>720</v>
      </c>
      <c r="M1127" s="3" t="s">
        <v>35</v>
      </c>
      <c r="N1127" s="3" t="s">
        <v>22</v>
      </c>
      <c r="O1127" s="34">
        <v>331</v>
      </c>
      <c r="P1127" s="3">
        <v>2023</v>
      </c>
      <c r="Q1127" s="3">
        <f>VLOOKUP(C1127,layoffs_location!A:F,6,FALSE)</f>
        <v>43.6534817</v>
      </c>
      <c r="R1127" s="3">
        <f>VLOOKUP(C1127,layoffs_location!A:G,7,FALSE)</f>
        <v>-79.383934699999998</v>
      </c>
    </row>
    <row r="1128" spans="1:18" x14ac:dyDescent="0.2">
      <c r="A1128" s="3">
        <v>1127</v>
      </c>
      <c r="B1128" s="3" t="s">
        <v>375</v>
      </c>
      <c r="C1128" s="3" t="s">
        <v>13</v>
      </c>
      <c r="D1128" s="3" t="str">
        <f>VLOOKUP(C1128,layoffs_location!A:B,2,FALSE)</f>
        <v>other</v>
      </c>
      <c r="E1128" s="3" t="str">
        <f>VLOOKUP(C1128,layoffs_location!A:C,3,FALSE)</f>
        <v>Karnataka</v>
      </c>
      <c r="F1128" s="3" t="str">
        <f>VLOOKUP(C1128,layoffs_location!A:D,4,FALSE)</f>
        <v>India</v>
      </c>
      <c r="G1128" s="3" t="str">
        <f>VLOOKUP(C1128,layoffs_location!A:E,5,FALSE)</f>
        <v>Asia</v>
      </c>
      <c r="H1128" s="3">
        <v>15</v>
      </c>
      <c r="I1128" s="8">
        <v>45006</v>
      </c>
      <c r="J1128" s="9">
        <v>4</v>
      </c>
      <c r="K1128" s="10">
        <v>375</v>
      </c>
      <c r="L1128" s="10">
        <v>360</v>
      </c>
      <c r="M1128" s="3" t="s">
        <v>35</v>
      </c>
      <c r="N1128" s="3" t="s">
        <v>41</v>
      </c>
      <c r="O1128" s="34">
        <v>62</v>
      </c>
      <c r="P1128" s="3">
        <v>2023</v>
      </c>
      <c r="Q1128" s="3">
        <f>VLOOKUP(C1128,layoffs_location!A:F,6,FALSE)</f>
        <v>12.98815675</v>
      </c>
      <c r="R1128" s="3">
        <f>VLOOKUP(C1128,layoffs_location!A:G,7,FALSE)</f>
        <v>77.622600037959998</v>
      </c>
    </row>
    <row r="1129" spans="1:18" x14ac:dyDescent="0.2">
      <c r="A1129" s="3">
        <v>1128</v>
      </c>
      <c r="B1129" s="3" t="s">
        <v>373</v>
      </c>
      <c r="C1129" s="3" t="s">
        <v>217</v>
      </c>
      <c r="D1129" s="3" t="str">
        <f>VLOOKUP(C1129,layoffs_location!A:B,2,FALSE)</f>
        <v>other</v>
      </c>
      <c r="E1129" s="3" t="str">
        <f>VLOOKUP(C1129,layoffs_location!A:C,3,FALSE)</f>
        <v>non</v>
      </c>
      <c r="F1129" s="3" t="str">
        <f>VLOOKUP(C1129,layoffs_location!A:D,4,FALSE)</f>
        <v>Ireland</v>
      </c>
      <c r="G1129" s="3" t="str">
        <f>VLOOKUP(C1129,layoffs_location!A:E,5,FALSE)</f>
        <v>Europe</v>
      </c>
      <c r="H1129" s="3">
        <v>130</v>
      </c>
      <c r="I1129" s="8">
        <v>45006</v>
      </c>
      <c r="J1129" s="9">
        <v>10</v>
      </c>
      <c r="K1129" s="10">
        <v>1300</v>
      </c>
      <c r="L1129" s="10">
        <v>1170</v>
      </c>
      <c r="M1129" s="3" t="s">
        <v>84</v>
      </c>
      <c r="N1129" s="3" t="s">
        <v>22</v>
      </c>
      <c r="O1129" s="34">
        <v>131</v>
      </c>
      <c r="P1129" s="3">
        <v>2023</v>
      </c>
      <c r="Q1129" s="3">
        <f>VLOOKUP(C1129,layoffs_location!A:F,6,FALSE)</f>
        <v>53.349379499999998</v>
      </c>
      <c r="R1129" s="3">
        <f>VLOOKUP(C1129,layoffs_location!A:G,7,FALSE)</f>
        <v>-6.2605592999999997</v>
      </c>
    </row>
    <row r="1130" spans="1:18" x14ac:dyDescent="0.2">
      <c r="A1130" s="3">
        <v>1129</v>
      </c>
      <c r="B1130" s="3" t="s">
        <v>370</v>
      </c>
      <c r="C1130" s="3" t="s">
        <v>1370</v>
      </c>
      <c r="D1130" s="3" t="str">
        <f>VLOOKUP(C1130,layoffs_location!A:B,2,FALSE)</f>
        <v>San Francisco Bay Area</v>
      </c>
      <c r="E1130" s="3" t="str">
        <f>VLOOKUP(C1130,layoffs_location!A:C,3,FALSE)</f>
        <v>California</v>
      </c>
      <c r="F1130" s="3" t="str">
        <f>VLOOKUP(C1130,layoffs_location!A:D,4,FALSE)</f>
        <v>USA</v>
      </c>
      <c r="G1130" s="3" t="str">
        <f>VLOOKUP(C1130,layoffs_location!A:E,5,FALSE)</f>
        <v>North America</v>
      </c>
      <c r="H1130" s="3">
        <v>140</v>
      </c>
      <c r="I1130" s="8">
        <v>45007</v>
      </c>
      <c r="J1130" s="9">
        <v>15</v>
      </c>
      <c r="K1130" s="10">
        <v>933</v>
      </c>
      <c r="L1130" s="10">
        <v>793</v>
      </c>
      <c r="M1130" s="3" t="s">
        <v>84</v>
      </c>
      <c r="N1130" s="3" t="s">
        <v>33</v>
      </c>
      <c r="O1130" s="34">
        <v>204</v>
      </c>
      <c r="P1130" s="3">
        <v>2023</v>
      </c>
      <c r="Q1130" s="3">
        <f>VLOOKUP(C1130,layoffs_location!A:F,6,FALSE)</f>
        <v>37.779258800000001</v>
      </c>
      <c r="R1130" s="3">
        <f>VLOOKUP(C1130,layoffs_location!A:G,7,FALSE)</f>
        <v>-122.4193286</v>
      </c>
    </row>
    <row r="1131" spans="1:18" x14ac:dyDescent="0.2">
      <c r="A1131" s="3">
        <v>1130</v>
      </c>
      <c r="B1131" s="3" t="s">
        <v>369</v>
      </c>
      <c r="C1131" s="3" t="s">
        <v>83</v>
      </c>
      <c r="D1131" s="3" t="str">
        <f>VLOOKUP(C1131,layoffs_location!A:B,2,FALSE)</f>
        <v>other</v>
      </c>
      <c r="E1131" s="3" t="str">
        <f>VLOOKUP(C1131,layoffs_location!A:C,3,FALSE)</f>
        <v>Texas</v>
      </c>
      <c r="F1131" s="3" t="str">
        <f>VLOOKUP(C1131,layoffs_location!A:D,4,FALSE)</f>
        <v>USA</v>
      </c>
      <c r="G1131" s="3" t="str">
        <f>VLOOKUP(C1131,layoffs_location!A:E,5,FALSE)</f>
        <v>North America</v>
      </c>
      <c r="H1131" s="3">
        <v>2200</v>
      </c>
      <c r="I1131" s="8">
        <v>45007</v>
      </c>
      <c r="J1131" s="9">
        <v>15</v>
      </c>
      <c r="K1131" s="10">
        <v>14667</v>
      </c>
      <c r="L1131" s="10">
        <v>12467</v>
      </c>
      <c r="M1131" s="3" t="s">
        <v>84</v>
      </c>
      <c r="N1131" s="3" t="s">
        <v>33</v>
      </c>
      <c r="O1131" s="34">
        <v>5</v>
      </c>
      <c r="P1131" s="3">
        <v>2023</v>
      </c>
      <c r="Q1131" s="3">
        <f>VLOOKUP(C1131,layoffs_location!A:F,6,FALSE)</f>
        <v>30.271128600000001</v>
      </c>
      <c r="R1131" s="3">
        <f>VLOOKUP(C1131,layoffs_location!A:G,7,FALSE)</f>
        <v>-97.743699500000005</v>
      </c>
    </row>
    <row r="1132" spans="1:18" x14ac:dyDescent="0.2">
      <c r="A1132" s="3">
        <v>1131</v>
      </c>
      <c r="B1132" s="3" t="s">
        <v>371</v>
      </c>
      <c r="C1132" s="3" t="s">
        <v>372</v>
      </c>
      <c r="D1132" s="3" t="str">
        <f>VLOOKUP(C1132,layoffs_location!A:B,2,FALSE)</f>
        <v>other</v>
      </c>
      <c r="E1132" s="3" t="str">
        <f>VLOOKUP(C1132,layoffs_location!A:C,3,FALSE)</f>
        <v>England</v>
      </c>
      <c r="F1132" s="3" t="str">
        <f>VLOOKUP(C1132,layoffs_location!A:D,4,FALSE)</f>
        <v>UK</v>
      </c>
      <c r="G1132" s="3" t="str">
        <f>VLOOKUP(C1132,layoffs_location!A:E,5,FALSE)</f>
        <v>Europe</v>
      </c>
      <c r="H1132" s="3">
        <v>40</v>
      </c>
      <c r="I1132" s="8">
        <v>45007</v>
      </c>
      <c r="J1132" s="9">
        <v>16</v>
      </c>
      <c r="K1132" s="10">
        <v>250</v>
      </c>
      <c r="L1132" s="10">
        <v>210</v>
      </c>
      <c r="M1132" s="3" t="s">
        <v>32</v>
      </c>
      <c r="N1132" s="3" t="s">
        <v>28</v>
      </c>
      <c r="O1132" s="34">
        <v>376</v>
      </c>
      <c r="P1132" s="3">
        <v>2023</v>
      </c>
      <c r="Q1132" s="3">
        <f>VLOOKUP(C1132,layoffs_location!A:F,6,FALSE)</f>
        <v>53.1908873</v>
      </c>
      <c r="R1132" s="3">
        <f>VLOOKUP(C1132,layoffs_location!A:G,7,FALSE)</f>
        <v>-2.8908955000000001</v>
      </c>
    </row>
    <row r="1133" spans="1:18" x14ac:dyDescent="0.2">
      <c r="A1133" s="3">
        <v>1132</v>
      </c>
      <c r="B1133" s="3" t="s">
        <v>368</v>
      </c>
      <c r="C1133" s="3" t="s">
        <v>97</v>
      </c>
      <c r="D1133" s="3" t="str">
        <f>VLOOKUP(C1133,layoffs_location!A:B,2,FALSE)</f>
        <v>other</v>
      </c>
      <c r="E1133" s="3" t="str">
        <f>VLOOKUP(C1133,layoffs_location!A:C,3,FALSE)</f>
        <v>non</v>
      </c>
      <c r="F1133" s="3" t="str">
        <f>VLOOKUP(C1133,layoffs_location!A:D,4,FALSE)</f>
        <v>France</v>
      </c>
      <c r="G1133" s="3" t="str">
        <f>VLOOKUP(C1133,layoffs_location!A:E,5,FALSE)</f>
        <v>Europe</v>
      </c>
      <c r="H1133" s="3">
        <v>10</v>
      </c>
      <c r="I1133" s="8">
        <v>45008</v>
      </c>
      <c r="J1133" s="9">
        <v>25</v>
      </c>
      <c r="K1133" s="10">
        <v>40</v>
      </c>
      <c r="L1133" s="10">
        <v>30</v>
      </c>
      <c r="M1133" s="3" t="s">
        <v>60</v>
      </c>
      <c r="N1133" s="3" t="s">
        <v>69</v>
      </c>
      <c r="O1133" s="34">
        <v>15</v>
      </c>
      <c r="P1133" s="3">
        <v>2023</v>
      </c>
      <c r="Q1133" s="3">
        <f>VLOOKUP(C1133,layoffs_location!A:F,6,FALSE)</f>
        <v>48.858889699999999</v>
      </c>
      <c r="R1133" s="3">
        <f>VLOOKUP(C1133,layoffs_location!A:G,7,FALSE)</f>
        <v>2.32004102172007</v>
      </c>
    </row>
    <row r="1134" spans="1:18" x14ac:dyDescent="0.2">
      <c r="A1134" s="3">
        <v>1133</v>
      </c>
      <c r="B1134" s="3" t="s">
        <v>367</v>
      </c>
      <c r="C1134" s="3" t="s">
        <v>1370</v>
      </c>
      <c r="D1134" s="3" t="str">
        <f>VLOOKUP(C1134,layoffs_location!A:B,2,FALSE)</f>
        <v>San Francisco Bay Area</v>
      </c>
      <c r="E1134" s="3" t="str">
        <f>VLOOKUP(C1134,layoffs_location!A:C,3,FALSE)</f>
        <v>California</v>
      </c>
      <c r="F1134" s="3" t="str">
        <f>VLOOKUP(C1134,layoffs_location!A:D,4,FALSE)</f>
        <v>USA</v>
      </c>
      <c r="G1134" s="3" t="str">
        <f>VLOOKUP(C1134,layoffs_location!A:E,5,FALSE)</f>
        <v>North America</v>
      </c>
      <c r="H1134" s="3">
        <v>46</v>
      </c>
      <c r="I1134" s="8">
        <v>45013</v>
      </c>
      <c r="J1134" s="9">
        <v>33</v>
      </c>
      <c r="K1134" s="10">
        <v>139</v>
      </c>
      <c r="L1134" s="10">
        <v>93</v>
      </c>
      <c r="M1134" s="3" t="s">
        <v>32</v>
      </c>
      <c r="N1134" s="3" t="s">
        <v>28</v>
      </c>
      <c r="O1134" s="34">
        <v>314</v>
      </c>
      <c r="P1134" s="3">
        <v>2023</v>
      </c>
      <c r="Q1134" s="3">
        <f>VLOOKUP(C1134,layoffs_location!A:F,6,FALSE)</f>
        <v>37.779258800000001</v>
      </c>
      <c r="R1134" s="3">
        <f>VLOOKUP(C1134,layoffs_location!A:G,7,FALSE)</f>
        <v>-122.4193286</v>
      </c>
    </row>
    <row r="1135" spans="1:18" x14ac:dyDescent="0.2">
      <c r="A1135" s="3">
        <v>1134</v>
      </c>
      <c r="B1135" s="3" t="s">
        <v>366</v>
      </c>
      <c r="C1135" s="3" t="s">
        <v>1721</v>
      </c>
      <c r="D1135" s="3" t="str">
        <f>VLOOKUP(C1135,layoffs_location!A:B,2,FALSE)</f>
        <v>New York</v>
      </c>
      <c r="E1135" s="3" t="str">
        <f>VLOOKUP(C1135,layoffs_location!A:C,3,FALSE)</f>
        <v>New Jersey</v>
      </c>
      <c r="F1135" s="3" t="str">
        <f>VLOOKUP(C1135,layoffs_location!A:D,4,FALSE)</f>
        <v>USA</v>
      </c>
      <c r="G1135" s="3" t="str">
        <f>VLOOKUP(C1135,layoffs_location!A:E,5,FALSE)</f>
        <v>North America</v>
      </c>
      <c r="H1135" s="3">
        <v>1300</v>
      </c>
      <c r="I1135" s="8">
        <v>45013</v>
      </c>
      <c r="J1135" s="9">
        <v>18</v>
      </c>
      <c r="K1135" s="10">
        <v>7222</v>
      </c>
      <c r="L1135" s="10">
        <v>5922</v>
      </c>
      <c r="M1135" s="3" t="s">
        <v>32</v>
      </c>
      <c r="N1135" s="3" t="s">
        <v>28</v>
      </c>
      <c r="O1135" s="34">
        <v>8300</v>
      </c>
      <c r="P1135" s="3">
        <v>2023</v>
      </c>
      <c r="Q1135" s="3">
        <f>VLOOKUP(C1135,layoffs_location!A:F,6,FALSE)</f>
        <v>40.724285421760499</v>
      </c>
      <c r="R1135" s="3">
        <f>VLOOKUP(C1135,layoffs_location!A:G,7,FALSE)</f>
        <v>-74.169028352019893</v>
      </c>
    </row>
    <row r="1136" spans="1:18" ht="16" x14ac:dyDescent="0.2">
      <c r="A1136" s="3">
        <v>1135</v>
      </c>
      <c r="B1136" s="3" t="s">
        <v>363</v>
      </c>
      <c r="C1136" s="11" t="s">
        <v>1710</v>
      </c>
      <c r="D1136" s="3" t="str">
        <f>VLOOKUP(C1136,layoffs_location!A:B,2,FALSE)</f>
        <v>San Francisco Bay Area</v>
      </c>
      <c r="E1136" s="3" t="str">
        <f>VLOOKUP(C1136,layoffs_location!A:C,3,FALSE)</f>
        <v>California</v>
      </c>
      <c r="F1136" s="3" t="str">
        <f>VLOOKUP(C1136,layoffs_location!A:D,4,FALSE)</f>
        <v>USA</v>
      </c>
      <c r="G1136" s="3" t="str">
        <f>VLOOKUP(C1136,layoffs_location!A:E,5,FALSE)</f>
        <v>North America</v>
      </c>
      <c r="H1136" s="3">
        <v>780</v>
      </c>
      <c r="I1136" s="8">
        <v>45014</v>
      </c>
      <c r="J1136" s="9">
        <v>6</v>
      </c>
      <c r="K1136" s="10">
        <v>13000</v>
      </c>
      <c r="L1136" s="10">
        <v>12220</v>
      </c>
      <c r="M1136" s="3" t="s">
        <v>16</v>
      </c>
      <c r="N1136" s="3" t="s">
        <v>28</v>
      </c>
      <c r="O1136" s="34">
        <v>2</v>
      </c>
      <c r="P1136" s="3">
        <v>2023</v>
      </c>
      <c r="Q1136" s="3">
        <f>VLOOKUP(C1136,layoffs_location!A:F,6,FALSE)</f>
        <v>37.486323900000002</v>
      </c>
      <c r="R1136" s="3">
        <f>VLOOKUP(C1136,layoffs_location!A:G,7,FALSE)</f>
        <v>-122.232523</v>
      </c>
    </row>
    <row r="1137" spans="1:18" x14ac:dyDescent="0.2">
      <c r="A1137" s="3">
        <v>1136</v>
      </c>
      <c r="B1137" s="3" t="s">
        <v>364</v>
      </c>
      <c r="C1137" s="3" t="s">
        <v>365</v>
      </c>
      <c r="D1137" s="3" t="str">
        <f>VLOOKUP(C1137,layoffs_location!A:B,2,FALSE)</f>
        <v>other</v>
      </c>
      <c r="E1137" s="3" t="str">
        <f>VLOOKUP(C1137,layoffs_location!A:C,3,FALSE)</f>
        <v>New Hampshire</v>
      </c>
      <c r="F1137" s="3" t="str">
        <f>VLOOKUP(C1137,layoffs_location!A:D,4,FALSE)</f>
        <v>USA</v>
      </c>
      <c r="G1137" s="3" t="str">
        <f>VLOOKUP(C1137,layoffs_location!A:E,5,FALSE)</f>
        <v>North America</v>
      </c>
      <c r="H1137" s="3">
        <v>23</v>
      </c>
      <c r="I1137" s="8">
        <v>45014</v>
      </c>
      <c r="J1137" s="9">
        <v>28</v>
      </c>
      <c r="K1137" s="10">
        <v>82</v>
      </c>
      <c r="L1137" s="10">
        <v>59</v>
      </c>
      <c r="M1137" s="3" t="s">
        <v>21</v>
      </c>
      <c r="N1137" s="3" t="s">
        <v>28</v>
      </c>
      <c r="O1137" s="34">
        <v>59</v>
      </c>
      <c r="P1137" s="3">
        <v>2023</v>
      </c>
      <c r="Q1137" s="3">
        <f>VLOOKUP(C1137,layoffs_location!A:F,6,FALSE)</f>
        <v>42.765625100000001</v>
      </c>
      <c r="R1137" s="3">
        <f>VLOOKUP(C1137,layoffs_location!A:G,7,FALSE)</f>
        <v>-71.467703200000003</v>
      </c>
    </row>
    <row r="1138" spans="1:18" x14ac:dyDescent="0.2">
      <c r="A1138" s="3">
        <v>1137</v>
      </c>
      <c r="B1138" s="3" t="s">
        <v>361</v>
      </c>
      <c r="C1138" s="3" t="s">
        <v>362</v>
      </c>
      <c r="D1138" s="3" t="str">
        <f>VLOOKUP(C1138,layoffs_location!A:B,2,FALSE)</f>
        <v>other</v>
      </c>
      <c r="E1138" s="3" t="str">
        <f>VLOOKUP(C1138,layoffs_location!A:C,3,FALSE)</f>
        <v>Pennsylvania</v>
      </c>
      <c r="F1138" s="3" t="str">
        <f>VLOOKUP(C1138,layoffs_location!A:D,4,FALSE)</f>
        <v>USA</v>
      </c>
      <c r="G1138" s="3" t="str">
        <f>VLOOKUP(C1138,layoffs_location!A:E,5,FALSE)</f>
        <v>North America</v>
      </c>
      <c r="H1138" s="3">
        <v>17</v>
      </c>
      <c r="I1138" s="8">
        <v>45015</v>
      </c>
      <c r="J1138" s="9">
        <v>15</v>
      </c>
      <c r="K1138" s="10">
        <v>113</v>
      </c>
      <c r="L1138" s="10">
        <v>96</v>
      </c>
      <c r="M1138" s="3" t="s">
        <v>92</v>
      </c>
      <c r="N1138" s="3" t="s">
        <v>41</v>
      </c>
      <c r="O1138" s="34">
        <v>116</v>
      </c>
      <c r="P1138" s="3">
        <v>2023</v>
      </c>
      <c r="Q1138" s="3">
        <f>VLOOKUP(C1138,layoffs_location!A:F,6,FALSE)</f>
        <v>39.9527237</v>
      </c>
      <c r="R1138" s="3">
        <f>VLOOKUP(C1138,layoffs_location!A:G,7,FALSE)</f>
        <v>-75.163526200000007</v>
      </c>
    </row>
    <row r="1139" spans="1:18" x14ac:dyDescent="0.2">
      <c r="A1139" s="3">
        <v>1138</v>
      </c>
      <c r="B1139" s="3" t="s">
        <v>359</v>
      </c>
      <c r="C1139" s="3" t="s">
        <v>182</v>
      </c>
      <c r="D1139" s="3" t="str">
        <f>VLOOKUP(C1139,layoffs_location!A:B,2,FALSE)</f>
        <v>other</v>
      </c>
      <c r="E1139" s="3" t="str">
        <f>VLOOKUP(C1139,layoffs_location!A:C,3,FALSE)</f>
        <v>Haryana</v>
      </c>
      <c r="F1139" s="3" t="str">
        <f>VLOOKUP(C1139,layoffs_location!A:D,4,FALSE)</f>
        <v>India</v>
      </c>
      <c r="G1139" s="3" t="str">
        <f>VLOOKUP(C1139,layoffs_location!A:E,5,FALSE)</f>
        <v>Asia</v>
      </c>
      <c r="H1139" s="3">
        <v>100</v>
      </c>
      <c r="I1139" s="8">
        <v>45015</v>
      </c>
      <c r="J1139" s="9">
        <v>75</v>
      </c>
      <c r="K1139" s="10">
        <v>133</v>
      </c>
      <c r="L1139" s="10">
        <v>33</v>
      </c>
      <c r="M1139" s="3" t="s">
        <v>16</v>
      </c>
      <c r="N1139" s="3" t="s">
        <v>49</v>
      </c>
      <c r="O1139" s="34">
        <v>50</v>
      </c>
      <c r="P1139" s="3">
        <v>2023</v>
      </c>
      <c r="Q1139" s="3">
        <f>VLOOKUP(C1139,layoffs_location!A:F,6,FALSE)</f>
        <v>28.4646148</v>
      </c>
      <c r="R1139" s="3">
        <f>VLOOKUP(C1139,layoffs_location!A:G,7,FALSE)</f>
        <v>77.029919399999997</v>
      </c>
    </row>
    <row r="1140" spans="1:18" x14ac:dyDescent="0.2">
      <c r="A1140" s="3">
        <v>1139</v>
      </c>
      <c r="B1140" s="3" t="s">
        <v>360</v>
      </c>
      <c r="C1140" s="3" t="s">
        <v>83</v>
      </c>
      <c r="D1140" s="3" t="str">
        <f>VLOOKUP(C1140,layoffs_location!A:B,2,FALSE)</f>
        <v>other</v>
      </c>
      <c r="E1140" s="3" t="str">
        <f>VLOOKUP(C1140,layoffs_location!A:C,3,FALSE)</f>
        <v>Texas</v>
      </c>
      <c r="F1140" s="3" t="str">
        <f>VLOOKUP(C1140,layoffs_location!A:D,4,FALSE)</f>
        <v>USA</v>
      </c>
      <c r="G1140" s="3" t="str">
        <f>VLOOKUP(C1140,layoffs_location!A:E,5,FALSE)</f>
        <v>North America</v>
      </c>
      <c r="H1140" s="3">
        <v>19</v>
      </c>
      <c r="I1140" s="8">
        <v>45015</v>
      </c>
      <c r="J1140" s="9">
        <v>25</v>
      </c>
      <c r="K1140" s="10">
        <v>76</v>
      </c>
      <c r="L1140" s="10">
        <v>57</v>
      </c>
      <c r="M1140" s="3" t="s">
        <v>35</v>
      </c>
      <c r="N1140" s="3" t="s">
        <v>69</v>
      </c>
      <c r="O1140" s="34">
        <v>24</v>
      </c>
      <c r="P1140" s="3">
        <v>2023</v>
      </c>
      <c r="Q1140" s="3">
        <f>VLOOKUP(C1140,layoffs_location!A:F,6,FALSE)</f>
        <v>30.271128600000001</v>
      </c>
      <c r="R1140" s="3">
        <f>VLOOKUP(C1140,layoffs_location!A:G,7,FALSE)</f>
        <v>-97.743699500000005</v>
      </c>
    </row>
    <row r="1141" spans="1:18" x14ac:dyDescent="0.2">
      <c r="A1141" s="3">
        <v>1140</v>
      </c>
      <c r="B1141" s="3" t="s">
        <v>143</v>
      </c>
      <c r="C1141" s="3" t="s">
        <v>1694</v>
      </c>
      <c r="D1141" s="3" t="str">
        <f>VLOOKUP(C1141,layoffs_location!A:B,2,FALSE)</f>
        <v>San Francisco Bay Area</v>
      </c>
      <c r="E1141" s="3" t="str">
        <f>VLOOKUP(C1141,layoffs_location!A:C,3,FALSE)</f>
        <v>California</v>
      </c>
      <c r="F1141" s="3" t="str">
        <f>VLOOKUP(C1141,layoffs_location!A:D,4,FALSE)</f>
        <v>USA</v>
      </c>
      <c r="G1141" s="3" t="str">
        <f>VLOOKUP(C1141,layoffs_location!A:E,5,FALSE)</f>
        <v>North America</v>
      </c>
      <c r="H1141" s="3">
        <v>200</v>
      </c>
      <c r="I1141" s="8">
        <v>45015</v>
      </c>
      <c r="J1141" s="9">
        <v>6</v>
      </c>
      <c r="K1141" s="10">
        <v>3333</v>
      </c>
      <c r="L1141" s="10">
        <v>3133</v>
      </c>
      <c r="M1141" s="3" t="s">
        <v>54</v>
      </c>
      <c r="N1141" s="3" t="s">
        <v>28</v>
      </c>
      <c r="O1141" s="34">
        <v>208</v>
      </c>
      <c r="P1141" s="3">
        <v>2023</v>
      </c>
      <c r="Q1141" s="3">
        <f>VLOOKUP(C1141,layoffs_location!A:F,6,FALSE)</f>
        <v>37.336166300000002</v>
      </c>
      <c r="R1141" s="3">
        <f>VLOOKUP(C1141,layoffs_location!A:G,7,FALSE)</f>
        <v>-121.890591</v>
      </c>
    </row>
    <row r="1142" spans="1:18" x14ac:dyDescent="0.2">
      <c r="A1142" s="3">
        <v>1141</v>
      </c>
      <c r="B1142" s="3" t="s">
        <v>356</v>
      </c>
      <c r="C1142" s="3" t="s">
        <v>357</v>
      </c>
      <c r="D1142" s="3" t="str">
        <f>VLOOKUP(C1142,layoffs_location!A:B,2,FALSE)</f>
        <v>other</v>
      </c>
      <c r="E1142" s="3" t="str">
        <f>VLOOKUP(C1142,layoffs_location!A:C,3,FALSE)</f>
        <v>Community of Madrid</v>
      </c>
      <c r="F1142" s="3" t="str">
        <f>VLOOKUP(C1142,layoffs_location!A:D,4,FALSE)</f>
        <v>Spain</v>
      </c>
      <c r="G1142" s="3" t="str">
        <f>VLOOKUP(C1142,layoffs_location!A:E,5,FALSE)</f>
        <v>Europe</v>
      </c>
      <c r="H1142" s="3">
        <v>89</v>
      </c>
      <c r="I1142" s="8">
        <v>45016</v>
      </c>
      <c r="J1142" s="9">
        <v>45</v>
      </c>
      <c r="K1142" s="10">
        <v>198</v>
      </c>
      <c r="L1142" s="10">
        <v>109</v>
      </c>
      <c r="M1142" s="3" t="s">
        <v>68</v>
      </c>
      <c r="N1142" s="3" t="s">
        <v>108</v>
      </c>
      <c r="O1142" s="34">
        <v>130</v>
      </c>
      <c r="P1142" s="3">
        <v>2023</v>
      </c>
      <c r="Q1142" s="3">
        <f>VLOOKUP(C1142,layoffs_location!A:F,6,FALSE)</f>
        <v>40.416704699999997</v>
      </c>
      <c r="R1142" s="3">
        <f>VLOOKUP(C1142,layoffs_location!A:G,7,FALSE)</f>
        <v>-3.7035825</v>
      </c>
    </row>
    <row r="1143" spans="1:18" x14ac:dyDescent="0.2">
      <c r="A1143" s="3">
        <v>1142</v>
      </c>
      <c r="B1143" s="3" t="s">
        <v>354</v>
      </c>
      <c r="C1143" s="3" t="s">
        <v>1718</v>
      </c>
      <c r="D1143" s="3" t="str">
        <f>VLOOKUP(C1143,layoffs_location!A:B,2,FALSE)</f>
        <v>San Francisco Bay Area</v>
      </c>
      <c r="E1143" s="3" t="str">
        <f>VLOOKUP(C1143,layoffs_location!A:C,3,FALSE)</f>
        <v>California</v>
      </c>
      <c r="F1143" s="3" t="str">
        <f>VLOOKUP(C1143,layoffs_location!A:D,4,FALSE)</f>
        <v>USA</v>
      </c>
      <c r="G1143" s="3" t="str">
        <f>VLOOKUP(C1143,layoffs_location!A:E,5,FALSE)</f>
        <v>North America</v>
      </c>
      <c r="H1143" s="3">
        <v>48</v>
      </c>
      <c r="I1143" s="8">
        <v>45019</v>
      </c>
      <c r="J1143" s="9">
        <v>11</v>
      </c>
      <c r="K1143" s="10">
        <v>436</v>
      </c>
      <c r="L1143" s="10">
        <v>388</v>
      </c>
      <c r="M1143" s="3" t="s">
        <v>35</v>
      </c>
      <c r="N1143" s="3" t="s">
        <v>36</v>
      </c>
      <c r="O1143" s="34">
        <v>339</v>
      </c>
      <c r="P1143" s="3">
        <v>2023</v>
      </c>
      <c r="Q1143" s="3">
        <f>VLOOKUP(C1143,layoffs_location!A:F,6,FALSE)</f>
        <v>37.578096500000001</v>
      </c>
      <c r="R1143" s="3">
        <f>VLOOKUP(C1143,layoffs_location!A:G,7,FALSE)</f>
        <v>-122.3473099</v>
      </c>
    </row>
    <row r="1144" spans="1:18" x14ac:dyDescent="0.2">
      <c r="A1144" s="3">
        <v>1143</v>
      </c>
      <c r="B1144" s="3" t="s">
        <v>355</v>
      </c>
      <c r="C1144" s="3" t="s">
        <v>43</v>
      </c>
      <c r="D1144" s="3" t="str">
        <f>VLOOKUP(C1144,layoffs_location!A:B,2,FALSE)</f>
        <v>Cascadia</v>
      </c>
      <c r="E1144" s="3" t="str">
        <f>VLOOKUP(C1144,layoffs_location!A:C,3,FALSE)</f>
        <v>Washington</v>
      </c>
      <c r="F1144" s="3" t="str">
        <f>VLOOKUP(C1144,layoffs_location!A:D,4,FALSE)</f>
        <v>USA</v>
      </c>
      <c r="G1144" s="3" t="str">
        <f>VLOOKUP(C1144,layoffs_location!A:E,5,FALSE)</f>
        <v>North America</v>
      </c>
      <c r="H1144" s="3">
        <v>15</v>
      </c>
      <c r="I1144" s="8">
        <v>45019</v>
      </c>
      <c r="J1144" s="9">
        <v>12</v>
      </c>
      <c r="K1144" s="10">
        <v>125</v>
      </c>
      <c r="L1144" s="10">
        <v>110</v>
      </c>
      <c r="M1144" s="3" t="s">
        <v>84</v>
      </c>
      <c r="N1144" s="3" t="s">
        <v>22</v>
      </c>
      <c r="O1144" s="34">
        <v>42</v>
      </c>
      <c r="P1144" s="3">
        <v>2023</v>
      </c>
      <c r="Q1144" s="3">
        <f>VLOOKUP(C1144,layoffs_location!A:F,6,FALSE)</f>
        <v>47.603832099999998</v>
      </c>
      <c r="R1144" s="3">
        <f>VLOOKUP(C1144,layoffs_location!A:G,7,FALSE)</f>
        <v>-122.330062</v>
      </c>
    </row>
    <row r="1145" spans="1:18" x14ac:dyDescent="0.2">
      <c r="A1145" s="3">
        <v>1144</v>
      </c>
      <c r="B1145" s="3" t="s">
        <v>353</v>
      </c>
      <c r="C1145" s="3" t="s">
        <v>1408</v>
      </c>
      <c r="D1145" s="3" t="str">
        <f>VLOOKUP(C1145,layoffs_location!A:B,2,FALSE)</f>
        <v>San Francisco Bay Area</v>
      </c>
      <c r="E1145" s="3" t="str">
        <f>VLOOKUP(C1145,layoffs_location!A:C,3,FALSE)</f>
        <v>California</v>
      </c>
      <c r="F1145" s="3" t="str">
        <f>VLOOKUP(C1145,layoffs_location!A:D,4,FALSE)</f>
        <v>USA</v>
      </c>
      <c r="G1145" s="3" t="str">
        <f>VLOOKUP(C1145,layoffs_location!A:E,5,FALSE)</f>
        <v>North America</v>
      </c>
      <c r="H1145" s="3">
        <v>170</v>
      </c>
      <c r="I1145" s="8">
        <v>45019</v>
      </c>
      <c r="J1145" s="9">
        <v>23</v>
      </c>
      <c r="K1145" s="10">
        <v>739</v>
      </c>
      <c r="L1145" s="10">
        <v>569</v>
      </c>
      <c r="M1145" s="3" t="s">
        <v>60</v>
      </c>
      <c r="N1145" s="3" t="s">
        <v>28</v>
      </c>
      <c r="O1145" s="34">
        <v>2300</v>
      </c>
      <c r="P1145" s="3">
        <v>2023</v>
      </c>
      <c r="Q1145" s="3">
        <f>VLOOKUP(C1145,layoffs_location!A:F,6,FALSE)</f>
        <v>37.3893889</v>
      </c>
      <c r="R1145" s="3">
        <f>VLOOKUP(C1145,layoffs_location!A:G,7,FALSE)</f>
        <v>-122.0832101</v>
      </c>
    </row>
    <row r="1146" spans="1:18" x14ac:dyDescent="0.2">
      <c r="A1146" s="3">
        <v>1145</v>
      </c>
      <c r="B1146" s="3" t="s">
        <v>352</v>
      </c>
      <c r="C1146" s="3" t="s">
        <v>39</v>
      </c>
      <c r="D1146" s="3" t="str">
        <f>VLOOKUP(C1146,layoffs_location!A:B,2,FALSE)</f>
        <v>New York</v>
      </c>
      <c r="E1146" s="3" t="str">
        <f>VLOOKUP(C1146,layoffs_location!A:C,3,FALSE)</f>
        <v>New York</v>
      </c>
      <c r="F1146" s="3" t="str">
        <f>VLOOKUP(C1146,layoffs_location!A:D,4,FALSE)</f>
        <v>USA</v>
      </c>
      <c r="G1146" s="3" t="str">
        <f>VLOOKUP(C1146,layoffs_location!A:E,5,FALSE)</f>
        <v>North America</v>
      </c>
      <c r="H1146" s="3">
        <v>15</v>
      </c>
      <c r="I1146" s="8">
        <v>45020</v>
      </c>
      <c r="J1146" s="9">
        <v>20</v>
      </c>
      <c r="K1146" s="10">
        <v>75</v>
      </c>
      <c r="L1146" s="10">
        <v>60</v>
      </c>
      <c r="M1146" s="3" t="s">
        <v>35</v>
      </c>
      <c r="N1146" s="3" t="s">
        <v>49</v>
      </c>
      <c r="O1146" s="34">
        <v>37</v>
      </c>
      <c r="P1146" s="3">
        <v>2023</v>
      </c>
      <c r="Q1146" s="3">
        <f>VLOOKUP(C1146,layoffs_location!A:F,6,FALSE)</f>
        <v>40.7127281</v>
      </c>
      <c r="R1146" s="3">
        <f>VLOOKUP(C1146,layoffs_location!A:G,7,FALSE)</f>
        <v>-74.006015199999993</v>
      </c>
    </row>
    <row r="1147" spans="1:18" x14ac:dyDescent="0.2">
      <c r="A1147" s="3">
        <v>1146</v>
      </c>
      <c r="B1147" s="3" t="s">
        <v>350</v>
      </c>
      <c r="C1147" s="3" t="s">
        <v>1706</v>
      </c>
      <c r="D1147" s="3" t="str">
        <f>VLOOKUP(C1147,layoffs_location!A:B,2,FALSE)</f>
        <v>San Francisco Bay Area</v>
      </c>
      <c r="E1147" s="3" t="str">
        <f>VLOOKUP(C1147,layoffs_location!A:C,3,FALSE)</f>
        <v>California</v>
      </c>
      <c r="F1147" s="3" t="str">
        <f>VLOOKUP(C1147,layoffs_location!A:D,4,FALSE)</f>
        <v>USA</v>
      </c>
      <c r="G1147" s="3" t="str">
        <f>VLOOKUP(C1147,layoffs_location!A:E,5,FALSE)</f>
        <v>North America</v>
      </c>
      <c r="H1147" s="3">
        <v>99</v>
      </c>
      <c r="I1147" s="8">
        <v>45021</v>
      </c>
      <c r="J1147" s="9">
        <v>13</v>
      </c>
      <c r="K1147" s="10">
        <v>762</v>
      </c>
      <c r="L1147" s="10">
        <v>663</v>
      </c>
      <c r="M1147" s="3" t="s">
        <v>79</v>
      </c>
      <c r="N1147" s="3" t="s">
        <v>28</v>
      </c>
      <c r="O1147" s="34">
        <v>311</v>
      </c>
      <c r="P1147" s="3">
        <v>2023</v>
      </c>
      <c r="Q1147" s="3">
        <f>VLOOKUP(C1147,layoffs_location!A:F,6,FALSE)</f>
        <v>37.433227299999999</v>
      </c>
      <c r="R1147" s="3">
        <f>VLOOKUP(C1147,layoffs_location!A:G,7,FALSE)</f>
        <v>-121.8989248</v>
      </c>
    </row>
    <row r="1148" spans="1:18" x14ac:dyDescent="0.2">
      <c r="A1148" s="3">
        <v>1147</v>
      </c>
      <c r="B1148" s="3" t="s">
        <v>123</v>
      </c>
      <c r="C1148" s="3" t="s">
        <v>13</v>
      </c>
      <c r="D1148" s="3" t="str">
        <f>VLOOKUP(C1148,layoffs_location!A:B,2,FALSE)</f>
        <v>other</v>
      </c>
      <c r="E1148" s="3" t="str">
        <f>VLOOKUP(C1148,layoffs_location!A:C,3,FALSE)</f>
        <v>Karnataka</v>
      </c>
      <c r="F1148" s="3" t="str">
        <f>VLOOKUP(C1148,layoffs_location!A:D,4,FALSE)</f>
        <v>India</v>
      </c>
      <c r="G1148" s="3" t="str">
        <f>VLOOKUP(C1148,layoffs_location!A:E,5,FALSE)</f>
        <v>Asia</v>
      </c>
      <c r="H1148" s="3">
        <v>300</v>
      </c>
      <c r="I1148" s="8">
        <v>45021</v>
      </c>
      <c r="J1148" s="9">
        <v>30</v>
      </c>
      <c r="K1148" s="10">
        <v>1000</v>
      </c>
      <c r="L1148" s="10">
        <v>700</v>
      </c>
      <c r="M1148" s="3" t="s">
        <v>77</v>
      </c>
      <c r="N1148" s="3" t="s">
        <v>22</v>
      </c>
      <c r="O1148" s="34">
        <v>382</v>
      </c>
      <c r="P1148" s="3">
        <v>2023</v>
      </c>
      <c r="Q1148" s="3">
        <f>VLOOKUP(C1148,layoffs_location!A:F,6,FALSE)</f>
        <v>12.98815675</v>
      </c>
      <c r="R1148" s="3">
        <f>VLOOKUP(C1148,layoffs_location!A:G,7,FALSE)</f>
        <v>77.622600037959998</v>
      </c>
    </row>
    <row r="1149" spans="1:18" x14ac:dyDescent="0.2">
      <c r="A1149" s="3">
        <v>1148</v>
      </c>
      <c r="B1149" s="3" t="s">
        <v>351</v>
      </c>
      <c r="C1149" s="3" t="s">
        <v>115</v>
      </c>
      <c r="D1149" s="3" t="str">
        <f>VLOOKUP(C1149,layoffs_location!A:B,2,FALSE)</f>
        <v>other</v>
      </c>
      <c r="E1149" s="3" t="str">
        <f>VLOOKUP(C1149,layoffs_location!A:C,3,FALSE)</f>
        <v>Quebec</v>
      </c>
      <c r="F1149" s="3" t="str">
        <f>VLOOKUP(C1149,layoffs_location!A:D,4,FALSE)</f>
        <v>Canada</v>
      </c>
      <c r="G1149" s="3" t="str">
        <f>VLOOKUP(C1149,layoffs_location!A:E,5,FALSE)</f>
        <v>North America</v>
      </c>
      <c r="H1149" s="3">
        <v>86</v>
      </c>
      <c r="I1149" s="8">
        <v>45021</v>
      </c>
      <c r="J1149" s="9">
        <v>18</v>
      </c>
      <c r="K1149" s="10">
        <v>478</v>
      </c>
      <c r="L1149" s="10">
        <v>392</v>
      </c>
      <c r="M1149" s="3" t="s">
        <v>84</v>
      </c>
      <c r="N1149" s="3" t="s">
        <v>49</v>
      </c>
      <c r="O1149" s="34">
        <v>150</v>
      </c>
      <c r="P1149" s="3">
        <v>2023</v>
      </c>
      <c r="Q1149" s="3">
        <f>VLOOKUP(C1149,layoffs_location!A:F,6,FALSE)</f>
        <v>45.5031824</v>
      </c>
      <c r="R1149" s="3">
        <f>VLOOKUP(C1149,layoffs_location!A:G,7,FALSE)</f>
        <v>-73.569806499999999</v>
      </c>
    </row>
    <row r="1150" spans="1:18" x14ac:dyDescent="0.2">
      <c r="A1150" s="3">
        <v>1149</v>
      </c>
      <c r="B1150" s="3" t="s">
        <v>349</v>
      </c>
      <c r="C1150" s="3" t="s">
        <v>71</v>
      </c>
      <c r="D1150" s="3" t="str">
        <f>VLOOKUP(C1150,layoffs_location!A:B,2,FALSE)</f>
        <v>other</v>
      </c>
      <c r="E1150" s="3" t="str">
        <f>VLOOKUP(C1150,layoffs_location!A:C,3,FALSE)</f>
        <v>Massachusetts</v>
      </c>
      <c r="F1150" s="3" t="str">
        <f>VLOOKUP(C1150,layoffs_location!A:D,4,FALSE)</f>
        <v>USA</v>
      </c>
      <c r="G1150" s="3" t="str">
        <f>VLOOKUP(C1150,layoffs_location!A:E,5,FALSE)</f>
        <v>North America</v>
      </c>
      <c r="H1150" s="3">
        <v>170</v>
      </c>
      <c r="I1150" s="8">
        <v>45023</v>
      </c>
      <c r="J1150" s="9">
        <v>92</v>
      </c>
      <c r="K1150" s="10">
        <v>185</v>
      </c>
      <c r="L1150" s="10">
        <v>15</v>
      </c>
      <c r="M1150" s="3" t="s">
        <v>21</v>
      </c>
      <c r="N1150" s="3" t="s">
        <v>28</v>
      </c>
      <c r="O1150" s="34">
        <v>409</v>
      </c>
      <c r="P1150" s="3">
        <v>2023</v>
      </c>
      <c r="Q1150" s="3">
        <f>VLOOKUP(C1150,layoffs_location!A:F,6,FALSE)</f>
        <v>42.355433400000003</v>
      </c>
      <c r="R1150" s="3">
        <f>VLOOKUP(C1150,layoffs_location!A:G,7,FALSE)</f>
        <v>-71.060511000000005</v>
      </c>
    </row>
    <row r="1151" spans="1:18" x14ac:dyDescent="0.2">
      <c r="A1151" s="3">
        <v>1150</v>
      </c>
      <c r="B1151" s="3" t="s">
        <v>44</v>
      </c>
      <c r="C1151" s="3" t="s">
        <v>13</v>
      </c>
      <c r="D1151" s="3" t="str">
        <f>VLOOKUP(C1151,layoffs_location!A:B,2,FALSE)</f>
        <v>other</v>
      </c>
      <c r="E1151" s="3" t="str">
        <f>VLOOKUP(C1151,layoffs_location!A:C,3,FALSE)</f>
        <v>Karnataka</v>
      </c>
      <c r="F1151" s="3" t="str">
        <f>VLOOKUP(C1151,layoffs_location!A:D,4,FALSE)</f>
        <v>India</v>
      </c>
      <c r="G1151" s="3" t="str">
        <f>VLOOKUP(C1151,layoffs_location!A:E,5,FALSE)</f>
        <v>Asia</v>
      </c>
      <c r="H1151" s="3">
        <v>100</v>
      </c>
      <c r="I1151" s="8">
        <v>45023</v>
      </c>
      <c r="J1151" s="9">
        <v>20</v>
      </c>
      <c r="K1151" s="10">
        <v>500</v>
      </c>
      <c r="L1151" s="10">
        <v>400</v>
      </c>
      <c r="M1151" s="3" t="s">
        <v>35</v>
      </c>
      <c r="N1151" s="3" t="s">
        <v>41</v>
      </c>
      <c r="O1151" s="34">
        <v>120</v>
      </c>
      <c r="P1151" s="3">
        <v>2023</v>
      </c>
      <c r="Q1151" s="3">
        <f>VLOOKUP(C1151,layoffs_location!A:F,6,FALSE)</f>
        <v>12.98815675</v>
      </c>
      <c r="R1151" s="3">
        <f>VLOOKUP(C1151,layoffs_location!A:G,7,FALSE)</f>
        <v>77.622600037959998</v>
      </c>
    </row>
    <row r="1152" spans="1:18" x14ac:dyDescent="0.2">
      <c r="A1152" s="3">
        <v>1151</v>
      </c>
      <c r="B1152" s="3" t="s">
        <v>348</v>
      </c>
      <c r="C1152" s="3" t="s">
        <v>13</v>
      </c>
      <c r="D1152" s="3" t="str">
        <f>VLOOKUP(C1152,layoffs_location!A:B,2,FALSE)</f>
        <v>other</v>
      </c>
      <c r="E1152" s="3" t="str">
        <f>VLOOKUP(C1152,layoffs_location!A:C,3,FALSE)</f>
        <v>Karnataka</v>
      </c>
      <c r="F1152" s="3" t="str">
        <f>VLOOKUP(C1152,layoffs_location!A:D,4,FALSE)</f>
        <v>India</v>
      </c>
      <c r="G1152" s="3" t="str">
        <f>VLOOKUP(C1152,layoffs_location!A:E,5,FALSE)</f>
        <v>Asia</v>
      </c>
      <c r="H1152" s="3">
        <v>150</v>
      </c>
      <c r="I1152" s="8">
        <v>45025</v>
      </c>
      <c r="J1152" s="9">
        <v>25</v>
      </c>
      <c r="K1152" s="10">
        <v>600</v>
      </c>
      <c r="L1152" s="10">
        <v>450</v>
      </c>
      <c r="M1152" s="3" t="s">
        <v>35</v>
      </c>
      <c r="N1152" s="3" t="s">
        <v>49</v>
      </c>
      <c r="O1152" s="34">
        <v>71</v>
      </c>
      <c r="P1152" s="3">
        <v>2023</v>
      </c>
      <c r="Q1152" s="3">
        <f>VLOOKUP(C1152,layoffs_location!A:F,6,FALSE)</f>
        <v>12.98815675</v>
      </c>
      <c r="R1152" s="3">
        <f>VLOOKUP(C1152,layoffs_location!A:G,7,FALSE)</f>
        <v>77.622600037959998</v>
      </c>
    </row>
    <row r="1153" spans="1:18" x14ac:dyDescent="0.2">
      <c r="A1153" s="3">
        <v>1152</v>
      </c>
      <c r="B1153" s="3" t="s">
        <v>346</v>
      </c>
      <c r="C1153" s="3" t="s">
        <v>74</v>
      </c>
      <c r="D1153" s="3" t="str">
        <f>VLOOKUP(C1153,layoffs_location!A:B,2,FALSE)</f>
        <v>other</v>
      </c>
      <c r="E1153" s="3" t="str">
        <f>VLOOKUP(C1153,layoffs_location!A:C,3,FALSE)</f>
        <v>California</v>
      </c>
      <c r="F1153" s="3" t="str">
        <f>VLOOKUP(C1153,layoffs_location!A:D,4,FALSE)</f>
        <v>USA</v>
      </c>
      <c r="G1153" s="3" t="str">
        <f>VLOOKUP(C1153,layoffs_location!A:E,5,FALSE)</f>
        <v>North America</v>
      </c>
      <c r="H1153" s="3">
        <v>45</v>
      </c>
      <c r="I1153" s="8">
        <v>45026</v>
      </c>
      <c r="J1153" s="9">
        <v>8</v>
      </c>
      <c r="K1153" s="10">
        <v>563</v>
      </c>
      <c r="L1153" s="10">
        <v>518</v>
      </c>
      <c r="M1153" s="3" t="s">
        <v>90</v>
      </c>
      <c r="N1153" s="3" t="s">
        <v>108</v>
      </c>
      <c r="O1153" s="34">
        <v>399</v>
      </c>
      <c r="P1153" s="3">
        <v>2023</v>
      </c>
      <c r="Q1153" s="3">
        <f>VLOOKUP(C1153,layoffs_location!A:F,6,FALSE)</f>
        <v>32.717420199999999</v>
      </c>
      <c r="R1153" s="3">
        <f>VLOOKUP(C1153,layoffs_location!A:G,7,FALSE)</f>
        <v>-117.162772</v>
      </c>
    </row>
    <row r="1154" spans="1:18" x14ac:dyDescent="0.2">
      <c r="A1154" s="3">
        <v>1153</v>
      </c>
      <c r="B1154" s="3" t="s">
        <v>347</v>
      </c>
      <c r="C1154" s="3" t="s">
        <v>43</v>
      </c>
      <c r="D1154" s="3" t="str">
        <f>VLOOKUP(C1154,layoffs_location!A:B,2,FALSE)</f>
        <v>Cascadia</v>
      </c>
      <c r="E1154" s="3" t="str">
        <f>VLOOKUP(C1154,layoffs_location!A:C,3,FALSE)</f>
        <v>Washington</v>
      </c>
      <c r="F1154" s="3" t="str">
        <f>VLOOKUP(C1154,layoffs_location!A:D,4,FALSE)</f>
        <v>USA</v>
      </c>
      <c r="G1154" s="3" t="str">
        <f>VLOOKUP(C1154,layoffs_location!A:E,5,FALSE)</f>
        <v>North America</v>
      </c>
      <c r="H1154" s="3">
        <v>10</v>
      </c>
      <c r="I1154" s="8">
        <v>45026</v>
      </c>
      <c r="J1154" s="9">
        <v>37</v>
      </c>
      <c r="K1154" s="10">
        <v>27</v>
      </c>
      <c r="L1154" s="10">
        <v>17</v>
      </c>
      <c r="M1154" s="3" t="s">
        <v>27</v>
      </c>
      <c r="N1154" s="3" t="s">
        <v>22</v>
      </c>
      <c r="O1154" s="34">
        <v>13</v>
      </c>
      <c r="P1154" s="3">
        <v>2023</v>
      </c>
      <c r="Q1154" s="3">
        <f>VLOOKUP(C1154,layoffs_location!A:F,6,FALSE)</f>
        <v>47.603832099999998</v>
      </c>
      <c r="R1154" s="3">
        <f>VLOOKUP(C1154,layoffs_location!A:G,7,FALSE)</f>
        <v>-122.330062</v>
      </c>
    </row>
    <row r="1155" spans="1:18" x14ac:dyDescent="0.2">
      <c r="A1155" s="3">
        <v>1154</v>
      </c>
      <c r="B1155" s="3" t="s">
        <v>345</v>
      </c>
      <c r="C1155" s="3" t="s">
        <v>292</v>
      </c>
      <c r="D1155" s="3" t="str">
        <f>VLOOKUP(C1155,layoffs_location!A:B,2,FALSE)</f>
        <v>other</v>
      </c>
      <c r="E1155" s="3" t="str">
        <f>VLOOKUP(C1155,layoffs_location!A:C,3,FALSE)</f>
        <v>non</v>
      </c>
      <c r="F1155" s="3" t="str">
        <f>VLOOKUP(C1155,layoffs_location!A:D,4,FALSE)</f>
        <v>Chile</v>
      </c>
      <c r="G1155" s="3" t="str">
        <f>VLOOKUP(C1155,layoffs_location!A:E,5,FALSE)</f>
        <v>South America</v>
      </c>
      <c r="H1155" s="3">
        <v>45</v>
      </c>
      <c r="I1155" s="8">
        <v>45027</v>
      </c>
      <c r="J1155" s="9">
        <v>25</v>
      </c>
      <c r="K1155" s="10">
        <v>180</v>
      </c>
      <c r="L1155" s="10">
        <v>135</v>
      </c>
      <c r="M1155" s="3" t="s">
        <v>21</v>
      </c>
      <c r="N1155" s="3" t="s">
        <v>22</v>
      </c>
      <c r="O1155" s="34">
        <v>19</v>
      </c>
      <c r="P1155" s="3">
        <v>2023</v>
      </c>
      <c r="Q1155" s="3">
        <f>VLOOKUP(C1155,layoffs_location!A:F,6,FALSE)</f>
        <v>-33.437775600000002</v>
      </c>
      <c r="R1155" s="3">
        <f>VLOOKUP(C1155,layoffs_location!A:G,7,FALSE)</f>
        <v>-70.650450199999995</v>
      </c>
    </row>
    <row r="1156" spans="1:18" x14ac:dyDescent="0.2">
      <c r="A1156" s="3">
        <v>1155</v>
      </c>
      <c r="B1156" s="3" t="s">
        <v>342</v>
      </c>
      <c r="C1156" s="3" t="s">
        <v>231</v>
      </c>
      <c r="D1156" s="3" t="str">
        <f>VLOOKUP(C1156,layoffs_location!A:B,2,FALSE)</f>
        <v>other</v>
      </c>
      <c r="E1156" s="3" t="str">
        <f>VLOOKUP(C1156,layoffs_location!A:C,3,FALSE)</f>
        <v>New South Wales</v>
      </c>
      <c r="F1156" s="3" t="str">
        <f>VLOOKUP(C1156,layoffs_location!A:D,4,FALSE)</f>
        <v>Australia</v>
      </c>
      <c r="G1156" s="3" t="str">
        <f>VLOOKUP(C1156,layoffs_location!A:E,5,FALSE)</f>
        <v>Oceana</v>
      </c>
      <c r="H1156" s="3">
        <v>400</v>
      </c>
      <c r="I1156" s="8">
        <v>45027</v>
      </c>
      <c r="J1156" s="9">
        <v>100</v>
      </c>
      <c r="K1156" s="10">
        <v>400</v>
      </c>
      <c r="L1156" s="10">
        <v>0</v>
      </c>
      <c r="M1156" s="3" t="s">
        <v>77</v>
      </c>
      <c r="N1156" s="3" t="s">
        <v>69</v>
      </c>
      <c r="O1156" s="34">
        <v>86</v>
      </c>
      <c r="P1156" s="3">
        <v>2023</v>
      </c>
      <c r="Q1156" s="3">
        <f>VLOOKUP(C1156,layoffs_location!A:F,6,FALSE)</f>
        <v>-33.869843899999999</v>
      </c>
      <c r="R1156" s="3">
        <f>VLOOKUP(C1156,layoffs_location!A:G,7,FALSE)</f>
        <v>151.2082848</v>
      </c>
    </row>
    <row r="1157" spans="1:18" x14ac:dyDescent="0.2">
      <c r="A1157" s="3">
        <v>1156</v>
      </c>
      <c r="B1157" s="3" t="s">
        <v>344</v>
      </c>
      <c r="C1157" s="3" t="s">
        <v>58</v>
      </c>
      <c r="D1157" s="3" t="str">
        <f>VLOOKUP(C1157,layoffs_location!A:B,2,FALSE)</f>
        <v>other</v>
      </c>
      <c r="E1157" s="3" t="str">
        <f>VLOOKUP(C1157,layoffs_location!A:C,3,FALSE)</f>
        <v>England</v>
      </c>
      <c r="F1157" s="3" t="str">
        <f>VLOOKUP(C1157,layoffs_location!A:D,4,FALSE)</f>
        <v>UK</v>
      </c>
      <c r="G1157" s="3" t="str">
        <f>VLOOKUP(C1157,layoffs_location!A:E,5,FALSE)</f>
        <v>Europe</v>
      </c>
      <c r="H1157" s="3">
        <v>80</v>
      </c>
      <c r="I1157" s="8">
        <v>45027</v>
      </c>
      <c r="J1157" s="9">
        <v>40</v>
      </c>
      <c r="K1157" s="10">
        <v>200</v>
      </c>
      <c r="L1157" s="10">
        <v>120</v>
      </c>
      <c r="M1157" s="3" t="s">
        <v>130</v>
      </c>
      <c r="N1157" s="3" t="s">
        <v>41</v>
      </c>
      <c r="O1157" s="34">
        <v>105</v>
      </c>
      <c r="P1157" s="3">
        <v>2023</v>
      </c>
      <c r="Q1157" s="3">
        <f>VLOOKUP(C1157,layoffs_location!A:F,6,FALSE)</f>
        <v>51.489333500000001</v>
      </c>
      <c r="R1157" s="3">
        <f>VLOOKUP(C1157,layoffs_location!A:G,7,FALSE)</f>
        <v>-0.14405508452768701</v>
      </c>
    </row>
    <row r="1158" spans="1:18" x14ac:dyDescent="0.2">
      <c r="A1158" s="3">
        <v>1157</v>
      </c>
      <c r="B1158" s="3" t="s">
        <v>343</v>
      </c>
      <c r="C1158" s="3" t="s">
        <v>43</v>
      </c>
      <c r="D1158" s="3" t="str">
        <f>VLOOKUP(C1158,layoffs_location!A:B,2,FALSE)</f>
        <v>Cascadia</v>
      </c>
      <c r="E1158" s="3" t="str">
        <f>VLOOKUP(C1158,layoffs_location!A:C,3,FALSE)</f>
        <v>Washington</v>
      </c>
      <c r="F1158" s="3" t="str">
        <f>VLOOKUP(C1158,layoffs_location!A:D,4,FALSE)</f>
        <v>USA</v>
      </c>
      <c r="G1158" s="3" t="str">
        <f>VLOOKUP(C1158,layoffs_location!A:E,5,FALSE)</f>
        <v>North America</v>
      </c>
      <c r="H1158" s="3">
        <v>201</v>
      </c>
      <c r="I1158" s="8">
        <v>45027</v>
      </c>
      <c r="J1158" s="9">
        <v>4</v>
      </c>
      <c r="K1158" s="10">
        <v>5025</v>
      </c>
      <c r="L1158" s="10">
        <v>4824</v>
      </c>
      <c r="M1158" s="3" t="s">
        <v>137</v>
      </c>
      <c r="N1158" s="3" t="s">
        <v>28</v>
      </c>
      <c r="O1158" s="34">
        <v>320</v>
      </c>
      <c r="P1158" s="3">
        <v>2023</v>
      </c>
      <c r="Q1158" s="3">
        <f>VLOOKUP(C1158,layoffs_location!A:F,6,FALSE)</f>
        <v>47.603832099999998</v>
      </c>
      <c r="R1158" s="3">
        <f>VLOOKUP(C1158,layoffs_location!A:G,7,FALSE)</f>
        <v>-122.330062</v>
      </c>
    </row>
    <row r="1159" spans="1:18" x14ac:dyDescent="0.2">
      <c r="A1159" s="3">
        <v>1158</v>
      </c>
      <c r="B1159" s="3" t="s">
        <v>73</v>
      </c>
      <c r="C1159" s="3" t="s">
        <v>74</v>
      </c>
      <c r="D1159" s="3" t="str">
        <f>VLOOKUP(C1159,layoffs_location!A:B,2,FALSE)</f>
        <v>other</v>
      </c>
      <c r="E1159" s="3" t="str">
        <f>VLOOKUP(C1159,layoffs_location!A:C,3,FALSE)</f>
        <v>California</v>
      </c>
      <c r="F1159" s="3" t="str">
        <f>VLOOKUP(C1159,layoffs_location!A:D,4,FALSE)</f>
        <v>USA</v>
      </c>
      <c r="G1159" s="3" t="str">
        <f>VLOOKUP(C1159,layoffs_location!A:E,5,FALSE)</f>
        <v>North America</v>
      </c>
      <c r="H1159" s="3">
        <v>300</v>
      </c>
      <c r="I1159" s="8">
        <v>45028</v>
      </c>
      <c r="J1159" s="9">
        <v>4</v>
      </c>
      <c r="K1159" s="10">
        <v>7500</v>
      </c>
      <c r="L1159" s="10">
        <v>7200</v>
      </c>
      <c r="M1159" s="3" t="s">
        <v>60</v>
      </c>
      <c r="N1159" s="3" t="s">
        <v>28</v>
      </c>
      <c r="O1159" s="34">
        <v>366</v>
      </c>
      <c r="P1159" s="3">
        <v>2023</v>
      </c>
      <c r="Q1159" s="3">
        <f>VLOOKUP(C1159,layoffs_location!A:F,6,FALSE)</f>
        <v>32.717420199999999</v>
      </c>
      <c r="R1159" s="3">
        <f>VLOOKUP(C1159,layoffs_location!A:G,7,FALSE)</f>
        <v>-117.162772</v>
      </c>
    </row>
    <row r="1160" spans="1:18" x14ac:dyDescent="0.2">
      <c r="A1160" s="3">
        <v>1159</v>
      </c>
      <c r="B1160" s="3" t="s">
        <v>340</v>
      </c>
      <c r="C1160" s="3" t="s">
        <v>341</v>
      </c>
      <c r="D1160" s="3" t="str">
        <f>VLOOKUP(C1160,layoffs_location!A:B,2,FALSE)</f>
        <v>other</v>
      </c>
      <c r="E1160" s="3" t="str">
        <f>VLOOKUP(C1160,layoffs_location!A:C,3,FALSE)</f>
        <v>Ohio</v>
      </c>
      <c r="F1160" s="3" t="str">
        <f>VLOOKUP(C1160,layoffs_location!A:D,4,FALSE)</f>
        <v>USA</v>
      </c>
      <c r="G1160" s="3" t="str">
        <f>VLOOKUP(C1160,layoffs_location!A:E,5,FALSE)</f>
        <v>North America</v>
      </c>
      <c r="H1160" s="3">
        <v>100</v>
      </c>
      <c r="I1160" s="8">
        <v>45029</v>
      </c>
      <c r="J1160" s="9">
        <v>40</v>
      </c>
      <c r="K1160" s="10">
        <v>250</v>
      </c>
      <c r="L1160" s="10">
        <v>150</v>
      </c>
      <c r="M1160" s="3" t="s">
        <v>79</v>
      </c>
      <c r="N1160" s="3" t="s">
        <v>41</v>
      </c>
      <c r="O1160" s="34">
        <v>282</v>
      </c>
      <c r="P1160" s="3">
        <v>2023</v>
      </c>
      <c r="Q1160" s="3">
        <f>VLOOKUP(C1160,layoffs_location!A:F,6,FALSE)</f>
        <v>39.1014537</v>
      </c>
      <c r="R1160" s="3">
        <f>VLOOKUP(C1160,layoffs_location!A:G,7,FALSE)</f>
        <v>-84.512460200000007</v>
      </c>
    </row>
    <row r="1161" spans="1:18" x14ac:dyDescent="0.2">
      <c r="A1161" s="3">
        <v>1160</v>
      </c>
      <c r="B1161" s="3" t="s">
        <v>1684</v>
      </c>
      <c r="C1161" s="3" t="s">
        <v>39</v>
      </c>
      <c r="D1161" s="3" t="str">
        <f>VLOOKUP(C1161,layoffs_location!A:B,2,FALSE)</f>
        <v>New York</v>
      </c>
      <c r="E1161" s="3" t="str">
        <f>VLOOKUP(C1161,layoffs_location!A:C,3,FALSE)</f>
        <v>New York</v>
      </c>
      <c r="F1161" s="3" t="str">
        <f>VLOOKUP(C1161,layoffs_location!A:D,4,FALSE)</f>
        <v>USA</v>
      </c>
      <c r="G1161" s="3" t="str">
        <f>VLOOKUP(C1161,layoffs_location!A:E,5,FALSE)</f>
        <v>North America</v>
      </c>
      <c r="H1161" s="3">
        <v>17</v>
      </c>
      <c r="I1161" s="8">
        <v>45030</v>
      </c>
      <c r="J1161" s="9">
        <v>17</v>
      </c>
      <c r="K1161" s="10">
        <v>100</v>
      </c>
      <c r="L1161" s="10">
        <v>83</v>
      </c>
      <c r="M1161" s="3" t="s">
        <v>117</v>
      </c>
      <c r="N1161" s="3" t="s">
        <v>69</v>
      </c>
      <c r="O1161" s="34">
        <v>18</v>
      </c>
      <c r="P1161" s="3">
        <v>2023</v>
      </c>
      <c r="Q1161" s="3">
        <f>VLOOKUP(C1161,layoffs_location!A:F,6,FALSE)</f>
        <v>40.7127281</v>
      </c>
      <c r="R1161" s="3">
        <f>VLOOKUP(C1161,layoffs_location!A:G,7,FALSE)</f>
        <v>-74.006015199999993</v>
      </c>
    </row>
    <row r="1162" spans="1:18" x14ac:dyDescent="0.2">
      <c r="A1162" s="3">
        <v>1161</v>
      </c>
      <c r="B1162" s="3" t="s">
        <v>339</v>
      </c>
      <c r="C1162" s="3" t="s">
        <v>1473</v>
      </c>
      <c r="D1162" s="3" t="str">
        <f>VLOOKUP(C1162,layoffs_location!A:B,2,FALSE)</f>
        <v>San Francisco Bay Area</v>
      </c>
      <c r="E1162" s="3" t="str">
        <f>VLOOKUP(C1162,layoffs_location!A:C,3,FALSE)</f>
        <v>California</v>
      </c>
      <c r="F1162" s="3" t="str">
        <f>VLOOKUP(C1162,layoffs_location!A:D,4,FALSE)</f>
        <v>USA</v>
      </c>
      <c r="G1162" s="3" t="str">
        <f>VLOOKUP(C1162,layoffs_location!A:E,5,FALSE)</f>
        <v>North America</v>
      </c>
      <c r="H1162" s="3">
        <v>75</v>
      </c>
      <c r="I1162" s="8">
        <v>45030</v>
      </c>
      <c r="J1162" s="9">
        <v>20</v>
      </c>
      <c r="K1162" s="10">
        <v>375</v>
      </c>
      <c r="L1162" s="10">
        <v>300</v>
      </c>
      <c r="M1162" s="3" t="s">
        <v>35</v>
      </c>
      <c r="N1162" s="3" t="s">
        <v>41</v>
      </c>
      <c r="O1162" s="34">
        <v>85</v>
      </c>
      <c r="P1162" s="3">
        <v>2023</v>
      </c>
      <c r="Q1162" s="3">
        <f>VLOOKUP(C1162,layoffs_location!A:F,6,FALSE)</f>
        <v>37.4443293</v>
      </c>
      <c r="R1162" s="3">
        <f>VLOOKUP(C1162,layoffs_location!A:G,7,FALSE)</f>
        <v>-122.1598465</v>
      </c>
    </row>
    <row r="1163" spans="1:18" x14ac:dyDescent="0.2">
      <c r="A1163" s="3">
        <v>1162</v>
      </c>
      <c r="B1163" s="3" t="s">
        <v>337</v>
      </c>
      <c r="C1163" s="3" t="s">
        <v>154</v>
      </c>
      <c r="D1163" s="3" t="str">
        <f>VLOOKUP(C1163,layoffs_location!A:B,2,FALSE)</f>
        <v>other</v>
      </c>
      <c r="E1163" s="3" t="str">
        <f>VLOOKUP(C1163,layoffs_location!A:C,3,FALSE)</f>
        <v>Illinois</v>
      </c>
      <c r="F1163" s="3" t="str">
        <f>VLOOKUP(C1163,layoffs_location!A:D,4,FALSE)</f>
        <v>USA</v>
      </c>
      <c r="G1163" s="3" t="str">
        <f>VLOOKUP(C1163,layoffs_location!A:E,5,FALSE)</f>
        <v>North America</v>
      </c>
      <c r="H1163" s="3">
        <v>81</v>
      </c>
      <c r="I1163" s="8">
        <v>45033</v>
      </c>
      <c r="J1163" s="9">
        <v>15</v>
      </c>
      <c r="K1163" s="10">
        <v>540</v>
      </c>
      <c r="L1163" s="10">
        <v>459</v>
      </c>
      <c r="M1163" s="3" t="s">
        <v>35</v>
      </c>
      <c r="N1163" s="3" t="s">
        <v>108</v>
      </c>
      <c r="O1163" s="34">
        <v>304</v>
      </c>
      <c r="P1163" s="3">
        <v>2023</v>
      </c>
      <c r="Q1163" s="3">
        <f>VLOOKUP(C1163,layoffs_location!A:F,6,FALSE)</f>
        <v>41.875561599999997</v>
      </c>
      <c r="R1163" s="3">
        <f>VLOOKUP(C1163,layoffs_location!A:G,7,FALSE)</f>
        <v>-87.6244212</v>
      </c>
    </row>
    <row r="1164" spans="1:18" x14ac:dyDescent="0.2">
      <c r="A1164" s="3">
        <v>1163</v>
      </c>
      <c r="B1164" s="3" t="s">
        <v>133</v>
      </c>
      <c r="C1164" s="3" t="s">
        <v>115</v>
      </c>
      <c r="D1164" s="3" t="str">
        <f>VLOOKUP(C1164,layoffs_location!A:B,2,FALSE)</f>
        <v>other</v>
      </c>
      <c r="E1164" s="3" t="str">
        <f>VLOOKUP(C1164,layoffs_location!A:C,3,FALSE)</f>
        <v>Quebec</v>
      </c>
      <c r="F1164" s="3" t="str">
        <f>VLOOKUP(C1164,layoffs_location!A:D,4,FALSE)</f>
        <v>Canada</v>
      </c>
      <c r="G1164" s="3" t="str">
        <f>VLOOKUP(C1164,layoffs_location!A:E,5,FALSE)</f>
        <v>North America</v>
      </c>
      <c r="H1164" s="3">
        <v>81</v>
      </c>
      <c r="I1164" s="8">
        <v>45033</v>
      </c>
      <c r="J1164" s="9">
        <v>3</v>
      </c>
      <c r="K1164" s="10">
        <v>2700</v>
      </c>
      <c r="L1164" s="10">
        <v>2619</v>
      </c>
      <c r="M1164" s="3" t="s">
        <v>68</v>
      </c>
      <c r="N1164" s="3" t="s">
        <v>108</v>
      </c>
      <c r="O1164" s="34">
        <v>389</v>
      </c>
      <c r="P1164" s="3">
        <v>2023</v>
      </c>
      <c r="Q1164" s="3">
        <f>VLOOKUP(C1164,layoffs_location!A:F,6,FALSE)</f>
        <v>45.5031824</v>
      </c>
      <c r="R1164" s="3">
        <f>VLOOKUP(C1164,layoffs_location!A:G,7,FALSE)</f>
        <v>-73.569806499999999</v>
      </c>
    </row>
    <row r="1165" spans="1:18" x14ac:dyDescent="0.2">
      <c r="A1165" s="3">
        <v>1164</v>
      </c>
      <c r="B1165" s="3" t="s">
        <v>338</v>
      </c>
      <c r="C1165" s="3" t="s">
        <v>97</v>
      </c>
      <c r="D1165" s="3" t="str">
        <f>VLOOKUP(C1165,layoffs_location!A:B,2,FALSE)</f>
        <v>other</v>
      </c>
      <c r="E1165" s="3" t="str">
        <f>VLOOKUP(C1165,layoffs_location!A:C,3,FALSE)</f>
        <v>non</v>
      </c>
      <c r="F1165" s="3" t="str">
        <f>VLOOKUP(C1165,layoffs_location!A:D,4,FALSE)</f>
        <v>France</v>
      </c>
      <c r="G1165" s="3" t="str">
        <f>VLOOKUP(C1165,layoffs_location!A:E,5,FALSE)</f>
        <v>Europe</v>
      </c>
      <c r="H1165" s="3">
        <v>17</v>
      </c>
      <c r="I1165" s="8">
        <v>45033</v>
      </c>
      <c r="J1165" s="9">
        <v>25</v>
      </c>
      <c r="K1165" s="10">
        <v>68</v>
      </c>
      <c r="L1165" s="10">
        <v>51</v>
      </c>
      <c r="M1165" s="3" t="s">
        <v>77</v>
      </c>
      <c r="N1165" s="3" t="s">
        <v>108</v>
      </c>
      <c r="O1165" s="34">
        <v>579</v>
      </c>
      <c r="P1165" s="3">
        <v>2023</v>
      </c>
      <c r="Q1165" s="3">
        <f>VLOOKUP(C1165,layoffs_location!A:F,6,FALSE)</f>
        <v>48.858889699999999</v>
      </c>
      <c r="R1165" s="3">
        <f>VLOOKUP(C1165,layoffs_location!A:G,7,FALSE)</f>
        <v>2.32004102172007</v>
      </c>
    </row>
    <row r="1166" spans="1:18" x14ac:dyDescent="0.2">
      <c r="A1166" s="3">
        <v>1165</v>
      </c>
      <c r="B1166" s="3" t="s">
        <v>335</v>
      </c>
      <c r="C1166" s="3" t="s">
        <v>267</v>
      </c>
      <c r="D1166" s="3" t="str">
        <f>VLOOKUP(C1166,layoffs_location!A:B,2,FALSE)</f>
        <v>other</v>
      </c>
      <c r="E1166" s="3" t="str">
        <f>VLOOKUP(C1166,layoffs_location!A:C,3,FALSE)</f>
        <v>Victoria</v>
      </c>
      <c r="F1166" s="3" t="str">
        <f>VLOOKUP(C1166,layoffs_location!A:D,4,FALSE)</f>
        <v>Australia</v>
      </c>
      <c r="G1166" s="3" t="str">
        <f>VLOOKUP(C1166,layoffs_location!A:E,5,FALSE)</f>
        <v>Oceana</v>
      </c>
      <c r="H1166" s="3">
        <v>90</v>
      </c>
      <c r="I1166" s="8">
        <v>45034</v>
      </c>
      <c r="J1166" s="9">
        <v>9</v>
      </c>
      <c r="K1166" s="10">
        <v>1000</v>
      </c>
      <c r="L1166" s="10">
        <v>910</v>
      </c>
      <c r="M1166" s="3" t="s">
        <v>84</v>
      </c>
      <c r="N1166" s="3" t="s">
        <v>63</v>
      </c>
      <c r="O1166" s="34">
        <v>257</v>
      </c>
      <c r="P1166" s="3">
        <v>2023</v>
      </c>
      <c r="Q1166" s="3">
        <f>VLOOKUP(C1166,layoffs_location!A:F,6,FALSE)</f>
        <v>-37.814245399999997</v>
      </c>
      <c r="R1166" s="3">
        <f>VLOOKUP(C1166,layoffs_location!A:G,7,FALSE)</f>
        <v>144.9631732</v>
      </c>
    </row>
    <row r="1167" spans="1:18" ht="16" x14ac:dyDescent="0.2">
      <c r="A1167" s="3">
        <v>1166</v>
      </c>
      <c r="B1167" s="3" t="s">
        <v>334</v>
      </c>
      <c r="C1167" s="11" t="s">
        <v>1370</v>
      </c>
      <c r="D1167" s="3" t="str">
        <f>VLOOKUP(C1167,layoffs_location!A:B,2,FALSE)</f>
        <v>San Francisco Bay Area</v>
      </c>
      <c r="E1167" s="3" t="str">
        <f>VLOOKUP(C1167,layoffs_location!A:C,3,FALSE)</f>
        <v>California</v>
      </c>
      <c r="F1167" s="3" t="str">
        <f>VLOOKUP(C1167,layoffs_location!A:D,4,FALSE)</f>
        <v>USA</v>
      </c>
      <c r="G1167" s="3" t="str">
        <f>VLOOKUP(C1167,layoffs_location!A:E,5,FALSE)</f>
        <v>North America</v>
      </c>
      <c r="H1167" s="3">
        <v>560</v>
      </c>
      <c r="I1167" s="8">
        <v>45034</v>
      </c>
      <c r="J1167" s="9">
        <v>22</v>
      </c>
      <c r="K1167" s="10">
        <v>2545</v>
      </c>
      <c r="L1167" s="10">
        <v>1985</v>
      </c>
      <c r="M1167" s="3" t="s">
        <v>137</v>
      </c>
      <c r="N1167" s="3" t="s">
        <v>28</v>
      </c>
      <c r="O1167" s="34">
        <v>1900</v>
      </c>
      <c r="P1167" s="3">
        <v>2023</v>
      </c>
      <c r="Q1167" s="3">
        <f>VLOOKUP(C1167,layoffs_location!A:F,6,FALSE)</f>
        <v>37.779258800000001</v>
      </c>
      <c r="R1167" s="3">
        <f>VLOOKUP(C1167,layoffs_location!A:G,7,FALSE)</f>
        <v>-122.4193286</v>
      </c>
    </row>
    <row r="1168" spans="1:18" ht="16" x14ac:dyDescent="0.2">
      <c r="A1168" s="3">
        <v>1167</v>
      </c>
      <c r="B1168" s="3" t="s">
        <v>336</v>
      </c>
      <c r="C1168" s="11" t="s">
        <v>1370</v>
      </c>
      <c r="D1168" s="3" t="str">
        <f>VLOOKUP(C1168,layoffs_location!A:B,2,FALSE)</f>
        <v>San Francisco Bay Area</v>
      </c>
      <c r="E1168" s="3" t="str">
        <f>VLOOKUP(C1168,layoffs_location!A:C,3,FALSE)</f>
        <v>California</v>
      </c>
      <c r="F1168" s="3" t="str">
        <f>VLOOKUP(C1168,layoffs_location!A:D,4,FALSE)</f>
        <v>USA</v>
      </c>
      <c r="G1168" s="3" t="str">
        <f>VLOOKUP(C1168,layoffs_location!A:E,5,FALSE)</f>
        <v>North America</v>
      </c>
      <c r="H1168" s="3">
        <v>16</v>
      </c>
      <c r="I1168" s="8">
        <v>45034</v>
      </c>
      <c r="J1168" s="9">
        <v>9</v>
      </c>
      <c r="K1168" s="10">
        <v>178</v>
      </c>
      <c r="L1168" s="10">
        <v>162</v>
      </c>
      <c r="M1168" s="3" t="s">
        <v>117</v>
      </c>
      <c r="N1168" s="3" t="s">
        <v>49</v>
      </c>
      <c r="O1168" s="34">
        <v>149</v>
      </c>
      <c r="P1168" s="3">
        <v>2023</v>
      </c>
      <c r="Q1168" s="3">
        <f>VLOOKUP(C1168,layoffs_location!A:F,6,FALSE)</f>
        <v>37.779258800000001</v>
      </c>
      <c r="R1168" s="3">
        <f>VLOOKUP(C1168,layoffs_location!A:G,7,FALSE)</f>
        <v>-122.4193286</v>
      </c>
    </row>
    <row r="1169" spans="1:18" x14ac:dyDescent="0.2">
      <c r="A1169" s="3">
        <v>1168</v>
      </c>
      <c r="B1169" s="3" t="s">
        <v>333</v>
      </c>
      <c r="C1169" s="3" t="s">
        <v>1370</v>
      </c>
      <c r="D1169" s="3" t="str">
        <f>VLOOKUP(C1169,layoffs_location!A:B,2,FALSE)</f>
        <v>San Francisco Bay Area</v>
      </c>
      <c r="E1169" s="3" t="str">
        <f>VLOOKUP(C1169,layoffs_location!A:C,3,FALSE)</f>
        <v>California</v>
      </c>
      <c r="F1169" s="3" t="str">
        <f>VLOOKUP(C1169,layoffs_location!A:D,4,FALSE)</f>
        <v>USA</v>
      </c>
      <c r="G1169" s="3" t="str">
        <f>VLOOKUP(C1169,layoffs_location!A:E,5,FALSE)</f>
        <v>North America</v>
      </c>
      <c r="H1169" s="3">
        <v>112</v>
      </c>
      <c r="I1169" s="8">
        <v>45035</v>
      </c>
      <c r="J1169" s="9">
        <v>10</v>
      </c>
      <c r="K1169" s="10">
        <v>1120</v>
      </c>
      <c r="L1169" s="10">
        <v>1008</v>
      </c>
      <c r="M1169" s="3" t="s">
        <v>60</v>
      </c>
      <c r="N1169" s="3" t="s">
        <v>28</v>
      </c>
      <c r="O1169" s="34">
        <v>307</v>
      </c>
      <c r="P1169" s="3">
        <v>2023</v>
      </c>
      <c r="Q1169" s="3">
        <f>VLOOKUP(C1169,layoffs_location!A:F,6,FALSE)</f>
        <v>37.779258800000001</v>
      </c>
      <c r="R1169" s="3">
        <f>VLOOKUP(C1169,layoffs_location!A:G,7,FALSE)</f>
        <v>-122.4193286</v>
      </c>
    </row>
    <row r="1170" spans="1:18" x14ac:dyDescent="0.2">
      <c r="A1170" s="3">
        <v>1169</v>
      </c>
      <c r="B1170" s="3" t="s">
        <v>330</v>
      </c>
      <c r="C1170" s="3" t="s">
        <v>39</v>
      </c>
      <c r="D1170" s="3" t="str">
        <f>VLOOKUP(C1170,layoffs_location!A:B,2,FALSE)</f>
        <v>New York</v>
      </c>
      <c r="E1170" s="3" t="str">
        <f>VLOOKUP(C1170,layoffs_location!A:C,3,FALSE)</f>
        <v>New York</v>
      </c>
      <c r="F1170" s="3" t="str">
        <f>VLOOKUP(C1170,layoffs_location!A:D,4,FALSE)</f>
        <v>USA</v>
      </c>
      <c r="G1170" s="3" t="str">
        <f>VLOOKUP(C1170,layoffs_location!A:E,5,FALSE)</f>
        <v>North America</v>
      </c>
      <c r="H1170" s="3">
        <v>180</v>
      </c>
      <c r="I1170" s="8">
        <v>45036</v>
      </c>
      <c r="J1170" s="9">
        <v>15</v>
      </c>
      <c r="K1170" s="10">
        <v>1200</v>
      </c>
      <c r="L1170" s="10">
        <v>1020</v>
      </c>
      <c r="M1170" s="3" t="s">
        <v>54</v>
      </c>
      <c r="N1170" s="3" t="s">
        <v>28</v>
      </c>
      <c r="O1170" s="34">
        <v>696</v>
      </c>
      <c r="P1170" s="3">
        <v>2023</v>
      </c>
      <c r="Q1170" s="3">
        <f>VLOOKUP(C1170,layoffs_location!A:F,6,FALSE)</f>
        <v>40.7127281</v>
      </c>
      <c r="R1170" s="3">
        <f>VLOOKUP(C1170,layoffs_location!A:G,7,FALSE)</f>
        <v>-74.006015199999993</v>
      </c>
    </row>
    <row r="1171" spans="1:18" x14ac:dyDescent="0.2">
      <c r="A1171" s="3">
        <v>1170</v>
      </c>
      <c r="B1171" s="3" t="s">
        <v>332</v>
      </c>
      <c r="C1171" s="3" t="s">
        <v>39</v>
      </c>
      <c r="D1171" s="3" t="str">
        <f>VLOOKUP(C1171,layoffs_location!A:B,2,FALSE)</f>
        <v>New York</v>
      </c>
      <c r="E1171" s="3" t="str">
        <f>VLOOKUP(C1171,layoffs_location!A:C,3,FALSE)</f>
        <v>New York</v>
      </c>
      <c r="F1171" s="3" t="str">
        <f>VLOOKUP(C1171,layoffs_location!A:D,4,FALSE)</f>
        <v>USA</v>
      </c>
      <c r="G1171" s="3" t="str">
        <f>VLOOKUP(C1171,layoffs_location!A:E,5,FALSE)</f>
        <v>North America</v>
      </c>
      <c r="H1171" s="3">
        <v>35</v>
      </c>
      <c r="I1171" s="8">
        <v>45036</v>
      </c>
      <c r="J1171" s="9">
        <v>12</v>
      </c>
      <c r="K1171" s="10">
        <v>292</v>
      </c>
      <c r="L1171" s="10">
        <v>257</v>
      </c>
      <c r="M1171" s="3" t="s">
        <v>84</v>
      </c>
      <c r="N1171" s="3" t="s">
        <v>108</v>
      </c>
      <c r="O1171" s="34">
        <v>192</v>
      </c>
      <c r="P1171" s="3">
        <v>2023</v>
      </c>
      <c r="Q1171" s="3">
        <f>VLOOKUP(C1171,layoffs_location!A:F,6,FALSE)</f>
        <v>40.7127281</v>
      </c>
      <c r="R1171" s="3">
        <f>VLOOKUP(C1171,layoffs_location!A:G,7,FALSE)</f>
        <v>-74.006015199999993</v>
      </c>
    </row>
    <row r="1172" spans="1:18" x14ac:dyDescent="0.2">
      <c r="A1172" s="3">
        <v>1171</v>
      </c>
      <c r="B1172" s="3" t="s">
        <v>331</v>
      </c>
      <c r="C1172" s="3" t="s">
        <v>13</v>
      </c>
      <c r="D1172" s="3" t="str">
        <f>VLOOKUP(C1172,layoffs_location!A:B,2,FALSE)</f>
        <v>other</v>
      </c>
      <c r="E1172" s="3" t="str">
        <f>VLOOKUP(C1172,layoffs_location!A:C,3,FALSE)</f>
        <v>Karnataka</v>
      </c>
      <c r="F1172" s="3" t="str">
        <f>VLOOKUP(C1172,layoffs_location!A:D,4,FALSE)</f>
        <v>India</v>
      </c>
      <c r="G1172" s="3" t="str">
        <f>VLOOKUP(C1172,layoffs_location!A:E,5,FALSE)</f>
        <v>Asia</v>
      </c>
      <c r="H1172" s="3">
        <v>78</v>
      </c>
      <c r="I1172" s="8">
        <v>45036</v>
      </c>
      <c r="J1172" s="9">
        <v>30</v>
      </c>
      <c r="K1172" s="10">
        <v>260</v>
      </c>
      <c r="L1172" s="10">
        <v>182</v>
      </c>
      <c r="M1172" s="3" t="s">
        <v>16</v>
      </c>
      <c r="N1172" s="3" t="s">
        <v>49</v>
      </c>
      <c r="O1172" s="34">
        <v>50</v>
      </c>
      <c r="P1172" s="3">
        <v>2023</v>
      </c>
      <c r="Q1172" s="3">
        <f>VLOOKUP(C1172,layoffs_location!A:F,6,FALSE)</f>
        <v>12.98815675</v>
      </c>
      <c r="R1172" s="3">
        <f>VLOOKUP(C1172,layoffs_location!A:G,7,FALSE)</f>
        <v>77.622600037959998</v>
      </c>
    </row>
    <row r="1173" spans="1:18" x14ac:dyDescent="0.2">
      <c r="A1173" s="3">
        <v>1172</v>
      </c>
      <c r="B1173" s="3" t="s">
        <v>329</v>
      </c>
      <c r="C1173" s="3" t="s">
        <v>1370</v>
      </c>
      <c r="D1173" s="3" t="str">
        <f>VLOOKUP(C1173,layoffs_location!A:B,2,FALSE)</f>
        <v>San Francisco Bay Area</v>
      </c>
      <c r="E1173" s="3" t="str">
        <f>VLOOKUP(C1173,layoffs_location!A:C,3,FALSE)</f>
        <v>California</v>
      </c>
      <c r="F1173" s="3" t="str">
        <f>VLOOKUP(C1173,layoffs_location!A:D,4,FALSE)</f>
        <v>USA</v>
      </c>
      <c r="G1173" s="3" t="str">
        <f>VLOOKUP(C1173,layoffs_location!A:E,5,FALSE)</f>
        <v>North America</v>
      </c>
      <c r="H1173" s="3">
        <v>74</v>
      </c>
      <c r="I1173" s="8">
        <v>45037</v>
      </c>
      <c r="J1173" s="9">
        <v>9</v>
      </c>
      <c r="K1173" s="10">
        <v>822</v>
      </c>
      <c r="L1173" s="10">
        <v>748</v>
      </c>
      <c r="M1173" s="3" t="s">
        <v>60</v>
      </c>
      <c r="N1173" s="3" t="s">
        <v>63</v>
      </c>
      <c r="O1173" s="34">
        <v>411</v>
      </c>
      <c r="P1173" s="3">
        <v>2023</v>
      </c>
      <c r="Q1173" s="3">
        <f>VLOOKUP(C1173,layoffs_location!A:F,6,FALSE)</f>
        <v>37.779258800000001</v>
      </c>
      <c r="R1173" s="3">
        <f>VLOOKUP(C1173,layoffs_location!A:G,7,FALSE)</f>
        <v>-122.4193286</v>
      </c>
    </row>
    <row r="1174" spans="1:18" ht="16" x14ac:dyDescent="0.2">
      <c r="A1174" s="3">
        <v>1173</v>
      </c>
      <c r="B1174" s="3" t="s">
        <v>328</v>
      </c>
      <c r="C1174" s="11" t="s">
        <v>1370</v>
      </c>
      <c r="D1174" s="3" t="str">
        <f>VLOOKUP(C1174,layoffs_location!A:B,2,FALSE)</f>
        <v>San Francisco Bay Area</v>
      </c>
      <c r="E1174" s="3" t="str">
        <f>VLOOKUP(C1174,layoffs_location!A:C,3,FALSE)</f>
        <v>California</v>
      </c>
      <c r="F1174" s="3" t="str">
        <f>VLOOKUP(C1174,layoffs_location!A:D,4,FALSE)</f>
        <v>USA</v>
      </c>
      <c r="G1174" s="3" t="str">
        <f>VLOOKUP(C1174,layoffs_location!A:E,5,FALSE)</f>
        <v>North America</v>
      </c>
      <c r="H1174" s="3">
        <v>1072</v>
      </c>
      <c r="I1174" s="8">
        <v>45037</v>
      </c>
      <c r="J1174" s="9">
        <v>26</v>
      </c>
      <c r="K1174" s="10">
        <v>4123</v>
      </c>
      <c r="L1174" s="10">
        <v>3051</v>
      </c>
      <c r="M1174" s="3" t="s">
        <v>32</v>
      </c>
      <c r="N1174" s="3" t="s">
        <v>28</v>
      </c>
      <c r="O1174" s="34">
        <v>4900</v>
      </c>
      <c r="P1174" s="3">
        <v>2023</v>
      </c>
      <c r="Q1174" s="3">
        <f>VLOOKUP(C1174,layoffs_location!A:F,6,FALSE)</f>
        <v>37.779258800000001</v>
      </c>
      <c r="R1174" s="3">
        <f>VLOOKUP(C1174,layoffs_location!A:G,7,FALSE)</f>
        <v>-122.4193286</v>
      </c>
    </row>
    <row r="1175" spans="1:18" x14ac:dyDescent="0.2">
      <c r="A1175" s="3">
        <v>1174</v>
      </c>
      <c r="B1175" s="3" t="s">
        <v>327</v>
      </c>
      <c r="C1175" s="3" t="s">
        <v>1710</v>
      </c>
      <c r="D1175" s="3" t="str">
        <f>VLOOKUP(C1175,layoffs_location!A:B,2,FALSE)</f>
        <v>San Francisco Bay Area</v>
      </c>
      <c r="E1175" s="3" t="str">
        <f>VLOOKUP(C1175,layoffs_location!A:C,3,FALSE)</f>
        <v>California</v>
      </c>
      <c r="F1175" s="3" t="str">
        <f>VLOOKUP(C1175,layoffs_location!A:D,4,FALSE)</f>
        <v>USA</v>
      </c>
      <c r="G1175" s="3" t="str">
        <f>VLOOKUP(C1175,layoffs_location!A:E,5,FALSE)</f>
        <v>North America</v>
      </c>
      <c r="H1175" s="3">
        <v>40</v>
      </c>
      <c r="I1175" s="8">
        <v>45040</v>
      </c>
      <c r="J1175" s="9">
        <v>13</v>
      </c>
      <c r="K1175" s="10">
        <v>308</v>
      </c>
      <c r="L1175" s="10">
        <v>268</v>
      </c>
      <c r="M1175" s="3" t="s">
        <v>239</v>
      </c>
      <c r="N1175" s="3" t="s">
        <v>36</v>
      </c>
      <c r="O1175" s="34">
        <v>337</v>
      </c>
      <c r="P1175" s="3">
        <v>2023</v>
      </c>
      <c r="Q1175" s="3">
        <f>VLOOKUP(C1175,layoffs_location!A:F,6,FALSE)</f>
        <v>37.486323900000002</v>
      </c>
      <c r="R1175" s="3">
        <f>VLOOKUP(C1175,layoffs_location!A:G,7,FALSE)</f>
        <v>-122.232523</v>
      </c>
    </row>
    <row r="1176" spans="1:18" x14ac:dyDescent="0.2">
      <c r="A1176" s="3">
        <v>1175</v>
      </c>
      <c r="B1176" s="3" t="s">
        <v>283</v>
      </c>
      <c r="C1176" s="3" t="s">
        <v>135</v>
      </c>
      <c r="D1176" s="3" t="str">
        <f>VLOOKUP(C1176,layoffs_location!A:B,2,FALSE)</f>
        <v>other</v>
      </c>
      <c r="E1176" s="3" t="str">
        <f>VLOOKUP(C1176,layoffs_location!A:C,3,FALSE)</f>
        <v>Berlin</v>
      </c>
      <c r="F1176" s="3" t="str">
        <f>VLOOKUP(C1176,layoffs_location!A:D,4,FALSE)</f>
        <v>Germany</v>
      </c>
      <c r="G1176" s="3" t="str">
        <f>VLOOKUP(C1176,layoffs_location!A:E,5,FALSE)</f>
        <v>Europe</v>
      </c>
      <c r="H1176" s="3">
        <v>8000</v>
      </c>
      <c r="I1176" s="8">
        <v>45040</v>
      </c>
      <c r="J1176" s="9">
        <v>40</v>
      </c>
      <c r="K1176" s="10">
        <v>20000</v>
      </c>
      <c r="L1176" s="10">
        <v>12000</v>
      </c>
      <c r="M1176" s="3" t="s">
        <v>77</v>
      </c>
      <c r="N1176" s="3" t="s">
        <v>49</v>
      </c>
      <c r="O1176" s="34">
        <v>1000</v>
      </c>
      <c r="P1176" s="3">
        <v>2023</v>
      </c>
      <c r="Q1176" s="3">
        <f>VLOOKUP(C1176,layoffs_location!A:F,6,FALSE)</f>
        <v>52.517036500000003</v>
      </c>
      <c r="R1176" s="3">
        <f>VLOOKUP(C1176,layoffs_location!A:G,7,FALSE)</f>
        <v>13.3888599</v>
      </c>
    </row>
    <row r="1177" spans="1:18" ht="16" x14ac:dyDescent="0.2">
      <c r="A1177" s="3">
        <v>1176</v>
      </c>
      <c r="B1177" s="3" t="s">
        <v>326</v>
      </c>
      <c r="C1177" s="11" t="s">
        <v>1370</v>
      </c>
      <c r="D1177" s="3" t="str">
        <f>VLOOKUP(C1177,layoffs_location!A:B,2,FALSE)</f>
        <v>San Francisco Bay Area</v>
      </c>
      <c r="E1177" s="3" t="str">
        <f>VLOOKUP(C1177,layoffs_location!A:C,3,FALSE)</f>
        <v>California</v>
      </c>
      <c r="F1177" s="3" t="str">
        <f>VLOOKUP(C1177,layoffs_location!A:D,4,FALSE)</f>
        <v>USA</v>
      </c>
      <c r="G1177" s="3" t="str">
        <f>VLOOKUP(C1177,layoffs_location!A:E,5,FALSE)</f>
        <v>North America</v>
      </c>
      <c r="H1177" s="3">
        <v>115</v>
      </c>
      <c r="I1177" s="8">
        <v>45041</v>
      </c>
      <c r="J1177" s="9">
        <v>50</v>
      </c>
      <c r="K1177" s="10">
        <v>230</v>
      </c>
      <c r="L1177" s="10">
        <v>115</v>
      </c>
      <c r="M1177" s="3" t="s">
        <v>35</v>
      </c>
      <c r="N1177" s="3" t="s">
        <v>108</v>
      </c>
      <c r="O1177" s="34">
        <v>272</v>
      </c>
      <c r="P1177" s="3">
        <v>2023</v>
      </c>
      <c r="Q1177" s="3">
        <f>VLOOKUP(C1177,layoffs_location!A:F,6,FALSE)</f>
        <v>37.779258800000001</v>
      </c>
      <c r="R1177" s="3">
        <f>VLOOKUP(C1177,layoffs_location!A:G,7,FALSE)</f>
        <v>-122.4193286</v>
      </c>
    </row>
    <row r="1178" spans="1:18" ht="16" x14ac:dyDescent="0.2">
      <c r="A1178" s="3">
        <v>1177</v>
      </c>
      <c r="B1178" s="3" t="s">
        <v>326</v>
      </c>
      <c r="C1178" s="11" t="s">
        <v>1370</v>
      </c>
      <c r="D1178" s="3" t="str">
        <f>VLOOKUP(C1178,layoffs_location!A:B,2,FALSE)</f>
        <v>San Francisco Bay Area</v>
      </c>
      <c r="E1178" s="3" t="str">
        <f>VLOOKUP(C1178,layoffs_location!A:C,3,FALSE)</f>
        <v>California</v>
      </c>
      <c r="F1178" s="3" t="str">
        <f>VLOOKUP(C1178,layoffs_location!A:D,4,FALSE)</f>
        <v>USA</v>
      </c>
      <c r="G1178" s="3" t="str">
        <f>VLOOKUP(C1178,layoffs_location!A:E,5,FALSE)</f>
        <v>North America</v>
      </c>
      <c r="H1178" s="3">
        <v>70</v>
      </c>
      <c r="I1178" s="8">
        <v>45041</v>
      </c>
      <c r="J1178" s="9">
        <v>30</v>
      </c>
      <c r="K1178" s="10">
        <v>233</v>
      </c>
      <c r="L1178" s="10">
        <v>163</v>
      </c>
      <c r="M1178" s="3" t="s">
        <v>35</v>
      </c>
      <c r="N1178" s="3" t="s">
        <v>108</v>
      </c>
      <c r="O1178" s="34">
        <v>272</v>
      </c>
      <c r="P1178" s="3">
        <v>2023</v>
      </c>
      <c r="Q1178" s="3">
        <f>VLOOKUP(C1178,layoffs_location!A:F,6,FALSE)</f>
        <v>37.779258800000001</v>
      </c>
      <c r="R1178" s="3">
        <f>VLOOKUP(C1178,layoffs_location!A:G,7,FALSE)</f>
        <v>-122.4193286</v>
      </c>
    </row>
    <row r="1179" spans="1:18" x14ac:dyDescent="0.2">
      <c r="A1179" s="3">
        <v>1178</v>
      </c>
      <c r="B1179" s="3" t="s">
        <v>325</v>
      </c>
      <c r="C1179" s="3" t="s">
        <v>39</v>
      </c>
      <c r="D1179" s="3" t="str">
        <f>VLOOKUP(C1179,layoffs_location!A:B,2,FALSE)</f>
        <v>New York</v>
      </c>
      <c r="E1179" s="3" t="str">
        <f>VLOOKUP(C1179,layoffs_location!A:C,3,FALSE)</f>
        <v>New York</v>
      </c>
      <c r="F1179" s="3" t="str">
        <f>VLOOKUP(C1179,layoffs_location!A:D,4,FALSE)</f>
        <v>USA</v>
      </c>
      <c r="G1179" s="3" t="str">
        <f>VLOOKUP(C1179,layoffs_location!A:E,5,FALSE)</f>
        <v>North America</v>
      </c>
      <c r="H1179" s="3">
        <v>30</v>
      </c>
      <c r="I1179" s="8">
        <v>45042</v>
      </c>
      <c r="J1179" s="9">
        <v>33</v>
      </c>
      <c r="K1179" s="10">
        <v>91</v>
      </c>
      <c r="L1179" s="10">
        <v>61</v>
      </c>
      <c r="M1179" s="3" t="s">
        <v>35</v>
      </c>
      <c r="N1179" s="3" t="s">
        <v>49</v>
      </c>
      <c r="O1179" s="34">
        <v>79</v>
      </c>
      <c r="P1179" s="3">
        <v>2023</v>
      </c>
      <c r="Q1179" s="3">
        <f>VLOOKUP(C1179,layoffs_location!A:F,6,FALSE)</f>
        <v>40.7127281</v>
      </c>
      <c r="R1179" s="3">
        <f>VLOOKUP(C1179,layoffs_location!A:G,7,FALSE)</f>
        <v>-74.006015199999993</v>
      </c>
    </row>
    <row r="1180" spans="1:18" x14ac:dyDescent="0.2">
      <c r="A1180" s="3">
        <v>1179</v>
      </c>
      <c r="B1180" s="3" t="s">
        <v>322</v>
      </c>
      <c r="C1180" s="3" t="s">
        <v>231</v>
      </c>
      <c r="D1180" s="3" t="str">
        <f>VLOOKUP(C1180,layoffs_location!A:B,2,FALSE)</f>
        <v>other</v>
      </c>
      <c r="E1180" s="3" t="str">
        <f>VLOOKUP(C1180,layoffs_location!A:C,3,FALSE)</f>
        <v>New South Wales</v>
      </c>
      <c r="F1180" s="3" t="str">
        <f>VLOOKUP(C1180,layoffs_location!A:D,4,FALSE)</f>
        <v>Australia</v>
      </c>
      <c r="G1180" s="3" t="str">
        <f>VLOOKUP(C1180,layoffs_location!A:E,5,FALSE)</f>
        <v>Oceana</v>
      </c>
      <c r="H1180" s="3">
        <v>45</v>
      </c>
      <c r="I1180" s="8">
        <v>45043</v>
      </c>
      <c r="J1180" s="9">
        <v>20</v>
      </c>
      <c r="K1180" s="10">
        <v>225</v>
      </c>
      <c r="L1180" s="10">
        <v>180</v>
      </c>
      <c r="M1180" s="3" t="s">
        <v>30</v>
      </c>
      <c r="N1180" s="3" t="s">
        <v>41</v>
      </c>
      <c r="O1180" s="34">
        <v>26</v>
      </c>
      <c r="P1180" s="3">
        <v>2023</v>
      </c>
      <c r="Q1180" s="3">
        <f>VLOOKUP(C1180,layoffs_location!A:F,6,FALSE)</f>
        <v>-33.869843899999999</v>
      </c>
      <c r="R1180" s="3">
        <f>VLOOKUP(C1180,layoffs_location!A:G,7,FALSE)</f>
        <v>151.2082848</v>
      </c>
    </row>
    <row r="1181" spans="1:18" x14ac:dyDescent="0.2">
      <c r="A1181" s="3">
        <v>1180</v>
      </c>
      <c r="B1181" s="3" t="s">
        <v>317</v>
      </c>
      <c r="C1181" s="3" t="s">
        <v>76</v>
      </c>
      <c r="D1181" s="3" t="str">
        <f>VLOOKUP(C1181,layoffs_location!A:B,2,FALSE)</f>
        <v>other</v>
      </c>
      <c r="E1181" s="3" t="str">
        <f>VLOOKUP(C1181,layoffs_location!A:C,3,FALSE)</f>
        <v>California</v>
      </c>
      <c r="F1181" s="3" t="str">
        <f>VLOOKUP(C1181,layoffs_location!A:D,4,FALSE)</f>
        <v>USA</v>
      </c>
      <c r="G1181" s="3" t="str">
        <f>VLOOKUP(C1181,layoffs_location!A:E,5,FALSE)</f>
        <v>North America</v>
      </c>
      <c r="H1181" s="3">
        <v>320</v>
      </c>
      <c r="I1181" s="8">
        <v>45043</v>
      </c>
      <c r="J1181" s="9">
        <v>11</v>
      </c>
      <c r="K1181" s="10">
        <v>2909</v>
      </c>
      <c r="L1181" s="10">
        <v>2589</v>
      </c>
      <c r="M1181" s="3" t="s">
        <v>79</v>
      </c>
      <c r="N1181" s="3" t="s">
        <v>28</v>
      </c>
      <c r="O1181" s="34">
        <v>613</v>
      </c>
      <c r="P1181" s="3">
        <v>2023</v>
      </c>
      <c r="Q1181" s="3">
        <f>VLOOKUP(C1181,layoffs_location!A:F,6,FALSE)</f>
        <v>34.053690899999999</v>
      </c>
      <c r="R1181" s="3">
        <f>VLOOKUP(C1181,layoffs_location!A:G,7,FALSE)</f>
        <v>-118.242766</v>
      </c>
    </row>
    <row r="1182" spans="1:18" x14ac:dyDescent="0.2">
      <c r="A1182" s="3">
        <v>1181</v>
      </c>
      <c r="B1182" s="3" t="s">
        <v>323</v>
      </c>
      <c r="C1182" s="3" t="s">
        <v>39</v>
      </c>
      <c r="D1182" s="3" t="str">
        <f>VLOOKUP(C1182,layoffs_location!A:B,2,FALSE)</f>
        <v>New York</v>
      </c>
      <c r="E1182" s="3" t="str">
        <f>VLOOKUP(C1182,layoffs_location!A:C,3,FALSE)</f>
        <v>New York</v>
      </c>
      <c r="F1182" s="3" t="str">
        <f>VLOOKUP(C1182,layoffs_location!A:D,4,FALSE)</f>
        <v>USA</v>
      </c>
      <c r="G1182" s="3" t="str">
        <f>VLOOKUP(C1182,layoffs_location!A:E,5,FALSE)</f>
        <v>North America</v>
      </c>
      <c r="H1182" s="3">
        <v>43</v>
      </c>
      <c r="I1182" s="8">
        <v>45043</v>
      </c>
      <c r="J1182" s="9">
        <v>14</v>
      </c>
      <c r="K1182" s="10">
        <v>307</v>
      </c>
      <c r="L1182" s="10">
        <v>264</v>
      </c>
      <c r="M1182" s="3" t="s">
        <v>60</v>
      </c>
      <c r="N1182" s="3" t="s">
        <v>49</v>
      </c>
      <c r="O1182" s="34">
        <v>140</v>
      </c>
      <c r="P1182" s="3">
        <v>2023</v>
      </c>
      <c r="Q1182" s="3">
        <f>VLOOKUP(C1182,layoffs_location!A:F,6,FALSE)</f>
        <v>40.7127281</v>
      </c>
      <c r="R1182" s="3">
        <f>VLOOKUP(C1182,layoffs_location!A:G,7,FALSE)</f>
        <v>-74.006015199999993</v>
      </c>
    </row>
    <row r="1183" spans="1:18" x14ac:dyDescent="0.2">
      <c r="A1183" s="3">
        <v>1182</v>
      </c>
      <c r="B1183" s="3" t="s">
        <v>316</v>
      </c>
      <c r="C1183" s="3" t="s">
        <v>1370</v>
      </c>
      <c r="D1183" s="3" t="str">
        <f>VLOOKUP(C1183,layoffs_location!A:B,2,FALSE)</f>
        <v>San Francisco Bay Area</v>
      </c>
      <c r="E1183" s="3" t="str">
        <f>VLOOKUP(C1183,layoffs_location!A:C,3,FALSE)</f>
        <v>California</v>
      </c>
      <c r="F1183" s="3" t="str">
        <f>VLOOKUP(C1183,layoffs_location!A:D,4,FALSE)</f>
        <v>USA</v>
      </c>
      <c r="G1183" s="3" t="str">
        <f>VLOOKUP(C1183,layoffs_location!A:E,5,FALSE)</f>
        <v>North America</v>
      </c>
      <c r="H1183" s="3">
        <v>500</v>
      </c>
      <c r="I1183" s="8">
        <v>45043</v>
      </c>
      <c r="J1183" s="9">
        <v>16</v>
      </c>
      <c r="K1183" s="10">
        <v>3125</v>
      </c>
      <c r="L1183" s="10">
        <v>2625</v>
      </c>
      <c r="M1183" s="3" t="s">
        <v>60</v>
      </c>
      <c r="N1183" s="3" t="s">
        <v>28</v>
      </c>
      <c r="O1183" s="34">
        <v>1700</v>
      </c>
      <c r="P1183" s="3">
        <v>2023</v>
      </c>
      <c r="Q1183" s="3">
        <f>VLOOKUP(C1183,layoffs_location!A:F,6,FALSE)</f>
        <v>37.779258800000001</v>
      </c>
      <c r="R1183" s="3">
        <f>VLOOKUP(C1183,layoffs_location!A:G,7,FALSE)</f>
        <v>-122.4193286</v>
      </c>
    </row>
    <row r="1184" spans="1:18" x14ac:dyDescent="0.2">
      <c r="A1184" s="3">
        <v>1183</v>
      </c>
      <c r="B1184" s="3" t="s">
        <v>319</v>
      </c>
      <c r="C1184" s="3" t="s">
        <v>39</v>
      </c>
      <c r="D1184" s="3" t="str">
        <f>VLOOKUP(C1184,layoffs_location!A:B,2,FALSE)</f>
        <v>New York</v>
      </c>
      <c r="E1184" s="3" t="str">
        <f>VLOOKUP(C1184,layoffs_location!A:C,3,FALSE)</f>
        <v>New York</v>
      </c>
      <c r="F1184" s="3" t="str">
        <f>VLOOKUP(C1184,layoffs_location!A:D,4,FALSE)</f>
        <v>USA</v>
      </c>
      <c r="G1184" s="3" t="str">
        <f>VLOOKUP(C1184,layoffs_location!A:E,5,FALSE)</f>
        <v>North America</v>
      </c>
      <c r="H1184" s="3">
        <v>100</v>
      </c>
      <c r="I1184" s="8">
        <v>45043</v>
      </c>
      <c r="J1184" s="9">
        <v>12</v>
      </c>
      <c r="K1184" s="10">
        <v>833</v>
      </c>
      <c r="L1184" s="10">
        <v>733</v>
      </c>
      <c r="M1184" s="3" t="s">
        <v>84</v>
      </c>
      <c r="N1184" s="3" t="s">
        <v>1696</v>
      </c>
      <c r="O1184" s="34">
        <v>110</v>
      </c>
      <c r="P1184" s="3">
        <v>2023</v>
      </c>
      <c r="Q1184" s="3">
        <f>VLOOKUP(C1184,layoffs_location!A:F,6,FALSE)</f>
        <v>40.7127281</v>
      </c>
      <c r="R1184" s="3">
        <f>VLOOKUP(C1184,layoffs_location!A:G,7,FALSE)</f>
        <v>-74.006015199999993</v>
      </c>
    </row>
    <row r="1185" spans="1:18" x14ac:dyDescent="0.2">
      <c r="A1185" s="3">
        <v>1184</v>
      </c>
      <c r="B1185" s="3" t="s">
        <v>320</v>
      </c>
      <c r="C1185" s="3" t="s">
        <v>321</v>
      </c>
      <c r="D1185" s="3" t="str">
        <f>VLOOKUP(C1185,layoffs_location!A:B,2,FALSE)</f>
        <v>other</v>
      </c>
      <c r="E1185" s="3" t="str">
        <f>VLOOKUP(C1185,layoffs_location!A:C,3,FALSE)</f>
        <v>Queensland</v>
      </c>
      <c r="F1185" s="3" t="str">
        <f>VLOOKUP(C1185,layoffs_location!A:D,4,FALSE)</f>
        <v>Australia</v>
      </c>
      <c r="G1185" s="3" t="str">
        <f>VLOOKUP(C1185,layoffs_location!A:E,5,FALSE)</f>
        <v>Oceana</v>
      </c>
      <c r="H1185" s="3">
        <v>50</v>
      </c>
      <c r="I1185" s="8">
        <v>45043</v>
      </c>
      <c r="J1185" s="9">
        <v>16</v>
      </c>
      <c r="K1185" s="10">
        <v>313</v>
      </c>
      <c r="L1185" s="10">
        <v>263</v>
      </c>
      <c r="M1185" s="3" t="s">
        <v>239</v>
      </c>
      <c r="N1185" s="3" t="s">
        <v>28</v>
      </c>
      <c r="O1185" s="34">
        <v>98</v>
      </c>
      <c r="P1185" s="3">
        <v>2023</v>
      </c>
      <c r="Q1185" s="3">
        <f>VLOOKUP(C1185,layoffs_location!A:F,6,FALSE)</f>
        <v>-27.468968199999999</v>
      </c>
      <c r="R1185" s="3">
        <f>VLOOKUP(C1185,layoffs_location!A:G,7,FALSE)</f>
        <v>153.02349910000001</v>
      </c>
    </row>
    <row r="1186" spans="1:18" x14ac:dyDescent="0.2">
      <c r="A1186" s="3">
        <v>1185</v>
      </c>
      <c r="B1186" s="3" t="s">
        <v>324</v>
      </c>
      <c r="C1186" s="3" t="s">
        <v>13</v>
      </c>
      <c r="D1186" s="3" t="str">
        <f>VLOOKUP(C1186,layoffs_location!A:B,2,FALSE)</f>
        <v>other</v>
      </c>
      <c r="E1186" s="3" t="str">
        <f>VLOOKUP(C1186,layoffs_location!A:C,3,FALSE)</f>
        <v>Karnataka</v>
      </c>
      <c r="F1186" s="3" t="str">
        <f>VLOOKUP(C1186,layoffs_location!A:D,4,FALSE)</f>
        <v>India</v>
      </c>
      <c r="G1186" s="3" t="str">
        <f>VLOOKUP(C1186,layoffs_location!A:E,5,FALSE)</f>
        <v>Asia</v>
      </c>
      <c r="H1186" s="3">
        <v>29</v>
      </c>
      <c r="I1186" s="8">
        <v>45043</v>
      </c>
      <c r="J1186" s="9">
        <v>29</v>
      </c>
      <c r="K1186" s="10">
        <v>100</v>
      </c>
      <c r="L1186" s="10">
        <v>71</v>
      </c>
      <c r="M1186" s="3" t="s">
        <v>35</v>
      </c>
      <c r="N1186" s="3" t="s">
        <v>147</v>
      </c>
      <c r="O1186" s="34">
        <v>5</v>
      </c>
      <c r="P1186" s="3">
        <v>2023</v>
      </c>
      <c r="Q1186" s="3">
        <f>VLOOKUP(C1186,layoffs_location!A:F,6,FALSE)</f>
        <v>12.98815675</v>
      </c>
      <c r="R1186" s="3">
        <f>VLOOKUP(C1186,layoffs_location!A:G,7,FALSE)</f>
        <v>77.622600037959998</v>
      </c>
    </row>
    <row r="1187" spans="1:18" x14ac:dyDescent="0.2">
      <c r="A1187" s="3">
        <v>1186</v>
      </c>
      <c r="B1187" s="3" t="s">
        <v>318</v>
      </c>
      <c r="C1187" s="3" t="s">
        <v>39</v>
      </c>
      <c r="D1187" s="3" t="str">
        <f>VLOOKUP(C1187,layoffs_location!A:B,2,FALSE)</f>
        <v>New York</v>
      </c>
      <c r="E1187" s="3" t="str">
        <f>VLOOKUP(C1187,layoffs_location!A:C,3,FALSE)</f>
        <v>New York</v>
      </c>
      <c r="F1187" s="3" t="str">
        <f>VLOOKUP(C1187,layoffs_location!A:D,4,FALSE)</f>
        <v>USA</v>
      </c>
      <c r="G1187" s="3" t="str">
        <f>VLOOKUP(C1187,layoffs_location!A:E,5,FALSE)</f>
        <v>North America</v>
      </c>
      <c r="H1187" s="3">
        <v>120</v>
      </c>
      <c r="I1187" s="8">
        <v>45043</v>
      </c>
      <c r="J1187" s="9">
        <v>11</v>
      </c>
      <c r="K1187" s="10">
        <v>1091</v>
      </c>
      <c r="L1187" s="10">
        <v>971</v>
      </c>
      <c r="M1187" s="3" t="s">
        <v>32</v>
      </c>
      <c r="N1187" s="3" t="s">
        <v>28</v>
      </c>
      <c r="O1187" s="34">
        <v>1300</v>
      </c>
      <c r="P1187" s="3">
        <v>2023</v>
      </c>
      <c r="Q1187" s="3">
        <f>VLOOKUP(C1187,layoffs_location!A:F,6,FALSE)</f>
        <v>40.7127281</v>
      </c>
      <c r="R1187" s="3">
        <f>VLOOKUP(C1187,layoffs_location!A:G,7,FALSE)</f>
        <v>-74.006015199999993</v>
      </c>
    </row>
    <row r="1188" spans="1:18" x14ac:dyDescent="0.2">
      <c r="A1188" s="3">
        <v>1187</v>
      </c>
      <c r="B1188" s="3" t="s">
        <v>314</v>
      </c>
      <c r="C1188" s="3" t="s">
        <v>74</v>
      </c>
      <c r="D1188" s="3" t="str">
        <f>VLOOKUP(C1188,layoffs_location!A:B,2,FALSE)</f>
        <v>other</v>
      </c>
      <c r="E1188" s="3" t="str">
        <f>VLOOKUP(C1188,layoffs_location!A:C,3,FALSE)</f>
        <v>California</v>
      </c>
      <c r="F1188" s="3" t="str">
        <f>VLOOKUP(C1188,layoffs_location!A:D,4,FALSE)</f>
        <v>USA</v>
      </c>
      <c r="G1188" s="3" t="str">
        <f>VLOOKUP(C1188,layoffs_location!A:E,5,FALSE)</f>
        <v>North America</v>
      </c>
      <c r="H1188" s="3">
        <v>326</v>
      </c>
      <c r="I1188" s="8">
        <v>45044</v>
      </c>
      <c r="J1188" s="9">
        <v>30</v>
      </c>
      <c r="K1188" s="10">
        <v>1087</v>
      </c>
      <c r="L1188" s="10">
        <v>761</v>
      </c>
      <c r="M1188" s="3" t="s">
        <v>21</v>
      </c>
      <c r="N1188" s="3" t="s">
        <v>28</v>
      </c>
      <c r="O1188" s="34">
        <v>899</v>
      </c>
      <c r="P1188" s="3">
        <v>2023</v>
      </c>
      <c r="Q1188" s="3">
        <f>VLOOKUP(C1188,layoffs_location!A:F,6,FALSE)</f>
        <v>32.717420199999999</v>
      </c>
      <c r="R1188" s="3">
        <f>VLOOKUP(C1188,layoffs_location!A:G,7,FALSE)</f>
        <v>-117.162772</v>
      </c>
    </row>
    <row r="1189" spans="1:18" x14ac:dyDescent="0.2">
      <c r="A1189" s="3">
        <v>1188</v>
      </c>
      <c r="B1189" s="3" t="s">
        <v>315</v>
      </c>
      <c r="C1189" s="3" t="s">
        <v>135</v>
      </c>
      <c r="D1189" s="3" t="str">
        <f>VLOOKUP(C1189,layoffs_location!A:B,2,FALSE)</f>
        <v>other</v>
      </c>
      <c r="E1189" s="3" t="str">
        <f>VLOOKUP(C1189,layoffs_location!A:C,3,FALSE)</f>
        <v>Berlin</v>
      </c>
      <c r="F1189" s="3" t="str">
        <f>VLOOKUP(C1189,layoffs_location!A:D,4,FALSE)</f>
        <v>Germany</v>
      </c>
      <c r="G1189" s="3" t="str">
        <f>VLOOKUP(C1189,layoffs_location!A:E,5,FALSE)</f>
        <v>Europe</v>
      </c>
      <c r="H1189" s="3">
        <v>71</v>
      </c>
      <c r="I1189" s="8">
        <v>45044</v>
      </c>
      <c r="J1189" s="9">
        <v>4</v>
      </c>
      <c r="K1189" s="10">
        <v>1775</v>
      </c>
      <c r="L1189" s="10">
        <v>1704</v>
      </c>
      <c r="M1189" s="3" t="s">
        <v>35</v>
      </c>
      <c r="N1189" s="3" t="s">
        <v>36</v>
      </c>
      <c r="O1189" s="34">
        <v>1700</v>
      </c>
      <c r="P1189" s="3">
        <v>2023</v>
      </c>
      <c r="Q1189" s="3">
        <f>VLOOKUP(C1189,layoffs_location!A:F,6,FALSE)</f>
        <v>52.517036500000003</v>
      </c>
      <c r="R1189" s="3">
        <f>VLOOKUP(C1189,layoffs_location!A:G,7,FALSE)</f>
        <v>13.3888599</v>
      </c>
    </row>
    <row r="1190" spans="1:18" x14ac:dyDescent="0.2">
      <c r="A1190" s="3">
        <v>1189</v>
      </c>
      <c r="B1190" s="3" t="s">
        <v>312</v>
      </c>
      <c r="C1190" s="3" t="s">
        <v>264</v>
      </c>
      <c r="D1190" s="3" t="str">
        <f>VLOOKUP(C1190,layoffs_location!A:B,2,FALSE)</f>
        <v>other</v>
      </c>
      <c r="E1190" s="3" t="str">
        <f>VLOOKUP(C1190,layoffs_location!A:C,3,FALSE)</f>
        <v>Arizona</v>
      </c>
      <c r="F1190" s="3" t="str">
        <f>VLOOKUP(C1190,layoffs_location!A:D,4,FALSE)</f>
        <v>USA</v>
      </c>
      <c r="G1190" s="3" t="str">
        <f>VLOOKUP(C1190,layoffs_location!A:E,5,FALSE)</f>
        <v>North America</v>
      </c>
      <c r="H1190" s="3">
        <v>50</v>
      </c>
      <c r="I1190" s="8">
        <v>45048</v>
      </c>
      <c r="J1190" s="9">
        <v>13</v>
      </c>
      <c r="K1190" s="10">
        <v>385</v>
      </c>
      <c r="L1190" s="10">
        <v>335</v>
      </c>
      <c r="M1190" s="3" t="s">
        <v>139</v>
      </c>
      <c r="N1190" s="3" t="s">
        <v>49</v>
      </c>
      <c r="O1190" s="34">
        <v>146</v>
      </c>
      <c r="P1190" s="3">
        <v>2023</v>
      </c>
      <c r="Q1190" s="3">
        <f>VLOOKUP(C1190,layoffs_location!A:F,6,FALSE)</f>
        <v>33.448436700000002</v>
      </c>
      <c r="R1190" s="3">
        <f>VLOOKUP(C1190,layoffs_location!A:G,7,FALSE)</f>
        <v>-112.074141</v>
      </c>
    </row>
    <row r="1191" spans="1:18" x14ac:dyDescent="0.2">
      <c r="A1191" s="3">
        <v>1190</v>
      </c>
      <c r="B1191" s="3" t="s">
        <v>313</v>
      </c>
      <c r="C1191" s="3" t="s">
        <v>231</v>
      </c>
      <c r="D1191" s="3" t="str">
        <f>VLOOKUP(C1191,layoffs_location!A:B,2,FALSE)</f>
        <v>other</v>
      </c>
      <c r="E1191" s="3" t="str">
        <f>VLOOKUP(C1191,layoffs_location!A:C,3,FALSE)</f>
        <v>New South Wales</v>
      </c>
      <c r="F1191" s="3" t="str">
        <f>VLOOKUP(C1191,layoffs_location!A:D,4,FALSE)</f>
        <v>Australia</v>
      </c>
      <c r="G1191" s="3" t="str">
        <f>VLOOKUP(C1191,layoffs_location!A:E,5,FALSE)</f>
        <v>Oceana</v>
      </c>
      <c r="H1191" s="3">
        <v>27</v>
      </c>
      <c r="I1191" s="8">
        <v>45048</v>
      </c>
      <c r="J1191" s="9">
        <v>8</v>
      </c>
      <c r="K1191" s="10">
        <v>338</v>
      </c>
      <c r="L1191" s="10">
        <v>311</v>
      </c>
      <c r="M1191" s="3" t="s">
        <v>32</v>
      </c>
      <c r="N1191" s="3" t="s">
        <v>49</v>
      </c>
      <c r="O1191" s="34">
        <v>105</v>
      </c>
      <c r="P1191" s="3">
        <v>2023</v>
      </c>
      <c r="Q1191" s="3">
        <f>VLOOKUP(C1191,layoffs_location!A:F,6,FALSE)</f>
        <v>-33.869843899999999</v>
      </c>
      <c r="R1191" s="3">
        <f>VLOOKUP(C1191,layoffs_location!A:G,7,FALSE)</f>
        <v>151.2082848</v>
      </c>
    </row>
    <row r="1192" spans="1:18" x14ac:dyDescent="0.2">
      <c r="A1192" s="3">
        <v>1191</v>
      </c>
      <c r="B1192" s="3" t="s">
        <v>309</v>
      </c>
      <c r="C1192" s="3" t="s">
        <v>71</v>
      </c>
      <c r="D1192" s="3" t="str">
        <f>VLOOKUP(C1192,layoffs_location!A:B,2,FALSE)</f>
        <v>other</v>
      </c>
      <c r="E1192" s="3" t="str">
        <f>VLOOKUP(C1192,layoffs_location!A:C,3,FALSE)</f>
        <v>Massachusetts</v>
      </c>
      <c r="F1192" s="3" t="str">
        <f>VLOOKUP(C1192,layoffs_location!A:D,4,FALSE)</f>
        <v>USA</v>
      </c>
      <c r="G1192" s="3" t="str">
        <f>VLOOKUP(C1192,layoffs_location!A:E,5,FALSE)</f>
        <v>North America</v>
      </c>
      <c r="H1192" s="3">
        <v>70</v>
      </c>
      <c r="I1192" s="8">
        <v>45049</v>
      </c>
      <c r="J1192" s="9">
        <v>10</v>
      </c>
      <c r="K1192" s="10">
        <v>700</v>
      </c>
      <c r="L1192" s="10">
        <v>630</v>
      </c>
      <c r="M1192" s="3" t="s">
        <v>130</v>
      </c>
      <c r="N1192" s="3" t="s">
        <v>28</v>
      </c>
      <c r="O1192" s="34">
        <v>145</v>
      </c>
      <c r="P1192" s="3">
        <v>2023</v>
      </c>
      <c r="Q1192" s="3">
        <f>VLOOKUP(C1192,layoffs_location!A:F,6,FALSE)</f>
        <v>42.355433400000003</v>
      </c>
      <c r="R1192" s="3">
        <f>VLOOKUP(C1192,layoffs_location!A:G,7,FALSE)</f>
        <v>-71.060511000000005</v>
      </c>
    </row>
    <row r="1193" spans="1:18" x14ac:dyDescent="0.2">
      <c r="A1193" s="3">
        <v>1192</v>
      </c>
      <c r="B1193" s="3" t="s">
        <v>310</v>
      </c>
      <c r="C1193" s="3" t="s">
        <v>47</v>
      </c>
      <c r="D1193" s="3" t="str">
        <f>VLOOKUP(C1193,layoffs_location!A:B,2,FALSE)</f>
        <v>other</v>
      </c>
      <c r="E1193" s="3" t="str">
        <f>VLOOKUP(C1193,layoffs_location!A:C,3,FALSE)</f>
        <v>non</v>
      </c>
      <c r="F1193" s="3" t="str">
        <f>VLOOKUP(C1193,layoffs_location!A:D,4,FALSE)</f>
        <v>Israel</v>
      </c>
      <c r="G1193" s="3" t="str">
        <f>VLOOKUP(C1193,layoffs_location!A:E,5,FALSE)</f>
        <v>Asia</v>
      </c>
      <c r="H1193" s="3">
        <v>70</v>
      </c>
      <c r="I1193" s="8">
        <v>45049</v>
      </c>
      <c r="J1193" s="9">
        <v>33</v>
      </c>
      <c r="K1193" s="10">
        <v>212</v>
      </c>
      <c r="L1193" s="10">
        <v>142</v>
      </c>
      <c r="M1193" s="3" t="s">
        <v>21</v>
      </c>
      <c r="N1193" s="3" t="s">
        <v>108</v>
      </c>
      <c r="O1193" s="34">
        <v>185</v>
      </c>
      <c r="P1193" s="3">
        <v>2023</v>
      </c>
      <c r="Q1193" s="3">
        <f>VLOOKUP(C1193,layoffs_location!A:F,6,FALSE)</f>
        <v>32.0852997</v>
      </c>
      <c r="R1193" s="3">
        <f>VLOOKUP(C1193,layoffs_location!A:G,7,FALSE)</f>
        <v>34.781806400000001</v>
      </c>
    </row>
    <row r="1194" spans="1:18" x14ac:dyDescent="0.2">
      <c r="A1194" s="3">
        <v>1193</v>
      </c>
      <c r="B1194" s="3" t="s">
        <v>311</v>
      </c>
      <c r="C1194" s="3" t="s">
        <v>39</v>
      </c>
      <c r="D1194" s="3" t="str">
        <f>VLOOKUP(C1194,layoffs_location!A:B,2,FALSE)</f>
        <v>New York</v>
      </c>
      <c r="E1194" s="3" t="str">
        <f>VLOOKUP(C1194,layoffs_location!A:C,3,FALSE)</f>
        <v>New York</v>
      </c>
      <c r="F1194" s="3" t="str">
        <f>VLOOKUP(C1194,layoffs_location!A:D,4,FALSE)</f>
        <v>USA</v>
      </c>
      <c r="G1194" s="3" t="str">
        <f>VLOOKUP(C1194,layoffs_location!A:E,5,FALSE)</f>
        <v>North America</v>
      </c>
      <c r="H1194" s="3">
        <v>22</v>
      </c>
      <c r="I1194" s="8">
        <v>45049</v>
      </c>
      <c r="J1194" s="9">
        <v>13</v>
      </c>
      <c r="K1194" s="10">
        <v>169</v>
      </c>
      <c r="L1194" s="10">
        <v>147</v>
      </c>
      <c r="M1194" s="3" t="s">
        <v>54</v>
      </c>
      <c r="N1194" s="3" t="s">
        <v>41</v>
      </c>
      <c r="O1194" s="34">
        <v>28</v>
      </c>
      <c r="P1194" s="3">
        <v>2023</v>
      </c>
      <c r="Q1194" s="3">
        <f>VLOOKUP(C1194,layoffs_location!A:F,6,FALSE)</f>
        <v>40.7127281</v>
      </c>
      <c r="R1194" s="3">
        <f>VLOOKUP(C1194,layoffs_location!A:G,7,FALSE)</f>
        <v>-74.006015199999993</v>
      </c>
    </row>
    <row r="1195" spans="1:18" ht="16" x14ac:dyDescent="0.2">
      <c r="A1195" s="3">
        <v>1194</v>
      </c>
      <c r="B1195" s="3" t="s">
        <v>59</v>
      </c>
      <c r="C1195" s="11" t="s">
        <v>1370</v>
      </c>
      <c r="D1195" s="3" t="str">
        <f>VLOOKUP(C1195,layoffs_location!A:B,2,FALSE)</f>
        <v>San Francisco Bay Area</v>
      </c>
      <c r="E1195" s="3" t="str">
        <f>VLOOKUP(C1195,layoffs_location!A:C,3,FALSE)</f>
        <v>California</v>
      </c>
      <c r="F1195" s="3" t="str">
        <f>VLOOKUP(C1195,layoffs_location!A:D,4,FALSE)</f>
        <v>USA</v>
      </c>
      <c r="G1195" s="3" t="str">
        <f>VLOOKUP(C1195,layoffs_location!A:E,5,FALSE)</f>
        <v>North America</v>
      </c>
      <c r="H1195" s="3">
        <v>600</v>
      </c>
      <c r="I1195" s="8">
        <v>45049</v>
      </c>
      <c r="J1195" s="9">
        <v>8</v>
      </c>
      <c r="K1195" s="10">
        <v>7500</v>
      </c>
      <c r="L1195" s="10">
        <v>6900</v>
      </c>
      <c r="M1195" s="3" t="s">
        <v>60</v>
      </c>
      <c r="N1195" s="3" t="s">
        <v>28</v>
      </c>
      <c r="O1195" s="34">
        <v>1300</v>
      </c>
      <c r="P1195" s="3">
        <v>2023</v>
      </c>
      <c r="Q1195" s="3">
        <f>VLOOKUP(C1195,layoffs_location!A:F,6,FALSE)</f>
        <v>37.779258800000001</v>
      </c>
      <c r="R1195" s="3">
        <f>VLOOKUP(C1195,layoffs_location!A:G,7,FALSE)</f>
        <v>-122.4193286</v>
      </c>
    </row>
    <row r="1196" spans="1:18" x14ac:dyDescent="0.2">
      <c r="A1196" s="3">
        <v>1195</v>
      </c>
      <c r="B1196" s="3" t="s">
        <v>308</v>
      </c>
      <c r="C1196" s="3" t="s">
        <v>1370</v>
      </c>
      <c r="D1196" s="3" t="str">
        <f>VLOOKUP(C1196,layoffs_location!A:B,2,FALSE)</f>
        <v>San Francisco Bay Area</v>
      </c>
      <c r="E1196" s="3" t="str">
        <f>VLOOKUP(C1196,layoffs_location!A:C,3,FALSE)</f>
        <v>California</v>
      </c>
      <c r="F1196" s="3" t="str">
        <f>VLOOKUP(C1196,layoffs_location!A:D,4,FALSE)</f>
        <v>USA</v>
      </c>
      <c r="G1196" s="3" t="str">
        <f>VLOOKUP(C1196,layoffs_location!A:E,5,FALSE)</f>
        <v>North America</v>
      </c>
      <c r="H1196" s="3">
        <v>137</v>
      </c>
      <c r="I1196" s="8">
        <v>45049</v>
      </c>
      <c r="J1196" s="9">
        <v>15</v>
      </c>
      <c r="K1196" s="10">
        <v>913</v>
      </c>
      <c r="L1196" s="10">
        <v>776</v>
      </c>
      <c r="M1196" s="3" t="s">
        <v>60</v>
      </c>
      <c r="N1196" s="3" t="s">
        <v>28</v>
      </c>
      <c r="O1196" s="34">
        <v>168</v>
      </c>
      <c r="P1196" s="3">
        <v>2023</v>
      </c>
      <c r="Q1196" s="3">
        <f>VLOOKUP(C1196,layoffs_location!A:F,6,FALSE)</f>
        <v>37.779258800000001</v>
      </c>
      <c r="R1196" s="3">
        <f>VLOOKUP(C1196,layoffs_location!A:G,7,FALSE)</f>
        <v>-122.4193286</v>
      </c>
    </row>
    <row r="1197" spans="1:18" x14ac:dyDescent="0.2">
      <c r="A1197" s="3">
        <v>1196</v>
      </c>
      <c r="B1197" s="3" t="s">
        <v>305</v>
      </c>
      <c r="C1197" s="3" t="s">
        <v>76</v>
      </c>
      <c r="D1197" s="3" t="str">
        <f>VLOOKUP(C1197,layoffs_location!A:B,2,FALSE)</f>
        <v>other</v>
      </c>
      <c r="E1197" s="3" t="str">
        <f>VLOOKUP(C1197,layoffs_location!A:C,3,FALSE)</f>
        <v>California</v>
      </c>
      <c r="F1197" s="3" t="str">
        <f>VLOOKUP(C1197,layoffs_location!A:D,4,FALSE)</f>
        <v>USA</v>
      </c>
      <c r="G1197" s="3" t="str">
        <f>VLOOKUP(C1197,layoffs_location!A:E,5,FALSE)</f>
        <v>North America</v>
      </c>
      <c r="H1197" s="3">
        <v>30</v>
      </c>
      <c r="I1197" s="8">
        <v>45050</v>
      </c>
      <c r="J1197" s="9">
        <v>33</v>
      </c>
      <c r="K1197" s="10">
        <v>91</v>
      </c>
      <c r="L1197" s="10">
        <v>61</v>
      </c>
      <c r="M1197" s="3" t="s">
        <v>117</v>
      </c>
      <c r="N1197" s="3" t="s">
        <v>49</v>
      </c>
      <c r="O1197" s="34">
        <v>205</v>
      </c>
      <c r="P1197" s="3">
        <v>2023</v>
      </c>
      <c r="Q1197" s="3">
        <f>VLOOKUP(C1197,layoffs_location!A:F,6,FALSE)</f>
        <v>34.053690899999999</v>
      </c>
      <c r="R1197" s="3">
        <f>VLOOKUP(C1197,layoffs_location!A:G,7,FALSE)</f>
        <v>-118.242766</v>
      </c>
    </row>
    <row r="1198" spans="1:18" x14ac:dyDescent="0.2">
      <c r="A1198" s="3">
        <v>1197</v>
      </c>
      <c r="B1198" s="3" t="s">
        <v>306</v>
      </c>
      <c r="C1198" s="3" t="s">
        <v>47</v>
      </c>
      <c r="D1198" s="3" t="str">
        <f>VLOOKUP(C1198,layoffs_location!A:B,2,FALSE)</f>
        <v>other</v>
      </c>
      <c r="E1198" s="3" t="str">
        <f>VLOOKUP(C1198,layoffs_location!A:C,3,FALSE)</f>
        <v>non</v>
      </c>
      <c r="F1198" s="3" t="str">
        <f>VLOOKUP(C1198,layoffs_location!A:D,4,FALSE)</f>
        <v>Israel</v>
      </c>
      <c r="G1198" s="3" t="str">
        <f>VLOOKUP(C1198,layoffs_location!A:E,5,FALSE)</f>
        <v>Asia</v>
      </c>
      <c r="H1198" s="3">
        <v>30</v>
      </c>
      <c r="I1198" s="8">
        <v>45050</v>
      </c>
      <c r="J1198" s="9">
        <v>10</v>
      </c>
      <c r="K1198" s="10">
        <v>300</v>
      </c>
      <c r="L1198" s="10">
        <v>270</v>
      </c>
      <c r="M1198" s="3" t="s">
        <v>35</v>
      </c>
      <c r="N1198" s="3" t="s">
        <v>22</v>
      </c>
      <c r="O1198" s="34">
        <v>100</v>
      </c>
      <c r="P1198" s="3">
        <v>2023</v>
      </c>
      <c r="Q1198" s="3">
        <f>VLOOKUP(C1198,layoffs_location!A:F,6,FALSE)</f>
        <v>32.0852997</v>
      </c>
      <c r="R1198" s="3">
        <f>VLOOKUP(C1198,layoffs_location!A:G,7,FALSE)</f>
        <v>34.781806400000001</v>
      </c>
    </row>
    <row r="1199" spans="1:18" x14ac:dyDescent="0.2">
      <c r="A1199" s="3">
        <v>1198</v>
      </c>
      <c r="B1199" s="3" t="s">
        <v>307</v>
      </c>
      <c r="C1199" s="3" t="s">
        <v>47</v>
      </c>
      <c r="D1199" s="3" t="str">
        <f>VLOOKUP(C1199,layoffs_location!A:B,2,FALSE)</f>
        <v>other</v>
      </c>
      <c r="E1199" s="3" t="str">
        <f>VLOOKUP(C1199,layoffs_location!A:C,3,FALSE)</f>
        <v>non</v>
      </c>
      <c r="F1199" s="3" t="str">
        <f>VLOOKUP(C1199,layoffs_location!A:D,4,FALSE)</f>
        <v>Israel</v>
      </c>
      <c r="G1199" s="3" t="str">
        <f>VLOOKUP(C1199,layoffs_location!A:E,5,FALSE)</f>
        <v>Asia</v>
      </c>
      <c r="H1199" s="3">
        <v>20</v>
      </c>
      <c r="I1199" s="8">
        <v>45050</v>
      </c>
      <c r="J1199" s="9">
        <v>28</v>
      </c>
      <c r="K1199" s="10">
        <v>71</v>
      </c>
      <c r="L1199" s="10">
        <v>51</v>
      </c>
      <c r="M1199" s="3" t="s">
        <v>30</v>
      </c>
      <c r="N1199" s="3" t="s">
        <v>69</v>
      </c>
      <c r="O1199" s="34">
        <v>34</v>
      </c>
      <c r="P1199" s="3">
        <v>2023</v>
      </c>
      <c r="Q1199" s="3">
        <f>VLOOKUP(C1199,layoffs_location!A:F,6,FALSE)</f>
        <v>32.0852997</v>
      </c>
      <c r="R1199" s="3">
        <f>VLOOKUP(C1199,layoffs_location!A:G,7,FALSE)</f>
        <v>34.781806400000001</v>
      </c>
    </row>
    <row r="1200" spans="1:18" x14ac:dyDescent="0.2">
      <c r="A1200" s="3">
        <v>1199</v>
      </c>
      <c r="B1200" s="3" t="s">
        <v>303</v>
      </c>
      <c r="C1200" s="3" t="s">
        <v>304</v>
      </c>
      <c r="D1200" s="3" t="str">
        <f>VLOOKUP(C1200,layoffs_location!A:B,2,FALSE)</f>
        <v>other</v>
      </c>
      <c r="E1200" s="3" t="str">
        <f>VLOOKUP(C1200,layoffs_location!A:C,3,FALSE)</f>
        <v>Texas</v>
      </c>
      <c r="F1200" s="3" t="str">
        <f>VLOOKUP(C1200,layoffs_location!A:D,4,FALSE)</f>
        <v>USA</v>
      </c>
      <c r="G1200" s="3" t="str">
        <f>VLOOKUP(C1200,layoffs_location!A:E,5,FALSE)</f>
        <v>North America</v>
      </c>
      <c r="H1200" s="3">
        <v>1100</v>
      </c>
      <c r="I1200" s="8">
        <v>45050</v>
      </c>
      <c r="J1200" s="9">
        <v>15</v>
      </c>
      <c r="K1200" s="10">
        <v>7333</v>
      </c>
      <c r="L1200" s="10">
        <v>6233</v>
      </c>
      <c r="M1200" s="3" t="s">
        <v>72</v>
      </c>
      <c r="N1200" s="3" t="s">
        <v>28</v>
      </c>
      <c r="P1200" s="3">
        <v>2023</v>
      </c>
      <c r="Q1200" s="3">
        <f>VLOOKUP(C1200,layoffs_location!A:F,6,FALSE)</f>
        <v>32.776271899999998</v>
      </c>
      <c r="R1200" s="3">
        <f>VLOOKUP(C1200,layoffs_location!A:G,7,FALSE)</f>
        <v>-96.796855899999997</v>
      </c>
    </row>
    <row r="1201" spans="1:18" x14ac:dyDescent="0.2">
      <c r="A1201" s="3">
        <v>1200</v>
      </c>
      <c r="B1201" s="3" t="s">
        <v>301</v>
      </c>
      <c r="C1201" s="3" t="s">
        <v>302</v>
      </c>
      <c r="D1201" s="3" t="str">
        <f>VLOOKUP(C1201,layoffs_location!A:B,2,FALSE)</f>
        <v>other</v>
      </c>
      <c r="E1201" s="3" t="str">
        <f>VLOOKUP(C1201,layoffs_location!A:C,3,FALSE)</f>
        <v>Ontario</v>
      </c>
      <c r="F1201" s="3" t="str">
        <f>VLOOKUP(C1201,layoffs_location!A:D,4,FALSE)</f>
        <v>Canada</v>
      </c>
      <c r="G1201" s="3" t="str">
        <f>VLOOKUP(C1201,layoffs_location!A:E,5,FALSE)</f>
        <v>North America</v>
      </c>
      <c r="H1201" s="3">
        <v>2300</v>
      </c>
      <c r="I1201" s="8">
        <v>45050</v>
      </c>
      <c r="J1201" s="9">
        <v>20</v>
      </c>
      <c r="K1201" s="10">
        <v>11500</v>
      </c>
      <c r="L1201" s="10">
        <v>9200</v>
      </c>
      <c r="M1201" s="3" t="s">
        <v>30</v>
      </c>
      <c r="N1201" s="3" t="s">
        <v>28</v>
      </c>
      <c r="O1201" s="34">
        <v>122</v>
      </c>
      <c r="P1201" s="3">
        <v>2023</v>
      </c>
      <c r="Q1201" s="3">
        <f>VLOOKUP(C1201,layoffs_location!A:F,6,FALSE)</f>
        <v>45.420877699999998</v>
      </c>
      <c r="R1201" s="3">
        <f>VLOOKUP(C1201,layoffs_location!A:G,7,FALSE)</f>
        <v>-75.690110599999997</v>
      </c>
    </row>
    <row r="1202" spans="1:18" x14ac:dyDescent="0.2">
      <c r="A1202" s="3">
        <v>1201</v>
      </c>
      <c r="B1202" s="3" t="s">
        <v>300</v>
      </c>
      <c r="C1202" s="3" t="s">
        <v>13</v>
      </c>
      <c r="D1202" s="3" t="str">
        <f>VLOOKUP(C1202,layoffs_location!A:B,2,FALSE)</f>
        <v>other</v>
      </c>
      <c r="E1202" s="3" t="str">
        <f>VLOOKUP(C1202,layoffs_location!A:C,3,FALSE)</f>
        <v>Karnataka</v>
      </c>
      <c r="F1202" s="3" t="str">
        <f>VLOOKUP(C1202,layoffs_location!A:D,4,FALSE)</f>
        <v>India</v>
      </c>
      <c r="G1202" s="3" t="str">
        <f>VLOOKUP(C1202,layoffs_location!A:E,5,FALSE)</f>
        <v>Asia</v>
      </c>
      <c r="H1202" s="3">
        <v>251</v>
      </c>
      <c r="I1202" s="8">
        <v>45051</v>
      </c>
      <c r="J1202" s="9">
        <v>15</v>
      </c>
      <c r="K1202" s="10">
        <v>1673</v>
      </c>
      <c r="L1202" s="10">
        <v>1422</v>
      </c>
      <c r="M1202" s="3" t="s">
        <v>30</v>
      </c>
      <c r="N1202" s="3" t="s">
        <v>63</v>
      </c>
      <c r="O1202" s="34">
        <v>1100</v>
      </c>
      <c r="P1202" s="3">
        <v>2023</v>
      </c>
      <c r="Q1202" s="3">
        <f>VLOOKUP(C1202,layoffs_location!A:F,6,FALSE)</f>
        <v>12.98815675</v>
      </c>
      <c r="R1202" s="3">
        <f>VLOOKUP(C1202,layoffs_location!A:G,7,FALSE)</f>
        <v>77.622600037959998</v>
      </c>
    </row>
    <row r="1203" spans="1:18" ht="16" x14ac:dyDescent="0.2">
      <c r="A1203" s="3">
        <v>1202</v>
      </c>
      <c r="B1203" s="3" t="s">
        <v>299</v>
      </c>
      <c r="C1203" s="11" t="s">
        <v>1370</v>
      </c>
      <c r="D1203" s="3" t="str">
        <f>VLOOKUP(C1203,layoffs_location!A:B,2,FALSE)</f>
        <v>San Francisco Bay Area</v>
      </c>
      <c r="E1203" s="3" t="str">
        <f>VLOOKUP(C1203,layoffs_location!A:C,3,FALSE)</f>
        <v>California</v>
      </c>
      <c r="F1203" s="3" t="str">
        <f>VLOOKUP(C1203,layoffs_location!A:D,4,FALSE)</f>
        <v>USA</v>
      </c>
      <c r="G1203" s="3" t="str">
        <f>VLOOKUP(C1203,layoffs_location!A:E,5,FALSE)</f>
        <v>North America</v>
      </c>
      <c r="H1203" s="3">
        <v>270</v>
      </c>
      <c r="I1203" s="8">
        <v>45051</v>
      </c>
      <c r="J1203" s="9">
        <v>25</v>
      </c>
      <c r="K1203" s="10">
        <v>1080</v>
      </c>
      <c r="L1203" s="10">
        <v>810</v>
      </c>
      <c r="M1203" s="3" t="s">
        <v>21</v>
      </c>
      <c r="N1203" s="3" t="s">
        <v>28</v>
      </c>
      <c r="O1203" s="34">
        <v>503</v>
      </c>
      <c r="P1203" s="3">
        <v>2023</v>
      </c>
      <c r="Q1203" s="3">
        <f>VLOOKUP(C1203,layoffs_location!A:F,6,FALSE)</f>
        <v>37.779258800000001</v>
      </c>
      <c r="R1203" s="3">
        <f>VLOOKUP(C1203,layoffs_location!A:G,7,FALSE)</f>
        <v>-122.4193286</v>
      </c>
    </row>
    <row r="1204" spans="1:18" x14ac:dyDescent="0.2">
      <c r="A1204" s="3">
        <v>1203</v>
      </c>
      <c r="B1204" s="3" t="s">
        <v>101</v>
      </c>
      <c r="C1204" s="3" t="s">
        <v>1720</v>
      </c>
      <c r="D1204" s="3" t="str">
        <f>VLOOKUP(C1204,layoffs_location!A:B,2,FALSE)</f>
        <v>San Francisco Bay Area</v>
      </c>
      <c r="E1204" s="3" t="str">
        <f>VLOOKUP(C1204,layoffs_location!A:C,3,FALSE)</f>
        <v>California</v>
      </c>
      <c r="F1204" s="3" t="str">
        <f>VLOOKUP(C1204,layoffs_location!A:D,4,FALSE)</f>
        <v>USA</v>
      </c>
      <c r="G1204" s="3" t="str">
        <f>VLOOKUP(C1204,layoffs_location!A:E,5,FALSE)</f>
        <v>North America</v>
      </c>
      <c r="H1204" s="3">
        <v>716</v>
      </c>
      <c r="I1204" s="8">
        <v>45054</v>
      </c>
      <c r="J1204" s="9">
        <v>4</v>
      </c>
      <c r="K1204" s="10">
        <v>17900</v>
      </c>
      <c r="L1204" s="10">
        <v>17184</v>
      </c>
      <c r="M1204" s="3" t="s">
        <v>84</v>
      </c>
      <c r="N1204" s="3" t="s">
        <v>33</v>
      </c>
      <c r="O1204" s="34">
        <v>154</v>
      </c>
      <c r="P1204" s="3">
        <v>2023</v>
      </c>
      <c r="Q1204" s="3">
        <f>VLOOKUP(C1204,layoffs_location!A:F,6,FALSE)</f>
        <v>37.368830099999997</v>
      </c>
      <c r="R1204" s="3">
        <f>VLOOKUP(C1204,layoffs_location!A:G,7,FALSE)</f>
        <v>-122.036349</v>
      </c>
    </row>
    <row r="1205" spans="1:18" x14ac:dyDescent="0.2">
      <c r="A1205" s="3">
        <v>1204</v>
      </c>
      <c r="B1205" s="3" t="s">
        <v>297</v>
      </c>
      <c r="C1205" s="3" t="s">
        <v>71</v>
      </c>
      <c r="D1205" s="3" t="str">
        <f>VLOOKUP(C1205,layoffs_location!A:B,2,FALSE)</f>
        <v>other</v>
      </c>
      <c r="E1205" s="3" t="str">
        <f>VLOOKUP(C1205,layoffs_location!A:C,3,FALSE)</f>
        <v>Massachusetts</v>
      </c>
      <c r="F1205" s="3" t="str">
        <f>VLOOKUP(C1205,layoffs_location!A:D,4,FALSE)</f>
        <v>USA</v>
      </c>
      <c r="G1205" s="3" t="str">
        <f>VLOOKUP(C1205,layoffs_location!A:E,5,FALSE)</f>
        <v>North America</v>
      </c>
      <c r="H1205" s="3">
        <v>290</v>
      </c>
      <c r="I1205" s="8">
        <v>45055</v>
      </c>
      <c r="J1205" s="9">
        <v>3</v>
      </c>
      <c r="K1205" s="10">
        <v>9667</v>
      </c>
      <c r="L1205" s="10">
        <v>9377</v>
      </c>
      <c r="M1205" s="3" t="s">
        <v>139</v>
      </c>
      <c r="N1205" s="3" t="s">
        <v>28</v>
      </c>
      <c r="O1205" s="34">
        <v>35</v>
      </c>
      <c r="P1205" s="3">
        <v>2023</v>
      </c>
      <c r="Q1205" s="3">
        <f>VLOOKUP(C1205,layoffs_location!A:F,6,FALSE)</f>
        <v>42.355433400000003</v>
      </c>
      <c r="R1205" s="3">
        <f>VLOOKUP(C1205,layoffs_location!A:G,7,FALSE)</f>
        <v>-71.060511000000005</v>
      </c>
    </row>
    <row r="1206" spans="1:18" x14ac:dyDescent="0.2">
      <c r="A1206" s="3">
        <v>1205</v>
      </c>
      <c r="B1206" s="3" t="s">
        <v>213</v>
      </c>
      <c r="C1206" s="3" t="s">
        <v>47</v>
      </c>
      <c r="D1206" s="3" t="str">
        <f>VLOOKUP(C1206,layoffs_location!A:B,2,FALSE)</f>
        <v>other</v>
      </c>
      <c r="E1206" s="3" t="str">
        <f>VLOOKUP(C1206,layoffs_location!A:C,3,FALSE)</f>
        <v>non</v>
      </c>
      <c r="F1206" s="3" t="str">
        <f>VLOOKUP(C1206,layoffs_location!A:D,4,FALSE)</f>
        <v>Israel</v>
      </c>
      <c r="G1206" s="3" t="str">
        <f>VLOOKUP(C1206,layoffs_location!A:E,5,FALSE)</f>
        <v>Asia</v>
      </c>
      <c r="H1206" s="3">
        <v>80</v>
      </c>
      <c r="I1206" s="8">
        <v>45055</v>
      </c>
      <c r="J1206" s="9">
        <v>6</v>
      </c>
      <c r="K1206" s="10">
        <v>1333</v>
      </c>
      <c r="L1206" s="10">
        <v>1253</v>
      </c>
      <c r="M1206" s="3" t="s">
        <v>60</v>
      </c>
      <c r="N1206" s="3" t="s">
        <v>28</v>
      </c>
      <c r="O1206" s="34">
        <v>91</v>
      </c>
      <c r="P1206" s="3">
        <v>2023</v>
      </c>
      <c r="Q1206" s="3">
        <f>VLOOKUP(C1206,layoffs_location!A:F,6,FALSE)</f>
        <v>32.0852997</v>
      </c>
      <c r="R1206" s="3">
        <f>VLOOKUP(C1206,layoffs_location!A:G,7,FALSE)</f>
        <v>34.781806400000001</v>
      </c>
    </row>
    <row r="1207" spans="1:18" x14ac:dyDescent="0.2">
      <c r="A1207" s="3">
        <v>1206</v>
      </c>
      <c r="B1207" s="3" t="s">
        <v>298</v>
      </c>
      <c r="C1207" s="3" t="s">
        <v>269</v>
      </c>
      <c r="D1207" s="3" t="str">
        <f>VLOOKUP(C1207,layoffs_location!A:B,2,FALSE)</f>
        <v>other</v>
      </c>
      <c r="E1207" s="3" t="str">
        <f>VLOOKUP(C1207,layoffs_location!A:C,3,FALSE)</f>
        <v>Maryland</v>
      </c>
      <c r="F1207" s="3" t="str">
        <f>VLOOKUP(C1207,layoffs_location!A:D,4,FALSE)</f>
        <v>USA</v>
      </c>
      <c r="G1207" s="3" t="str">
        <f>VLOOKUP(C1207,layoffs_location!A:E,5,FALSE)</f>
        <v>North America</v>
      </c>
      <c r="H1207" s="3">
        <v>100</v>
      </c>
      <c r="I1207" s="8">
        <v>45055</v>
      </c>
      <c r="J1207" s="9">
        <v>14</v>
      </c>
      <c r="K1207" s="10">
        <v>714</v>
      </c>
      <c r="L1207" s="10">
        <v>614</v>
      </c>
      <c r="M1207" s="3" t="s">
        <v>139</v>
      </c>
      <c r="N1207" s="3" t="s">
        <v>33</v>
      </c>
      <c r="O1207" s="34">
        <v>154</v>
      </c>
      <c r="P1207" s="3">
        <v>2023</v>
      </c>
      <c r="Q1207" s="3">
        <f>VLOOKUP(C1207,layoffs_location!A:F,6,FALSE)</f>
        <v>39.290881599999999</v>
      </c>
      <c r="R1207" s="3">
        <f>VLOOKUP(C1207,layoffs_location!A:G,7,FALSE)</f>
        <v>-76.610759000000002</v>
      </c>
    </row>
    <row r="1208" spans="1:18" x14ac:dyDescent="0.2">
      <c r="A1208" s="3">
        <v>1207</v>
      </c>
      <c r="B1208" s="3" t="s">
        <v>294</v>
      </c>
      <c r="C1208" s="3" t="s">
        <v>267</v>
      </c>
      <c r="D1208" s="3" t="str">
        <f>VLOOKUP(C1208,layoffs_location!A:B,2,FALSE)</f>
        <v>other</v>
      </c>
      <c r="E1208" s="3" t="str">
        <f>VLOOKUP(C1208,layoffs_location!A:C,3,FALSE)</f>
        <v>Victoria</v>
      </c>
      <c r="F1208" s="3" t="str">
        <f>VLOOKUP(C1208,layoffs_location!A:D,4,FALSE)</f>
        <v>Australia</v>
      </c>
      <c r="G1208" s="3" t="str">
        <f>VLOOKUP(C1208,layoffs_location!A:E,5,FALSE)</f>
        <v>Oceana</v>
      </c>
      <c r="H1208" s="3">
        <v>70</v>
      </c>
      <c r="I1208" s="8">
        <v>45056</v>
      </c>
      <c r="J1208" s="9">
        <v>23</v>
      </c>
      <c r="K1208" s="10">
        <v>304</v>
      </c>
      <c r="L1208" s="10">
        <v>234</v>
      </c>
      <c r="M1208" s="3" t="s">
        <v>30</v>
      </c>
      <c r="N1208" s="3" t="s">
        <v>28</v>
      </c>
      <c r="O1208" s="34">
        <v>55</v>
      </c>
      <c r="P1208" s="3">
        <v>2023</v>
      </c>
      <c r="Q1208" s="3">
        <f>VLOOKUP(C1208,layoffs_location!A:F,6,FALSE)</f>
        <v>-37.814245399999997</v>
      </c>
      <c r="R1208" s="3">
        <f>VLOOKUP(C1208,layoffs_location!A:G,7,FALSE)</f>
        <v>144.9631732</v>
      </c>
    </row>
    <row r="1209" spans="1:18" x14ac:dyDescent="0.2">
      <c r="A1209" s="3">
        <v>1208</v>
      </c>
      <c r="B1209" s="3" t="s">
        <v>295</v>
      </c>
      <c r="C1209" s="3" t="s">
        <v>39</v>
      </c>
      <c r="D1209" s="3" t="str">
        <f>VLOOKUP(C1209,layoffs_location!A:B,2,FALSE)</f>
        <v>New York</v>
      </c>
      <c r="E1209" s="3" t="str">
        <f>VLOOKUP(C1209,layoffs_location!A:C,3,FALSE)</f>
        <v>New York</v>
      </c>
      <c r="F1209" s="3" t="str">
        <f>VLOOKUP(C1209,layoffs_location!A:D,4,FALSE)</f>
        <v>USA</v>
      </c>
      <c r="G1209" s="3" t="str">
        <f>VLOOKUP(C1209,layoffs_location!A:E,5,FALSE)</f>
        <v>North America</v>
      </c>
      <c r="H1209" s="3">
        <v>60</v>
      </c>
      <c r="I1209" s="8">
        <v>45056</v>
      </c>
      <c r="J1209" s="9">
        <v>6</v>
      </c>
      <c r="K1209" s="10">
        <v>1000</v>
      </c>
      <c r="L1209" s="10">
        <v>940</v>
      </c>
      <c r="M1209" s="3" t="s">
        <v>60</v>
      </c>
      <c r="N1209" s="3" t="s">
        <v>28</v>
      </c>
      <c r="O1209" s="34">
        <v>235</v>
      </c>
      <c r="P1209" s="3">
        <v>2023</v>
      </c>
      <c r="Q1209" s="3">
        <f>VLOOKUP(C1209,layoffs_location!A:F,6,FALSE)</f>
        <v>40.7127281</v>
      </c>
      <c r="R1209" s="3">
        <f>VLOOKUP(C1209,layoffs_location!A:G,7,FALSE)</f>
        <v>-74.006015199999993</v>
      </c>
    </row>
    <row r="1210" spans="1:18" x14ac:dyDescent="0.2">
      <c r="A1210" s="3">
        <v>1209</v>
      </c>
      <c r="B1210" s="3" t="s">
        <v>296</v>
      </c>
      <c r="C1210" s="3" t="s">
        <v>39</v>
      </c>
      <c r="D1210" s="3" t="str">
        <f>VLOOKUP(C1210,layoffs_location!A:B,2,FALSE)</f>
        <v>New York</v>
      </c>
      <c r="E1210" s="3" t="str">
        <f>VLOOKUP(C1210,layoffs_location!A:C,3,FALSE)</f>
        <v>New York</v>
      </c>
      <c r="F1210" s="3" t="str">
        <f>VLOOKUP(C1210,layoffs_location!A:D,4,FALSE)</f>
        <v>USA</v>
      </c>
      <c r="G1210" s="3" t="str">
        <f>VLOOKUP(C1210,layoffs_location!A:E,5,FALSE)</f>
        <v>North America</v>
      </c>
      <c r="H1210" s="3">
        <v>58</v>
      </c>
      <c r="I1210" s="8">
        <v>45056</v>
      </c>
      <c r="J1210" s="9">
        <v>10</v>
      </c>
      <c r="K1210" s="10">
        <v>580</v>
      </c>
      <c r="L1210" s="10">
        <v>522</v>
      </c>
      <c r="M1210" s="3" t="s">
        <v>84</v>
      </c>
      <c r="N1210" s="3" t="s">
        <v>33</v>
      </c>
      <c r="O1210" s="34">
        <v>153</v>
      </c>
      <c r="P1210" s="3">
        <v>2023</v>
      </c>
      <c r="Q1210" s="3">
        <f>VLOOKUP(C1210,layoffs_location!A:F,6,FALSE)</f>
        <v>40.7127281</v>
      </c>
      <c r="R1210" s="3">
        <f>VLOOKUP(C1210,layoffs_location!A:G,7,FALSE)</f>
        <v>-74.006015199999993</v>
      </c>
    </row>
    <row r="1211" spans="1:18" x14ac:dyDescent="0.2">
      <c r="A1211" s="3">
        <v>1210</v>
      </c>
      <c r="B1211" s="3" t="s">
        <v>291</v>
      </c>
      <c r="C1211" s="3" t="s">
        <v>292</v>
      </c>
      <c r="D1211" s="3" t="str">
        <f>VLOOKUP(C1211,layoffs_location!A:B,2,FALSE)</f>
        <v>other</v>
      </c>
      <c r="E1211" s="3" t="str">
        <f>VLOOKUP(C1211,layoffs_location!A:C,3,FALSE)</f>
        <v>non</v>
      </c>
      <c r="F1211" s="3" t="str">
        <f>VLOOKUP(C1211,layoffs_location!A:D,4,FALSE)</f>
        <v>Chile</v>
      </c>
      <c r="G1211" s="3" t="str">
        <f>VLOOKUP(C1211,layoffs_location!A:E,5,FALSE)</f>
        <v>South America</v>
      </c>
      <c r="H1211" s="3">
        <v>250</v>
      </c>
      <c r="I1211" s="8">
        <v>45057</v>
      </c>
      <c r="J1211" s="9">
        <v>11</v>
      </c>
      <c r="K1211" s="10">
        <v>2273</v>
      </c>
      <c r="L1211" s="10">
        <v>2023</v>
      </c>
      <c r="M1211" s="3" t="s">
        <v>77</v>
      </c>
      <c r="N1211" s="3" t="s">
        <v>33</v>
      </c>
      <c r="O1211" s="34">
        <v>31</v>
      </c>
      <c r="P1211" s="3">
        <v>2023</v>
      </c>
      <c r="Q1211" s="3">
        <f>VLOOKUP(C1211,layoffs_location!A:F,6,FALSE)</f>
        <v>-33.437775600000002</v>
      </c>
      <c r="R1211" s="3">
        <f>VLOOKUP(C1211,layoffs_location!A:G,7,FALSE)</f>
        <v>-70.650450199999995</v>
      </c>
    </row>
    <row r="1212" spans="1:18" x14ac:dyDescent="0.2">
      <c r="A1212" s="3">
        <v>1211</v>
      </c>
      <c r="B1212" s="3" t="s">
        <v>290</v>
      </c>
      <c r="C1212" s="3" t="s">
        <v>13</v>
      </c>
      <c r="D1212" s="3" t="str">
        <f>VLOOKUP(C1212,layoffs_location!A:B,2,FALSE)</f>
        <v>other</v>
      </c>
      <c r="E1212" s="3" t="str">
        <f>VLOOKUP(C1212,layoffs_location!A:C,3,FALSE)</f>
        <v>Karnataka</v>
      </c>
      <c r="F1212" s="3" t="str">
        <f>VLOOKUP(C1212,layoffs_location!A:D,4,FALSE)</f>
        <v>India</v>
      </c>
      <c r="G1212" s="3" t="str">
        <f>VLOOKUP(C1212,layoffs_location!A:E,5,FALSE)</f>
        <v>Asia</v>
      </c>
      <c r="H1212" s="3">
        <v>160</v>
      </c>
      <c r="I1212" s="8">
        <v>45058</v>
      </c>
      <c r="J1212" s="9">
        <v>35</v>
      </c>
      <c r="K1212" s="10">
        <v>457</v>
      </c>
      <c r="L1212" s="10">
        <v>297</v>
      </c>
      <c r="M1212" s="3" t="s">
        <v>35</v>
      </c>
      <c r="N1212" s="3" t="s">
        <v>33</v>
      </c>
      <c r="O1212" s="34">
        <v>21</v>
      </c>
      <c r="P1212" s="3">
        <v>2023</v>
      </c>
      <c r="Q1212" s="3">
        <f>VLOOKUP(C1212,layoffs_location!A:F,6,FALSE)</f>
        <v>12.98815675</v>
      </c>
      <c r="R1212" s="3">
        <f>VLOOKUP(C1212,layoffs_location!A:G,7,FALSE)</f>
        <v>77.622600037959998</v>
      </c>
    </row>
    <row r="1213" spans="1:18" x14ac:dyDescent="0.2">
      <c r="A1213" s="3">
        <v>1212</v>
      </c>
      <c r="B1213" s="3" t="s">
        <v>289</v>
      </c>
      <c r="C1213" s="3" t="s">
        <v>1408</v>
      </c>
      <c r="D1213" s="3" t="str">
        <f>VLOOKUP(C1213,layoffs_location!A:B,2,FALSE)</f>
        <v>San Francisco Bay Area</v>
      </c>
      <c r="E1213" s="3" t="str">
        <f>VLOOKUP(C1213,layoffs_location!A:C,3,FALSE)</f>
        <v>California</v>
      </c>
      <c r="F1213" s="3" t="str">
        <f>VLOOKUP(C1213,layoffs_location!A:D,4,FALSE)</f>
        <v>USA</v>
      </c>
      <c r="G1213" s="3" t="str">
        <f>VLOOKUP(C1213,layoffs_location!A:E,5,FALSE)</f>
        <v>North America</v>
      </c>
      <c r="H1213" s="3">
        <v>340</v>
      </c>
      <c r="I1213" s="8">
        <v>45058</v>
      </c>
      <c r="J1213" s="9">
        <v>30</v>
      </c>
      <c r="K1213" s="10">
        <v>1133</v>
      </c>
      <c r="L1213" s="10">
        <v>793</v>
      </c>
      <c r="M1213" s="3" t="s">
        <v>32</v>
      </c>
      <c r="N1213" s="3" t="s">
        <v>108</v>
      </c>
      <c r="O1213" s="34">
        <v>2100</v>
      </c>
      <c r="P1213" s="3">
        <v>2023</v>
      </c>
      <c r="Q1213" s="3">
        <f>VLOOKUP(C1213,layoffs_location!A:F,6,FALSE)</f>
        <v>37.3893889</v>
      </c>
      <c r="R1213" s="3">
        <f>VLOOKUP(C1213,layoffs_location!A:G,7,FALSE)</f>
        <v>-122.0832101</v>
      </c>
    </row>
    <row r="1214" spans="1:18" x14ac:dyDescent="0.2">
      <c r="A1214" s="3">
        <v>1213</v>
      </c>
      <c r="B1214" s="3" t="s">
        <v>288</v>
      </c>
      <c r="C1214" s="3" t="s">
        <v>39</v>
      </c>
      <c r="D1214" s="3" t="str">
        <f>VLOOKUP(C1214,layoffs_location!A:B,2,FALSE)</f>
        <v>New York</v>
      </c>
      <c r="E1214" s="3" t="str">
        <f>VLOOKUP(C1214,layoffs_location!A:C,3,FALSE)</f>
        <v>New York</v>
      </c>
      <c r="F1214" s="3" t="str">
        <f>VLOOKUP(C1214,layoffs_location!A:D,4,FALSE)</f>
        <v>USA</v>
      </c>
      <c r="G1214" s="3" t="str">
        <f>VLOOKUP(C1214,layoffs_location!A:E,5,FALSE)</f>
        <v>North America</v>
      </c>
      <c r="H1214" s="3">
        <v>45</v>
      </c>
      <c r="I1214" s="8">
        <v>45062</v>
      </c>
      <c r="J1214" s="9">
        <v>3</v>
      </c>
      <c r="K1214" s="10">
        <v>1500</v>
      </c>
      <c r="L1214" s="10">
        <v>1455</v>
      </c>
      <c r="M1214" s="3" t="s">
        <v>35</v>
      </c>
      <c r="N1214" s="3" t="s">
        <v>28</v>
      </c>
      <c r="O1214" s="34">
        <v>481</v>
      </c>
      <c r="P1214" s="3">
        <v>2023</v>
      </c>
      <c r="Q1214" s="3">
        <f>VLOOKUP(C1214,layoffs_location!A:F,6,FALSE)</f>
        <v>40.7127281</v>
      </c>
      <c r="R1214" s="3">
        <f>VLOOKUP(C1214,layoffs_location!A:G,7,FALSE)</f>
        <v>-74.006015199999993</v>
      </c>
    </row>
    <row r="1215" spans="1:18" x14ac:dyDescent="0.2">
      <c r="A1215" s="3">
        <v>1214</v>
      </c>
      <c r="B1215" s="3" t="s">
        <v>57</v>
      </c>
      <c r="C1215" s="3" t="s">
        <v>58</v>
      </c>
      <c r="D1215" s="3" t="str">
        <f>VLOOKUP(C1215,layoffs_location!A:B,2,FALSE)</f>
        <v>other</v>
      </c>
      <c r="E1215" s="3" t="str">
        <f>VLOOKUP(C1215,layoffs_location!A:C,3,FALSE)</f>
        <v>England</v>
      </c>
      <c r="F1215" s="3" t="str">
        <f>VLOOKUP(C1215,layoffs_location!A:D,4,FALSE)</f>
        <v>UK</v>
      </c>
      <c r="G1215" s="3" t="str">
        <f>VLOOKUP(C1215,layoffs_location!A:E,5,FALSE)</f>
        <v>Europe</v>
      </c>
      <c r="H1215" s="3">
        <v>420</v>
      </c>
      <c r="I1215" s="8">
        <v>45062</v>
      </c>
      <c r="J1215" s="9">
        <v>26</v>
      </c>
      <c r="K1215" s="10">
        <v>1615</v>
      </c>
      <c r="L1215" s="10">
        <v>1195</v>
      </c>
      <c r="M1215" s="3" t="s">
        <v>35</v>
      </c>
      <c r="N1215" s="3" t="s">
        <v>36</v>
      </c>
      <c r="O1215" s="34">
        <v>700</v>
      </c>
      <c r="P1215" s="3">
        <v>2023</v>
      </c>
      <c r="Q1215" s="3">
        <f>VLOOKUP(C1215,layoffs_location!A:F,6,FALSE)</f>
        <v>51.489333500000001</v>
      </c>
      <c r="R1215" s="3">
        <f>VLOOKUP(C1215,layoffs_location!A:G,7,FALSE)</f>
        <v>-0.14405508452768701</v>
      </c>
    </row>
    <row r="1216" spans="1:18" x14ac:dyDescent="0.2">
      <c r="A1216" s="3">
        <v>1215</v>
      </c>
      <c r="B1216" s="3" t="s">
        <v>287</v>
      </c>
      <c r="C1216" s="3" t="s">
        <v>39</v>
      </c>
      <c r="D1216" s="3" t="str">
        <f>VLOOKUP(C1216,layoffs_location!A:B,2,FALSE)</f>
        <v>New York</v>
      </c>
      <c r="E1216" s="3" t="str">
        <f>VLOOKUP(C1216,layoffs_location!A:C,3,FALSE)</f>
        <v>New York</v>
      </c>
      <c r="F1216" s="3" t="str">
        <f>VLOOKUP(C1216,layoffs_location!A:D,4,FALSE)</f>
        <v>USA</v>
      </c>
      <c r="G1216" s="3" t="str">
        <f>VLOOKUP(C1216,layoffs_location!A:E,5,FALSE)</f>
        <v>North America</v>
      </c>
      <c r="H1216" s="3">
        <v>40</v>
      </c>
      <c r="I1216" s="8">
        <v>45063</v>
      </c>
      <c r="J1216" s="9">
        <v>10</v>
      </c>
      <c r="K1216" s="10">
        <v>400</v>
      </c>
      <c r="L1216" s="10">
        <v>360</v>
      </c>
      <c r="M1216" s="3" t="s">
        <v>35</v>
      </c>
      <c r="N1216" s="3" t="s">
        <v>22</v>
      </c>
      <c r="O1216" s="34">
        <v>480</v>
      </c>
      <c r="P1216" s="3">
        <v>2023</v>
      </c>
      <c r="Q1216" s="3">
        <f>VLOOKUP(C1216,layoffs_location!A:F,6,FALSE)</f>
        <v>40.7127281</v>
      </c>
      <c r="R1216" s="3">
        <f>VLOOKUP(C1216,layoffs_location!A:G,7,FALSE)</f>
        <v>-74.006015199999993</v>
      </c>
    </row>
    <row r="1217" spans="1:18" x14ac:dyDescent="0.2">
      <c r="A1217" s="3">
        <v>1216</v>
      </c>
      <c r="B1217" s="3" t="s">
        <v>286</v>
      </c>
      <c r="C1217" s="3" t="s">
        <v>260</v>
      </c>
      <c r="D1217" s="3" t="str">
        <f>VLOOKUP(C1217,layoffs_location!A:B,2,FALSE)</f>
        <v>other</v>
      </c>
      <c r="E1217" s="3" t="str">
        <f>VLOOKUP(C1217,layoffs_location!A:C,3,FALSE)</f>
        <v>District of Columbia</v>
      </c>
      <c r="F1217" s="3" t="str">
        <f>VLOOKUP(C1217,layoffs_location!A:D,4,FALSE)</f>
        <v>USA</v>
      </c>
      <c r="G1217" s="3" t="str">
        <f>VLOOKUP(C1217,layoffs_location!A:E,5,FALSE)</f>
        <v>North America</v>
      </c>
      <c r="H1217" s="3">
        <v>63</v>
      </c>
      <c r="I1217" s="8">
        <v>45064</v>
      </c>
      <c r="J1217" s="9">
        <v>14</v>
      </c>
      <c r="K1217" s="10">
        <v>450</v>
      </c>
      <c r="L1217" s="10">
        <v>387</v>
      </c>
      <c r="M1217" s="3" t="s">
        <v>35</v>
      </c>
      <c r="N1217" s="3" t="s">
        <v>108</v>
      </c>
      <c r="O1217" s="34">
        <v>621</v>
      </c>
      <c r="P1217" s="3">
        <v>2023</v>
      </c>
      <c r="Q1217" s="3">
        <f>VLOOKUP(C1217,layoffs_location!A:F,6,FALSE)</f>
        <v>38.8950368</v>
      </c>
      <c r="R1217" s="3">
        <f>VLOOKUP(C1217,layoffs_location!A:G,7,FALSE)</f>
        <v>-77.036542699999998</v>
      </c>
    </row>
    <row r="1218" spans="1:18" x14ac:dyDescent="0.2">
      <c r="A1218" s="3">
        <v>1217</v>
      </c>
      <c r="B1218" s="3" t="s">
        <v>283</v>
      </c>
      <c r="C1218" s="3" t="s">
        <v>135</v>
      </c>
      <c r="D1218" s="3" t="str">
        <f>VLOOKUP(C1218,layoffs_location!A:B,2,FALSE)</f>
        <v>other</v>
      </c>
      <c r="E1218" s="3" t="str">
        <f>VLOOKUP(C1218,layoffs_location!A:C,3,FALSE)</f>
        <v>Berlin</v>
      </c>
      <c r="F1218" s="3" t="str">
        <f>VLOOKUP(C1218,layoffs_location!A:D,4,FALSE)</f>
        <v>Germany</v>
      </c>
      <c r="G1218" s="3" t="str">
        <f>VLOOKUP(C1218,layoffs_location!A:E,5,FALSE)</f>
        <v>Europe</v>
      </c>
      <c r="H1218" s="3">
        <v>100</v>
      </c>
      <c r="I1218" s="8">
        <v>45070</v>
      </c>
      <c r="J1218" s="9">
        <v>16</v>
      </c>
      <c r="K1218" s="10">
        <v>625</v>
      </c>
      <c r="L1218" s="10">
        <v>525</v>
      </c>
      <c r="M1218" s="3" t="s">
        <v>77</v>
      </c>
      <c r="N1218" s="3" t="s">
        <v>49</v>
      </c>
      <c r="O1218" s="34">
        <v>1000</v>
      </c>
      <c r="P1218" s="3">
        <v>2023</v>
      </c>
      <c r="Q1218" s="3">
        <f>VLOOKUP(C1218,layoffs_location!A:F,6,FALSE)</f>
        <v>52.517036500000003</v>
      </c>
      <c r="R1218" s="3">
        <f>VLOOKUP(C1218,layoffs_location!A:G,7,FALSE)</f>
        <v>13.3888599</v>
      </c>
    </row>
    <row r="1219" spans="1:18" x14ac:dyDescent="0.2">
      <c r="A1219" s="3">
        <v>1218</v>
      </c>
      <c r="B1219" s="3" t="s">
        <v>282</v>
      </c>
      <c r="C1219" s="3" t="s">
        <v>132</v>
      </c>
      <c r="D1219" s="3" t="str">
        <f>VLOOKUP(C1219,layoffs_location!A:B,2,FALSE)</f>
        <v>other</v>
      </c>
      <c r="E1219" s="3" t="str">
        <f>VLOOKUP(C1219,layoffs_location!A:C,3,FALSE)</f>
        <v>Colorado</v>
      </c>
      <c r="F1219" s="3" t="str">
        <f>VLOOKUP(C1219,layoffs_location!A:D,4,FALSE)</f>
        <v>USA</v>
      </c>
      <c r="G1219" s="3" t="str">
        <f>VLOOKUP(C1219,layoffs_location!A:E,5,FALSE)</f>
        <v>North America</v>
      </c>
      <c r="H1219" s="3">
        <v>172</v>
      </c>
      <c r="I1219" s="8">
        <v>45070</v>
      </c>
      <c r="J1219" s="9">
        <v>12</v>
      </c>
      <c r="K1219" s="10">
        <v>1433</v>
      </c>
      <c r="L1219" s="10">
        <v>1261</v>
      </c>
      <c r="M1219" s="3" t="s">
        <v>68</v>
      </c>
      <c r="N1219" s="3" t="s">
        <v>63</v>
      </c>
      <c r="O1219" s="34">
        <v>643</v>
      </c>
      <c r="P1219" s="3">
        <v>2023</v>
      </c>
      <c r="Q1219" s="3">
        <f>VLOOKUP(C1219,layoffs_location!A:F,6,FALSE)</f>
        <v>39.739236400000003</v>
      </c>
      <c r="R1219" s="3">
        <f>VLOOKUP(C1219,layoffs_location!A:G,7,FALSE)</f>
        <v>-104.98486200000001</v>
      </c>
    </row>
    <row r="1220" spans="1:18" x14ac:dyDescent="0.2">
      <c r="A1220" s="3">
        <v>1219</v>
      </c>
      <c r="B1220" s="3" t="s">
        <v>284</v>
      </c>
      <c r="C1220" s="3" t="s">
        <v>285</v>
      </c>
      <c r="D1220" s="3" t="str">
        <f>VLOOKUP(C1220,layoffs_location!A:B,2,FALSE)</f>
        <v>other</v>
      </c>
      <c r="E1220" s="3" t="str">
        <f>VLOOKUP(C1220,layoffs_location!A:C,3,FALSE)</f>
        <v>non</v>
      </c>
      <c r="F1220" s="3" t="str">
        <f>VLOOKUP(C1220,layoffs_location!A:D,4,FALSE)</f>
        <v>Israel</v>
      </c>
      <c r="G1220" s="3" t="str">
        <f>VLOOKUP(C1220,layoffs_location!A:E,5,FALSE)</f>
        <v>Asia</v>
      </c>
      <c r="H1220" s="3">
        <v>60</v>
      </c>
      <c r="I1220" s="8">
        <v>45070</v>
      </c>
      <c r="J1220" s="9">
        <v>7</v>
      </c>
      <c r="K1220" s="10">
        <v>857</v>
      </c>
      <c r="L1220" s="10">
        <v>797</v>
      </c>
      <c r="M1220" s="3" t="s">
        <v>87</v>
      </c>
      <c r="N1220" s="3" t="s">
        <v>28</v>
      </c>
      <c r="O1220" s="34">
        <v>900</v>
      </c>
      <c r="P1220" s="3">
        <v>2023</v>
      </c>
      <c r="Q1220" s="3">
        <f>VLOOKUP(C1220,layoffs_location!A:F,6,FALSE)</f>
        <v>32.180234849999998</v>
      </c>
      <c r="R1220" s="3">
        <f>VLOOKUP(C1220,layoffs_location!A:G,7,FALSE)</f>
        <v>34.918054204052297</v>
      </c>
    </row>
    <row r="1221" spans="1:18" x14ac:dyDescent="0.2">
      <c r="A1221" s="3">
        <v>1220</v>
      </c>
      <c r="B1221" s="3" t="s">
        <v>281</v>
      </c>
      <c r="C1221" s="3" t="s">
        <v>13</v>
      </c>
      <c r="D1221" s="3" t="str">
        <f>VLOOKUP(C1221,layoffs_location!A:B,2,FALSE)</f>
        <v>other</v>
      </c>
      <c r="E1221" s="3" t="str">
        <f>VLOOKUP(C1221,layoffs_location!A:C,3,FALSE)</f>
        <v>Karnataka</v>
      </c>
      <c r="F1221" s="3" t="str">
        <f>VLOOKUP(C1221,layoffs_location!A:D,4,FALSE)</f>
        <v>India</v>
      </c>
      <c r="G1221" s="3" t="str">
        <f>VLOOKUP(C1221,layoffs_location!A:E,5,FALSE)</f>
        <v>Asia</v>
      </c>
      <c r="H1221" s="3">
        <v>75</v>
      </c>
      <c r="I1221" s="8">
        <v>45071</v>
      </c>
      <c r="J1221" s="9">
        <v>30</v>
      </c>
      <c r="K1221" s="10">
        <v>250</v>
      </c>
      <c r="L1221" s="10">
        <v>175</v>
      </c>
      <c r="M1221" s="3" t="s">
        <v>130</v>
      </c>
      <c r="N1221" s="3" t="s">
        <v>49</v>
      </c>
      <c r="O1221" s="34">
        <v>50</v>
      </c>
      <c r="P1221" s="3">
        <v>2023</v>
      </c>
      <c r="Q1221" s="3">
        <f>VLOOKUP(C1221,layoffs_location!A:F,6,FALSE)</f>
        <v>12.98815675</v>
      </c>
      <c r="R1221" s="3">
        <f>VLOOKUP(C1221,layoffs_location!A:G,7,FALSE)</f>
        <v>77.622600037959998</v>
      </c>
    </row>
    <row r="1222" spans="1:18" x14ac:dyDescent="0.2">
      <c r="A1222" s="3">
        <v>1221</v>
      </c>
      <c r="B1222" s="3" t="s">
        <v>280</v>
      </c>
      <c r="C1222" s="3" t="s">
        <v>154</v>
      </c>
      <c r="D1222" s="3" t="str">
        <f>VLOOKUP(C1222,layoffs_location!A:B,2,FALSE)</f>
        <v>other</v>
      </c>
      <c r="E1222" s="3" t="str">
        <f>VLOOKUP(C1222,layoffs_location!A:C,3,FALSE)</f>
        <v>Illinois</v>
      </c>
      <c r="F1222" s="3" t="str">
        <f>VLOOKUP(C1222,layoffs_location!A:D,4,FALSE)</f>
        <v>USA</v>
      </c>
      <c r="G1222" s="3" t="str">
        <f>VLOOKUP(C1222,layoffs_location!A:E,5,FALSE)</f>
        <v>North America</v>
      </c>
      <c r="H1222" s="3">
        <v>130</v>
      </c>
      <c r="I1222" s="8">
        <v>45072</v>
      </c>
      <c r="J1222" s="9">
        <v>10</v>
      </c>
      <c r="K1222" s="10">
        <v>1300</v>
      </c>
      <c r="L1222" s="10">
        <v>1170</v>
      </c>
      <c r="M1222" s="3" t="s">
        <v>90</v>
      </c>
      <c r="N1222" s="3" t="s">
        <v>22</v>
      </c>
      <c r="O1222" s="34">
        <v>817</v>
      </c>
      <c r="P1222" s="3">
        <v>2023</v>
      </c>
      <c r="Q1222" s="3">
        <f>VLOOKUP(C1222,layoffs_location!A:F,6,FALSE)</f>
        <v>41.875561599999997</v>
      </c>
      <c r="R1222" s="3">
        <f>VLOOKUP(C1222,layoffs_location!A:G,7,FALSE)</f>
        <v>-87.6244212</v>
      </c>
    </row>
    <row r="1223" spans="1:18" x14ac:dyDescent="0.2">
      <c r="A1223" s="3">
        <v>1222</v>
      </c>
      <c r="B1223" s="3" t="s">
        <v>131</v>
      </c>
      <c r="C1223" s="3" t="s">
        <v>132</v>
      </c>
      <c r="D1223" s="3" t="str">
        <f>VLOOKUP(C1223,layoffs_location!A:B,2,FALSE)</f>
        <v>other</v>
      </c>
      <c r="E1223" s="3" t="str">
        <f>VLOOKUP(C1223,layoffs_location!A:C,3,FALSE)</f>
        <v>Colorado</v>
      </c>
      <c r="F1223" s="3" t="str">
        <f>VLOOKUP(C1223,layoffs_location!A:D,4,FALSE)</f>
        <v>USA</v>
      </c>
      <c r="G1223" s="3" t="str">
        <f>VLOOKUP(C1223,layoffs_location!A:E,5,FALSE)</f>
        <v>North America</v>
      </c>
      <c r="H1223" s="3">
        <v>164</v>
      </c>
      <c r="I1223" s="8">
        <v>45075</v>
      </c>
      <c r="J1223" s="9">
        <v>14</v>
      </c>
      <c r="K1223" s="10">
        <v>1171</v>
      </c>
      <c r="L1223" s="10">
        <v>1007</v>
      </c>
      <c r="M1223" s="3" t="s">
        <v>72</v>
      </c>
      <c r="N1223" s="3" t="s">
        <v>63</v>
      </c>
      <c r="O1223" s="34">
        <v>224</v>
      </c>
      <c r="P1223" s="3">
        <v>2023</v>
      </c>
      <c r="Q1223" s="3">
        <f>VLOOKUP(C1223,layoffs_location!A:F,6,FALSE)</f>
        <v>39.739236400000003</v>
      </c>
      <c r="R1223" s="3">
        <f>VLOOKUP(C1223,layoffs_location!A:G,7,FALSE)</f>
        <v>-104.98486200000001</v>
      </c>
    </row>
    <row r="1224" spans="1:18" x14ac:dyDescent="0.2">
      <c r="A1224" s="3">
        <v>1223</v>
      </c>
      <c r="B1224" s="3" t="s">
        <v>279</v>
      </c>
      <c r="C1224" s="3" t="s">
        <v>135</v>
      </c>
      <c r="D1224" s="3" t="str">
        <f>VLOOKUP(C1224,layoffs_location!A:B,2,FALSE)</f>
        <v>other</v>
      </c>
      <c r="E1224" s="3" t="str">
        <f>VLOOKUP(C1224,layoffs_location!A:C,3,FALSE)</f>
        <v>Berlin</v>
      </c>
      <c r="F1224" s="3" t="str">
        <f>VLOOKUP(C1224,layoffs_location!A:D,4,FALSE)</f>
        <v>Germany</v>
      </c>
      <c r="G1224" s="3" t="str">
        <f>VLOOKUP(C1224,layoffs_location!A:E,5,FALSE)</f>
        <v>Europe</v>
      </c>
      <c r="H1224" s="3">
        <v>120</v>
      </c>
      <c r="I1224" s="8">
        <v>45076</v>
      </c>
      <c r="J1224" s="9">
        <v>20</v>
      </c>
      <c r="K1224" s="10">
        <v>600</v>
      </c>
      <c r="L1224" s="10">
        <v>480</v>
      </c>
      <c r="M1224" s="3" t="s">
        <v>35</v>
      </c>
      <c r="N1224" s="3" t="s">
        <v>108</v>
      </c>
      <c r="O1224" s="34">
        <v>330</v>
      </c>
      <c r="P1224" s="3">
        <v>2023</v>
      </c>
      <c r="Q1224" s="3">
        <f>VLOOKUP(C1224,layoffs_location!A:F,6,FALSE)</f>
        <v>52.517036500000003</v>
      </c>
      <c r="R1224" s="3">
        <f>VLOOKUP(C1224,layoffs_location!A:G,7,FALSE)</f>
        <v>13.3888599</v>
      </c>
    </row>
    <row r="1225" spans="1:18" x14ac:dyDescent="0.2">
      <c r="A1225" s="3">
        <v>1224</v>
      </c>
      <c r="B1225" s="3" t="s">
        <v>278</v>
      </c>
      <c r="C1225" s="3" t="s">
        <v>39</v>
      </c>
      <c r="D1225" s="3" t="str">
        <f>VLOOKUP(C1225,layoffs_location!A:B,2,FALSE)</f>
        <v>New York</v>
      </c>
      <c r="E1225" s="3" t="str">
        <f>VLOOKUP(C1225,layoffs_location!A:C,3,FALSE)</f>
        <v>New York</v>
      </c>
      <c r="F1225" s="3" t="str">
        <f>VLOOKUP(C1225,layoffs_location!A:D,4,FALSE)</f>
        <v>USA</v>
      </c>
      <c r="G1225" s="3" t="str">
        <f>VLOOKUP(C1225,layoffs_location!A:E,5,FALSE)</f>
        <v>North America</v>
      </c>
      <c r="H1225" s="3">
        <v>22</v>
      </c>
      <c r="I1225" s="8">
        <v>45077</v>
      </c>
      <c r="J1225" s="9">
        <v>8</v>
      </c>
      <c r="K1225" s="10">
        <v>275</v>
      </c>
      <c r="L1225" s="10">
        <v>253</v>
      </c>
      <c r="M1225" s="3" t="s">
        <v>30</v>
      </c>
      <c r="N1225" s="3" t="s">
        <v>108</v>
      </c>
      <c r="O1225" s="34">
        <v>181</v>
      </c>
      <c r="P1225" s="3">
        <v>2023</v>
      </c>
      <c r="Q1225" s="3">
        <f>VLOOKUP(C1225,layoffs_location!A:F,6,FALSE)</f>
        <v>40.7127281</v>
      </c>
      <c r="R1225" s="3">
        <f>VLOOKUP(C1225,layoffs_location!A:G,7,FALSE)</f>
        <v>-74.006015199999993</v>
      </c>
    </row>
    <row r="1226" spans="1:18" ht="16" x14ac:dyDescent="0.2">
      <c r="A1226" s="3">
        <v>1225</v>
      </c>
      <c r="B1226" s="3" t="s">
        <v>277</v>
      </c>
      <c r="C1226" s="11" t="s">
        <v>1370</v>
      </c>
      <c r="D1226" s="3" t="str">
        <f>VLOOKUP(C1226,layoffs_location!A:B,2,FALSE)</f>
        <v>San Francisco Bay Area</v>
      </c>
      <c r="E1226" s="3" t="str">
        <f>VLOOKUP(C1226,layoffs_location!A:C,3,FALSE)</f>
        <v>California</v>
      </c>
      <c r="F1226" s="3" t="str">
        <f>VLOOKUP(C1226,layoffs_location!A:D,4,FALSE)</f>
        <v>USA</v>
      </c>
      <c r="G1226" s="3" t="str">
        <f>VLOOKUP(C1226,layoffs_location!A:E,5,FALSE)</f>
        <v>North America</v>
      </c>
      <c r="H1226" s="3">
        <v>40</v>
      </c>
      <c r="I1226" s="8">
        <v>45077</v>
      </c>
      <c r="J1226" s="9">
        <v>30</v>
      </c>
      <c r="K1226" s="10">
        <v>133</v>
      </c>
      <c r="L1226" s="10">
        <v>93</v>
      </c>
      <c r="M1226" s="3" t="s">
        <v>239</v>
      </c>
      <c r="N1226" s="3" t="s">
        <v>108</v>
      </c>
      <c r="O1226" s="34">
        <v>173</v>
      </c>
      <c r="P1226" s="3">
        <v>2023</v>
      </c>
      <c r="Q1226" s="3">
        <f>VLOOKUP(C1226,layoffs_location!A:F,6,FALSE)</f>
        <v>37.779258800000001</v>
      </c>
      <c r="R1226" s="3">
        <f>VLOOKUP(C1226,layoffs_location!A:G,7,FALSE)</f>
        <v>-122.4193286</v>
      </c>
    </row>
    <row r="1227" spans="1:18" x14ac:dyDescent="0.2">
      <c r="A1227" s="3">
        <v>1226</v>
      </c>
      <c r="B1227" s="3" t="s">
        <v>276</v>
      </c>
      <c r="C1227" s="3" t="s">
        <v>71</v>
      </c>
      <c r="D1227" s="3" t="str">
        <f>VLOOKUP(C1227,layoffs_location!A:B,2,FALSE)</f>
        <v>other</v>
      </c>
      <c r="E1227" s="3" t="str">
        <f>VLOOKUP(C1227,layoffs_location!A:C,3,FALSE)</f>
        <v>Massachusetts</v>
      </c>
      <c r="F1227" s="3" t="str">
        <f>VLOOKUP(C1227,layoffs_location!A:D,4,FALSE)</f>
        <v>USA</v>
      </c>
      <c r="G1227" s="3" t="str">
        <f>VLOOKUP(C1227,layoffs_location!A:E,5,FALSE)</f>
        <v>North America</v>
      </c>
      <c r="H1227" s="3">
        <v>100</v>
      </c>
      <c r="I1227" s="8">
        <v>45077</v>
      </c>
      <c r="J1227" s="9">
        <v>25</v>
      </c>
      <c r="K1227" s="10">
        <v>400</v>
      </c>
      <c r="L1227" s="10">
        <v>300</v>
      </c>
      <c r="M1227" s="3" t="s">
        <v>60</v>
      </c>
      <c r="N1227" s="3" t="s">
        <v>49</v>
      </c>
      <c r="O1227" s="34">
        <v>216</v>
      </c>
      <c r="P1227" s="3">
        <v>2023</v>
      </c>
      <c r="Q1227" s="3">
        <f>VLOOKUP(C1227,layoffs_location!A:F,6,FALSE)</f>
        <v>42.355433400000003</v>
      </c>
      <c r="R1227" s="3">
        <f>VLOOKUP(C1227,layoffs_location!A:G,7,FALSE)</f>
        <v>-71.060511000000005</v>
      </c>
    </row>
    <row r="1228" spans="1:18" x14ac:dyDescent="0.2">
      <c r="A1228" s="3">
        <v>1227</v>
      </c>
      <c r="B1228" s="3" t="s">
        <v>273</v>
      </c>
      <c r="C1228" s="3" t="s">
        <v>1370</v>
      </c>
      <c r="D1228" s="3" t="str">
        <f>VLOOKUP(C1228,layoffs_location!A:B,2,FALSE)</f>
        <v>San Francisco Bay Area</v>
      </c>
      <c r="E1228" s="3" t="str">
        <f>VLOOKUP(C1228,layoffs_location!A:C,3,FALSE)</f>
        <v>California</v>
      </c>
      <c r="F1228" s="3" t="str">
        <f>VLOOKUP(C1228,layoffs_location!A:D,4,FALSE)</f>
        <v>USA</v>
      </c>
      <c r="G1228" s="3" t="str">
        <f>VLOOKUP(C1228,layoffs_location!A:E,5,FALSE)</f>
        <v>North America</v>
      </c>
      <c r="H1228" s="3">
        <v>320</v>
      </c>
      <c r="I1228" s="8">
        <v>45077</v>
      </c>
      <c r="J1228" s="9">
        <v>8</v>
      </c>
      <c r="K1228" s="10">
        <v>4000</v>
      </c>
      <c r="L1228" s="10">
        <v>3680</v>
      </c>
      <c r="M1228" s="3" t="s">
        <v>274</v>
      </c>
      <c r="N1228" s="3" t="s">
        <v>33</v>
      </c>
      <c r="O1228" s="34">
        <v>85</v>
      </c>
      <c r="P1228" s="3">
        <v>2023</v>
      </c>
      <c r="Q1228" s="3">
        <f>VLOOKUP(C1228,layoffs_location!A:F,6,FALSE)</f>
        <v>37.779258800000001</v>
      </c>
      <c r="R1228" s="3">
        <f>VLOOKUP(C1228,layoffs_location!A:G,7,FALSE)</f>
        <v>-122.4193286</v>
      </c>
    </row>
    <row r="1229" spans="1:18" x14ac:dyDescent="0.2">
      <c r="A1229" s="3">
        <v>1228</v>
      </c>
      <c r="B1229" s="3" t="s">
        <v>275</v>
      </c>
      <c r="C1229" s="3" t="s">
        <v>76</v>
      </c>
      <c r="D1229" s="3" t="str">
        <f>VLOOKUP(C1229,layoffs_location!A:B,2,FALSE)</f>
        <v>other</v>
      </c>
      <c r="E1229" s="3" t="str">
        <f>VLOOKUP(C1229,layoffs_location!A:C,3,FALSE)</f>
        <v>California</v>
      </c>
      <c r="F1229" s="3" t="str">
        <f>VLOOKUP(C1229,layoffs_location!A:D,4,FALSE)</f>
        <v>USA</v>
      </c>
      <c r="G1229" s="3" t="str">
        <f>VLOOKUP(C1229,layoffs_location!A:E,5,FALSE)</f>
        <v>North America</v>
      </c>
      <c r="H1229" s="3">
        <v>270</v>
      </c>
      <c r="I1229" s="8">
        <v>45077</v>
      </c>
      <c r="J1229" s="9">
        <v>20</v>
      </c>
      <c r="K1229" s="10">
        <v>1350</v>
      </c>
      <c r="L1229" s="10">
        <v>1080</v>
      </c>
      <c r="M1229" s="3" t="s">
        <v>84</v>
      </c>
      <c r="N1229" s="3" t="s">
        <v>28</v>
      </c>
      <c r="O1229" s="34">
        <v>769</v>
      </c>
      <c r="P1229" s="3">
        <v>2023</v>
      </c>
      <c r="Q1229" s="3">
        <f>VLOOKUP(C1229,layoffs_location!A:F,6,FALSE)</f>
        <v>34.053690899999999</v>
      </c>
      <c r="R1229" s="3">
        <f>VLOOKUP(C1229,layoffs_location!A:G,7,FALSE)</f>
        <v>-118.242766</v>
      </c>
    </row>
    <row r="1230" spans="1:18" x14ac:dyDescent="0.2">
      <c r="A1230" s="3">
        <v>1229</v>
      </c>
      <c r="B1230" s="3" t="s">
        <v>272</v>
      </c>
      <c r="C1230" s="3" t="s">
        <v>39</v>
      </c>
      <c r="D1230" s="3" t="str">
        <f>VLOOKUP(C1230,layoffs_location!A:B,2,FALSE)</f>
        <v>New York</v>
      </c>
      <c r="E1230" s="3" t="str">
        <f>VLOOKUP(C1230,layoffs_location!A:C,3,FALSE)</f>
        <v>New York</v>
      </c>
      <c r="F1230" s="3" t="str">
        <f>VLOOKUP(C1230,layoffs_location!A:D,4,FALSE)</f>
        <v>USA</v>
      </c>
      <c r="G1230" s="3" t="str">
        <f>VLOOKUP(C1230,layoffs_location!A:E,5,FALSE)</f>
        <v>North America</v>
      </c>
      <c r="H1230" s="3">
        <v>90</v>
      </c>
      <c r="I1230" s="8">
        <v>45078</v>
      </c>
      <c r="J1230" s="9">
        <v>10</v>
      </c>
      <c r="K1230" s="10">
        <v>900</v>
      </c>
      <c r="L1230" s="10">
        <v>810</v>
      </c>
      <c r="M1230" s="3" t="s">
        <v>130</v>
      </c>
      <c r="N1230" s="3" t="s">
        <v>28</v>
      </c>
      <c r="O1230" s="34">
        <v>394</v>
      </c>
      <c r="P1230" s="3">
        <v>2023</v>
      </c>
      <c r="Q1230" s="3">
        <f>VLOOKUP(C1230,layoffs_location!A:F,6,FALSE)</f>
        <v>40.7127281</v>
      </c>
      <c r="R1230" s="3">
        <f>VLOOKUP(C1230,layoffs_location!A:G,7,FALSE)</f>
        <v>-74.006015199999993</v>
      </c>
    </row>
    <row r="1231" spans="1:18" x14ac:dyDescent="0.2">
      <c r="A1231" s="3">
        <v>1230</v>
      </c>
      <c r="B1231" s="3" t="s">
        <v>270</v>
      </c>
      <c r="C1231" s="3" t="s">
        <v>271</v>
      </c>
      <c r="D1231" s="3" t="str">
        <f>VLOOKUP(C1231,layoffs_location!A:B,2,FALSE)</f>
        <v>Cascadia</v>
      </c>
      <c r="E1231" s="3" t="str">
        <f>VLOOKUP(C1231,layoffs_location!A:C,3,FALSE)</f>
        <v>British Columbia</v>
      </c>
      <c r="F1231" s="3" t="str">
        <f>VLOOKUP(C1231,layoffs_location!A:D,4,FALSE)</f>
        <v>Canada</v>
      </c>
      <c r="G1231" s="3" t="str">
        <f>VLOOKUP(C1231,layoffs_location!A:E,5,FALSE)</f>
        <v>North America</v>
      </c>
      <c r="H1231" s="3">
        <v>120</v>
      </c>
      <c r="I1231" s="8">
        <v>45079</v>
      </c>
      <c r="J1231" s="9">
        <v>3</v>
      </c>
      <c r="K1231" s="10">
        <v>4000</v>
      </c>
      <c r="L1231" s="10">
        <v>3880</v>
      </c>
      <c r="M1231" s="3" t="s">
        <v>92</v>
      </c>
      <c r="N1231" s="3" t="s">
        <v>28</v>
      </c>
      <c r="O1231" s="34">
        <v>7</v>
      </c>
      <c r="P1231" s="3">
        <v>2023</v>
      </c>
      <c r="Q1231" s="3">
        <f>VLOOKUP(C1231,layoffs_location!A:F,6,FALSE)</f>
        <v>49.260872399999997</v>
      </c>
      <c r="R1231" s="3">
        <f>VLOOKUP(C1231,layoffs_location!A:G,7,FALSE)</f>
        <v>-123.113952</v>
      </c>
    </row>
    <row r="1232" spans="1:18" x14ac:dyDescent="0.2">
      <c r="A1232" s="3">
        <v>1231</v>
      </c>
      <c r="B1232" s="3" t="s">
        <v>50</v>
      </c>
      <c r="C1232" s="3" t="s">
        <v>51</v>
      </c>
      <c r="D1232" s="3" t="str">
        <f>VLOOKUP(C1232,layoffs_location!A:B,2,FALSE)</f>
        <v>other</v>
      </c>
      <c r="E1232" s="3" t="str">
        <f>VLOOKUP(C1232,layoffs_location!A:C,3,FALSE)</f>
        <v>non</v>
      </c>
      <c r="F1232" s="3" t="str">
        <f>VLOOKUP(C1232,layoffs_location!A:D,4,FALSE)</f>
        <v>Sweden</v>
      </c>
      <c r="G1232" s="3" t="str">
        <f>VLOOKUP(C1232,layoffs_location!A:E,5,FALSE)</f>
        <v>Europe</v>
      </c>
      <c r="H1232" s="3">
        <v>200</v>
      </c>
      <c r="I1232" s="8">
        <v>45082</v>
      </c>
      <c r="J1232" s="9">
        <v>2</v>
      </c>
      <c r="K1232" s="10">
        <v>9400</v>
      </c>
      <c r="L1232" s="10">
        <v>9200</v>
      </c>
      <c r="M1232" s="3" t="s">
        <v>54</v>
      </c>
      <c r="N1232" s="3" t="s">
        <v>28</v>
      </c>
      <c r="O1232" s="34">
        <v>2100</v>
      </c>
      <c r="P1232" s="3">
        <v>2023</v>
      </c>
      <c r="Q1232" s="3">
        <f>VLOOKUP(C1232,layoffs_location!A:F,6,FALSE)</f>
        <v>59.325117200000001</v>
      </c>
      <c r="R1232" s="3">
        <f>VLOOKUP(C1232,layoffs_location!A:G,7,FALSE)</f>
        <v>18.0710935</v>
      </c>
    </row>
    <row r="1233" spans="1:18" x14ac:dyDescent="0.2">
      <c r="A1233" s="3">
        <v>1232</v>
      </c>
      <c r="B1233" s="3" t="s">
        <v>268</v>
      </c>
      <c r="C1233" s="3" t="s">
        <v>269</v>
      </c>
      <c r="D1233" s="3" t="str">
        <f>VLOOKUP(C1233,layoffs_location!A:B,2,FALSE)</f>
        <v>other</v>
      </c>
      <c r="E1233" s="3" t="str">
        <f>VLOOKUP(C1233,layoffs_location!A:C,3,FALSE)</f>
        <v>Maryland</v>
      </c>
      <c r="F1233" s="3" t="str">
        <f>VLOOKUP(C1233,layoffs_location!A:D,4,FALSE)</f>
        <v>USA</v>
      </c>
      <c r="G1233" s="3" t="str">
        <f>VLOOKUP(C1233,layoffs_location!A:E,5,FALSE)</f>
        <v>North America</v>
      </c>
      <c r="H1233" s="3">
        <v>50</v>
      </c>
      <c r="I1233" s="8">
        <v>45083</v>
      </c>
      <c r="J1233" s="9">
        <v>9</v>
      </c>
      <c r="K1233" s="10">
        <v>556</v>
      </c>
      <c r="L1233" s="10">
        <v>506</v>
      </c>
      <c r="M1233" s="3" t="s">
        <v>139</v>
      </c>
      <c r="N1233" s="3" t="s">
        <v>108</v>
      </c>
      <c r="O1233" s="34">
        <v>364</v>
      </c>
      <c r="P1233" s="3">
        <v>2023</v>
      </c>
      <c r="Q1233" s="3">
        <f>VLOOKUP(C1233,layoffs_location!A:F,6,FALSE)</f>
        <v>39.290881599999999</v>
      </c>
      <c r="R1233" s="3">
        <f>VLOOKUP(C1233,layoffs_location!A:G,7,FALSE)</f>
        <v>-76.610759000000002</v>
      </c>
    </row>
    <row r="1234" spans="1:18" x14ac:dyDescent="0.2">
      <c r="A1234" s="3">
        <v>1233</v>
      </c>
      <c r="B1234" s="3" t="s">
        <v>263</v>
      </c>
      <c r="C1234" s="3" t="s">
        <v>264</v>
      </c>
      <c r="D1234" s="3" t="str">
        <f>VLOOKUP(C1234,layoffs_location!A:B,2,FALSE)</f>
        <v>other</v>
      </c>
      <c r="E1234" s="3" t="str">
        <f>VLOOKUP(C1234,layoffs_location!A:C,3,FALSE)</f>
        <v>Arizona</v>
      </c>
      <c r="F1234" s="3" t="str">
        <f>VLOOKUP(C1234,layoffs_location!A:D,4,FALSE)</f>
        <v>USA</v>
      </c>
      <c r="G1234" s="3" t="str">
        <f>VLOOKUP(C1234,layoffs_location!A:E,5,FALSE)</f>
        <v>North America</v>
      </c>
      <c r="H1234" s="3">
        <v>134</v>
      </c>
      <c r="I1234" s="8">
        <v>45083</v>
      </c>
      <c r="J1234" s="9">
        <v>12</v>
      </c>
      <c r="K1234" s="10">
        <v>1117</v>
      </c>
      <c r="L1234" s="10">
        <v>983</v>
      </c>
      <c r="M1234" s="3" t="s">
        <v>239</v>
      </c>
      <c r="N1234" s="3" t="s">
        <v>28</v>
      </c>
      <c r="O1234" s="34">
        <v>462</v>
      </c>
      <c r="P1234" s="3">
        <v>2023</v>
      </c>
      <c r="Q1234" s="3">
        <f>VLOOKUP(C1234,layoffs_location!A:F,6,FALSE)</f>
        <v>33.448436700000002</v>
      </c>
      <c r="R1234" s="3">
        <f>VLOOKUP(C1234,layoffs_location!A:G,7,FALSE)</f>
        <v>-112.074141</v>
      </c>
    </row>
    <row r="1235" spans="1:18" x14ac:dyDescent="0.2">
      <c r="A1235" s="3">
        <v>1234</v>
      </c>
      <c r="B1235" s="3" t="s">
        <v>266</v>
      </c>
      <c r="C1235" s="3" t="s">
        <v>267</v>
      </c>
      <c r="D1235" s="3" t="str">
        <f>VLOOKUP(C1235,layoffs_location!A:B,2,FALSE)</f>
        <v>other</v>
      </c>
      <c r="E1235" s="3" t="str">
        <f>VLOOKUP(C1235,layoffs_location!A:C,3,FALSE)</f>
        <v>Victoria</v>
      </c>
      <c r="F1235" s="3" t="str">
        <f>VLOOKUP(C1235,layoffs_location!A:D,4,FALSE)</f>
        <v>Australia</v>
      </c>
      <c r="G1235" s="3" t="str">
        <f>VLOOKUP(C1235,layoffs_location!A:E,5,FALSE)</f>
        <v>Oceana</v>
      </c>
      <c r="H1235" s="3">
        <v>60</v>
      </c>
      <c r="I1235" s="8">
        <v>45083</v>
      </c>
      <c r="J1235" s="9">
        <v>27</v>
      </c>
      <c r="K1235" s="10">
        <v>222</v>
      </c>
      <c r="L1235" s="10">
        <v>162</v>
      </c>
      <c r="M1235" s="3" t="s">
        <v>16</v>
      </c>
      <c r="N1235" s="3" t="s">
        <v>22</v>
      </c>
      <c r="O1235" s="34">
        <v>165</v>
      </c>
      <c r="P1235" s="3">
        <v>2023</v>
      </c>
      <c r="Q1235" s="3">
        <f>VLOOKUP(C1235,layoffs_location!A:F,6,FALSE)</f>
        <v>-37.814245399999997</v>
      </c>
      <c r="R1235" s="3">
        <f>VLOOKUP(C1235,layoffs_location!A:G,7,FALSE)</f>
        <v>144.9631732</v>
      </c>
    </row>
    <row r="1236" spans="1:18" ht="16" x14ac:dyDescent="0.2">
      <c r="A1236" s="3">
        <v>1235</v>
      </c>
      <c r="B1236" s="3" t="s">
        <v>265</v>
      </c>
      <c r="C1236" s="11" t="s">
        <v>1370</v>
      </c>
      <c r="D1236" s="3" t="str">
        <f>VLOOKUP(C1236,layoffs_location!A:B,2,FALSE)</f>
        <v>San Francisco Bay Area</v>
      </c>
      <c r="E1236" s="3" t="str">
        <f>VLOOKUP(C1236,layoffs_location!A:C,3,FALSE)</f>
        <v>California</v>
      </c>
      <c r="F1236" s="3" t="str">
        <f>VLOOKUP(C1236,layoffs_location!A:D,4,FALSE)</f>
        <v>USA</v>
      </c>
      <c r="G1236" s="3" t="str">
        <f>VLOOKUP(C1236,layoffs_location!A:E,5,FALSE)</f>
        <v>North America</v>
      </c>
      <c r="H1236" s="3">
        <v>90</v>
      </c>
      <c r="I1236" s="8">
        <v>45083</v>
      </c>
      <c r="J1236" s="9">
        <v>5</v>
      </c>
      <c r="K1236" s="10">
        <v>1800</v>
      </c>
      <c r="L1236" s="10">
        <v>1710</v>
      </c>
      <c r="M1236" s="3" t="s">
        <v>16</v>
      </c>
      <c r="N1236" s="3" t="s">
        <v>63</v>
      </c>
      <c r="O1236" s="34">
        <v>1300</v>
      </c>
      <c r="P1236" s="3">
        <v>2023</v>
      </c>
      <c r="Q1236" s="3">
        <f>VLOOKUP(C1236,layoffs_location!A:F,6,FALSE)</f>
        <v>37.779258800000001</v>
      </c>
      <c r="R1236" s="3">
        <f>VLOOKUP(C1236,layoffs_location!A:G,7,FALSE)</f>
        <v>-122.4193286</v>
      </c>
    </row>
    <row r="1237" spans="1:18" x14ac:dyDescent="0.2">
      <c r="A1237" s="3">
        <v>1236</v>
      </c>
      <c r="B1237" s="3" t="s">
        <v>261</v>
      </c>
      <c r="C1237" s="3" t="s">
        <v>39</v>
      </c>
      <c r="D1237" s="3" t="str">
        <f>VLOOKUP(C1237,layoffs_location!A:B,2,FALSE)</f>
        <v>New York</v>
      </c>
      <c r="E1237" s="3" t="str">
        <f>VLOOKUP(C1237,layoffs_location!A:C,3,FALSE)</f>
        <v>New York</v>
      </c>
      <c r="F1237" s="3" t="str">
        <f>VLOOKUP(C1237,layoffs_location!A:D,4,FALSE)</f>
        <v>USA</v>
      </c>
      <c r="G1237" s="3" t="str">
        <f>VLOOKUP(C1237,layoffs_location!A:E,5,FALSE)</f>
        <v>North America</v>
      </c>
      <c r="H1237" s="3">
        <v>155</v>
      </c>
      <c r="I1237" s="8">
        <v>45085</v>
      </c>
      <c r="J1237" s="9">
        <v>12</v>
      </c>
      <c r="K1237" s="10">
        <v>1292</v>
      </c>
      <c r="L1237" s="10">
        <v>1137</v>
      </c>
      <c r="M1237" s="3" t="s">
        <v>21</v>
      </c>
      <c r="N1237" s="3" t="s">
        <v>108</v>
      </c>
      <c r="O1237" s="34">
        <v>891</v>
      </c>
      <c r="P1237" s="3">
        <v>2023</v>
      </c>
      <c r="Q1237" s="3">
        <f>VLOOKUP(C1237,layoffs_location!A:F,6,FALSE)</f>
        <v>40.7127281</v>
      </c>
      <c r="R1237" s="3">
        <f>VLOOKUP(C1237,layoffs_location!A:G,7,FALSE)</f>
        <v>-74.006015199999993</v>
      </c>
    </row>
    <row r="1238" spans="1:18" x14ac:dyDescent="0.2">
      <c r="A1238" s="3">
        <v>1237</v>
      </c>
      <c r="B1238" s="3" t="s">
        <v>262</v>
      </c>
      <c r="C1238" s="3" t="s">
        <v>43</v>
      </c>
      <c r="D1238" s="3" t="str">
        <f>VLOOKUP(C1238,layoffs_location!A:B,2,FALSE)</f>
        <v>Cascadia</v>
      </c>
      <c r="E1238" s="3" t="str">
        <f>VLOOKUP(C1238,layoffs_location!A:C,3,FALSE)</f>
        <v>Washington</v>
      </c>
      <c r="F1238" s="3" t="str">
        <f>VLOOKUP(C1238,layoffs_location!A:D,4,FALSE)</f>
        <v>USA</v>
      </c>
      <c r="G1238" s="3" t="str">
        <f>VLOOKUP(C1238,layoffs_location!A:E,5,FALSE)</f>
        <v>North America</v>
      </c>
      <c r="H1238" s="3">
        <v>140</v>
      </c>
      <c r="I1238" s="8">
        <v>45085</v>
      </c>
      <c r="J1238" s="9">
        <v>15</v>
      </c>
      <c r="K1238" s="10">
        <v>933</v>
      </c>
      <c r="L1238" s="10">
        <v>793</v>
      </c>
      <c r="M1238" s="3" t="s">
        <v>92</v>
      </c>
      <c r="N1238" s="3" t="s">
        <v>63</v>
      </c>
      <c r="O1238" s="34">
        <v>644</v>
      </c>
      <c r="P1238" s="3">
        <v>2023</v>
      </c>
      <c r="Q1238" s="3">
        <f>VLOOKUP(C1238,layoffs_location!A:F,6,FALSE)</f>
        <v>47.603832099999998</v>
      </c>
      <c r="R1238" s="3">
        <f>VLOOKUP(C1238,layoffs_location!A:G,7,FALSE)</f>
        <v>-122.330062</v>
      </c>
    </row>
    <row r="1239" spans="1:18" x14ac:dyDescent="0.2">
      <c r="A1239" s="3">
        <v>1238</v>
      </c>
      <c r="B1239" s="3" t="s">
        <v>177</v>
      </c>
      <c r="C1239" s="3" t="s">
        <v>1370</v>
      </c>
      <c r="D1239" s="3" t="str">
        <f>VLOOKUP(C1239,layoffs_location!A:B,2,FALSE)</f>
        <v>San Francisco Bay Area</v>
      </c>
      <c r="E1239" s="3" t="str">
        <f>VLOOKUP(C1239,layoffs_location!A:C,3,FALSE)</f>
        <v>California</v>
      </c>
      <c r="F1239" s="3" t="str">
        <f>VLOOKUP(C1239,layoffs_location!A:D,4,FALSE)</f>
        <v>USA</v>
      </c>
      <c r="G1239" s="3" t="str">
        <f>VLOOKUP(C1239,layoffs_location!A:E,5,FALSE)</f>
        <v>North America</v>
      </c>
      <c r="H1239" s="3">
        <v>75</v>
      </c>
      <c r="I1239" s="8">
        <v>45086</v>
      </c>
      <c r="J1239" s="9">
        <v>9</v>
      </c>
      <c r="K1239" s="10">
        <v>833</v>
      </c>
      <c r="L1239" s="10">
        <v>758</v>
      </c>
      <c r="M1239" s="3" t="s">
        <v>21</v>
      </c>
      <c r="N1239" s="3" t="s">
        <v>28</v>
      </c>
      <c r="O1239" s="34">
        <v>1100</v>
      </c>
      <c r="P1239" s="3">
        <v>2023</v>
      </c>
      <c r="Q1239" s="3">
        <f>VLOOKUP(C1239,layoffs_location!A:F,6,FALSE)</f>
        <v>37.779258800000001</v>
      </c>
      <c r="R1239" s="3">
        <f>VLOOKUP(C1239,layoffs_location!A:G,7,FALSE)</f>
        <v>-122.4193286</v>
      </c>
    </row>
    <row r="1240" spans="1:18" x14ac:dyDescent="0.2">
      <c r="A1240" s="3">
        <v>1239</v>
      </c>
      <c r="B1240" s="3" t="s">
        <v>259</v>
      </c>
      <c r="C1240" s="3" t="s">
        <v>260</v>
      </c>
      <c r="D1240" s="3" t="str">
        <f>VLOOKUP(C1240,layoffs_location!A:B,2,FALSE)</f>
        <v>other</v>
      </c>
      <c r="E1240" s="3" t="str">
        <f>VLOOKUP(C1240,layoffs_location!A:C,3,FALSE)</f>
        <v>District of Columbia</v>
      </c>
      <c r="F1240" s="3" t="str">
        <f>VLOOKUP(C1240,layoffs_location!A:D,4,FALSE)</f>
        <v>USA</v>
      </c>
      <c r="G1240" s="3" t="str">
        <f>VLOOKUP(C1240,layoffs_location!A:E,5,FALSE)</f>
        <v>North America</v>
      </c>
      <c r="H1240" s="3">
        <v>60</v>
      </c>
      <c r="I1240" s="8">
        <v>45086</v>
      </c>
      <c r="J1240" s="9">
        <v>10</v>
      </c>
      <c r="K1240" s="10">
        <v>600</v>
      </c>
      <c r="L1240" s="10">
        <v>540</v>
      </c>
      <c r="M1240" s="3" t="s">
        <v>139</v>
      </c>
      <c r="N1240" s="3" t="s">
        <v>36</v>
      </c>
      <c r="O1240" s="34">
        <v>288</v>
      </c>
      <c r="P1240" s="3">
        <v>2023</v>
      </c>
      <c r="Q1240" s="3">
        <f>VLOOKUP(C1240,layoffs_location!A:F,6,FALSE)</f>
        <v>38.8950368</v>
      </c>
      <c r="R1240" s="3">
        <f>VLOOKUP(C1240,layoffs_location!A:G,7,FALSE)</f>
        <v>-77.036542699999998</v>
      </c>
    </row>
    <row r="1241" spans="1:18" x14ac:dyDescent="0.2">
      <c r="A1241" s="3">
        <v>1240</v>
      </c>
      <c r="B1241" s="3" t="s">
        <v>258</v>
      </c>
      <c r="C1241" s="3" t="s">
        <v>187</v>
      </c>
      <c r="D1241" s="3" t="str">
        <f>VLOOKUP(C1241,layoffs_location!A:B,2,FALSE)</f>
        <v>other</v>
      </c>
      <c r="E1241" s="3" t="str">
        <f>VLOOKUP(C1241,layoffs_location!A:C,3,FALSE)</f>
        <v>State of São Paulo</v>
      </c>
      <c r="F1241" s="3" t="str">
        <f>VLOOKUP(C1241,layoffs_location!A:D,4,FALSE)</f>
        <v>Brazil</v>
      </c>
      <c r="G1241" s="3" t="str">
        <f>VLOOKUP(C1241,layoffs_location!A:E,5,FALSE)</f>
        <v>South America</v>
      </c>
      <c r="H1241" s="3">
        <v>128</v>
      </c>
      <c r="I1241" s="8">
        <v>45086</v>
      </c>
      <c r="J1241" s="9">
        <v>35</v>
      </c>
      <c r="K1241" s="10">
        <v>366</v>
      </c>
      <c r="L1241" s="10">
        <v>238</v>
      </c>
      <c r="M1241" s="3" t="s">
        <v>68</v>
      </c>
      <c r="N1241" s="3" t="s">
        <v>49</v>
      </c>
      <c r="O1241" s="34">
        <v>40</v>
      </c>
      <c r="P1241" s="3">
        <v>2023</v>
      </c>
      <c r="Q1241" s="3">
        <f>VLOOKUP(C1241,layoffs_location!A:F,6,FALSE)</f>
        <v>-23.550650699999998</v>
      </c>
      <c r="R1241" s="3">
        <f>VLOOKUP(C1241,layoffs_location!A:G,7,FALSE)</f>
        <v>-46.633382400000002</v>
      </c>
    </row>
    <row r="1242" spans="1:18" ht="16" x14ac:dyDescent="0.2">
      <c r="A1242" s="3">
        <v>1241</v>
      </c>
      <c r="B1242" s="3" t="s">
        <v>257</v>
      </c>
      <c r="C1242" s="11" t="s">
        <v>1370</v>
      </c>
      <c r="D1242" s="3" t="str">
        <f>VLOOKUP(C1242,layoffs_location!A:B,2,FALSE)</f>
        <v>San Francisco Bay Area</v>
      </c>
      <c r="E1242" s="3" t="str">
        <f>VLOOKUP(C1242,layoffs_location!A:C,3,FALSE)</f>
        <v>California</v>
      </c>
      <c r="F1242" s="3" t="str">
        <f>VLOOKUP(C1242,layoffs_location!A:D,4,FALSE)</f>
        <v>USA</v>
      </c>
      <c r="G1242" s="3" t="str">
        <f>VLOOKUP(C1242,layoffs_location!A:E,5,FALSE)</f>
        <v>North America</v>
      </c>
      <c r="H1242" s="3">
        <v>80</v>
      </c>
      <c r="I1242" s="8">
        <v>45088</v>
      </c>
      <c r="J1242" s="9">
        <v>40</v>
      </c>
      <c r="K1242" s="10">
        <v>200</v>
      </c>
      <c r="L1242" s="10">
        <v>120</v>
      </c>
      <c r="M1242" s="3" t="s">
        <v>117</v>
      </c>
      <c r="N1242" s="3" t="s">
        <v>22</v>
      </c>
      <c r="O1242" s="34">
        <v>253</v>
      </c>
      <c r="P1242" s="3">
        <v>2023</v>
      </c>
      <c r="Q1242" s="3">
        <f>VLOOKUP(C1242,layoffs_location!A:F,6,FALSE)</f>
        <v>37.779258800000001</v>
      </c>
      <c r="R1242" s="3">
        <f>VLOOKUP(C1242,layoffs_location!A:G,7,FALSE)</f>
        <v>-122.4193286</v>
      </c>
    </row>
    <row r="1243" spans="1:18" x14ac:dyDescent="0.2">
      <c r="A1243" s="3">
        <v>1242</v>
      </c>
      <c r="B1243" s="3" t="s">
        <v>256</v>
      </c>
      <c r="C1243" s="3" t="s">
        <v>1415</v>
      </c>
      <c r="D1243" s="3" t="str">
        <f>VLOOKUP(C1243,layoffs_location!A:B,2,FALSE)</f>
        <v>San Francisco Bay Area</v>
      </c>
      <c r="E1243" s="3" t="str">
        <f>VLOOKUP(C1243,layoffs_location!A:C,3,FALSE)</f>
        <v>California</v>
      </c>
      <c r="F1243" s="3" t="str">
        <f>VLOOKUP(C1243,layoffs_location!A:D,4,FALSE)</f>
        <v>USA</v>
      </c>
      <c r="G1243" s="3" t="str">
        <f>VLOOKUP(C1243,layoffs_location!A:E,5,FALSE)</f>
        <v>North America</v>
      </c>
      <c r="H1243" s="3">
        <v>80</v>
      </c>
      <c r="I1243" s="8">
        <v>45089</v>
      </c>
      <c r="J1243" s="9">
        <v>4</v>
      </c>
      <c r="K1243" s="10">
        <v>2000</v>
      </c>
      <c r="L1243" s="10">
        <v>1920</v>
      </c>
      <c r="M1243" s="3" t="s">
        <v>68</v>
      </c>
      <c r="N1243" s="3" t="s">
        <v>28</v>
      </c>
      <c r="O1243" s="34">
        <v>227</v>
      </c>
      <c r="P1243" s="3">
        <v>2023</v>
      </c>
      <c r="Q1243" s="3">
        <f>VLOOKUP(C1243,layoffs_location!A:F,6,FALSE)</f>
        <v>37.354106999999999</v>
      </c>
      <c r="R1243" s="3">
        <f>VLOOKUP(C1243,layoffs_location!A:G,7,FALSE)</f>
        <v>-121.95523799999999</v>
      </c>
    </row>
    <row r="1244" spans="1:18" x14ac:dyDescent="0.2">
      <c r="A1244" s="3">
        <v>1243</v>
      </c>
      <c r="B1244" s="3" t="s">
        <v>254</v>
      </c>
      <c r="C1244" s="3" t="s">
        <v>58</v>
      </c>
      <c r="D1244" s="3" t="str">
        <f>VLOOKUP(C1244,layoffs_location!A:B,2,FALSE)</f>
        <v>other</v>
      </c>
      <c r="E1244" s="3" t="str">
        <f>VLOOKUP(C1244,layoffs_location!A:C,3,FALSE)</f>
        <v>England</v>
      </c>
      <c r="F1244" s="3" t="str">
        <f>VLOOKUP(C1244,layoffs_location!A:D,4,FALSE)</f>
        <v>UK</v>
      </c>
      <c r="G1244" s="3" t="str">
        <f>VLOOKUP(C1244,layoffs_location!A:E,5,FALSE)</f>
        <v>Europe</v>
      </c>
      <c r="H1244" s="3">
        <v>150</v>
      </c>
      <c r="I1244" s="8">
        <v>45089</v>
      </c>
      <c r="J1244" s="9">
        <v>17</v>
      </c>
      <c r="K1244" s="10">
        <v>882</v>
      </c>
      <c r="L1244" s="10">
        <v>732</v>
      </c>
      <c r="M1244" s="3" t="s">
        <v>35</v>
      </c>
      <c r="N1244" s="3" t="s">
        <v>81</v>
      </c>
      <c r="O1244" s="34">
        <v>529</v>
      </c>
      <c r="P1244" s="3">
        <v>2023</v>
      </c>
      <c r="Q1244" s="3">
        <f>VLOOKUP(C1244,layoffs_location!A:F,6,FALSE)</f>
        <v>51.489333500000001</v>
      </c>
      <c r="R1244" s="3">
        <f>VLOOKUP(C1244,layoffs_location!A:G,7,FALSE)</f>
        <v>-0.14405508452768701</v>
      </c>
    </row>
    <row r="1245" spans="1:18" x14ac:dyDescent="0.2">
      <c r="A1245" s="3">
        <v>1244</v>
      </c>
      <c r="B1245" s="3" t="s">
        <v>253</v>
      </c>
      <c r="C1245" s="3" t="s">
        <v>1370</v>
      </c>
      <c r="D1245" s="3" t="str">
        <f>VLOOKUP(C1245,layoffs_location!A:B,2,FALSE)</f>
        <v>San Francisco Bay Area</v>
      </c>
      <c r="E1245" s="3" t="str">
        <f>VLOOKUP(C1245,layoffs_location!A:C,3,FALSE)</f>
        <v>California</v>
      </c>
      <c r="F1245" s="3" t="str">
        <f>VLOOKUP(C1245,layoffs_location!A:D,4,FALSE)</f>
        <v>USA</v>
      </c>
      <c r="G1245" s="3" t="str">
        <f>VLOOKUP(C1245,layoffs_location!A:E,5,FALSE)</f>
        <v>North America</v>
      </c>
      <c r="H1245" s="3">
        <v>400</v>
      </c>
      <c r="I1245" s="8">
        <v>45089</v>
      </c>
      <c r="J1245" s="9">
        <v>15</v>
      </c>
      <c r="K1245" s="10">
        <v>2667</v>
      </c>
      <c r="L1245" s="10">
        <v>2267</v>
      </c>
      <c r="M1245" s="3" t="s">
        <v>77</v>
      </c>
      <c r="N1245" s="3" t="s">
        <v>33</v>
      </c>
      <c r="O1245" s="34">
        <v>284</v>
      </c>
      <c r="P1245" s="3">
        <v>2023</v>
      </c>
      <c r="Q1245" s="3">
        <f>VLOOKUP(C1245,layoffs_location!A:F,6,FALSE)</f>
        <v>37.779258800000001</v>
      </c>
      <c r="R1245" s="3">
        <f>VLOOKUP(C1245,layoffs_location!A:G,7,FALSE)</f>
        <v>-122.4193286</v>
      </c>
    </row>
    <row r="1246" spans="1:18" x14ac:dyDescent="0.2">
      <c r="A1246" s="3">
        <v>1245</v>
      </c>
      <c r="B1246" s="3" t="s">
        <v>255</v>
      </c>
      <c r="C1246" s="3" t="s">
        <v>121</v>
      </c>
      <c r="D1246" s="3" t="str">
        <f>VLOOKUP(C1246,layoffs_location!A:B,2,FALSE)</f>
        <v>other</v>
      </c>
      <c r="E1246" s="3" t="str">
        <f>VLOOKUP(C1246,layoffs_location!A:C,3,FALSE)</f>
        <v>North Carolina</v>
      </c>
      <c r="F1246" s="3" t="str">
        <f>VLOOKUP(C1246,layoffs_location!A:D,4,FALSE)</f>
        <v>USA</v>
      </c>
      <c r="G1246" s="3" t="str">
        <f>VLOOKUP(C1246,layoffs_location!A:E,5,FALSE)</f>
        <v>North America</v>
      </c>
      <c r="H1246" s="3">
        <v>100</v>
      </c>
      <c r="I1246" s="8">
        <v>45089</v>
      </c>
      <c r="J1246" s="9">
        <v>12</v>
      </c>
      <c r="K1246" s="10">
        <v>833</v>
      </c>
      <c r="L1246" s="10">
        <v>733</v>
      </c>
      <c r="M1246" s="3" t="s">
        <v>48</v>
      </c>
      <c r="N1246" s="3" t="s">
        <v>63</v>
      </c>
      <c r="O1246" s="34">
        <v>469</v>
      </c>
      <c r="P1246" s="3">
        <v>2023</v>
      </c>
      <c r="Q1246" s="3">
        <f>VLOOKUP(C1246,layoffs_location!A:F,6,FALSE)</f>
        <v>35.780397700000002</v>
      </c>
      <c r="R1246" s="3">
        <f>VLOOKUP(C1246,layoffs_location!A:G,7,FALSE)</f>
        <v>-78.639098899999993</v>
      </c>
    </row>
    <row r="1247" spans="1:18" x14ac:dyDescent="0.2">
      <c r="A1247" s="3">
        <v>1246</v>
      </c>
      <c r="B1247" s="3" t="s">
        <v>249</v>
      </c>
      <c r="C1247" s="3" t="s">
        <v>1326</v>
      </c>
      <c r="D1247" s="3" t="str">
        <f>VLOOKUP(C1247,layoffs_location!A:B,2,FALSE)</f>
        <v>other</v>
      </c>
      <c r="E1247" s="3" t="str">
        <f>VLOOKUP(C1247,layoffs_location!A:C,3,FALSE)</f>
        <v>California</v>
      </c>
      <c r="F1247" s="3" t="str">
        <f>VLOOKUP(C1247,layoffs_location!A:D,4,FALSE)</f>
        <v>USA</v>
      </c>
      <c r="G1247" s="3" t="str">
        <f>VLOOKUP(C1247,layoffs_location!A:E,5,FALSE)</f>
        <v>North America</v>
      </c>
      <c r="H1247" s="3">
        <v>900</v>
      </c>
      <c r="I1247" s="8">
        <v>45091</v>
      </c>
      <c r="J1247" s="9">
        <v>100</v>
      </c>
      <c r="K1247" s="10">
        <v>900</v>
      </c>
      <c r="L1247" s="10">
        <v>0</v>
      </c>
      <c r="M1247" s="3" t="s">
        <v>117</v>
      </c>
      <c r="N1247" s="3" t="s">
        <v>49</v>
      </c>
      <c r="O1247" s="34">
        <v>84</v>
      </c>
      <c r="P1247" s="3">
        <v>2023</v>
      </c>
      <c r="Q1247" s="3">
        <f>VLOOKUP(C1247,layoffs_location!A:F,6,FALSE)</f>
        <v>36.739442099999998</v>
      </c>
      <c r="R1247" s="3">
        <f>VLOOKUP(C1247,layoffs_location!A:G,7,FALSE)</f>
        <v>-119.78483</v>
      </c>
    </row>
    <row r="1248" spans="1:18" x14ac:dyDescent="0.2">
      <c r="A1248" s="3">
        <v>1247</v>
      </c>
      <c r="B1248" s="3" t="s">
        <v>252</v>
      </c>
      <c r="C1248" s="3" t="s">
        <v>39</v>
      </c>
      <c r="D1248" s="3" t="str">
        <f>VLOOKUP(C1248,layoffs_location!A:B,2,FALSE)</f>
        <v>New York</v>
      </c>
      <c r="E1248" s="3" t="str">
        <f>VLOOKUP(C1248,layoffs_location!A:C,3,FALSE)</f>
        <v>New York</v>
      </c>
      <c r="F1248" s="3" t="str">
        <f>VLOOKUP(C1248,layoffs_location!A:D,4,FALSE)</f>
        <v>USA</v>
      </c>
      <c r="G1248" s="3" t="str">
        <f>VLOOKUP(C1248,layoffs_location!A:E,5,FALSE)</f>
        <v>North America</v>
      </c>
      <c r="H1248" s="3">
        <v>81</v>
      </c>
      <c r="I1248" s="8">
        <v>45091</v>
      </c>
      <c r="J1248" s="9">
        <v>11</v>
      </c>
      <c r="K1248" s="10">
        <v>736</v>
      </c>
      <c r="L1248" s="10">
        <v>655</v>
      </c>
      <c r="M1248" s="3" t="s">
        <v>77</v>
      </c>
      <c r="N1248" s="3" t="s">
        <v>28</v>
      </c>
      <c r="O1248" s="34">
        <v>184</v>
      </c>
      <c r="P1248" s="3">
        <v>2023</v>
      </c>
      <c r="Q1248" s="3">
        <f>VLOOKUP(C1248,layoffs_location!A:F,6,FALSE)</f>
        <v>40.7127281</v>
      </c>
      <c r="R1248" s="3">
        <f>VLOOKUP(C1248,layoffs_location!A:G,7,FALSE)</f>
        <v>-74.006015199999993</v>
      </c>
    </row>
    <row r="1249" spans="1:18" x14ac:dyDescent="0.2">
      <c r="A1249" s="3">
        <v>1248</v>
      </c>
      <c r="B1249" s="3" t="s">
        <v>250</v>
      </c>
      <c r="C1249" s="3" t="s">
        <v>39</v>
      </c>
      <c r="D1249" s="3" t="str">
        <f>VLOOKUP(C1249,layoffs_location!A:B,2,FALSE)</f>
        <v>New York</v>
      </c>
      <c r="E1249" s="3" t="str">
        <f>VLOOKUP(C1249,layoffs_location!A:C,3,FALSE)</f>
        <v>New York</v>
      </c>
      <c r="F1249" s="3" t="str">
        <f>VLOOKUP(C1249,layoffs_location!A:D,4,FALSE)</f>
        <v>USA</v>
      </c>
      <c r="G1249" s="3" t="str">
        <f>VLOOKUP(C1249,layoffs_location!A:E,5,FALSE)</f>
        <v>North America</v>
      </c>
      <c r="H1249" s="3">
        <v>130</v>
      </c>
      <c r="I1249" s="8">
        <v>45091</v>
      </c>
      <c r="J1249" s="9">
        <v>7</v>
      </c>
      <c r="K1249" s="10">
        <v>1857</v>
      </c>
      <c r="L1249" s="10">
        <v>1727</v>
      </c>
      <c r="M1249" s="3" t="s">
        <v>16</v>
      </c>
      <c r="N1249" s="3" t="s">
        <v>28</v>
      </c>
      <c r="O1249" s="34">
        <v>455</v>
      </c>
      <c r="P1249" s="3">
        <v>2023</v>
      </c>
      <c r="Q1249" s="3">
        <f>VLOOKUP(C1249,layoffs_location!A:F,6,FALSE)</f>
        <v>40.7127281</v>
      </c>
      <c r="R1249" s="3">
        <f>VLOOKUP(C1249,layoffs_location!A:G,7,FALSE)</f>
        <v>-74.006015199999993</v>
      </c>
    </row>
    <row r="1250" spans="1:18" x14ac:dyDescent="0.2">
      <c r="A1250" s="3">
        <v>1249</v>
      </c>
      <c r="B1250" s="3" t="s">
        <v>251</v>
      </c>
      <c r="C1250" s="3" t="s">
        <v>76</v>
      </c>
      <c r="D1250" s="3" t="str">
        <f>VLOOKUP(C1250,layoffs_location!A:B,2,FALSE)</f>
        <v>other</v>
      </c>
      <c r="E1250" s="3" t="str">
        <f>VLOOKUP(C1250,layoffs_location!A:C,3,FALSE)</f>
        <v>California</v>
      </c>
      <c r="F1250" s="3" t="str">
        <f>VLOOKUP(C1250,layoffs_location!A:D,4,FALSE)</f>
        <v>USA</v>
      </c>
      <c r="G1250" s="3" t="str">
        <f>VLOOKUP(C1250,layoffs_location!A:E,5,FALSE)</f>
        <v>North America</v>
      </c>
      <c r="H1250" s="3">
        <v>102</v>
      </c>
      <c r="I1250" s="8">
        <v>45091</v>
      </c>
      <c r="J1250" s="9">
        <v>24</v>
      </c>
      <c r="K1250" s="10">
        <v>425</v>
      </c>
      <c r="L1250" s="10">
        <v>323</v>
      </c>
      <c r="M1250" s="3" t="s">
        <v>32</v>
      </c>
      <c r="N1250" s="3" t="s">
        <v>28</v>
      </c>
      <c r="O1250" s="34">
        <v>340</v>
      </c>
      <c r="P1250" s="3">
        <v>2023</v>
      </c>
      <c r="Q1250" s="3">
        <f>VLOOKUP(C1250,layoffs_location!A:F,6,FALSE)</f>
        <v>34.053690899999999</v>
      </c>
      <c r="R1250" s="3">
        <f>VLOOKUP(C1250,layoffs_location!A:G,7,FALSE)</f>
        <v>-118.242766</v>
      </c>
    </row>
    <row r="1251" spans="1:18" x14ac:dyDescent="0.2">
      <c r="A1251" s="3">
        <v>1250</v>
      </c>
      <c r="B1251" s="3" t="s">
        <v>248</v>
      </c>
      <c r="C1251" s="3" t="s">
        <v>76</v>
      </c>
      <c r="D1251" s="3" t="str">
        <f>VLOOKUP(C1251,layoffs_location!A:B,2,FALSE)</f>
        <v>other</v>
      </c>
      <c r="E1251" s="3" t="str">
        <f>VLOOKUP(C1251,layoffs_location!A:C,3,FALSE)</f>
        <v>California</v>
      </c>
      <c r="F1251" s="3" t="str">
        <f>VLOOKUP(C1251,layoffs_location!A:D,4,FALSE)</f>
        <v>USA</v>
      </c>
      <c r="G1251" s="3" t="str">
        <f>VLOOKUP(C1251,layoffs_location!A:E,5,FALSE)</f>
        <v>North America</v>
      </c>
      <c r="H1251" s="3">
        <v>100</v>
      </c>
      <c r="I1251" s="8">
        <v>45092</v>
      </c>
      <c r="J1251" s="9">
        <v>33</v>
      </c>
      <c r="K1251" s="10">
        <v>303</v>
      </c>
      <c r="L1251" s="10">
        <v>203</v>
      </c>
      <c r="M1251" s="3" t="s">
        <v>21</v>
      </c>
      <c r="N1251" s="3" t="s">
        <v>69</v>
      </c>
      <c r="O1251" s="34">
        <v>51</v>
      </c>
      <c r="P1251" s="3">
        <v>2023</v>
      </c>
      <c r="Q1251" s="3">
        <f>VLOOKUP(C1251,layoffs_location!A:F,6,FALSE)</f>
        <v>34.053690899999999</v>
      </c>
      <c r="R1251" s="3">
        <f>VLOOKUP(C1251,layoffs_location!A:G,7,FALSE)</f>
        <v>-118.242766</v>
      </c>
    </row>
    <row r="1252" spans="1:18" x14ac:dyDescent="0.2">
      <c r="A1252" s="3">
        <v>1251</v>
      </c>
      <c r="B1252" s="3" t="s">
        <v>225</v>
      </c>
      <c r="C1252" s="3" t="s">
        <v>13</v>
      </c>
      <c r="D1252" s="3" t="str">
        <f>VLOOKUP(C1252,layoffs_location!A:B,2,FALSE)</f>
        <v>other</v>
      </c>
      <c r="E1252" s="3" t="str">
        <f>VLOOKUP(C1252,layoffs_location!A:C,3,FALSE)</f>
        <v>Karnataka</v>
      </c>
      <c r="F1252" s="3" t="str">
        <f>VLOOKUP(C1252,layoffs_location!A:D,4,FALSE)</f>
        <v>India</v>
      </c>
      <c r="G1252" s="3" t="str">
        <f>VLOOKUP(C1252,layoffs_location!A:E,5,FALSE)</f>
        <v>Asia</v>
      </c>
      <c r="H1252" s="3">
        <v>39</v>
      </c>
      <c r="I1252" s="8">
        <v>45092</v>
      </c>
      <c r="J1252" s="9">
        <v>90</v>
      </c>
      <c r="K1252" s="10">
        <v>43</v>
      </c>
      <c r="L1252" s="10">
        <v>4</v>
      </c>
      <c r="M1252" s="3" t="s">
        <v>68</v>
      </c>
      <c r="N1252" s="3" t="s">
        <v>69</v>
      </c>
      <c r="O1252" s="34">
        <v>17</v>
      </c>
      <c r="P1252" s="3">
        <v>2023</v>
      </c>
      <c r="Q1252" s="3">
        <f>VLOOKUP(C1252,layoffs_location!A:F,6,FALSE)</f>
        <v>12.98815675</v>
      </c>
      <c r="R1252" s="3">
        <f>VLOOKUP(C1252,layoffs_location!A:G,7,FALSE)</f>
        <v>77.622600037959998</v>
      </c>
    </row>
    <row r="1253" spans="1:18" ht="16" x14ac:dyDescent="0.2">
      <c r="A1253" s="3">
        <v>1252</v>
      </c>
      <c r="B1253" s="3" t="s">
        <v>247</v>
      </c>
      <c r="C1253" s="11" t="s">
        <v>1370</v>
      </c>
      <c r="D1253" s="3" t="str">
        <f>VLOOKUP(C1253,layoffs_location!A:B,2,FALSE)</f>
        <v>San Francisco Bay Area</v>
      </c>
      <c r="E1253" s="3" t="str">
        <f>VLOOKUP(C1253,layoffs_location!A:C,3,FALSE)</f>
        <v>California</v>
      </c>
      <c r="F1253" s="3" t="str">
        <f>VLOOKUP(C1253,layoffs_location!A:D,4,FALSE)</f>
        <v>USA</v>
      </c>
      <c r="G1253" s="3" t="str">
        <f>VLOOKUP(C1253,layoffs_location!A:E,5,FALSE)</f>
        <v>North America</v>
      </c>
      <c r="H1253" s="3">
        <v>45</v>
      </c>
      <c r="I1253" s="8">
        <v>45093</v>
      </c>
      <c r="J1253" s="9">
        <v>13</v>
      </c>
      <c r="K1253" s="10">
        <v>346</v>
      </c>
      <c r="L1253" s="10">
        <v>301</v>
      </c>
      <c r="M1253" s="3" t="s">
        <v>35</v>
      </c>
      <c r="N1253" s="3" t="s">
        <v>22</v>
      </c>
      <c r="O1253" s="34">
        <v>116</v>
      </c>
      <c r="P1253" s="3">
        <v>2023</v>
      </c>
      <c r="Q1253" s="3">
        <f>VLOOKUP(C1253,layoffs_location!A:F,6,FALSE)</f>
        <v>37.779258800000001</v>
      </c>
      <c r="R1253" s="3">
        <f>VLOOKUP(C1253,layoffs_location!A:G,7,FALSE)</f>
        <v>-122.4193286</v>
      </c>
    </row>
    <row r="1254" spans="1:18" x14ac:dyDescent="0.2">
      <c r="A1254" s="3">
        <v>1253</v>
      </c>
      <c r="B1254" s="3" t="s">
        <v>246</v>
      </c>
      <c r="C1254" s="3" t="s">
        <v>13</v>
      </c>
      <c r="D1254" s="3" t="str">
        <f>VLOOKUP(C1254,layoffs_location!A:B,2,FALSE)</f>
        <v>other</v>
      </c>
      <c r="E1254" s="3" t="str">
        <f>VLOOKUP(C1254,layoffs_location!A:C,3,FALSE)</f>
        <v>Karnataka</v>
      </c>
      <c r="F1254" s="3" t="str">
        <f>VLOOKUP(C1254,layoffs_location!A:D,4,FALSE)</f>
        <v>India</v>
      </c>
      <c r="G1254" s="3" t="str">
        <f>VLOOKUP(C1254,layoffs_location!A:E,5,FALSE)</f>
        <v>Asia</v>
      </c>
      <c r="H1254" s="3">
        <v>170</v>
      </c>
      <c r="I1254" s="8">
        <v>45094</v>
      </c>
      <c r="J1254" s="9">
        <v>80</v>
      </c>
      <c r="K1254" s="10">
        <v>213</v>
      </c>
      <c r="L1254" s="10">
        <v>43</v>
      </c>
      <c r="M1254" s="3" t="s">
        <v>21</v>
      </c>
      <c r="N1254" s="3" t="s">
        <v>69</v>
      </c>
      <c r="O1254" s="34">
        <v>24</v>
      </c>
      <c r="P1254" s="3">
        <v>2023</v>
      </c>
      <c r="Q1254" s="3">
        <f>VLOOKUP(C1254,layoffs_location!A:F,6,FALSE)</f>
        <v>12.98815675</v>
      </c>
      <c r="R1254" s="3">
        <f>VLOOKUP(C1254,layoffs_location!A:G,7,FALSE)</f>
        <v>77.622600037959998</v>
      </c>
    </row>
    <row r="1255" spans="1:18" x14ac:dyDescent="0.2">
      <c r="A1255" s="3">
        <v>1254</v>
      </c>
      <c r="B1255" s="3" t="s">
        <v>245</v>
      </c>
      <c r="C1255" s="3" t="s">
        <v>13</v>
      </c>
      <c r="D1255" s="3" t="str">
        <f>VLOOKUP(C1255,layoffs_location!A:B,2,FALSE)</f>
        <v>other</v>
      </c>
      <c r="E1255" s="3" t="str">
        <f>VLOOKUP(C1255,layoffs_location!A:C,3,FALSE)</f>
        <v>Karnataka</v>
      </c>
      <c r="F1255" s="3" t="str">
        <f>VLOOKUP(C1255,layoffs_location!A:D,4,FALSE)</f>
        <v>India</v>
      </c>
      <c r="G1255" s="3" t="str">
        <f>VLOOKUP(C1255,layoffs_location!A:E,5,FALSE)</f>
        <v>Asia</v>
      </c>
      <c r="H1255" s="3">
        <v>48</v>
      </c>
      <c r="I1255" s="8">
        <v>45096</v>
      </c>
      <c r="J1255" s="9">
        <v>20</v>
      </c>
      <c r="K1255" s="10">
        <v>240</v>
      </c>
      <c r="L1255" s="10">
        <v>192</v>
      </c>
      <c r="M1255" s="3" t="s">
        <v>54</v>
      </c>
      <c r="N1255" s="3" t="s">
        <v>22</v>
      </c>
      <c r="O1255" s="34">
        <v>88</v>
      </c>
      <c r="P1255" s="3">
        <v>2023</v>
      </c>
      <c r="Q1255" s="3">
        <f>VLOOKUP(C1255,layoffs_location!A:F,6,FALSE)</f>
        <v>12.98815675</v>
      </c>
      <c r="R1255" s="3">
        <f>VLOOKUP(C1255,layoffs_location!A:G,7,FALSE)</f>
        <v>77.622600037959998</v>
      </c>
    </row>
    <row r="1256" spans="1:18" x14ac:dyDescent="0.2">
      <c r="A1256" s="3">
        <v>1255</v>
      </c>
      <c r="B1256" s="3" t="s">
        <v>243</v>
      </c>
      <c r="C1256" s="3" t="s">
        <v>244</v>
      </c>
      <c r="D1256" s="3" t="str">
        <f>VLOOKUP(C1256,layoffs_location!A:B,2,FALSE)</f>
        <v>other</v>
      </c>
      <c r="E1256" s="3" t="str">
        <f>VLOOKUP(C1256,layoffs_location!A:C,3,FALSE)</f>
        <v>non</v>
      </c>
      <c r="F1256" s="3" t="str">
        <f>VLOOKUP(C1256,layoffs_location!A:D,4,FALSE)</f>
        <v>Singapore</v>
      </c>
      <c r="G1256" s="3" t="str">
        <f>VLOOKUP(C1256,layoffs_location!A:E,5,FALSE)</f>
        <v>Asia</v>
      </c>
      <c r="H1256" s="3">
        <v>1000</v>
      </c>
      <c r="I1256" s="8">
        <v>45097</v>
      </c>
      <c r="J1256" s="9">
        <v>11</v>
      </c>
      <c r="K1256" s="10">
        <v>9091</v>
      </c>
      <c r="L1256" s="10">
        <v>8091</v>
      </c>
      <c r="M1256" s="3" t="s">
        <v>32</v>
      </c>
      <c r="N1256" s="3" t="s">
        <v>28</v>
      </c>
      <c r="O1256" s="34">
        <v>16500</v>
      </c>
      <c r="P1256" s="3">
        <v>2023</v>
      </c>
      <c r="Q1256" s="3">
        <f>VLOOKUP(C1256,layoffs_location!A:F,6,FALSE)</f>
        <v>1.2899175000000001</v>
      </c>
      <c r="R1256" s="3">
        <f>VLOOKUP(C1256,layoffs_location!A:G,7,FALSE)</f>
        <v>103.8519072</v>
      </c>
    </row>
    <row r="1257" spans="1:18" x14ac:dyDescent="0.2">
      <c r="A1257" s="3">
        <v>1256</v>
      </c>
      <c r="B1257" s="3" t="s">
        <v>242</v>
      </c>
      <c r="C1257" s="3" t="s">
        <v>179</v>
      </c>
      <c r="D1257" s="3" t="str">
        <f>VLOOKUP(C1257,layoffs_location!A:B,2,FALSE)</f>
        <v>other</v>
      </c>
      <c r="E1257" s="3" t="str">
        <f>VLOOKUP(C1257,layoffs_location!A:C,3,FALSE)</f>
        <v>Ontario</v>
      </c>
      <c r="F1257" s="3" t="str">
        <f>VLOOKUP(C1257,layoffs_location!A:D,4,FALSE)</f>
        <v>Canada</v>
      </c>
      <c r="G1257" s="3" t="str">
        <f>VLOOKUP(C1257,layoffs_location!A:E,5,FALSE)</f>
        <v>North America</v>
      </c>
      <c r="H1257" s="3">
        <v>38</v>
      </c>
      <c r="I1257" s="8">
        <v>45098</v>
      </c>
      <c r="J1257" s="9">
        <v>40</v>
      </c>
      <c r="K1257" s="10">
        <v>95</v>
      </c>
      <c r="L1257" s="10">
        <v>57</v>
      </c>
      <c r="M1257" s="3" t="s">
        <v>77</v>
      </c>
      <c r="N1257" s="3" t="s">
        <v>41</v>
      </c>
      <c r="O1257" s="34">
        <v>134</v>
      </c>
      <c r="P1257" s="3">
        <v>2023</v>
      </c>
      <c r="Q1257" s="3">
        <f>VLOOKUP(C1257,layoffs_location!A:F,6,FALSE)</f>
        <v>43.6534817</v>
      </c>
      <c r="R1257" s="3">
        <f>VLOOKUP(C1257,layoffs_location!A:G,7,FALSE)</f>
        <v>-79.383934699999998</v>
      </c>
    </row>
    <row r="1258" spans="1:18" ht="16" x14ac:dyDescent="0.2">
      <c r="A1258" s="3">
        <v>1257</v>
      </c>
      <c r="B1258" s="3" t="s">
        <v>241</v>
      </c>
      <c r="C1258" s="11" t="s">
        <v>1370</v>
      </c>
      <c r="D1258" s="3" t="str">
        <f>VLOOKUP(C1258,layoffs_location!A:B,2,FALSE)</f>
        <v>San Francisco Bay Area</v>
      </c>
      <c r="E1258" s="3" t="str">
        <f>VLOOKUP(C1258,layoffs_location!A:C,3,FALSE)</f>
        <v>California</v>
      </c>
      <c r="F1258" s="3" t="str">
        <f>VLOOKUP(C1258,layoffs_location!A:D,4,FALSE)</f>
        <v>USA</v>
      </c>
      <c r="G1258" s="3" t="str">
        <f>VLOOKUP(C1258,layoffs_location!A:E,5,FALSE)</f>
        <v>North America</v>
      </c>
      <c r="H1258" s="3">
        <v>200</v>
      </c>
      <c r="I1258" s="8">
        <v>45098</v>
      </c>
      <c r="J1258" s="9">
        <v>0.99616476565223888</v>
      </c>
      <c r="K1258" s="10">
        <v>20077</v>
      </c>
      <c r="L1258" s="10">
        <v>19877</v>
      </c>
      <c r="M1258" s="3" t="s">
        <v>32</v>
      </c>
      <c r="N1258" s="3" t="s">
        <v>28</v>
      </c>
      <c r="O1258" s="34">
        <v>25200</v>
      </c>
      <c r="P1258" s="3">
        <v>2023</v>
      </c>
      <c r="Q1258" s="3">
        <f>VLOOKUP(C1258,layoffs_location!A:F,6,FALSE)</f>
        <v>37.779258800000001</v>
      </c>
      <c r="R1258" s="3">
        <f>VLOOKUP(C1258,layoffs_location!A:G,7,FALSE)</f>
        <v>-122.4193286</v>
      </c>
    </row>
    <row r="1259" spans="1:18" x14ac:dyDescent="0.2">
      <c r="A1259" s="3">
        <v>1258</v>
      </c>
      <c r="B1259" s="3" t="s">
        <v>89</v>
      </c>
      <c r="C1259" s="3" t="s">
        <v>43</v>
      </c>
      <c r="D1259" s="3" t="str">
        <f>VLOOKUP(C1259,layoffs_location!A:B,2,FALSE)</f>
        <v>Cascadia</v>
      </c>
      <c r="E1259" s="3" t="str">
        <f>VLOOKUP(C1259,layoffs_location!A:C,3,FALSE)</f>
        <v>Washington</v>
      </c>
      <c r="F1259" s="3" t="str">
        <f>VLOOKUP(C1259,layoffs_location!A:D,4,FALSE)</f>
        <v>USA</v>
      </c>
      <c r="G1259" s="3" t="str">
        <f>VLOOKUP(C1259,layoffs_location!A:E,5,FALSE)</f>
        <v>North America</v>
      </c>
      <c r="H1259" s="3">
        <v>30</v>
      </c>
      <c r="I1259" s="8">
        <v>45103</v>
      </c>
      <c r="J1259" s="9">
        <v>5</v>
      </c>
      <c r="K1259" s="10">
        <v>600</v>
      </c>
      <c r="L1259" s="10">
        <v>570</v>
      </c>
      <c r="M1259" s="3" t="s">
        <v>90</v>
      </c>
      <c r="N1259" s="3" t="s">
        <v>36</v>
      </c>
      <c r="O1259" s="34">
        <v>1100</v>
      </c>
      <c r="P1259" s="3">
        <v>2023</v>
      </c>
      <c r="Q1259" s="3">
        <f>VLOOKUP(C1259,layoffs_location!A:F,6,FALSE)</f>
        <v>47.603832099999998</v>
      </c>
      <c r="R1259" s="3">
        <f>VLOOKUP(C1259,layoffs_location!A:G,7,FALSE)</f>
        <v>-122.330062</v>
      </c>
    </row>
    <row r="1260" spans="1:18" x14ac:dyDescent="0.2">
      <c r="A1260" s="3">
        <v>1259</v>
      </c>
      <c r="B1260" s="3" t="s">
        <v>240</v>
      </c>
      <c r="C1260" s="3" t="s">
        <v>1443</v>
      </c>
      <c r="D1260" s="3" t="str">
        <f>VLOOKUP(C1260,layoffs_location!A:B,2,FALSE)</f>
        <v>San Francisco Bay Area</v>
      </c>
      <c r="E1260" s="3" t="str">
        <f>VLOOKUP(C1260,layoffs_location!A:C,3,FALSE)</f>
        <v>California</v>
      </c>
      <c r="F1260" s="3" t="str">
        <f>VLOOKUP(C1260,layoffs_location!A:D,4,FALSE)</f>
        <v>USA</v>
      </c>
      <c r="G1260" s="3" t="str">
        <f>VLOOKUP(C1260,layoffs_location!A:E,5,FALSE)</f>
        <v>North America</v>
      </c>
      <c r="H1260" s="3">
        <v>150</v>
      </c>
      <c r="I1260" s="8">
        <v>45103</v>
      </c>
      <c r="J1260" s="9">
        <v>7</v>
      </c>
      <c r="K1260" s="10">
        <v>2143</v>
      </c>
      <c r="L1260" s="10">
        <v>1993</v>
      </c>
      <c r="M1260" s="3" t="s">
        <v>35</v>
      </c>
      <c r="N1260" s="3" t="s">
        <v>28</v>
      </c>
      <c r="O1260" s="34">
        <v>5600</v>
      </c>
      <c r="P1260" s="3">
        <v>2023</v>
      </c>
      <c r="Q1260" s="3">
        <f>VLOOKUP(C1260,layoffs_location!A:F,6,FALSE)</f>
        <v>37.451967099999997</v>
      </c>
      <c r="R1260" s="3">
        <f>VLOOKUP(C1260,layoffs_location!A:G,7,FALSE)</f>
        <v>-122.177992</v>
      </c>
    </row>
    <row r="1261" spans="1:18" ht="16" x14ac:dyDescent="0.2">
      <c r="A1261" s="3">
        <v>1260</v>
      </c>
      <c r="B1261" s="3" t="s">
        <v>238</v>
      </c>
      <c r="C1261" s="11" t="s">
        <v>1370</v>
      </c>
      <c r="D1261" s="3" t="str">
        <f>VLOOKUP(C1261,layoffs_location!A:B,2,FALSE)</f>
        <v>San Francisco Bay Area</v>
      </c>
      <c r="E1261" s="3" t="str">
        <f>VLOOKUP(C1261,layoffs_location!A:C,3,FALSE)</f>
        <v>California</v>
      </c>
      <c r="F1261" s="3" t="str">
        <f>VLOOKUP(C1261,layoffs_location!A:D,4,FALSE)</f>
        <v>USA</v>
      </c>
      <c r="G1261" s="3" t="str">
        <f>VLOOKUP(C1261,layoffs_location!A:E,5,FALSE)</f>
        <v>North America</v>
      </c>
      <c r="H1261" s="3">
        <v>255</v>
      </c>
      <c r="I1261" s="8">
        <v>45104</v>
      </c>
      <c r="J1261" s="9">
        <v>10</v>
      </c>
      <c r="K1261" s="10">
        <v>2550</v>
      </c>
      <c r="L1261" s="10">
        <v>2295</v>
      </c>
      <c r="M1261" s="3" t="s">
        <v>239</v>
      </c>
      <c r="N1261" s="3" t="s">
        <v>28</v>
      </c>
      <c r="O1261" s="34">
        <v>214</v>
      </c>
      <c r="P1261" s="3">
        <v>2023</v>
      </c>
      <c r="Q1261" s="3">
        <f>VLOOKUP(C1261,layoffs_location!A:F,6,FALSE)</f>
        <v>37.779258800000001</v>
      </c>
      <c r="R1261" s="3">
        <f>VLOOKUP(C1261,layoffs_location!A:G,7,FALSE)</f>
        <v>-122.4193286</v>
      </c>
    </row>
    <row r="1262" spans="1:18" x14ac:dyDescent="0.2">
      <c r="A1262" s="3">
        <v>1261</v>
      </c>
      <c r="B1262" s="3" t="s">
        <v>236</v>
      </c>
      <c r="C1262" s="3" t="s">
        <v>74</v>
      </c>
      <c r="D1262" s="3" t="str">
        <f>VLOOKUP(C1262,layoffs_location!A:B,2,FALSE)</f>
        <v>other</v>
      </c>
      <c r="E1262" s="3" t="str">
        <f>VLOOKUP(C1262,layoffs_location!A:C,3,FALSE)</f>
        <v>California</v>
      </c>
      <c r="F1262" s="3" t="str">
        <f>VLOOKUP(C1262,layoffs_location!A:D,4,FALSE)</f>
        <v>USA</v>
      </c>
      <c r="G1262" s="3" t="str">
        <f>VLOOKUP(C1262,layoffs_location!A:E,5,FALSE)</f>
        <v>North America</v>
      </c>
      <c r="H1262" s="3">
        <v>90</v>
      </c>
      <c r="I1262" s="8">
        <v>45105</v>
      </c>
      <c r="J1262" s="9">
        <v>10</v>
      </c>
      <c r="K1262" s="10">
        <v>900</v>
      </c>
      <c r="L1262" s="10">
        <v>810</v>
      </c>
      <c r="M1262" s="3" t="s">
        <v>60</v>
      </c>
      <c r="N1262" s="3" t="s">
        <v>41</v>
      </c>
      <c r="O1262" s="34">
        <v>537</v>
      </c>
      <c r="P1262" s="3">
        <v>2023</v>
      </c>
      <c r="Q1262" s="3">
        <f>VLOOKUP(C1262,layoffs_location!A:F,6,FALSE)</f>
        <v>32.717420199999999</v>
      </c>
      <c r="R1262" s="3">
        <f>VLOOKUP(C1262,layoffs_location!A:G,7,FALSE)</f>
        <v>-117.162772</v>
      </c>
    </row>
    <row r="1263" spans="1:18" x14ac:dyDescent="0.2">
      <c r="A1263" s="3">
        <v>1262</v>
      </c>
      <c r="B1263" s="3" t="s">
        <v>237</v>
      </c>
      <c r="C1263" s="3" t="s">
        <v>1705</v>
      </c>
      <c r="D1263" s="3" t="str">
        <f>VLOOKUP(C1263,layoffs_location!A:B,2,FALSE)</f>
        <v>San Francisco Bay Area</v>
      </c>
      <c r="E1263" s="3" t="str">
        <f>VLOOKUP(C1263,layoffs_location!A:C,3,FALSE)</f>
        <v>California</v>
      </c>
      <c r="F1263" s="3" t="str">
        <f>VLOOKUP(C1263,layoffs_location!A:D,4,FALSE)</f>
        <v>USA</v>
      </c>
      <c r="G1263" s="3" t="str">
        <f>VLOOKUP(C1263,layoffs_location!A:E,5,FALSE)</f>
        <v>North America</v>
      </c>
      <c r="H1263" s="3">
        <v>37</v>
      </c>
      <c r="I1263" s="8">
        <v>45105</v>
      </c>
      <c r="J1263" s="9">
        <v>20</v>
      </c>
      <c r="K1263" s="10">
        <v>185</v>
      </c>
      <c r="L1263" s="10">
        <v>148</v>
      </c>
      <c r="M1263" s="3" t="s">
        <v>54</v>
      </c>
      <c r="N1263" s="3" t="s">
        <v>22</v>
      </c>
      <c r="O1263" s="34">
        <v>81</v>
      </c>
      <c r="P1263" s="3">
        <v>2023</v>
      </c>
      <c r="Q1263" s="3">
        <f>VLOOKUP(C1263,layoffs_location!A:F,6,FALSE)</f>
        <v>37.287166999999997</v>
      </c>
      <c r="R1263" s="3">
        <f>VLOOKUP(C1263,layoffs_location!A:G,7,FALSE)</f>
        <v>-121.94995900000001</v>
      </c>
    </row>
    <row r="1264" spans="1:18" x14ac:dyDescent="0.2">
      <c r="A1264" s="3">
        <v>1263</v>
      </c>
      <c r="B1264" s="3" t="s">
        <v>233</v>
      </c>
      <c r="C1264" s="3" t="s">
        <v>39</v>
      </c>
      <c r="D1264" s="3" t="str">
        <f>VLOOKUP(C1264,layoffs_location!A:B,2,FALSE)</f>
        <v>New York</v>
      </c>
      <c r="E1264" s="3" t="str">
        <f>VLOOKUP(C1264,layoffs_location!A:C,3,FALSE)</f>
        <v>New York</v>
      </c>
      <c r="F1264" s="3" t="str">
        <f>VLOOKUP(C1264,layoffs_location!A:D,4,FALSE)</f>
        <v>USA</v>
      </c>
      <c r="G1264" s="3" t="str">
        <f>VLOOKUP(C1264,layoffs_location!A:E,5,FALSE)</f>
        <v>North America</v>
      </c>
      <c r="H1264" s="3">
        <v>35</v>
      </c>
      <c r="I1264" s="8">
        <v>45106</v>
      </c>
      <c r="J1264" s="9">
        <v>15</v>
      </c>
      <c r="K1264" s="10">
        <v>233</v>
      </c>
      <c r="L1264" s="10">
        <v>198</v>
      </c>
      <c r="M1264" s="3" t="s">
        <v>30</v>
      </c>
      <c r="N1264" s="3" t="s">
        <v>108</v>
      </c>
      <c r="O1264" s="34">
        <v>100</v>
      </c>
      <c r="P1264" s="3">
        <v>2023</v>
      </c>
      <c r="Q1264" s="3">
        <f>VLOOKUP(C1264,layoffs_location!A:F,6,FALSE)</f>
        <v>40.7127281</v>
      </c>
      <c r="R1264" s="3">
        <f>VLOOKUP(C1264,layoffs_location!A:G,7,FALSE)</f>
        <v>-74.006015199999993</v>
      </c>
    </row>
    <row r="1265" spans="1:18" x14ac:dyDescent="0.2">
      <c r="A1265" s="3">
        <v>1264</v>
      </c>
      <c r="B1265" s="3" t="s">
        <v>232</v>
      </c>
      <c r="C1265" s="3" t="s">
        <v>76</v>
      </c>
      <c r="D1265" s="3" t="str">
        <f>VLOOKUP(C1265,layoffs_location!A:B,2,FALSE)</f>
        <v>other</v>
      </c>
      <c r="E1265" s="3" t="str">
        <f>VLOOKUP(C1265,layoffs_location!A:C,3,FALSE)</f>
        <v>California</v>
      </c>
      <c r="F1265" s="3" t="str">
        <f>VLOOKUP(C1265,layoffs_location!A:D,4,FALSE)</f>
        <v>USA</v>
      </c>
      <c r="G1265" s="3" t="str">
        <f>VLOOKUP(C1265,layoffs_location!A:E,5,FALSE)</f>
        <v>North America</v>
      </c>
      <c r="H1265" s="3">
        <v>181</v>
      </c>
      <c r="I1265" s="8">
        <v>45106</v>
      </c>
      <c r="J1265" s="9">
        <v>15</v>
      </c>
      <c r="K1265" s="10">
        <v>1207</v>
      </c>
      <c r="L1265" s="10">
        <v>1026</v>
      </c>
      <c r="M1265" s="3" t="s">
        <v>21</v>
      </c>
      <c r="N1265" s="3" t="s">
        <v>22</v>
      </c>
      <c r="O1265" s="34">
        <v>216</v>
      </c>
      <c r="P1265" s="3">
        <v>2023</v>
      </c>
      <c r="Q1265" s="3">
        <f>VLOOKUP(C1265,layoffs_location!A:F,6,FALSE)</f>
        <v>34.053690899999999</v>
      </c>
      <c r="R1265" s="3">
        <f>VLOOKUP(C1265,layoffs_location!A:G,7,FALSE)</f>
        <v>-118.242766</v>
      </c>
    </row>
    <row r="1266" spans="1:18" x14ac:dyDescent="0.2">
      <c r="A1266" s="3">
        <v>1265</v>
      </c>
      <c r="B1266" s="3" t="s">
        <v>234</v>
      </c>
      <c r="C1266" s="3" t="s">
        <v>235</v>
      </c>
      <c r="D1266" s="3" t="str">
        <f>VLOOKUP(C1266,layoffs_location!A:B,2,FALSE)</f>
        <v>other</v>
      </c>
      <c r="E1266" s="3" t="str">
        <f>VLOOKUP(C1266,layoffs_location!A:C,3,FALSE)</f>
        <v>non</v>
      </c>
      <c r="F1266" s="3" t="str">
        <f>VLOOKUP(C1266,layoffs_location!A:D,4,FALSE)</f>
        <v>Israel</v>
      </c>
      <c r="G1266" s="3" t="str">
        <f>VLOOKUP(C1266,layoffs_location!A:E,5,FALSE)</f>
        <v>Asia</v>
      </c>
      <c r="H1266" s="3">
        <v>28</v>
      </c>
      <c r="I1266" s="8">
        <v>45106</v>
      </c>
      <c r="J1266" s="9">
        <v>30</v>
      </c>
      <c r="K1266" s="10">
        <v>93</v>
      </c>
      <c r="L1266" s="10">
        <v>65</v>
      </c>
      <c r="M1266" s="3" t="s">
        <v>60</v>
      </c>
      <c r="N1266" s="3" t="s">
        <v>49</v>
      </c>
      <c r="O1266" s="34">
        <v>65</v>
      </c>
      <c r="P1266" s="3">
        <v>2023</v>
      </c>
      <c r="Q1266" s="3">
        <f>VLOOKUP(C1266,layoffs_location!A:F,6,FALSE)</f>
        <v>32.186024400000001</v>
      </c>
      <c r="R1266" s="3">
        <f>VLOOKUP(C1266,layoffs_location!A:G,7,FALSE)</f>
        <v>34.867835900000003</v>
      </c>
    </row>
    <row r="1267" spans="1:18" x14ac:dyDescent="0.2">
      <c r="A1267" s="3">
        <v>1266</v>
      </c>
      <c r="B1267" s="3" t="s">
        <v>230</v>
      </c>
      <c r="C1267" s="3" t="s">
        <v>231</v>
      </c>
      <c r="D1267" s="3" t="str">
        <f>VLOOKUP(C1267,layoffs_location!A:B,2,FALSE)</f>
        <v>other</v>
      </c>
      <c r="E1267" s="3" t="str">
        <f>VLOOKUP(C1267,layoffs_location!A:C,3,FALSE)</f>
        <v>New South Wales</v>
      </c>
      <c r="F1267" s="3" t="str">
        <f>VLOOKUP(C1267,layoffs_location!A:D,4,FALSE)</f>
        <v>Australia</v>
      </c>
      <c r="G1267" s="3" t="str">
        <f>VLOOKUP(C1267,layoffs_location!A:E,5,FALSE)</f>
        <v>Oceana</v>
      </c>
      <c r="H1267" s="3">
        <v>300</v>
      </c>
      <c r="I1267" s="8">
        <v>45109</v>
      </c>
      <c r="J1267" s="9">
        <v>20</v>
      </c>
      <c r="K1267" s="10">
        <v>1500</v>
      </c>
      <c r="L1267" s="10">
        <v>1200</v>
      </c>
      <c r="M1267" s="3" t="s">
        <v>35</v>
      </c>
      <c r="N1267" s="3" t="s">
        <v>28</v>
      </c>
      <c r="O1267" s="34">
        <v>896</v>
      </c>
      <c r="P1267" s="3">
        <v>2023</v>
      </c>
      <c r="Q1267" s="3">
        <f>VLOOKUP(C1267,layoffs_location!A:F,6,FALSE)</f>
        <v>-33.869843899999999</v>
      </c>
      <c r="R1267" s="3">
        <f>VLOOKUP(C1267,layoffs_location!A:G,7,FALSE)</f>
        <v>151.2082848</v>
      </c>
    </row>
    <row r="1268" spans="1:18" x14ac:dyDescent="0.2">
      <c r="A1268" s="3">
        <v>1267</v>
      </c>
      <c r="B1268" s="3" t="s">
        <v>229</v>
      </c>
      <c r="C1268" s="3" t="s">
        <v>135</v>
      </c>
      <c r="D1268" s="3" t="str">
        <f>VLOOKUP(C1268,layoffs_location!A:B,2,FALSE)</f>
        <v>other</v>
      </c>
      <c r="E1268" s="3" t="str">
        <f>VLOOKUP(C1268,layoffs_location!A:C,3,FALSE)</f>
        <v>Berlin</v>
      </c>
      <c r="F1268" s="3" t="str">
        <f>VLOOKUP(C1268,layoffs_location!A:D,4,FALSE)</f>
        <v>Germany</v>
      </c>
      <c r="G1268" s="3" t="str">
        <f>VLOOKUP(C1268,layoffs_location!A:E,5,FALSE)</f>
        <v>Europe</v>
      </c>
      <c r="H1268" s="3">
        <v>24</v>
      </c>
      <c r="I1268" s="8">
        <v>45110</v>
      </c>
      <c r="J1268" s="9">
        <v>10</v>
      </c>
      <c r="K1268" s="10">
        <v>240</v>
      </c>
      <c r="L1268" s="10">
        <v>216</v>
      </c>
      <c r="M1268" s="3" t="s">
        <v>54</v>
      </c>
      <c r="N1268" s="3" t="s">
        <v>33</v>
      </c>
      <c r="O1268" s="34">
        <v>8</v>
      </c>
      <c r="P1268" s="3">
        <v>2023</v>
      </c>
      <c r="Q1268" s="3">
        <f>VLOOKUP(C1268,layoffs_location!A:F,6,FALSE)</f>
        <v>52.517036500000003</v>
      </c>
      <c r="R1268" s="3">
        <f>VLOOKUP(C1268,layoffs_location!A:G,7,FALSE)</f>
        <v>13.3888599</v>
      </c>
    </row>
    <row r="1269" spans="1:18" x14ac:dyDescent="0.2">
      <c r="A1269" s="3">
        <v>1268</v>
      </c>
      <c r="B1269" s="3" t="s">
        <v>226</v>
      </c>
      <c r="C1269" s="3" t="s">
        <v>58</v>
      </c>
      <c r="D1269" s="3" t="str">
        <f>VLOOKUP(C1269,layoffs_location!A:B,2,FALSE)</f>
        <v>other</v>
      </c>
      <c r="E1269" s="3" t="str">
        <f>VLOOKUP(C1269,layoffs_location!A:C,3,FALSE)</f>
        <v>England</v>
      </c>
      <c r="F1269" s="3" t="str">
        <f>VLOOKUP(C1269,layoffs_location!A:D,4,FALSE)</f>
        <v>UK</v>
      </c>
      <c r="G1269" s="3" t="str">
        <f>VLOOKUP(C1269,layoffs_location!A:E,5,FALSE)</f>
        <v>Europe</v>
      </c>
      <c r="H1269" s="3">
        <v>1000</v>
      </c>
      <c r="I1269" s="8">
        <v>45113</v>
      </c>
      <c r="J1269" s="9">
        <v>15</v>
      </c>
      <c r="K1269" s="10">
        <v>6667</v>
      </c>
      <c r="L1269" s="10">
        <v>5667</v>
      </c>
      <c r="M1269" s="3" t="s">
        <v>35</v>
      </c>
      <c r="N1269" s="3" t="s">
        <v>1696</v>
      </c>
      <c r="P1269" s="3">
        <v>2023</v>
      </c>
      <c r="Q1269" s="3">
        <f>VLOOKUP(C1269,layoffs_location!A:F,6,FALSE)</f>
        <v>51.489333500000001</v>
      </c>
      <c r="R1269" s="3">
        <f>VLOOKUP(C1269,layoffs_location!A:G,7,FALSE)</f>
        <v>-0.14405508452768701</v>
      </c>
    </row>
    <row r="1270" spans="1:18" x14ac:dyDescent="0.2">
      <c r="A1270" s="3">
        <v>1269</v>
      </c>
      <c r="B1270" s="3" t="s">
        <v>227</v>
      </c>
      <c r="C1270" s="3" t="s">
        <v>1716</v>
      </c>
      <c r="D1270" s="3" t="str">
        <f>VLOOKUP(C1270,layoffs_location!A:B,2,FALSE)</f>
        <v>San Francisco Bay Area</v>
      </c>
      <c r="E1270" s="3" t="str">
        <f>VLOOKUP(C1270,layoffs_location!A:C,3,FALSE)</f>
        <v>California</v>
      </c>
      <c r="F1270" s="3" t="str">
        <f>VLOOKUP(C1270,layoffs_location!A:D,4,FALSE)</f>
        <v>USA</v>
      </c>
      <c r="G1270" s="3" t="str">
        <f>VLOOKUP(C1270,layoffs_location!A:E,5,FALSE)</f>
        <v>North America</v>
      </c>
      <c r="H1270" s="3">
        <v>134</v>
      </c>
      <c r="I1270" s="8">
        <v>45113</v>
      </c>
      <c r="J1270" s="9">
        <v>15</v>
      </c>
      <c r="K1270" s="10">
        <v>893</v>
      </c>
      <c r="L1270" s="10">
        <v>759</v>
      </c>
      <c r="M1270" s="3" t="s">
        <v>77</v>
      </c>
      <c r="N1270" s="3" t="s">
        <v>108</v>
      </c>
      <c r="O1270" s="34">
        <v>711</v>
      </c>
      <c r="P1270" s="3">
        <v>2023</v>
      </c>
      <c r="Q1270" s="3">
        <f>VLOOKUP(C1270,layoffs_location!A:F,6,FALSE)</f>
        <v>37.8708393</v>
      </c>
      <c r="R1270" s="3">
        <f>VLOOKUP(C1270,layoffs_location!A:G,7,FALSE)</f>
        <v>-122.272863</v>
      </c>
    </row>
    <row r="1271" spans="1:18" x14ac:dyDescent="0.2">
      <c r="A1271" s="3">
        <v>1270</v>
      </c>
      <c r="B1271" s="3" t="s">
        <v>228</v>
      </c>
      <c r="C1271" s="3" t="s">
        <v>39</v>
      </c>
      <c r="D1271" s="3" t="str">
        <f>VLOOKUP(C1271,layoffs_location!A:B,2,FALSE)</f>
        <v>New York</v>
      </c>
      <c r="E1271" s="3" t="str">
        <f>VLOOKUP(C1271,layoffs_location!A:C,3,FALSE)</f>
        <v>New York</v>
      </c>
      <c r="F1271" s="3" t="str">
        <f>VLOOKUP(C1271,layoffs_location!A:D,4,FALSE)</f>
        <v>USA</v>
      </c>
      <c r="G1271" s="3" t="str">
        <f>VLOOKUP(C1271,layoffs_location!A:E,5,FALSE)</f>
        <v>North America</v>
      </c>
      <c r="H1271" s="3">
        <v>20</v>
      </c>
      <c r="I1271" s="8">
        <v>45113</v>
      </c>
      <c r="J1271" s="9">
        <v>10</v>
      </c>
      <c r="K1271" s="10">
        <v>200</v>
      </c>
      <c r="L1271" s="10">
        <v>180</v>
      </c>
      <c r="M1271" s="3" t="s">
        <v>21</v>
      </c>
      <c r="N1271" s="3" t="s">
        <v>108</v>
      </c>
      <c r="O1271" s="34">
        <v>156</v>
      </c>
      <c r="P1271" s="3">
        <v>2023</v>
      </c>
      <c r="Q1271" s="3">
        <f>VLOOKUP(C1271,layoffs_location!A:F,6,FALSE)</f>
        <v>40.7127281</v>
      </c>
      <c r="R1271" s="3">
        <f>VLOOKUP(C1271,layoffs_location!A:G,7,FALSE)</f>
        <v>-74.006015199999993</v>
      </c>
    </row>
    <row r="1272" spans="1:18" x14ac:dyDescent="0.2">
      <c r="A1272" s="3">
        <v>1271</v>
      </c>
      <c r="B1272" s="3" t="s">
        <v>225</v>
      </c>
      <c r="C1272" s="3" t="s">
        <v>13</v>
      </c>
      <c r="D1272" s="3" t="str">
        <f>VLOOKUP(C1272,layoffs_location!A:B,2,FALSE)</f>
        <v>other</v>
      </c>
      <c r="E1272" s="3" t="str">
        <f>VLOOKUP(C1272,layoffs_location!A:C,3,FALSE)</f>
        <v>Karnataka</v>
      </c>
      <c r="F1272" s="3" t="str">
        <f>VLOOKUP(C1272,layoffs_location!A:D,4,FALSE)</f>
        <v>India</v>
      </c>
      <c r="G1272" s="3" t="str">
        <f>VLOOKUP(C1272,layoffs_location!A:E,5,FALSE)</f>
        <v>Asia</v>
      </c>
      <c r="H1272" s="3">
        <v>4</v>
      </c>
      <c r="I1272" s="8">
        <v>45117</v>
      </c>
      <c r="J1272" s="9">
        <v>100</v>
      </c>
      <c r="K1272" s="10">
        <v>4</v>
      </c>
      <c r="L1272" s="10">
        <v>0</v>
      </c>
      <c r="M1272" s="3" t="s">
        <v>68</v>
      </c>
      <c r="N1272" s="3" t="s">
        <v>69</v>
      </c>
      <c r="O1272" s="34">
        <v>17</v>
      </c>
      <c r="P1272" s="3">
        <v>2023</v>
      </c>
      <c r="Q1272" s="3">
        <f>VLOOKUP(C1272,layoffs_location!A:F,6,FALSE)</f>
        <v>12.98815675</v>
      </c>
      <c r="R1272" s="3">
        <f>VLOOKUP(C1272,layoffs_location!A:G,7,FALSE)</f>
        <v>77.622600037959998</v>
      </c>
    </row>
    <row r="1273" spans="1:18" x14ac:dyDescent="0.2">
      <c r="A1273" s="3">
        <v>1272</v>
      </c>
      <c r="B1273" s="3" t="s">
        <v>223</v>
      </c>
      <c r="C1273" s="3" t="s">
        <v>1720</v>
      </c>
      <c r="D1273" s="3" t="str">
        <f>VLOOKUP(C1273,layoffs_location!A:B,2,FALSE)</f>
        <v>San Francisco Bay Area</v>
      </c>
      <c r="E1273" s="3" t="str">
        <f>VLOOKUP(C1273,layoffs_location!A:C,3,FALSE)</f>
        <v>California</v>
      </c>
      <c r="F1273" s="3" t="str">
        <f>VLOOKUP(C1273,layoffs_location!A:D,4,FALSE)</f>
        <v>USA</v>
      </c>
      <c r="G1273" s="3" t="str">
        <f>VLOOKUP(C1273,layoffs_location!A:E,5,FALSE)</f>
        <v>North America</v>
      </c>
      <c r="H1273" s="3">
        <v>170</v>
      </c>
      <c r="I1273" s="8">
        <v>45118</v>
      </c>
      <c r="J1273" s="9">
        <v>30</v>
      </c>
      <c r="K1273" s="10">
        <v>567</v>
      </c>
      <c r="L1273" s="10">
        <v>397</v>
      </c>
      <c r="M1273" s="3" t="s">
        <v>79</v>
      </c>
      <c r="N1273" s="3" t="s">
        <v>28</v>
      </c>
      <c r="O1273" s="34">
        <v>409</v>
      </c>
      <c r="P1273" s="3">
        <v>2023</v>
      </c>
      <c r="Q1273" s="3">
        <f>VLOOKUP(C1273,layoffs_location!A:F,6,FALSE)</f>
        <v>37.368830099999997</v>
      </c>
      <c r="R1273" s="3">
        <f>VLOOKUP(C1273,layoffs_location!A:G,7,FALSE)</f>
        <v>-122.036349</v>
      </c>
    </row>
    <row r="1274" spans="1:18" x14ac:dyDescent="0.2">
      <c r="A1274" s="3">
        <v>1273</v>
      </c>
      <c r="B1274" s="3" t="s">
        <v>224</v>
      </c>
      <c r="C1274" s="3" t="s">
        <v>39</v>
      </c>
      <c r="D1274" s="3" t="str">
        <f>VLOOKUP(C1274,layoffs_location!A:B,2,FALSE)</f>
        <v>New York</v>
      </c>
      <c r="E1274" s="3" t="str">
        <f>VLOOKUP(C1274,layoffs_location!A:C,3,FALSE)</f>
        <v>New York</v>
      </c>
      <c r="F1274" s="3" t="str">
        <f>VLOOKUP(C1274,layoffs_location!A:D,4,FALSE)</f>
        <v>USA</v>
      </c>
      <c r="G1274" s="3" t="str">
        <f>VLOOKUP(C1274,layoffs_location!A:E,5,FALSE)</f>
        <v>North America</v>
      </c>
      <c r="H1274" s="3">
        <v>100</v>
      </c>
      <c r="I1274" s="8">
        <v>45118</v>
      </c>
      <c r="J1274" s="9">
        <v>15</v>
      </c>
      <c r="K1274" s="10">
        <v>667</v>
      </c>
      <c r="L1274" s="10">
        <v>567</v>
      </c>
      <c r="M1274" s="3" t="s">
        <v>79</v>
      </c>
      <c r="N1274" s="3" t="s">
        <v>63</v>
      </c>
      <c r="O1274" s="34">
        <v>274</v>
      </c>
      <c r="P1274" s="3">
        <v>2023</v>
      </c>
      <c r="Q1274" s="3">
        <f>VLOOKUP(C1274,layoffs_location!A:F,6,FALSE)</f>
        <v>40.7127281</v>
      </c>
      <c r="R1274" s="3">
        <f>VLOOKUP(C1274,layoffs_location!A:G,7,FALSE)</f>
        <v>-74.006015199999993</v>
      </c>
    </row>
    <row r="1275" spans="1:18" x14ac:dyDescent="0.2">
      <c r="A1275" s="3">
        <v>1274</v>
      </c>
      <c r="B1275" s="3" t="s">
        <v>221</v>
      </c>
      <c r="C1275" s="3" t="s">
        <v>222</v>
      </c>
      <c r="D1275" s="3" t="str">
        <f>VLOOKUP(C1275,layoffs_location!A:B,2,FALSE)</f>
        <v>other</v>
      </c>
      <c r="E1275" s="3" t="str">
        <f>VLOOKUP(C1275,layoffs_location!A:C,3,FALSE)</f>
        <v>Tamil Nadu</v>
      </c>
      <c r="F1275" s="3" t="str">
        <f>VLOOKUP(C1275,layoffs_location!A:D,4,FALSE)</f>
        <v>India</v>
      </c>
      <c r="G1275" s="3" t="str">
        <f>VLOOKUP(C1275,layoffs_location!A:E,5,FALSE)</f>
        <v>Asia</v>
      </c>
      <c r="H1275" s="3">
        <v>300</v>
      </c>
      <c r="I1275" s="8">
        <v>45118</v>
      </c>
      <c r="J1275" s="9">
        <v>12</v>
      </c>
      <c r="K1275" s="10">
        <v>2500</v>
      </c>
      <c r="L1275" s="10">
        <v>2200</v>
      </c>
      <c r="M1275" s="3" t="s">
        <v>77</v>
      </c>
      <c r="N1275" s="3" t="s">
        <v>22</v>
      </c>
      <c r="O1275" s="34">
        <v>363</v>
      </c>
      <c r="P1275" s="3">
        <v>2023</v>
      </c>
      <c r="Q1275" s="3">
        <f>VLOOKUP(C1275,layoffs_location!A:F,6,FALSE)</f>
        <v>13.0836939</v>
      </c>
      <c r="R1275" s="3">
        <f>VLOOKUP(C1275,layoffs_location!A:G,7,FALSE)</f>
        <v>80.270185999999995</v>
      </c>
    </row>
    <row r="1276" spans="1:18" x14ac:dyDescent="0.2">
      <c r="A1276" s="3">
        <v>1275</v>
      </c>
      <c r="B1276" s="3" t="s">
        <v>216</v>
      </c>
      <c r="C1276" s="3" t="s">
        <v>217</v>
      </c>
      <c r="D1276" s="3" t="str">
        <f>VLOOKUP(C1276,layoffs_location!A:B,2,FALSE)</f>
        <v>other</v>
      </c>
      <c r="E1276" s="3" t="str">
        <f>VLOOKUP(C1276,layoffs_location!A:C,3,FALSE)</f>
        <v>non</v>
      </c>
      <c r="F1276" s="3" t="str">
        <f>VLOOKUP(C1276,layoffs_location!A:D,4,FALSE)</f>
        <v>Ireland</v>
      </c>
      <c r="G1276" s="3" t="str">
        <f>VLOOKUP(C1276,layoffs_location!A:E,5,FALSE)</f>
        <v>Europe</v>
      </c>
      <c r="H1276" s="3">
        <v>50</v>
      </c>
      <c r="I1276" s="8">
        <v>45119</v>
      </c>
      <c r="J1276" s="9">
        <v>100</v>
      </c>
      <c r="K1276" s="10">
        <v>50</v>
      </c>
      <c r="L1276" s="10">
        <v>0</v>
      </c>
      <c r="M1276" s="3" t="s">
        <v>21</v>
      </c>
      <c r="N1276" s="3" t="s">
        <v>28</v>
      </c>
      <c r="O1276" s="34">
        <v>20</v>
      </c>
      <c r="P1276" s="3">
        <v>2023</v>
      </c>
      <c r="Q1276" s="3">
        <f>VLOOKUP(C1276,layoffs_location!A:F,6,FALSE)</f>
        <v>53.349379499999998</v>
      </c>
      <c r="R1276" s="3">
        <f>VLOOKUP(C1276,layoffs_location!A:G,7,FALSE)</f>
        <v>-6.2605592999999997</v>
      </c>
    </row>
    <row r="1277" spans="1:18" x14ac:dyDescent="0.2">
      <c r="A1277" s="3">
        <v>1276</v>
      </c>
      <c r="B1277" s="3" t="s">
        <v>219</v>
      </c>
      <c r="C1277" s="3" t="s">
        <v>220</v>
      </c>
      <c r="D1277" s="3" t="str">
        <f>VLOOKUP(C1277,layoffs_location!A:B,2,FALSE)</f>
        <v>other</v>
      </c>
      <c r="E1277" s="3" t="str">
        <f>VLOOKUP(C1277,layoffs_location!A:C,3,FALSE)</f>
        <v>Florida</v>
      </c>
      <c r="F1277" s="3" t="str">
        <f>VLOOKUP(C1277,layoffs_location!A:D,4,FALSE)</f>
        <v>USA</v>
      </c>
      <c r="G1277" s="3" t="str">
        <f>VLOOKUP(C1277,layoffs_location!A:E,5,FALSE)</f>
        <v>North America</v>
      </c>
      <c r="H1277" s="3">
        <v>50</v>
      </c>
      <c r="I1277" s="8">
        <v>45119</v>
      </c>
      <c r="J1277" s="9">
        <v>13</v>
      </c>
      <c r="K1277" s="10">
        <v>385</v>
      </c>
      <c r="L1277" s="10">
        <v>335</v>
      </c>
      <c r="M1277" s="3" t="s">
        <v>90</v>
      </c>
      <c r="N1277" s="3" t="s">
        <v>28</v>
      </c>
      <c r="O1277" s="34">
        <v>118</v>
      </c>
      <c r="P1277" s="3">
        <v>2023</v>
      </c>
      <c r="Q1277" s="3">
        <f>VLOOKUP(C1277,layoffs_location!A:F,6,FALSE)</f>
        <v>25.774172799999999</v>
      </c>
      <c r="R1277" s="3">
        <f>VLOOKUP(C1277,layoffs_location!A:G,7,FALSE)</f>
        <v>-80.193619999999996</v>
      </c>
    </row>
    <row r="1278" spans="1:18" x14ac:dyDescent="0.2">
      <c r="A1278" s="3">
        <v>1277</v>
      </c>
      <c r="B1278" s="3" t="s">
        <v>213</v>
      </c>
      <c r="C1278" s="3" t="s">
        <v>47</v>
      </c>
      <c r="D1278" s="3" t="str">
        <f>VLOOKUP(C1278,layoffs_location!A:B,2,FALSE)</f>
        <v>other</v>
      </c>
      <c r="E1278" s="3" t="str">
        <f>VLOOKUP(C1278,layoffs_location!A:C,3,FALSE)</f>
        <v>non</v>
      </c>
      <c r="F1278" s="3" t="str">
        <f>VLOOKUP(C1278,layoffs_location!A:D,4,FALSE)</f>
        <v>Israel</v>
      </c>
      <c r="G1278" s="3" t="str">
        <f>VLOOKUP(C1278,layoffs_location!A:E,5,FALSE)</f>
        <v>Asia</v>
      </c>
      <c r="H1278" s="3">
        <v>80</v>
      </c>
      <c r="I1278" s="8">
        <v>45120</v>
      </c>
      <c r="J1278" s="9">
        <v>6</v>
      </c>
      <c r="K1278" s="10">
        <v>1333</v>
      </c>
      <c r="L1278" s="10">
        <v>1253</v>
      </c>
      <c r="M1278" s="3" t="s">
        <v>60</v>
      </c>
      <c r="N1278" s="3" t="s">
        <v>28</v>
      </c>
      <c r="O1278" s="34">
        <v>91</v>
      </c>
      <c r="P1278" s="3">
        <v>2023</v>
      </c>
      <c r="Q1278" s="3">
        <f>VLOOKUP(C1278,layoffs_location!A:F,6,FALSE)</f>
        <v>32.0852997</v>
      </c>
      <c r="R1278" s="3">
        <f>VLOOKUP(C1278,layoffs_location!A:G,7,FALSE)</f>
        <v>34.781806400000001</v>
      </c>
    </row>
    <row r="1279" spans="1:18" x14ac:dyDescent="0.2">
      <c r="A1279" s="3">
        <v>1278</v>
      </c>
      <c r="B1279" s="3" t="s">
        <v>214</v>
      </c>
      <c r="C1279" s="3" t="s">
        <v>215</v>
      </c>
      <c r="D1279" s="3" t="str">
        <f>VLOOKUP(C1279,layoffs_location!A:B,2,FALSE)</f>
        <v>other</v>
      </c>
      <c r="E1279" s="3" t="str">
        <f>VLOOKUP(C1279,layoffs_location!A:C,3,FALSE)</f>
        <v>Florida</v>
      </c>
      <c r="F1279" s="3" t="str">
        <f>VLOOKUP(C1279,layoffs_location!A:D,4,FALSE)</f>
        <v>USA</v>
      </c>
      <c r="G1279" s="3" t="str">
        <f>VLOOKUP(C1279,layoffs_location!A:E,5,FALSE)</f>
        <v>North America</v>
      </c>
      <c r="H1279" s="3">
        <v>30</v>
      </c>
      <c r="I1279" s="8">
        <v>45120</v>
      </c>
      <c r="J1279" s="9">
        <v>7</v>
      </c>
      <c r="K1279" s="10">
        <v>429</v>
      </c>
      <c r="L1279" s="10">
        <v>399</v>
      </c>
      <c r="M1279" s="3" t="s">
        <v>139</v>
      </c>
      <c r="N1279" s="3" t="s">
        <v>41</v>
      </c>
      <c r="O1279" s="34">
        <v>256</v>
      </c>
      <c r="P1279" s="3">
        <v>2023</v>
      </c>
      <c r="Q1279" s="3">
        <f>VLOOKUP(C1279,layoffs_location!A:F,6,FALSE)</f>
        <v>27.6886419</v>
      </c>
      <c r="R1279" s="3">
        <f>VLOOKUP(C1279,layoffs_location!A:G,7,FALSE)</f>
        <v>-82.572319300000004</v>
      </c>
    </row>
    <row r="1280" spans="1:18" x14ac:dyDescent="0.2">
      <c r="A1280" s="3">
        <v>1279</v>
      </c>
      <c r="B1280" s="3" t="s">
        <v>212</v>
      </c>
      <c r="C1280" s="3" t="s">
        <v>43</v>
      </c>
      <c r="D1280" s="3" t="str">
        <f>VLOOKUP(C1280,layoffs_location!A:B,2,FALSE)</f>
        <v>Cascadia</v>
      </c>
      <c r="E1280" s="3" t="str">
        <f>VLOOKUP(C1280,layoffs_location!A:C,3,FALSE)</f>
        <v>Washington</v>
      </c>
      <c r="F1280" s="3" t="str">
        <f>VLOOKUP(C1280,layoffs_location!A:D,4,FALSE)</f>
        <v>USA</v>
      </c>
      <c r="G1280" s="3" t="str">
        <f>VLOOKUP(C1280,layoffs_location!A:E,5,FALSE)</f>
        <v>North America</v>
      </c>
      <c r="H1280" s="3">
        <v>14</v>
      </c>
      <c r="I1280" s="8">
        <v>45121</v>
      </c>
      <c r="J1280" s="9">
        <v>2</v>
      </c>
      <c r="K1280" s="10">
        <v>700</v>
      </c>
      <c r="L1280" s="10">
        <v>686</v>
      </c>
      <c r="M1280" s="3" t="s">
        <v>84</v>
      </c>
      <c r="N1280" s="3" t="s">
        <v>33</v>
      </c>
      <c r="O1280" s="34">
        <v>33</v>
      </c>
      <c r="P1280" s="3">
        <v>2023</v>
      </c>
      <c r="Q1280" s="3">
        <f>VLOOKUP(C1280,layoffs_location!A:F,6,FALSE)</f>
        <v>47.603832099999998</v>
      </c>
      <c r="R1280" s="3">
        <f>VLOOKUP(C1280,layoffs_location!A:G,7,FALSE)</f>
        <v>-122.330062</v>
      </c>
    </row>
    <row r="1281" spans="1:18" x14ac:dyDescent="0.2">
      <c r="A1281" s="3">
        <v>1280</v>
      </c>
      <c r="B1281" s="3" t="s">
        <v>211</v>
      </c>
      <c r="C1281" s="3" t="s">
        <v>113</v>
      </c>
      <c r="D1281" s="3" t="str">
        <f>VLOOKUP(C1281,layoffs_location!A:B,2,FALSE)</f>
        <v>other</v>
      </c>
      <c r="E1281" s="3" t="str">
        <f>VLOOKUP(C1281,layoffs_location!A:C,3,FALSE)</f>
        <v>Utah</v>
      </c>
      <c r="F1281" s="3" t="str">
        <f>VLOOKUP(C1281,layoffs_location!A:D,4,FALSE)</f>
        <v>USA</v>
      </c>
      <c r="G1281" s="3" t="str">
        <f>VLOOKUP(C1281,layoffs_location!A:E,5,FALSE)</f>
        <v>North America</v>
      </c>
      <c r="H1281" s="3">
        <v>75</v>
      </c>
      <c r="I1281" s="8">
        <v>45124</v>
      </c>
      <c r="J1281" s="9">
        <v>25</v>
      </c>
      <c r="K1281" s="10">
        <v>300</v>
      </c>
      <c r="L1281" s="10">
        <v>225</v>
      </c>
      <c r="M1281" s="3" t="s">
        <v>192</v>
      </c>
      <c r="N1281" s="3" t="s">
        <v>28</v>
      </c>
      <c r="O1281" s="34">
        <v>316</v>
      </c>
      <c r="P1281" s="3">
        <v>2023</v>
      </c>
      <c r="Q1281" s="3">
        <f>VLOOKUP(C1281,layoffs_location!A:F,6,FALSE)</f>
        <v>40.759619800000003</v>
      </c>
      <c r="R1281" s="3">
        <f>VLOOKUP(C1281,layoffs_location!A:G,7,FALSE)</f>
        <v>-111.886797</v>
      </c>
    </row>
    <row r="1282" spans="1:18" x14ac:dyDescent="0.2">
      <c r="A1282" s="3">
        <v>1281</v>
      </c>
      <c r="B1282" s="3" t="s">
        <v>208</v>
      </c>
      <c r="C1282" s="3" t="s">
        <v>132</v>
      </c>
      <c r="D1282" s="3" t="str">
        <f>VLOOKUP(C1282,layoffs_location!A:B,2,FALSE)</f>
        <v>other</v>
      </c>
      <c r="E1282" s="3" t="str">
        <f>VLOOKUP(C1282,layoffs_location!A:C,3,FALSE)</f>
        <v>Colorado</v>
      </c>
      <c r="F1282" s="3" t="str">
        <f>VLOOKUP(C1282,layoffs_location!A:D,4,FALSE)</f>
        <v>USA</v>
      </c>
      <c r="G1282" s="3" t="str">
        <f>VLOOKUP(C1282,layoffs_location!A:E,5,FALSE)</f>
        <v>North America</v>
      </c>
      <c r="H1282" s="3">
        <v>67</v>
      </c>
      <c r="I1282" s="8">
        <v>45126</v>
      </c>
      <c r="J1282" s="9">
        <v>24</v>
      </c>
      <c r="K1282" s="10">
        <v>279</v>
      </c>
      <c r="L1282" s="10">
        <v>212</v>
      </c>
      <c r="M1282" s="3" t="s">
        <v>35</v>
      </c>
      <c r="N1282" s="3" t="s">
        <v>49</v>
      </c>
      <c r="O1282" s="34">
        <v>111</v>
      </c>
      <c r="P1282" s="3">
        <v>2023</v>
      </c>
      <c r="Q1282" s="3">
        <f>VLOOKUP(C1282,layoffs_location!A:F,6,FALSE)</f>
        <v>39.739236400000003</v>
      </c>
      <c r="R1282" s="3">
        <f>VLOOKUP(C1282,layoffs_location!A:G,7,FALSE)</f>
        <v>-104.98486200000001</v>
      </c>
    </row>
    <row r="1283" spans="1:18" x14ac:dyDescent="0.2">
      <c r="A1283" s="3">
        <v>1282</v>
      </c>
      <c r="B1283" s="3" t="s">
        <v>209</v>
      </c>
      <c r="C1283" s="3" t="s">
        <v>132</v>
      </c>
      <c r="D1283" s="3" t="str">
        <f>VLOOKUP(C1283,layoffs_location!A:B,2,FALSE)</f>
        <v>other</v>
      </c>
      <c r="E1283" s="3" t="str">
        <f>VLOOKUP(C1283,layoffs_location!A:C,3,FALSE)</f>
        <v>Colorado</v>
      </c>
      <c r="F1283" s="3" t="str">
        <f>VLOOKUP(C1283,layoffs_location!A:D,4,FALSE)</f>
        <v>USA</v>
      </c>
      <c r="G1283" s="3" t="str">
        <f>VLOOKUP(C1283,layoffs_location!A:E,5,FALSE)</f>
        <v>North America</v>
      </c>
      <c r="H1283" s="3">
        <v>50</v>
      </c>
      <c r="I1283" s="8">
        <v>45126</v>
      </c>
      <c r="J1283" s="9">
        <v>6</v>
      </c>
      <c r="K1283" s="10">
        <v>833</v>
      </c>
      <c r="L1283" s="10">
        <v>783</v>
      </c>
      <c r="M1283" s="3" t="s">
        <v>72</v>
      </c>
      <c r="N1283" s="3" t="s">
        <v>28</v>
      </c>
      <c r="O1283" s="34">
        <v>179</v>
      </c>
      <c r="P1283" s="3">
        <v>2023</v>
      </c>
      <c r="Q1283" s="3">
        <f>VLOOKUP(C1283,layoffs_location!A:F,6,FALSE)</f>
        <v>39.739236400000003</v>
      </c>
      <c r="R1283" s="3">
        <f>VLOOKUP(C1283,layoffs_location!A:G,7,FALSE)</f>
        <v>-104.98486200000001</v>
      </c>
    </row>
    <row r="1284" spans="1:18" ht="16" x14ac:dyDescent="0.2">
      <c r="A1284" s="3">
        <v>1283</v>
      </c>
      <c r="B1284" s="3" t="s">
        <v>210</v>
      </c>
      <c r="C1284" s="11" t="s">
        <v>1370</v>
      </c>
      <c r="D1284" s="3" t="str">
        <f>VLOOKUP(C1284,layoffs_location!A:B,2,FALSE)</f>
        <v>San Francisco Bay Area</v>
      </c>
      <c r="E1284" s="3" t="str">
        <f>VLOOKUP(C1284,layoffs_location!A:C,3,FALSE)</f>
        <v>California</v>
      </c>
      <c r="F1284" s="3" t="str">
        <f>VLOOKUP(C1284,layoffs_location!A:D,4,FALSE)</f>
        <v>USA</v>
      </c>
      <c r="G1284" s="3" t="str">
        <f>VLOOKUP(C1284,layoffs_location!A:E,5,FALSE)</f>
        <v>North America</v>
      </c>
      <c r="H1284" s="3">
        <v>28</v>
      </c>
      <c r="I1284" s="8">
        <v>45126</v>
      </c>
      <c r="J1284" s="9">
        <v>32</v>
      </c>
      <c r="K1284" s="10">
        <v>88</v>
      </c>
      <c r="L1284" s="10">
        <v>60</v>
      </c>
      <c r="M1284" s="3" t="s">
        <v>35</v>
      </c>
      <c r="N1284" s="3" t="s">
        <v>22</v>
      </c>
      <c r="O1284" s="34">
        <v>32</v>
      </c>
      <c r="P1284" s="3">
        <v>2023</v>
      </c>
      <c r="Q1284" s="3">
        <f>VLOOKUP(C1284,layoffs_location!A:F,6,FALSE)</f>
        <v>37.779258800000001</v>
      </c>
      <c r="R1284" s="3">
        <f>VLOOKUP(C1284,layoffs_location!A:G,7,FALSE)</f>
        <v>-122.4193286</v>
      </c>
    </row>
    <row r="1285" spans="1:18" x14ac:dyDescent="0.2">
      <c r="A1285" s="3">
        <v>1284</v>
      </c>
      <c r="B1285" s="3" t="s">
        <v>207</v>
      </c>
      <c r="C1285" s="3" t="s">
        <v>39</v>
      </c>
      <c r="D1285" s="3" t="str">
        <f>VLOOKUP(C1285,layoffs_location!A:B,2,FALSE)</f>
        <v>New York</v>
      </c>
      <c r="E1285" s="3" t="str">
        <f>VLOOKUP(C1285,layoffs_location!A:C,3,FALSE)</f>
        <v>New York</v>
      </c>
      <c r="F1285" s="3" t="str">
        <f>VLOOKUP(C1285,layoffs_location!A:D,4,FALSE)</f>
        <v>USA</v>
      </c>
      <c r="G1285" s="3" t="str">
        <f>VLOOKUP(C1285,layoffs_location!A:E,5,FALSE)</f>
        <v>North America</v>
      </c>
      <c r="H1285" s="3">
        <v>46</v>
      </c>
      <c r="I1285" s="8">
        <v>45132</v>
      </c>
      <c r="J1285" s="9">
        <v>15</v>
      </c>
      <c r="K1285" s="10">
        <v>307</v>
      </c>
      <c r="L1285" s="10">
        <v>261</v>
      </c>
      <c r="M1285" s="3" t="s">
        <v>139</v>
      </c>
      <c r="N1285" s="3" t="s">
        <v>22</v>
      </c>
      <c r="O1285" s="34">
        <v>322</v>
      </c>
      <c r="P1285" s="3">
        <v>2023</v>
      </c>
      <c r="Q1285" s="3">
        <f>VLOOKUP(C1285,layoffs_location!A:F,6,FALSE)</f>
        <v>40.7127281</v>
      </c>
      <c r="R1285" s="3">
        <f>VLOOKUP(C1285,layoffs_location!A:G,7,FALSE)</f>
        <v>-74.006015199999993</v>
      </c>
    </row>
    <row r="1286" spans="1:18" x14ac:dyDescent="0.2">
      <c r="A1286" s="3">
        <v>1285</v>
      </c>
      <c r="B1286" s="3" t="s">
        <v>206</v>
      </c>
      <c r="C1286" s="3" t="s">
        <v>171</v>
      </c>
      <c r="D1286" s="3" t="str">
        <f>VLOOKUP(C1286,layoffs_location!A:B,2,FALSE)</f>
        <v>other</v>
      </c>
      <c r="E1286" s="3" t="str">
        <f>VLOOKUP(C1286,layoffs_location!A:C,3,FALSE)</f>
        <v>Georgia</v>
      </c>
      <c r="F1286" s="3" t="str">
        <f>VLOOKUP(C1286,layoffs_location!A:D,4,FALSE)</f>
        <v>USA</v>
      </c>
      <c r="G1286" s="3" t="str">
        <f>VLOOKUP(C1286,layoffs_location!A:E,5,FALSE)</f>
        <v>North America</v>
      </c>
      <c r="H1286" s="3">
        <v>60</v>
      </c>
      <c r="I1286" s="8">
        <v>45133</v>
      </c>
      <c r="J1286" s="9">
        <v>10</v>
      </c>
      <c r="K1286" s="10">
        <v>600</v>
      </c>
      <c r="L1286" s="10">
        <v>540</v>
      </c>
      <c r="M1286" s="3" t="s">
        <v>60</v>
      </c>
      <c r="N1286" s="3" t="s">
        <v>49</v>
      </c>
      <c r="O1286" s="34">
        <v>351</v>
      </c>
      <c r="P1286" s="3">
        <v>2023</v>
      </c>
      <c r="Q1286" s="3">
        <f>VLOOKUP(C1286,layoffs_location!A:F,6,FALSE)</f>
        <v>33.748992399999999</v>
      </c>
      <c r="R1286" s="3">
        <f>VLOOKUP(C1286,layoffs_location!A:G,7,FALSE)</f>
        <v>-84.390264400000007</v>
      </c>
    </row>
    <row r="1287" spans="1:18" x14ac:dyDescent="0.2">
      <c r="A1287" s="3">
        <v>1286</v>
      </c>
      <c r="B1287" s="3" t="s">
        <v>204</v>
      </c>
      <c r="C1287" s="3" t="s">
        <v>164</v>
      </c>
      <c r="D1287" s="3" t="str">
        <f>VLOOKUP(C1287,layoffs_location!A:B,2,FALSE)</f>
        <v>other</v>
      </c>
      <c r="E1287" s="3" t="str">
        <f>VLOOKUP(C1287,layoffs_location!A:C,3,FALSE)</f>
        <v>non</v>
      </c>
      <c r="F1287" s="3" t="str">
        <f>VLOOKUP(C1287,layoffs_location!A:D,4,FALSE)</f>
        <v>Kenya</v>
      </c>
      <c r="G1287" s="3" t="str">
        <f>VLOOKUP(C1287,layoffs_location!A:E,5,FALSE)</f>
        <v>Africa</v>
      </c>
      <c r="H1287" s="3">
        <v>350</v>
      </c>
      <c r="I1287" s="8">
        <v>45133</v>
      </c>
      <c r="J1287" s="9">
        <v>25</v>
      </c>
      <c r="K1287" s="10">
        <v>1400</v>
      </c>
      <c r="L1287" s="10">
        <v>1050</v>
      </c>
      <c r="M1287" s="3" t="s">
        <v>30</v>
      </c>
      <c r="N1287" s="3" t="s">
        <v>41</v>
      </c>
      <c r="O1287" s="34">
        <v>103</v>
      </c>
      <c r="P1287" s="3">
        <v>2023</v>
      </c>
      <c r="Q1287" s="3">
        <f>VLOOKUP(C1287,layoffs_location!A:F,6,FALSE)</f>
        <v>-1.2832532999999999</v>
      </c>
      <c r="R1287" s="3">
        <f>VLOOKUP(C1287,layoffs_location!A:G,7,FALSE)</f>
        <v>36.817244899999999</v>
      </c>
    </row>
    <row r="1288" spans="1:18" x14ac:dyDescent="0.2">
      <c r="A1288" s="3">
        <v>1287</v>
      </c>
      <c r="B1288" s="3" t="s">
        <v>205</v>
      </c>
      <c r="C1288" s="3" t="s">
        <v>1370</v>
      </c>
      <c r="D1288" s="3" t="str">
        <f>VLOOKUP(C1288,layoffs_location!A:B,2,FALSE)</f>
        <v>San Francisco Bay Area</v>
      </c>
      <c r="E1288" s="3" t="str">
        <f>VLOOKUP(C1288,layoffs_location!A:C,3,FALSE)</f>
        <v>California</v>
      </c>
      <c r="F1288" s="3" t="str">
        <f>VLOOKUP(C1288,layoffs_location!A:D,4,FALSE)</f>
        <v>USA</v>
      </c>
      <c r="G1288" s="3" t="str">
        <f>VLOOKUP(C1288,layoffs_location!A:E,5,FALSE)</f>
        <v>North America</v>
      </c>
      <c r="H1288" s="3">
        <v>90</v>
      </c>
      <c r="I1288" s="8">
        <v>45133</v>
      </c>
      <c r="J1288" s="9">
        <v>20</v>
      </c>
      <c r="K1288" s="10">
        <v>450</v>
      </c>
      <c r="L1288" s="10">
        <v>360</v>
      </c>
      <c r="M1288" s="3" t="s">
        <v>117</v>
      </c>
      <c r="N1288" s="3" t="s">
        <v>22</v>
      </c>
      <c r="O1288" s="34">
        <v>1500</v>
      </c>
      <c r="P1288" s="3">
        <v>2023</v>
      </c>
      <c r="Q1288" s="3">
        <f>VLOOKUP(C1288,layoffs_location!A:F,6,FALSE)</f>
        <v>37.779258800000001</v>
      </c>
      <c r="R1288" s="3">
        <f>VLOOKUP(C1288,layoffs_location!A:G,7,FALSE)</f>
        <v>-122.4193286</v>
      </c>
    </row>
    <row r="1289" spans="1:18" x14ac:dyDescent="0.2">
      <c r="A1289" s="3">
        <v>1288</v>
      </c>
      <c r="B1289" s="3" t="s">
        <v>200</v>
      </c>
      <c r="C1289" s="3" t="s">
        <v>182</v>
      </c>
      <c r="D1289" s="3" t="str">
        <f>VLOOKUP(C1289,layoffs_location!A:B,2,FALSE)</f>
        <v>other</v>
      </c>
      <c r="E1289" s="3" t="str">
        <f>VLOOKUP(C1289,layoffs_location!A:C,3,FALSE)</f>
        <v>Haryana</v>
      </c>
      <c r="F1289" s="3" t="str">
        <f>VLOOKUP(C1289,layoffs_location!A:D,4,FALSE)</f>
        <v>India</v>
      </c>
      <c r="G1289" s="3" t="str">
        <f>VLOOKUP(C1289,layoffs_location!A:E,5,FALSE)</f>
        <v>Asia</v>
      </c>
      <c r="H1289" s="3">
        <v>400</v>
      </c>
      <c r="I1289" s="8">
        <v>45134</v>
      </c>
      <c r="J1289" s="9">
        <v>67</v>
      </c>
      <c r="K1289" s="10">
        <v>597</v>
      </c>
      <c r="L1289" s="10">
        <v>197</v>
      </c>
      <c r="M1289" s="3" t="s">
        <v>77</v>
      </c>
      <c r="N1289" s="3" t="s">
        <v>33</v>
      </c>
      <c r="O1289" s="34">
        <v>39</v>
      </c>
      <c r="P1289" s="3">
        <v>2023</v>
      </c>
      <c r="Q1289" s="3">
        <f>VLOOKUP(C1289,layoffs_location!A:F,6,FALSE)</f>
        <v>28.4646148</v>
      </c>
      <c r="R1289" s="3">
        <f>VLOOKUP(C1289,layoffs_location!A:G,7,FALSE)</f>
        <v>77.029919399999997</v>
      </c>
    </row>
    <row r="1290" spans="1:18" x14ac:dyDescent="0.2">
      <c r="A1290" s="3">
        <v>1289</v>
      </c>
      <c r="B1290" s="3" t="s">
        <v>202</v>
      </c>
      <c r="C1290" s="3" t="s">
        <v>1473</v>
      </c>
      <c r="D1290" s="3" t="str">
        <f>VLOOKUP(C1290,layoffs_location!A:B,2,FALSE)</f>
        <v>San Francisco Bay Area</v>
      </c>
      <c r="E1290" s="3" t="str">
        <f>VLOOKUP(C1290,layoffs_location!A:C,3,FALSE)</f>
        <v>California</v>
      </c>
      <c r="F1290" s="3" t="str">
        <f>VLOOKUP(C1290,layoffs_location!A:D,4,FALSE)</f>
        <v>USA</v>
      </c>
      <c r="G1290" s="3" t="str">
        <f>VLOOKUP(C1290,layoffs_location!A:E,5,FALSE)</f>
        <v>North America</v>
      </c>
      <c r="H1290" s="3">
        <v>61</v>
      </c>
      <c r="I1290" s="8">
        <v>45134</v>
      </c>
      <c r="J1290" s="9">
        <v>28</v>
      </c>
      <c r="K1290" s="10">
        <v>218</v>
      </c>
      <c r="L1290" s="10">
        <v>157</v>
      </c>
      <c r="M1290" s="3" t="s">
        <v>137</v>
      </c>
      <c r="N1290" s="3" t="s">
        <v>41</v>
      </c>
      <c r="O1290" s="34">
        <v>149</v>
      </c>
      <c r="P1290" s="3">
        <v>2023</v>
      </c>
      <c r="Q1290" s="3">
        <f>VLOOKUP(C1290,layoffs_location!A:F,6,FALSE)</f>
        <v>37.4443293</v>
      </c>
      <c r="R1290" s="3">
        <f>VLOOKUP(C1290,layoffs_location!A:G,7,FALSE)</f>
        <v>-122.1598465</v>
      </c>
    </row>
    <row r="1291" spans="1:18" x14ac:dyDescent="0.2">
      <c r="A1291" s="3">
        <v>1290</v>
      </c>
      <c r="B1291" s="3" t="s">
        <v>203</v>
      </c>
      <c r="C1291" s="3" t="s">
        <v>39</v>
      </c>
      <c r="D1291" s="3" t="str">
        <f>VLOOKUP(C1291,layoffs_location!A:B,2,FALSE)</f>
        <v>New York</v>
      </c>
      <c r="E1291" s="3" t="str">
        <f>VLOOKUP(C1291,layoffs_location!A:C,3,FALSE)</f>
        <v>New York</v>
      </c>
      <c r="F1291" s="3" t="str">
        <f>VLOOKUP(C1291,layoffs_location!A:D,4,FALSE)</f>
        <v>USA</v>
      </c>
      <c r="G1291" s="3" t="str">
        <f>VLOOKUP(C1291,layoffs_location!A:E,5,FALSE)</f>
        <v>North America</v>
      </c>
      <c r="H1291" s="3">
        <v>60</v>
      </c>
      <c r="I1291" s="8">
        <v>45134</v>
      </c>
      <c r="J1291" s="9">
        <v>6</v>
      </c>
      <c r="K1291" s="10">
        <v>1000</v>
      </c>
      <c r="L1291" s="10">
        <v>940</v>
      </c>
      <c r="M1291" s="3" t="s">
        <v>79</v>
      </c>
      <c r="N1291" s="3" t="s">
        <v>36</v>
      </c>
      <c r="O1291" s="34">
        <v>569</v>
      </c>
      <c r="P1291" s="3">
        <v>2023</v>
      </c>
      <c r="Q1291" s="3">
        <f>VLOOKUP(C1291,layoffs_location!A:F,6,FALSE)</f>
        <v>40.7127281</v>
      </c>
      <c r="R1291" s="3">
        <f>VLOOKUP(C1291,layoffs_location!A:G,7,FALSE)</f>
        <v>-74.006015199999993</v>
      </c>
    </row>
    <row r="1292" spans="1:18" x14ac:dyDescent="0.2">
      <c r="A1292" s="3">
        <v>1291</v>
      </c>
      <c r="B1292" s="3" t="s">
        <v>201</v>
      </c>
      <c r="C1292" s="3" t="s">
        <v>1370</v>
      </c>
      <c r="D1292" s="3" t="str">
        <f>VLOOKUP(C1292,layoffs_location!A:B,2,FALSE)</f>
        <v>San Francisco Bay Area</v>
      </c>
      <c r="E1292" s="3" t="str">
        <f>VLOOKUP(C1292,layoffs_location!A:C,3,FALSE)</f>
        <v>California</v>
      </c>
      <c r="F1292" s="3" t="str">
        <f>VLOOKUP(C1292,layoffs_location!A:D,4,FALSE)</f>
        <v>USA</v>
      </c>
      <c r="G1292" s="3" t="str">
        <f>VLOOKUP(C1292,layoffs_location!A:E,5,FALSE)</f>
        <v>North America</v>
      </c>
      <c r="H1292" s="3">
        <v>255</v>
      </c>
      <c r="I1292" s="8">
        <v>45134</v>
      </c>
      <c r="J1292" s="9">
        <v>34</v>
      </c>
      <c r="K1292" s="10">
        <v>750</v>
      </c>
      <c r="L1292" s="10">
        <v>495</v>
      </c>
      <c r="M1292" s="3" t="s">
        <v>30</v>
      </c>
      <c r="N1292" s="3" t="s">
        <v>28</v>
      </c>
      <c r="O1292" s="34">
        <v>1600</v>
      </c>
      <c r="P1292" s="3">
        <v>2023</v>
      </c>
      <c r="Q1292" s="3">
        <f>VLOOKUP(C1292,layoffs_location!A:F,6,FALSE)</f>
        <v>37.779258800000001</v>
      </c>
      <c r="R1292" s="3">
        <f>VLOOKUP(C1292,layoffs_location!A:G,7,FALSE)</f>
        <v>-122.4193286</v>
      </c>
    </row>
    <row r="1293" spans="1:18" x14ac:dyDescent="0.2">
      <c r="A1293" s="3">
        <v>1292</v>
      </c>
      <c r="B1293" s="3" t="s">
        <v>196</v>
      </c>
      <c r="C1293" s="3" t="s">
        <v>197</v>
      </c>
      <c r="D1293" s="3" t="str">
        <f>VLOOKUP(C1293,layoffs_location!A:B,2,FALSE)</f>
        <v>other</v>
      </c>
      <c r="E1293" s="3" t="str">
        <f>VLOOKUP(C1293,layoffs_location!A:C,3,FALSE)</f>
        <v>non</v>
      </c>
      <c r="F1293" s="3" t="str">
        <f>VLOOKUP(C1293,layoffs_location!A:D,4,FALSE)</f>
        <v>New Zealand</v>
      </c>
      <c r="G1293" s="3" t="str">
        <f>VLOOKUP(C1293,layoffs_location!A:E,5,FALSE)</f>
        <v>Oceana</v>
      </c>
      <c r="H1293" s="3">
        <v>200</v>
      </c>
      <c r="I1293" s="8">
        <v>45135</v>
      </c>
      <c r="J1293" s="9">
        <v>31</v>
      </c>
      <c r="K1293" s="10">
        <v>645</v>
      </c>
      <c r="L1293" s="10">
        <v>445</v>
      </c>
      <c r="M1293" s="3" t="s">
        <v>32</v>
      </c>
      <c r="N1293" s="3" t="s">
        <v>22</v>
      </c>
      <c r="O1293" s="34">
        <v>46</v>
      </c>
      <c r="P1293" s="3">
        <v>2023</v>
      </c>
      <c r="Q1293" s="3">
        <f>VLOOKUP(C1293,layoffs_location!A:F,6,FALSE)</f>
        <v>-36.852094999999998</v>
      </c>
      <c r="R1293" s="3">
        <f>VLOOKUP(C1293,layoffs_location!A:G,7,FALSE)</f>
        <v>174.76318029999999</v>
      </c>
    </row>
    <row r="1294" spans="1:18" x14ac:dyDescent="0.2">
      <c r="A1294" s="3">
        <v>1293</v>
      </c>
      <c r="B1294" s="3" t="s">
        <v>195</v>
      </c>
      <c r="C1294" s="3" t="s">
        <v>58</v>
      </c>
      <c r="D1294" s="3" t="str">
        <f>VLOOKUP(C1294,layoffs_location!A:B,2,FALSE)</f>
        <v>other</v>
      </c>
      <c r="E1294" s="3" t="str">
        <f>VLOOKUP(C1294,layoffs_location!A:C,3,FALSE)</f>
        <v>England</v>
      </c>
      <c r="F1294" s="3" t="str">
        <f>VLOOKUP(C1294,layoffs_location!A:D,4,FALSE)</f>
        <v>UK</v>
      </c>
      <c r="G1294" s="3" t="str">
        <f>VLOOKUP(C1294,layoffs_location!A:E,5,FALSE)</f>
        <v>Europe</v>
      </c>
      <c r="H1294" s="3">
        <v>200</v>
      </c>
      <c r="I1294" s="8">
        <v>45137</v>
      </c>
      <c r="J1294" s="9">
        <v>30</v>
      </c>
      <c r="K1294" s="10">
        <v>667</v>
      </c>
      <c r="L1294" s="10">
        <v>467</v>
      </c>
      <c r="M1294" s="3" t="s">
        <v>139</v>
      </c>
      <c r="N1294" s="3" t="s">
        <v>28</v>
      </c>
      <c r="O1294" s="34">
        <v>188</v>
      </c>
      <c r="P1294" s="3">
        <v>2023</v>
      </c>
      <c r="Q1294" s="3">
        <f>VLOOKUP(C1294,layoffs_location!A:F,6,FALSE)</f>
        <v>51.489333500000001</v>
      </c>
      <c r="R1294" s="3">
        <f>VLOOKUP(C1294,layoffs_location!A:G,7,FALSE)</f>
        <v>-0.14405508452768701</v>
      </c>
    </row>
    <row r="1295" spans="1:18" x14ac:dyDescent="0.2">
      <c r="A1295" s="3">
        <v>1294</v>
      </c>
      <c r="B1295" s="3" t="s">
        <v>194</v>
      </c>
      <c r="C1295" s="3" t="s">
        <v>179</v>
      </c>
      <c r="D1295" s="3" t="str">
        <f>VLOOKUP(C1295,layoffs_location!A:B,2,FALSE)</f>
        <v>other</v>
      </c>
      <c r="E1295" s="3" t="str">
        <f>VLOOKUP(C1295,layoffs_location!A:C,3,FALSE)</f>
        <v>Ontario</v>
      </c>
      <c r="F1295" s="3" t="str">
        <f>VLOOKUP(C1295,layoffs_location!A:D,4,FALSE)</f>
        <v>Canada</v>
      </c>
      <c r="G1295" s="3" t="str">
        <f>VLOOKUP(C1295,layoffs_location!A:E,5,FALSE)</f>
        <v>North America</v>
      </c>
      <c r="H1295" s="3">
        <v>13</v>
      </c>
      <c r="I1295" s="8">
        <v>45138</v>
      </c>
      <c r="J1295" s="9">
        <v>9</v>
      </c>
      <c r="K1295" s="10">
        <v>144</v>
      </c>
      <c r="L1295" s="10">
        <v>131</v>
      </c>
      <c r="M1295" s="3" t="s">
        <v>60</v>
      </c>
      <c r="N1295" s="3" t="s">
        <v>69</v>
      </c>
      <c r="O1295" s="34">
        <v>12</v>
      </c>
      <c r="P1295" s="3">
        <v>2023</v>
      </c>
      <c r="Q1295" s="3">
        <f>VLOOKUP(C1295,layoffs_location!A:F,6,FALSE)</f>
        <v>43.6534817</v>
      </c>
      <c r="R1295" s="3">
        <f>VLOOKUP(C1295,layoffs_location!A:G,7,FALSE)</f>
        <v>-79.383934699999998</v>
      </c>
    </row>
    <row r="1296" spans="1:18" x14ac:dyDescent="0.2">
      <c r="A1296" s="3">
        <v>1295</v>
      </c>
      <c r="B1296" s="3" t="s">
        <v>193</v>
      </c>
      <c r="C1296" s="3" t="s">
        <v>1370</v>
      </c>
      <c r="D1296" s="3" t="str">
        <f>VLOOKUP(C1296,layoffs_location!A:B,2,FALSE)</f>
        <v>San Francisco Bay Area</v>
      </c>
      <c r="E1296" s="3" t="str">
        <f>VLOOKUP(C1296,layoffs_location!A:C,3,FALSE)</f>
        <v>California</v>
      </c>
      <c r="F1296" s="3" t="str">
        <f>VLOOKUP(C1296,layoffs_location!A:D,4,FALSE)</f>
        <v>USA</v>
      </c>
      <c r="G1296" s="3" t="str">
        <f>VLOOKUP(C1296,layoffs_location!A:E,5,FALSE)</f>
        <v>North America</v>
      </c>
      <c r="H1296" s="3">
        <v>40</v>
      </c>
      <c r="I1296" s="8">
        <v>45139</v>
      </c>
      <c r="J1296" s="9">
        <v>30</v>
      </c>
      <c r="K1296" s="10">
        <v>133</v>
      </c>
      <c r="L1296" s="10">
        <v>93</v>
      </c>
      <c r="M1296" s="3" t="s">
        <v>137</v>
      </c>
      <c r="N1296" s="3" t="s">
        <v>49</v>
      </c>
      <c r="O1296" s="34">
        <v>57</v>
      </c>
      <c r="P1296" s="3">
        <v>2023</v>
      </c>
      <c r="Q1296" s="3">
        <f>VLOOKUP(C1296,layoffs_location!A:F,6,FALSE)</f>
        <v>37.779258800000001</v>
      </c>
      <c r="R1296" s="3">
        <f>VLOOKUP(C1296,layoffs_location!A:G,7,FALSE)</f>
        <v>-122.4193286</v>
      </c>
    </row>
    <row r="1297" spans="1:18" x14ac:dyDescent="0.2">
      <c r="A1297" s="3">
        <v>1296</v>
      </c>
      <c r="B1297" s="3" t="s">
        <v>133</v>
      </c>
      <c r="C1297" s="3" t="s">
        <v>115</v>
      </c>
      <c r="D1297" s="3" t="str">
        <f>VLOOKUP(C1297,layoffs_location!A:B,2,FALSE)</f>
        <v>other</v>
      </c>
      <c r="E1297" s="3" t="str">
        <f>VLOOKUP(C1297,layoffs_location!A:C,3,FALSE)</f>
        <v>Quebec</v>
      </c>
      <c r="F1297" s="3" t="str">
        <f>VLOOKUP(C1297,layoffs_location!A:D,4,FALSE)</f>
        <v>Canada</v>
      </c>
      <c r="G1297" s="3" t="str">
        <f>VLOOKUP(C1297,layoffs_location!A:E,5,FALSE)</f>
        <v>North America</v>
      </c>
      <c r="H1297" s="3">
        <v>106</v>
      </c>
      <c r="I1297" s="8">
        <v>45139</v>
      </c>
      <c r="J1297" s="9">
        <v>4</v>
      </c>
      <c r="K1297" s="10">
        <v>2650</v>
      </c>
      <c r="L1297" s="10">
        <v>2544</v>
      </c>
      <c r="M1297" s="3" t="s">
        <v>68</v>
      </c>
      <c r="N1297" s="3" t="s">
        <v>108</v>
      </c>
      <c r="O1297" s="34">
        <v>389</v>
      </c>
      <c r="P1297" s="3">
        <v>2023</v>
      </c>
      <c r="Q1297" s="3">
        <f>VLOOKUP(C1297,layoffs_location!A:F,6,FALSE)</f>
        <v>45.5031824</v>
      </c>
      <c r="R1297" s="3">
        <f>VLOOKUP(C1297,layoffs_location!A:G,7,FALSE)</f>
        <v>-73.569806499999999</v>
      </c>
    </row>
    <row r="1298" spans="1:18" ht="16" x14ac:dyDescent="0.2">
      <c r="A1298" s="3">
        <v>1297</v>
      </c>
      <c r="B1298" s="3" t="s">
        <v>191</v>
      </c>
      <c r="C1298" s="11" t="s">
        <v>1370</v>
      </c>
      <c r="D1298" s="3" t="str">
        <f>VLOOKUP(C1298,layoffs_location!A:B,2,FALSE)</f>
        <v>San Francisco Bay Area</v>
      </c>
      <c r="E1298" s="3" t="str">
        <f>VLOOKUP(C1298,layoffs_location!A:C,3,FALSE)</f>
        <v>California</v>
      </c>
      <c r="F1298" s="3" t="str">
        <f>VLOOKUP(C1298,layoffs_location!A:D,4,FALSE)</f>
        <v>USA</v>
      </c>
      <c r="G1298" s="3" t="str">
        <f>VLOOKUP(C1298,layoffs_location!A:E,5,FALSE)</f>
        <v>North America</v>
      </c>
      <c r="H1298" s="3">
        <v>117</v>
      </c>
      <c r="I1298" s="8">
        <v>45139</v>
      </c>
      <c r="J1298" s="9">
        <v>10</v>
      </c>
      <c r="K1298" s="10">
        <v>1170</v>
      </c>
      <c r="L1298" s="10">
        <v>1053</v>
      </c>
      <c r="M1298" s="3" t="s">
        <v>192</v>
      </c>
      <c r="N1298" s="3" t="s">
        <v>28</v>
      </c>
      <c r="O1298" s="34">
        <v>574</v>
      </c>
      <c r="P1298" s="3">
        <v>2023</v>
      </c>
      <c r="Q1298" s="3">
        <f>VLOOKUP(C1298,layoffs_location!A:F,6,FALSE)</f>
        <v>37.779258800000001</v>
      </c>
      <c r="R1298" s="3">
        <f>VLOOKUP(C1298,layoffs_location!A:G,7,FALSE)</f>
        <v>-122.4193286</v>
      </c>
    </row>
    <row r="1299" spans="1:18" x14ac:dyDescent="0.2">
      <c r="A1299" s="3">
        <v>1298</v>
      </c>
      <c r="B1299" s="3" t="s">
        <v>190</v>
      </c>
      <c r="C1299" s="3" t="s">
        <v>47</v>
      </c>
      <c r="D1299" s="3" t="str">
        <f>VLOOKUP(C1299,layoffs_location!A:B,2,FALSE)</f>
        <v>other</v>
      </c>
      <c r="E1299" s="3" t="str">
        <f>VLOOKUP(C1299,layoffs_location!A:C,3,FALSE)</f>
        <v>non</v>
      </c>
      <c r="F1299" s="3" t="str">
        <f>VLOOKUP(C1299,layoffs_location!A:D,4,FALSE)</f>
        <v>Israel</v>
      </c>
      <c r="G1299" s="3" t="str">
        <f>VLOOKUP(C1299,layoffs_location!A:E,5,FALSE)</f>
        <v>Asia</v>
      </c>
      <c r="H1299" s="3">
        <v>150</v>
      </c>
      <c r="I1299" s="8">
        <v>45139</v>
      </c>
      <c r="J1299" s="9">
        <v>75</v>
      </c>
      <c r="K1299" s="10">
        <v>200</v>
      </c>
      <c r="L1299" s="10">
        <v>50</v>
      </c>
      <c r="M1299" s="3" t="s">
        <v>35</v>
      </c>
      <c r="N1299" s="3" t="s">
        <v>41</v>
      </c>
      <c r="O1299" s="34">
        <v>110</v>
      </c>
      <c r="P1299" s="3">
        <v>2023</v>
      </c>
      <c r="Q1299" s="3">
        <f>VLOOKUP(C1299,layoffs_location!A:F,6,FALSE)</f>
        <v>32.0852997</v>
      </c>
      <c r="R1299" s="3">
        <f>VLOOKUP(C1299,layoffs_location!A:G,7,FALSE)</f>
        <v>34.781806400000001</v>
      </c>
    </row>
    <row r="1300" spans="1:18" x14ac:dyDescent="0.2">
      <c r="A1300" s="3">
        <v>1299</v>
      </c>
      <c r="B1300" s="3" t="s">
        <v>185</v>
      </c>
      <c r="C1300" s="3" t="s">
        <v>39</v>
      </c>
      <c r="D1300" s="3" t="str">
        <f>VLOOKUP(C1300,layoffs_location!A:B,2,FALSE)</f>
        <v>New York</v>
      </c>
      <c r="E1300" s="3" t="str">
        <f>VLOOKUP(C1300,layoffs_location!A:C,3,FALSE)</f>
        <v>New York</v>
      </c>
      <c r="F1300" s="3" t="str">
        <f>VLOOKUP(C1300,layoffs_location!A:D,4,FALSE)</f>
        <v>USA</v>
      </c>
      <c r="G1300" s="3" t="str">
        <f>VLOOKUP(C1300,layoffs_location!A:E,5,FALSE)</f>
        <v>North America</v>
      </c>
      <c r="H1300" s="3">
        <v>70</v>
      </c>
      <c r="I1300" s="8">
        <v>45140</v>
      </c>
      <c r="J1300" s="9">
        <v>18</v>
      </c>
      <c r="K1300" s="10">
        <v>389</v>
      </c>
      <c r="L1300" s="10">
        <v>319</v>
      </c>
      <c r="M1300" s="3" t="s">
        <v>155</v>
      </c>
      <c r="N1300" s="3" t="s">
        <v>36</v>
      </c>
      <c r="O1300" s="34">
        <v>274</v>
      </c>
      <c r="P1300" s="3">
        <v>2023</v>
      </c>
      <c r="Q1300" s="3">
        <f>VLOOKUP(C1300,layoffs_location!A:F,6,FALSE)</f>
        <v>40.7127281</v>
      </c>
      <c r="R1300" s="3">
        <f>VLOOKUP(C1300,layoffs_location!A:G,7,FALSE)</f>
        <v>-74.006015199999993</v>
      </c>
    </row>
    <row r="1301" spans="1:18" x14ac:dyDescent="0.2">
      <c r="A1301" s="3">
        <v>1300</v>
      </c>
      <c r="B1301" s="3" t="s">
        <v>184</v>
      </c>
      <c r="C1301" s="3" t="s">
        <v>1370</v>
      </c>
      <c r="D1301" s="3" t="str">
        <f>VLOOKUP(C1301,layoffs_location!A:B,2,FALSE)</f>
        <v>San Francisco Bay Area</v>
      </c>
      <c r="E1301" s="3" t="str">
        <f>VLOOKUP(C1301,layoffs_location!A:C,3,FALSE)</f>
        <v>California</v>
      </c>
      <c r="F1301" s="3" t="str">
        <f>VLOOKUP(C1301,layoffs_location!A:D,4,FALSE)</f>
        <v>USA</v>
      </c>
      <c r="G1301" s="3" t="str">
        <f>VLOOKUP(C1301,layoffs_location!A:E,5,FALSE)</f>
        <v>North America</v>
      </c>
      <c r="H1301" s="3">
        <v>100</v>
      </c>
      <c r="I1301" s="8">
        <v>45140</v>
      </c>
      <c r="J1301" s="9">
        <v>16</v>
      </c>
      <c r="K1301" s="10">
        <v>625</v>
      </c>
      <c r="L1301" s="10">
        <v>525</v>
      </c>
      <c r="M1301" s="3" t="s">
        <v>84</v>
      </c>
      <c r="N1301" s="3" t="s">
        <v>36</v>
      </c>
      <c r="O1301" s="34">
        <v>567</v>
      </c>
      <c r="P1301" s="3">
        <v>2023</v>
      </c>
      <c r="Q1301" s="3">
        <f>VLOOKUP(C1301,layoffs_location!A:F,6,FALSE)</f>
        <v>37.779258800000001</v>
      </c>
      <c r="R1301" s="3">
        <f>VLOOKUP(C1301,layoffs_location!A:G,7,FALSE)</f>
        <v>-122.4193286</v>
      </c>
    </row>
    <row r="1302" spans="1:18" x14ac:dyDescent="0.2">
      <c r="A1302" s="3">
        <v>1301</v>
      </c>
      <c r="B1302" s="3" t="s">
        <v>186</v>
      </c>
      <c r="C1302" s="3" t="s">
        <v>187</v>
      </c>
      <c r="D1302" s="3" t="str">
        <f>VLOOKUP(C1302,layoffs_location!A:B,2,FALSE)</f>
        <v>other</v>
      </c>
      <c r="E1302" s="3" t="str">
        <f>VLOOKUP(C1302,layoffs_location!A:C,3,FALSE)</f>
        <v>State of São Paulo</v>
      </c>
      <c r="F1302" s="3" t="str">
        <f>VLOOKUP(C1302,layoffs_location!A:D,4,FALSE)</f>
        <v>Brazil</v>
      </c>
      <c r="G1302" s="3" t="str">
        <f>VLOOKUP(C1302,layoffs_location!A:E,5,FALSE)</f>
        <v>South America</v>
      </c>
      <c r="H1302" s="3">
        <v>58</v>
      </c>
      <c r="I1302" s="8">
        <v>45140</v>
      </c>
      <c r="J1302" s="9">
        <v>8</v>
      </c>
      <c r="K1302" s="10">
        <v>725</v>
      </c>
      <c r="L1302" s="10">
        <v>667</v>
      </c>
      <c r="M1302" s="3" t="s">
        <v>84</v>
      </c>
      <c r="N1302" s="3" t="s">
        <v>49</v>
      </c>
      <c r="O1302" s="34">
        <v>105</v>
      </c>
      <c r="P1302" s="3">
        <v>2023</v>
      </c>
      <c r="Q1302" s="3">
        <f>VLOOKUP(C1302,layoffs_location!A:F,6,FALSE)</f>
        <v>-23.550650699999998</v>
      </c>
      <c r="R1302" s="3">
        <f>VLOOKUP(C1302,layoffs_location!A:G,7,FALSE)</f>
        <v>-46.633382400000002</v>
      </c>
    </row>
    <row r="1303" spans="1:18" x14ac:dyDescent="0.2">
      <c r="A1303" s="3">
        <v>1302</v>
      </c>
      <c r="B1303" s="3" t="s">
        <v>181</v>
      </c>
      <c r="C1303" s="3" t="s">
        <v>182</v>
      </c>
      <c r="D1303" s="3" t="str">
        <f>VLOOKUP(C1303,layoffs_location!A:B,2,FALSE)</f>
        <v>other</v>
      </c>
      <c r="E1303" s="3" t="str">
        <f>VLOOKUP(C1303,layoffs_location!A:C,3,FALSE)</f>
        <v>Haryana</v>
      </c>
      <c r="F1303" s="3" t="str">
        <f>VLOOKUP(C1303,layoffs_location!A:D,4,FALSE)</f>
        <v>India</v>
      </c>
      <c r="G1303" s="3" t="str">
        <f>VLOOKUP(C1303,layoffs_location!A:E,5,FALSE)</f>
        <v>Asia</v>
      </c>
      <c r="H1303" s="3">
        <v>300</v>
      </c>
      <c r="I1303" s="8">
        <v>45140</v>
      </c>
      <c r="J1303" s="9">
        <v>5</v>
      </c>
      <c r="K1303" s="10">
        <v>6000</v>
      </c>
      <c r="L1303" s="10">
        <v>5700</v>
      </c>
      <c r="M1303" s="3" t="s">
        <v>32</v>
      </c>
      <c r="N1303" s="3" t="s">
        <v>36</v>
      </c>
      <c r="O1303" s="34">
        <v>513</v>
      </c>
      <c r="P1303" s="3">
        <v>2023</v>
      </c>
      <c r="Q1303" s="3">
        <f>VLOOKUP(C1303,layoffs_location!A:F,6,FALSE)</f>
        <v>28.4646148</v>
      </c>
      <c r="R1303" s="3">
        <f>VLOOKUP(C1303,layoffs_location!A:G,7,FALSE)</f>
        <v>77.029919399999997</v>
      </c>
    </row>
    <row r="1304" spans="1:18" x14ac:dyDescent="0.2">
      <c r="A1304" s="3">
        <v>1303</v>
      </c>
      <c r="B1304" s="3" t="s">
        <v>183</v>
      </c>
      <c r="C1304" s="3" t="s">
        <v>13</v>
      </c>
      <c r="D1304" s="3" t="str">
        <f>VLOOKUP(C1304,layoffs_location!A:B,2,FALSE)</f>
        <v>other</v>
      </c>
      <c r="E1304" s="3" t="str">
        <f>VLOOKUP(C1304,layoffs_location!A:C,3,FALSE)</f>
        <v>Karnataka</v>
      </c>
      <c r="F1304" s="3" t="str">
        <f>VLOOKUP(C1304,layoffs_location!A:D,4,FALSE)</f>
        <v>India</v>
      </c>
      <c r="G1304" s="3" t="str">
        <f>VLOOKUP(C1304,layoffs_location!A:E,5,FALSE)</f>
        <v>Asia</v>
      </c>
      <c r="H1304" s="3">
        <v>300</v>
      </c>
      <c r="I1304" s="8">
        <v>45140</v>
      </c>
      <c r="J1304" s="9">
        <v>10</v>
      </c>
      <c r="K1304" s="10">
        <v>3000</v>
      </c>
      <c r="L1304" s="10">
        <v>2700</v>
      </c>
      <c r="M1304" s="3" t="s">
        <v>60</v>
      </c>
      <c r="N1304" s="3" t="s">
        <v>108</v>
      </c>
      <c r="O1304" s="34">
        <v>435</v>
      </c>
      <c r="P1304" s="3">
        <v>2023</v>
      </c>
      <c r="Q1304" s="3">
        <f>VLOOKUP(C1304,layoffs_location!A:F,6,FALSE)</f>
        <v>12.98815675</v>
      </c>
      <c r="R1304" s="3">
        <f>VLOOKUP(C1304,layoffs_location!A:G,7,FALSE)</f>
        <v>77.622600037959998</v>
      </c>
    </row>
    <row r="1305" spans="1:18" x14ac:dyDescent="0.2">
      <c r="A1305" s="3">
        <v>1304</v>
      </c>
      <c r="B1305" s="3" t="s">
        <v>180</v>
      </c>
      <c r="C1305" s="3" t="s">
        <v>1370</v>
      </c>
      <c r="D1305" s="3" t="str">
        <f>VLOOKUP(C1305,layoffs_location!A:B,2,FALSE)</f>
        <v>San Francisco Bay Area</v>
      </c>
      <c r="E1305" s="3" t="str">
        <f>VLOOKUP(C1305,layoffs_location!A:C,3,FALSE)</f>
        <v>California</v>
      </c>
      <c r="F1305" s="3" t="str">
        <f>VLOOKUP(C1305,layoffs_location!A:D,4,FALSE)</f>
        <v>USA</v>
      </c>
      <c r="G1305" s="3" t="str">
        <f>VLOOKUP(C1305,layoffs_location!A:E,5,FALSE)</f>
        <v>North America</v>
      </c>
      <c r="H1305" s="3">
        <v>37</v>
      </c>
      <c r="I1305" s="8">
        <v>45141</v>
      </c>
      <c r="J1305" s="9">
        <v>4</v>
      </c>
      <c r="K1305" s="10">
        <v>925</v>
      </c>
      <c r="L1305" s="10">
        <v>888</v>
      </c>
      <c r="M1305" s="3" t="s">
        <v>16</v>
      </c>
      <c r="N1305" s="3" t="s">
        <v>17</v>
      </c>
      <c r="P1305" s="3">
        <v>2023</v>
      </c>
      <c r="Q1305" s="3">
        <f>VLOOKUP(C1305,layoffs_location!A:F,6,FALSE)</f>
        <v>37.779258800000001</v>
      </c>
      <c r="R1305" s="3">
        <f>VLOOKUP(C1305,layoffs_location!A:G,7,FALSE)</f>
        <v>-122.4193286</v>
      </c>
    </row>
    <row r="1306" spans="1:18" x14ac:dyDescent="0.2">
      <c r="A1306" s="3">
        <v>1305</v>
      </c>
      <c r="B1306" s="3" t="s">
        <v>178</v>
      </c>
      <c r="C1306" s="3" t="s">
        <v>179</v>
      </c>
      <c r="D1306" s="3" t="str">
        <f>VLOOKUP(C1306,layoffs_location!A:B,2,FALSE)</f>
        <v>other</v>
      </c>
      <c r="E1306" s="3" t="str">
        <f>VLOOKUP(C1306,layoffs_location!A:C,3,FALSE)</f>
        <v>Ontario</v>
      </c>
      <c r="F1306" s="3" t="str">
        <f>VLOOKUP(C1306,layoffs_location!A:D,4,FALSE)</f>
        <v>Canada</v>
      </c>
      <c r="G1306" s="3" t="str">
        <f>VLOOKUP(C1306,layoffs_location!A:E,5,FALSE)</f>
        <v>North America</v>
      </c>
      <c r="H1306" s="3">
        <v>42</v>
      </c>
      <c r="I1306" s="8">
        <v>45142</v>
      </c>
      <c r="J1306" s="9">
        <v>7</v>
      </c>
      <c r="K1306" s="10">
        <v>600</v>
      </c>
      <c r="L1306" s="10">
        <v>558</v>
      </c>
      <c r="M1306" s="3" t="s">
        <v>68</v>
      </c>
      <c r="N1306" s="3" t="s">
        <v>36</v>
      </c>
      <c r="O1306" s="34">
        <v>234</v>
      </c>
      <c r="P1306" s="3">
        <v>2023</v>
      </c>
      <c r="Q1306" s="3">
        <f>VLOOKUP(C1306,layoffs_location!A:F,6,FALSE)</f>
        <v>43.6534817</v>
      </c>
      <c r="R1306" s="3">
        <f>VLOOKUP(C1306,layoffs_location!A:G,7,FALSE)</f>
        <v>-79.383934699999998</v>
      </c>
    </row>
    <row r="1307" spans="1:18" x14ac:dyDescent="0.2">
      <c r="A1307" s="3">
        <v>1306</v>
      </c>
      <c r="B1307" s="3" t="s">
        <v>177</v>
      </c>
      <c r="C1307" s="3" t="s">
        <v>1370</v>
      </c>
      <c r="D1307" s="3" t="str">
        <f>VLOOKUP(C1307,layoffs_location!A:B,2,FALSE)</f>
        <v>San Francisco Bay Area</v>
      </c>
      <c r="E1307" s="3" t="str">
        <f>VLOOKUP(C1307,layoffs_location!A:C,3,FALSE)</f>
        <v>California</v>
      </c>
      <c r="F1307" s="3" t="str">
        <f>VLOOKUP(C1307,layoffs_location!A:D,4,FALSE)</f>
        <v>USA</v>
      </c>
      <c r="G1307" s="3" t="str">
        <f>VLOOKUP(C1307,layoffs_location!A:E,5,FALSE)</f>
        <v>North America</v>
      </c>
      <c r="H1307" s="3">
        <v>71</v>
      </c>
      <c r="I1307" s="8">
        <v>45146</v>
      </c>
      <c r="J1307" s="9">
        <v>11</v>
      </c>
      <c r="K1307" s="10">
        <v>645</v>
      </c>
      <c r="L1307" s="10">
        <v>574</v>
      </c>
      <c r="M1307" s="3" t="s">
        <v>21</v>
      </c>
      <c r="N1307" s="3" t="s">
        <v>28</v>
      </c>
      <c r="O1307" s="34">
        <v>1100</v>
      </c>
      <c r="P1307" s="3">
        <v>2023</v>
      </c>
      <c r="Q1307" s="3">
        <f>VLOOKUP(C1307,layoffs_location!A:F,6,FALSE)</f>
        <v>37.779258800000001</v>
      </c>
      <c r="R1307" s="3">
        <f>VLOOKUP(C1307,layoffs_location!A:G,7,FALSE)</f>
        <v>-122.4193286</v>
      </c>
    </row>
    <row r="1308" spans="1:18" x14ac:dyDescent="0.2">
      <c r="A1308" s="3">
        <v>1307</v>
      </c>
      <c r="B1308" s="3" t="s">
        <v>176</v>
      </c>
      <c r="C1308" s="3" t="s">
        <v>1370</v>
      </c>
      <c r="D1308" s="3" t="str">
        <f>VLOOKUP(C1308,layoffs_location!A:B,2,FALSE)</f>
        <v>San Francisco Bay Area</v>
      </c>
      <c r="E1308" s="3" t="str">
        <f>VLOOKUP(C1308,layoffs_location!A:C,3,FALSE)</f>
        <v>California</v>
      </c>
      <c r="F1308" s="3" t="str">
        <f>VLOOKUP(C1308,layoffs_location!A:D,4,FALSE)</f>
        <v>USA</v>
      </c>
      <c r="G1308" s="3" t="str">
        <f>VLOOKUP(C1308,layoffs_location!A:E,5,FALSE)</f>
        <v>North America</v>
      </c>
      <c r="H1308" s="3">
        <v>100</v>
      </c>
      <c r="I1308" s="8">
        <v>45146</v>
      </c>
      <c r="J1308" s="9">
        <v>10</v>
      </c>
      <c r="K1308" s="10">
        <v>1000</v>
      </c>
      <c r="L1308" s="10">
        <v>900</v>
      </c>
      <c r="M1308" s="3" t="s">
        <v>21</v>
      </c>
      <c r="N1308" s="3" t="s">
        <v>28</v>
      </c>
      <c r="O1308" s="34">
        <v>82</v>
      </c>
      <c r="P1308" s="3">
        <v>2023</v>
      </c>
      <c r="Q1308" s="3">
        <f>VLOOKUP(C1308,layoffs_location!A:F,6,FALSE)</f>
        <v>37.779258800000001</v>
      </c>
      <c r="R1308" s="3">
        <f>VLOOKUP(C1308,layoffs_location!A:G,7,FALSE)</f>
        <v>-122.4193286</v>
      </c>
    </row>
    <row r="1309" spans="1:18" x14ac:dyDescent="0.2">
      <c r="A1309" s="3">
        <v>1308</v>
      </c>
      <c r="B1309" s="3" t="s">
        <v>175</v>
      </c>
      <c r="C1309" s="3" t="s">
        <v>71</v>
      </c>
      <c r="D1309" s="3" t="str">
        <f>VLOOKUP(C1309,layoffs_location!A:B,2,FALSE)</f>
        <v>other</v>
      </c>
      <c r="E1309" s="3" t="str">
        <f>VLOOKUP(C1309,layoffs_location!A:C,3,FALSE)</f>
        <v>Massachusetts</v>
      </c>
      <c r="F1309" s="3" t="str">
        <f>VLOOKUP(C1309,layoffs_location!A:D,4,FALSE)</f>
        <v>USA</v>
      </c>
      <c r="G1309" s="3" t="str">
        <f>VLOOKUP(C1309,layoffs_location!A:E,5,FALSE)</f>
        <v>North America</v>
      </c>
      <c r="H1309" s="3">
        <v>470</v>
      </c>
      <c r="I1309" s="8">
        <v>45146</v>
      </c>
      <c r="J1309" s="9">
        <v>18</v>
      </c>
      <c r="K1309" s="10">
        <v>2611</v>
      </c>
      <c r="L1309" s="10">
        <v>2141</v>
      </c>
      <c r="M1309" s="3" t="s">
        <v>139</v>
      </c>
      <c r="N1309" s="3" t="s">
        <v>28</v>
      </c>
      <c r="O1309" s="34">
        <v>89</v>
      </c>
      <c r="P1309" s="3">
        <v>2023</v>
      </c>
      <c r="Q1309" s="3">
        <f>VLOOKUP(C1309,layoffs_location!A:F,6,FALSE)</f>
        <v>42.355433400000003</v>
      </c>
      <c r="R1309" s="3">
        <f>VLOOKUP(C1309,layoffs_location!A:G,7,FALSE)</f>
        <v>-71.060511000000005</v>
      </c>
    </row>
    <row r="1310" spans="1:18" x14ac:dyDescent="0.2">
      <c r="A1310" s="3">
        <v>1309</v>
      </c>
      <c r="B1310" s="3" t="s">
        <v>174</v>
      </c>
      <c r="C1310" s="3" t="s">
        <v>154</v>
      </c>
      <c r="D1310" s="3" t="str">
        <f>VLOOKUP(C1310,layoffs_location!A:B,2,FALSE)</f>
        <v>other</v>
      </c>
      <c r="E1310" s="3" t="str">
        <f>VLOOKUP(C1310,layoffs_location!A:C,3,FALSE)</f>
        <v>Illinois</v>
      </c>
      <c r="F1310" s="3" t="str">
        <f>VLOOKUP(C1310,layoffs_location!A:D,4,FALSE)</f>
        <v>USA</v>
      </c>
      <c r="G1310" s="3" t="str">
        <f>VLOOKUP(C1310,layoffs_location!A:E,5,FALSE)</f>
        <v>North America</v>
      </c>
      <c r="H1310" s="3">
        <v>579</v>
      </c>
      <c r="I1310" s="8">
        <v>45146</v>
      </c>
      <c r="J1310" s="9">
        <v>5</v>
      </c>
      <c r="K1310" s="10">
        <v>11580</v>
      </c>
      <c r="L1310" s="10">
        <v>11001</v>
      </c>
      <c r="M1310" s="3" t="s">
        <v>60</v>
      </c>
      <c r="N1310" s="3" t="s">
        <v>28</v>
      </c>
      <c r="O1310" s="34">
        <v>748</v>
      </c>
      <c r="P1310" s="3">
        <v>2023</v>
      </c>
      <c r="Q1310" s="3">
        <f>VLOOKUP(C1310,layoffs_location!A:F,6,FALSE)</f>
        <v>41.875561599999997</v>
      </c>
      <c r="R1310" s="3">
        <f>VLOOKUP(C1310,layoffs_location!A:G,7,FALSE)</f>
        <v>-87.6244212</v>
      </c>
    </row>
    <row r="1311" spans="1:18" x14ac:dyDescent="0.2">
      <c r="A1311" s="3">
        <v>1310</v>
      </c>
      <c r="B1311" s="3" t="s">
        <v>172</v>
      </c>
      <c r="C1311" s="3" t="s">
        <v>1370</v>
      </c>
      <c r="D1311" s="3" t="str">
        <f>VLOOKUP(C1311,layoffs_location!A:B,2,FALSE)</f>
        <v>San Francisco Bay Area</v>
      </c>
      <c r="E1311" s="3" t="str">
        <f>VLOOKUP(C1311,layoffs_location!A:C,3,FALSE)</f>
        <v>California</v>
      </c>
      <c r="F1311" s="3" t="str">
        <f>VLOOKUP(C1311,layoffs_location!A:D,4,FALSE)</f>
        <v>USA</v>
      </c>
      <c r="G1311" s="3" t="str">
        <f>VLOOKUP(C1311,layoffs_location!A:E,5,FALSE)</f>
        <v>North America</v>
      </c>
      <c r="H1311" s="3">
        <v>150</v>
      </c>
      <c r="I1311" s="8">
        <v>45147</v>
      </c>
      <c r="J1311" s="9">
        <v>19</v>
      </c>
      <c r="K1311" s="10">
        <v>789</v>
      </c>
      <c r="L1311" s="10">
        <v>639</v>
      </c>
      <c r="M1311" s="3" t="s">
        <v>35</v>
      </c>
      <c r="N1311" s="3" t="s">
        <v>28</v>
      </c>
      <c r="O1311" s="34">
        <v>665</v>
      </c>
      <c r="P1311" s="3">
        <v>2023</v>
      </c>
      <c r="Q1311" s="3">
        <f>VLOOKUP(C1311,layoffs_location!A:F,6,FALSE)</f>
        <v>37.779258800000001</v>
      </c>
      <c r="R1311" s="3">
        <f>VLOOKUP(C1311,layoffs_location!A:G,7,FALSE)</f>
        <v>-122.4193286</v>
      </c>
    </row>
    <row r="1312" spans="1:18" x14ac:dyDescent="0.2">
      <c r="A1312" s="3">
        <v>1311</v>
      </c>
      <c r="B1312" s="3" t="s">
        <v>173</v>
      </c>
      <c r="C1312" s="3" t="s">
        <v>47</v>
      </c>
      <c r="D1312" s="3" t="str">
        <f>VLOOKUP(C1312,layoffs_location!A:B,2,FALSE)</f>
        <v>other</v>
      </c>
      <c r="E1312" s="3" t="str">
        <f>VLOOKUP(C1312,layoffs_location!A:C,3,FALSE)</f>
        <v>non</v>
      </c>
      <c r="F1312" s="3" t="str">
        <f>VLOOKUP(C1312,layoffs_location!A:D,4,FALSE)</f>
        <v>Israel</v>
      </c>
      <c r="G1312" s="3" t="str">
        <f>VLOOKUP(C1312,layoffs_location!A:E,5,FALSE)</f>
        <v>Asia</v>
      </c>
      <c r="H1312" s="3">
        <v>70</v>
      </c>
      <c r="I1312" s="8">
        <v>45147</v>
      </c>
      <c r="J1312" s="9">
        <v>100</v>
      </c>
      <c r="K1312" s="10">
        <v>70</v>
      </c>
      <c r="L1312" s="10">
        <v>0</v>
      </c>
      <c r="M1312" s="3" t="s">
        <v>92</v>
      </c>
      <c r="N1312" s="3" t="s">
        <v>33</v>
      </c>
      <c r="O1312" s="34">
        <v>2</v>
      </c>
      <c r="P1312" s="3">
        <v>2023</v>
      </c>
      <c r="Q1312" s="3">
        <f>VLOOKUP(C1312,layoffs_location!A:F,6,FALSE)</f>
        <v>32.0852997</v>
      </c>
      <c r="R1312" s="3">
        <f>VLOOKUP(C1312,layoffs_location!A:G,7,FALSE)</f>
        <v>34.781806400000001</v>
      </c>
    </row>
    <row r="1313" spans="1:18" x14ac:dyDescent="0.2">
      <c r="A1313" s="3">
        <v>1312</v>
      </c>
      <c r="B1313" s="3" t="s">
        <v>170</v>
      </c>
      <c r="C1313" s="3" t="s">
        <v>171</v>
      </c>
      <c r="D1313" s="3" t="str">
        <f>VLOOKUP(C1313,layoffs_location!A:B,2,FALSE)</f>
        <v>other</v>
      </c>
      <c r="E1313" s="3" t="str">
        <f>VLOOKUP(C1313,layoffs_location!A:C,3,FALSE)</f>
        <v>Georgia</v>
      </c>
      <c r="F1313" s="3" t="str">
        <f>VLOOKUP(C1313,layoffs_location!A:D,4,FALSE)</f>
        <v>USA</v>
      </c>
      <c r="G1313" s="3" t="str">
        <f>VLOOKUP(C1313,layoffs_location!A:E,5,FALSE)</f>
        <v>North America</v>
      </c>
      <c r="H1313" s="3">
        <v>300</v>
      </c>
      <c r="I1313" s="8">
        <v>45152</v>
      </c>
      <c r="J1313" s="9">
        <v>15</v>
      </c>
      <c r="K1313" s="10">
        <v>2000</v>
      </c>
      <c r="L1313" s="10">
        <v>1700</v>
      </c>
      <c r="M1313" s="3" t="s">
        <v>139</v>
      </c>
      <c r="N1313" s="3" t="s">
        <v>28</v>
      </c>
      <c r="O1313" s="34">
        <v>83</v>
      </c>
      <c r="P1313" s="3">
        <v>2023</v>
      </c>
      <c r="Q1313" s="3">
        <f>VLOOKUP(C1313,layoffs_location!A:F,6,FALSE)</f>
        <v>33.748992399999999</v>
      </c>
      <c r="R1313" s="3">
        <f>VLOOKUP(C1313,layoffs_location!A:G,7,FALSE)</f>
        <v>-84.390264400000007</v>
      </c>
    </row>
    <row r="1314" spans="1:18" x14ac:dyDescent="0.2">
      <c r="A1314" s="3">
        <v>1313</v>
      </c>
      <c r="B1314" s="3" t="s">
        <v>167</v>
      </c>
      <c r="C1314" s="3" t="s">
        <v>168</v>
      </c>
      <c r="D1314" s="3" t="str">
        <f>VLOOKUP(C1314,layoffs_location!A:B,2,FALSE)</f>
        <v>other</v>
      </c>
      <c r="E1314" s="3" t="str">
        <f>VLOOKUP(C1314,layoffs_location!A:C,3,FALSE)</f>
        <v>California</v>
      </c>
      <c r="F1314" s="3" t="str">
        <f>VLOOKUP(C1314,layoffs_location!A:D,4,FALSE)</f>
        <v>USA</v>
      </c>
      <c r="G1314" s="3" t="str">
        <f>VLOOKUP(C1314,layoffs_location!A:E,5,FALSE)</f>
        <v>North America</v>
      </c>
      <c r="H1314" s="3">
        <v>149</v>
      </c>
      <c r="I1314" s="8">
        <v>45155</v>
      </c>
      <c r="J1314" s="9">
        <v>9</v>
      </c>
      <c r="K1314" s="10">
        <v>1656</v>
      </c>
      <c r="L1314" s="10">
        <v>1507</v>
      </c>
      <c r="M1314" s="3" t="s">
        <v>137</v>
      </c>
      <c r="N1314" s="3" t="s">
        <v>28</v>
      </c>
      <c r="O1314" s="34">
        <v>30</v>
      </c>
      <c r="P1314" s="3">
        <v>2023</v>
      </c>
      <c r="Q1314" s="3">
        <f>VLOOKUP(C1314,layoffs_location!A:F,6,FALSE)</f>
        <v>34.422131899999997</v>
      </c>
      <c r="R1314" s="3">
        <f>VLOOKUP(C1314,layoffs_location!A:G,7,FALSE)</f>
        <v>-119.70266700000001</v>
      </c>
    </row>
    <row r="1315" spans="1:18" x14ac:dyDescent="0.2">
      <c r="A1315" s="3">
        <v>1314</v>
      </c>
      <c r="B1315" s="3" t="s">
        <v>169</v>
      </c>
      <c r="C1315" s="3" t="s">
        <v>47</v>
      </c>
      <c r="D1315" s="3" t="str">
        <f>VLOOKUP(C1315,layoffs_location!A:B,2,FALSE)</f>
        <v>other</v>
      </c>
      <c r="E1315" s="3" t="str">
        <f>VLOOKUP(C1315,layoffs_location!A:C,3,FALSE)</f>
        <v>non</v>
      </c>
      <c r="F1315" s="3" t="str">
        <f>VLOOKUP(C1315,layoffs_location!A:D,4,FALSE)</f>
        <v>Israel</v>
      </c>
      <c r="G1315" s="3" t="str">
        <f>VLOOKUP(C1315,layoffs_location!A:E,5,FALSE)</f>
        <v>Asia</v>
      </c>
      <c r="H1315" s="3">
        <v>60</v>
      </c>
      <c r="I1315" s="8">
        <v>45155</v>
      </c>
      <c r="J1315" s="9">
        <v>35</v>
      </c>
      <c r="K1315" s="10">
        <v>171</v>
      </c>
      <c r="L1315" s="10">
        <v>111</v>
      </c>
      <c r="M1315" s="3" t="s">
        <v>54</v>
      </c>
      <c r="N1315" s="3" t="s">
        <v>49</v>
      </c>
      <c r="O1315" s="34">
        <v>111</v>
      </c>
      <c r="P1315" s="3">
        <v>2023</v>
      </c>
      <c r="Q1315" s="3">
        <f>VLOOKUP(C1315,layoffs_location!A:F,6,FALSE)</f>
        <v>32.0852997</v>
      </c>
      <c r="R1315" s="3">
        <f>VLOOKUP(C1315,layoffs_location!A:G,7,FALSE)</f>
        <v>34.781806400000001</v>
      </c>
    </row>
    <row r="1316" spans="1:18" x14ac:dyDescent="0.2">
      <c r="A1316" s="3">
        <v>1315</v>
      </c>
      <c r="B1316" s="3" t="s">
        <v>163</v>
      </c>
      <c r="C1316" s="3" t="s">
        <v>164</v>
      </c>
      <c r="D1316" s="3" t="str">
        <f>VLOOKUP(C1316,layoffs_location!A:B,2,FALSE)</f>
        <v>other</v>
      </c>
      <c r="E1316" s="3" t="str">
        <f>VLOOKUP(C1316,layoffs_location!A:C,3,FALSE)</f>
        <v>non</v>
      </c>
      <c r="F1316" s="3" t="str">
        <f>VLOOKUP(C1316,layoffs_location!A:D,4,FALSE)</f>
        <v>Kenya</v>
      </c>
      <c r="G1316" s="3" t="str">
        <f>VLOOKUP(C1316,layoffs_location!A:E,5,FALSE)</f>
        <v>Africa</v>
      </c>
      <c r="H1316" s="3">
        <v>283</v>
      </c>
      <c r="I1316" s="8">
        <v>45158</v>
      </c>
      <c r="J1316" s="9">
        <v>33</v>
      </c>
      <c r="K1316" s="10">
        <v>858</v>
      </c>
      <c r="L1316" s="10">
        <v>575</v>
      </c>
      <c r="M1316" s="3" t="s">
        <v>77</v>
      </c>
      <c r="N1316" s="3" t="s">
        <v>41</v>
      </c>
      <c r="O1316" s="34">
        <v>157</v>
      </c>
      <c r="P1316" s="3">
        <v>2023</v>
      </c>
      <c r="Q1316" s="3">
        <f>VLOOKUP(C1316,layoffs_location!A:F,6,FALSE)</f>
        <v>-1.2832532999999999</v>
      </c>
      <c r="R1316" s="3">
        <f>VLOOKUP(C1316,layoffs_location!A:G,7,FALSE)</f>
        <v>36.817244899999999</v>
      </c>
    </row>
    <row r="1317" spans="1:18" x14ac:dyDescent="0.2">
      <c r="A1317" s="3">
        <v>1316</v>
      </c>
      <c r="B1317" s="3" t="s">
        <v>162</v>
      </c>
      <c r="C1317" s="3" t="s">
        <v>58</v>
      </c>
      <c r="D1317" s="3" t="str">
        <f>VLOOKUP(C1317,layoffs_location!A:B,2,FALSE)</f>
        <v>other</v>
      </c>
      <c r="E1317" s="3" t="str">
        <f>VLOOKUP(C1317,layoffs_location!A:C,3,FALSE)</f>
        <v>England</v>
      </c>
      <c r="F1317" s="3" t="str">
        <f>VLOOKUP(C1317,layoffs_location!A:D,4,FALSE)</f>
        <v>UK</v>
      </c>
      <c r="G1317" s="3" t="str">
        <f>VLOOKUP(C1317,layoffs_location!A:E,5,FALSE)</f>
        <v>Europe</v>
      </c>
      <c r="H1317" s="3">
        <v>2500</v>
      </c>
      <c r="I1317" s="8">
        <v>45160</v>
      </c>
      <c r="J1317" s="9">
        <v>11</v>
      </c>
      <c r="K1317" s="10">
        <v>22727</v>
      </c>
      <c r="L1317" s="10">
        <v>20227</v>
      </c>
      <c r="M1317" s="3" t="s">
        <v>77</v>
      </c>
      <c r="N1317" s="3" t="s">
        <v>36</v>
      </c>
      <c r="O1317" s="34">
        <v>1800</v>
      </c>
      <c r="P1317" s="3">
        <v>2023</v>
      </c>
      <c r="Q1317" s="3">
        <f>VLOOKUP(C1317,layoffs_location!A:F,6,FALSE)</f>
        <v>51.489333500000001</v>
      </c>
      <c r="R1317" s="3">
        <f>VLOOKUP(C1317,layoffs_location!A:G,7,FALSE)</f>
        <v>-0.14405508452768701</v>
      </c>
    </row>
    <row r="1318" spans="1:18" x14ac:dyDescent="0.2">
      <c r="A1318" s="3">
        <v>1317</v>
      </c>
      <c r="B1318" s="3" t="s">
        <v>157</v>
      </c>
      <c r="C1318" s="3" t="s">
        <v>154</v>
      </c>
      <c r="D1318" s="3" t="str">
        <f>VLOOKUP(C1318,layoffs_location!A:B,2,FALSE)</f>
        <v>other</v>
      </c>
      <c r="E1318" s="3" t="str">
        <f>VLOOKUP(C1318,layoffs_location!A:C,3,FALSE)</f>
        <v>Illinois</v>
      </c>
      <c r="F1318" s="3" t="str">
        <f>VLOOKUP(C1318,layoffs_location!A:D,4,FALSE)</f>
        <v>USA</v>
      </c>
      <c r="G1318" s="3" t="str">
        <f>VLOOKUP(C1318,layoffs_location!A:E,5,FALSE)</f>
        <v>North America</v>
      </c>
      <c r="H1318" s="3">
        <v>150</v>
      </c>
      <c r="I1318" s="8">
        <v>45161</v>
      </c>
      <c r="J1318" s="9">
        <v>30</v>
      </c>
      <c r="K1318" s="10">
        <v>500</v>
      </c>
      <c r="L1318" s="10">
        <v>350</v>
      </c>
      <c r="M1318" s="3" t="s">
        <v>84</v>
      </c>
      <c r="N1318" s="3" t="s">
        <v>49</v>
      </c>
      <c r="O1318" s="34">
        <v>220</v>
      </c>
      <c r="P1318" s="3">
        <v>2023</v>
      </c>
      <c r="Q1318" s="3">
        <f>VLOOKUP(C1318,layoffs_location!A:F,6,FALSE)</f>
        <v>41.875561599999997</v>
      </c>
      <c r="R1318" s="3">
        <f>VLOOKUP(C1318,layoffs_location!A:G,7,FALSE)</f>
        <v>-87.6244212</v>
      </c>
    </row>
    <row r="1319" spans="1:18" x14ac:dyDescent="0.2">
      <c r="A1319" s="3">
        <v>1318</v>
      </c>
      <c r="B1319" s="3" t="s">
        <v>161</v>
      </c>
      <c r="C1319" s="3" t="s">
        <v>76</v>
      </c>
      <c r="D1319" s="3" t="str">
        <f>VLOOKUP(C1319,layoffs_location!A:B,2,FALSE)</f>
        <v>other</v>
      </c>
      <c r="E1319" s="3" t="str">
        <f>VLOOKUP(C1319,layoffs_location!A:C,3,FALSE)</f>
        <v>California</v>
      </c>
      <c r="F1319" s="3" t="str">
        <f>VLOOKUP(C1319,layoffs_location!A:D,4,FALSE)</f>
        <v>USA</v>
      </c>
      <c r="G1319" s="3" t="str">
        <f>VLOOKUP(C1319,layoffs_location!A:E,5,FALSE)</f>
        <v>North America</v>
      </c>
      <c r="H1319" s="3">
        <v>95</v>
      </c>
      <c r="I1319" s="8">
        <v>45161</v>
      </c>
      <c r="J1319" s="9">
        <v>5</v>
      </c>
      <c r="K1319" s="10">
        <v>1900</v>
      </c>
      <c r="L1319" s="10">
        <v>1805</v>
      </c>
      <c r="M1319" s="3" t="s">
        <v>35</v>
      </c>
      <c r="N1319" s="3" t="s">
        <v>28</v>
      </c>
      <c r="O1319" s="34">
        <v>220</v>
      </c>
      <c r="P1319" s="3">
        <v>2023</v>
      </c>
      <c r="Q1319" s="3">
        <f>VLOOKUP(C1319,layoffs_location!A:F,6,FALSE)</f>
        <v>34.053690899999999</v>
      </c>
      <c r="R1319" s="3">
        <f>VLOOKUP(C1319,layoffs_location!A:G,7,FALSE)</f>
        <v>-118.242766</v>
      </c>
    </row>
    <row r="1320" spans="1:18" x14ac:dyDescent="0.2">
      <c r="A1320" s="3">
        <v>1319</v>
      </c>
      <c r="B1320" s="3" t="s">
        <v>158</v>
      </c>
      <c r="C1320" s="3" t="s">
        <v>159</v>
      </c>
      <c r="D1320" s="3" t="str">
        <f>VLOOKUP(C1320,layoffs_location!A:B,2,FALSE)</f>
        <v>other</v>
      </c>
      <c r="E1320" s="3" t="str">
        <f>VLOOKUP(C1320,layoffs_location!A:C,3,FALSE)</f>
        <v>non</v>
      </c>
      <c r="F1320" s="3" t="str">
        <f>VLOOKUP(C1320,layoffs_location!A:D,4,FALSE)</f>
        <v>Estonia</v>
      </c>
      <c r="G1320" s="3" t="str">
        <f>VLOOKUP(C1320,layoffs_location!A:E,5,FALSE)</f>
        <v>Europe</v>
      </c>
      <c r="H1320" s="3">
        <v>101</v>
      </c>
      <c r="I1320" s="8">
        <v>45161</v>
      </c>
      <c r="J1320" s="9">
        <v>21</v>
      </c>
      <c r="K1320" s="10">
        <v>481</v>
      </c>
      <c r="L1320" s="10">
        <v>380</v>
      </c>
      <c r="M1320" s="3" t="s">
        <v>139</v>
      </c>
      <c r="N1320" s="3" t="s">
        <v>41</v>
      </c>
      <c r="O1320" s="34">
        <v>192</v>
      </c>
      <c r="P1320" s="3">
        <v>2023</v>
      </c>
      <c r="Q1320" s="3">
        <f>VLOOKUP(C1320,layoffs_location!A:F,6,FALSE)</f>
        <v>59.437215500000001</v>
      </c>
      <c r="R1320" s="3">
        <f>VLOOKUP(C1320,layoffs_location!A:G,7,FALSE)</f>
        <v>24.745368800000001</v>
      </c>
    </row>
    <row r="1321" spans="1:18" x14ac:dyDescent="0.2">
      <c r="A1321" s="3">
        <v>1320</v>
      </c>
      <c r="B1321" s="3" t="s">
        <v>156</v>
      </c>
      <c r="C1321" s="3" t="s">
        <v>1370</v>
      </c>
      <c r="D1321" s="3" t="str">
        <f>VLOOKUP(C1321,layoffs_location!A:B,2,FALSE)</f>
        <v>San Francisco Bay Area</v>
      </c>
      <c r="E1321" s="3" t="str">
        <f>VLOOKUP(C1321,layoffs_location!A:C,3,FALSE)</f>
        <v>California</v>
      </c>
      <c r="F1321" s="3" t="str">
        <f>VLOOKUP(C1321,layoffs_location!A:D,4,FALSE)</f>
        <v>USA</v>
      </c>
      <c r="G1321" s="3" t="str">
        <f>VLOOKUP(C1321,layoffs_location!A:E,5,FALSE)</f>
        <v>North America</v>
      </c>
      <c r="H1321" s="3">
        <v>8</v>
      </c>
      <c r="I1321" s="8">
        <v>45162</v>
      </c>
      <c r="J1321" s="9">
        <v>3</v>
      </c>
      <c r="K1321" s="10">
        <v>267</v>
      </c>
      <c r="L1321" s="10">
        <v>259</v>
      </c>
      <c r="M1321" s="3" t="s">
        <v>130</v>
      </c>
      <c r="N1321" s="3" t="s">
        <v>22</v>
      </c>
      <c r="O1321" s="34">
        <v>4</v>
      </c>
      <c r="P1321" s="3">
        <v>2023</v>
      </c>
      <c r="Q1321" s="3">
        <f>VLOOKUP(C1321,layoffs_location!A:F,6,FALSE)</f>
        <v>37.779258800000001</v>
      </c>
      <c r="R1321" s="3">
        <f>VLOOKUP(C1321,layoffs_location!A:G,7,FALSE)</f>
        <v>-122.4193286</v>
      </c>
    </row>
    <row r="1322" spans="1:18" x14ac:dyDescent="0.2">
      <c r="A1322" s="3">
        <v>1321</v>
      </c>
      <c r="B1322" s="3" t="s">
        <v>153</v>
      </c>
      <c r="C1322" s="3" t="s">
        <v>154</v>
      </c>
      <c r="D1322" s="3" t="str">
        <f>VLOOKUP(C1322,layoffs_location!A:B,2,FALSE)</f>
        <v>other</v>
      </c>
      <c r="E1322" s="3" t="str">
        <f>VLOOKUP(C1322,layoffs_location!A:C,3,FALSE)</f>
        <v>Illinois</v>
      </c>
      <c r="F1322" s="3" t="str">
        <f>VLOOKUP(C1322,layoffs_location!A:D,4,FALSE)</f>
        <v>USA</v>
      </c>
      <c r="G1322" s="3" t="str">
        <f>VLOOKUP(C1322,layoffs_location!A:E,5,FALSE)</f>
        <v>North America</v>
      </c>
      <c r="H1322" s="3">
        <v>700</v>
      </c>
      <c r="I1322" s="8">
        <v>45166</v>
      </c>
      <c r="J1322" s="9">
        <v>7</v>
      </c>
      <c r="K1322" s="10">
        <v>10000</v>
      </c>
      <c r="L1322" s="10">
        <v>9300</v>
      </c>
      <c r="M1322" s="3" t="s">
        <v>155</v>
      </c>
      <c r="N1322" s="3" t="s">
        <v>28</v>
      </c>
      <c r="P1322" s="3">
        <v>2023</v>
      </c>
      <c r="Q1322" s="3">
        <f>VLOOKUP(C1322,layoffs_location!A:F,6,FALSE)</f>
        <v>41.875561599999997</v>
      </c>
      <c r="R1322" s="3">
        <f>VLOOKUP(C1322,layoffs_location!A:G,7,FALSE)</f>
        <v>-87.6244212</v>
      </c>
    </row>
    <row r="1323" spans="1:18" x14ac:dyDescent="0.2">
      <c r="A1323" s="3">
        <v>1322</v>
      </c>
      <c r="B1323" s="17" t="s">
        <v>151</v>
      </c>
      <c r="C1323" s="17" t="s">
        <v>58</v>
      </c>
      <c r="D1323" s="3" t="str">
        <f>VLOOKUP(C1323,layoffs_location!A:B,2,FALSE)</f>
        <v>other</v>
      </c>
      <c r="E1323" s="3" t="str">
        <f>VLOOKUP(C1323,layoffs_location!A:C,3,FALSE)</f>
        <v>England</v>
      </c>
      <c r="F1323" s="3" t="str">
        <f>VLOOKUP(C1323,layoffs_location!A:D,4,FALSE)</f>
        <v>UK</v>
      </c>
      <c r="G1323" s="3" t="str">
        <f>VLOOKUP(C1323,layoffs_location!A:E,5,FALSE)</f>
        <v>Europe</v>
      </c>
      <c r="H1323" s="17">
        <v>45</v>
      </c>
      <c r="I1323" s="18">
        <v>45168</v>
      </c>
      <c r="J1323" s="19">
        <v>10</v>
      </c>
      <c r="K1323" s="20">
        <v>450</v>
      </c>
      <c r="L1323" s="20">
        <v>405</v>
      </c>
      <c r="M1323" s="17" t="s">
        <v>21</v>
      </c>
      <c r="N1323" s="17" t="s">
        <v>22</v>
      </c>
      <c r="O1323" s="35">
        <v>217</v>
      </c>
      <c r="P1323" s="3">
        <v>2023</v>
      </c>
      <c r="Q1323" s="3">
        <f>VLOOKUP(C1323,layoffs_location!A:F,6,FALSE)</f>
        <v>51.489333500000001</v>
      </c>
      <c r="R1323" s="3">
        <f>VLOOKUP(C1323,layoffs_location!A:G,7,FALSE)</f>
        <v>-0.14405508452768701</v>
      </c>
    </row>
    <row r="1324" spans="1:18" x14ac:dyDescent="0.2">
      <c r="A1324" s="3">
        <v>1323</v>
      </c>
      <c r="B1324" s="17" t="s">
        <v>150</v>
      </c>
      <c r="C1324" s="17" t="s">
        <v>56</v>
      </c>
      <c r="D1324" s="3" t="str">
        <f>VLOOKUP(C1324,layoffs_location!A:B,2,FALSE)</f>
        <v>other</v>
      </c>
      <c r="E1324" s="3" t="str">
        <f>VLOOKUP(C1324,layoffs_location!A:C,3,FALSE)</f>
        <v>Maharashtra</v>
      </c>
      <c r="F1324" s="3" t="str">
        <f>VLOOKUP(C1324,layoffs_location!A:D,4,FALSE)</f>
        <v>India</v>
      </c>
      <c r="G1324" s="3" t="str">
        <f>VLOOKUP(C1324,layoffs_location!A:E,5,FALSE)</f>
        <v>Asia</v>
      </c>
      <c r="H1324" s="17">
        <v>50</v>
      </c>
      <c r="I1324" s="18">
        <v>45168</v>
      </c>
      <c r="J1324" s="19">
        <v>20</v>
      </c>
      <c r="K1324" s="20">
        <v>250</v>
      </c>
      <c r="L1324" s="20">
        <v>200</v>
      </c>
      <c r="M1324" s="17" t="s">
        <v>21</v>
      </c>
      <c r="N1324" s="17" t="s">
        <v>69</v>
      </c>
      <c r="O1324" s="35">
        <v>14</v>
      </c>
      <c r="P1324" s="3">
        <v>2023</v>
      </c>
      <c r="Q1324" s="3">
        <f>VLOOKUP(C1324,layoffs_location!A:F,6,FALSE)</f>
        <v>19.078545099999999</v>
      </c>
      <c r="R1324" s="3">
        <f>VLOOKUP(C1324,layoffs_location!A:G,7,FALSE)</f>
        <v>72.878175999999996</v>
      </c>
    </row>
    <row r="1325" spans="1:18" x14ac:dyDescent="0.2">
      <c r="A1325" s="3">
        <v>1324</v>
      </c>
      <c r="B1325" s="17" t="s">
        <v>149</v>
      </c>
      <c r="C1325" s="17" t="s">
        <v>13</v>
      </c>
      <c r="D1325" s="3" t="str">
        <f>VLOOKUP(C1325,layoffs_location!A:B,2,FALSE)</f>
        <v>other</v>
      </c>
      <c r="E1325" s="3" t="str">
        <f>VLOOKUP(C1325,layoffs_location!A:C,3,FALSE)</f>
        <v>Karnataka</v>
      </c>
      <c r="F1325" s="3" t="str">
        <f>VLOOKUP(C1325,layoffs_location!A:D,4,FALSE)</f>
        <v>India</v>
      </c>
      <c r="G1325" s="3" t="str">
        <f>VLOOKUP(C1325,layoffs_location!A:E,5,FALSE)</f>
        <v>Asia</v>
      </c>
      <c r="H1325" s="17">
        <v>60</v>
      </c>
      <c r="I1325" s="18">
        <v>45168</v>
      </c>
      <c r="J1325" s="19">
        <v>35</v>
      </c>
      <c r="K1325" s="20">
        <v>171</v>
      </c>
      <c r="L1325" s="20">
        <v>111</v>
      </c>
      <c r="M1325" s="17" t="s">
        <v>30</v>
      </c>
      <c r="N1325" s="17" t="s">
        <v>33</v>
      </c>
      <c r="O1325" s="35">
        <v>10</v>
      </c>
      <c r="P1325" s="3">
        <v>2023</v>
      </c>
      <c r="Q1325" s="3">
        <f>VLOOKUP(C1325,layoffs_location!A:F,6,FALSE)</f>
        <v>12.98815675</v>
      </c>
      <c r="R1325" s="3">
        <f>VLOOKUP(C1325,layoffs_location!A:G,7,FALSE)</f>
        <v>77.622600037959998</v>
      </c>
    </row>
    <row r="1326" spans="1:18" x14ac:dyDescent="0.2">
      <c r="A1326" s="3">
        <v>1325</v>
      </c>
      <c r="B1326" s="17" t="s">
        <v>152</v>
      </c>
      <c r="C1326" s="17" t="s">
        <v>1370</v>
      </c>
      <c r="D1326" s="3" t="str">
        <f>VLOOKUP(C1326,layoffs_location!A:B,2,FALSE)</f>
        <v>San Francisco Bay Area</v>
      </c>
      <c r="E1326" s="3" t="str">
        <f>VLOOKUP(C1326,layoffs_location!A:C,3,FALSE)</f>
        <v>California</v>
      </c>
      <c r="F1326" s="3" t="str">
        <f>VLOOKUP(C1326,layoffs_location!A:D,4,FALSE)</f>
        <v>USA</v>
      </c>
      <c r="G1326" s="3" t="str">
        <f>VLOOKUP(C1326,layoffs_location!A:E,5,FALSE)</f>
        <v>North America</v>
      </c>
      <c r="H1326" s="17">
        <v>37</v>
      </c>
      <c r="I1326" s="18">
        <v>45168</v>
      </c>
      <c r="J1326" s="19">
        <v>35</v>
      </c>
      <c r="K1326" s="20">
        <v>106</v>
      </c>
      <c r="L1326" s="20">
        <v>69</v>
      </c>
      <c r="M1326" s="17" t="s">
        <v>48</v>
      </c>
      <c r="N1326" s="17" t="s">
        <v>147</v>
      </c>
      <c r="O1326" s="35">
        <v>1</v>
      </c>
      <c r="P1326" s="3">
        <v>2023</v>
      </c>
      <c r="Q1326" s="3">
        <f>VLOOKUP(C1326,layoffs_location!A:F,6,FALSE)</f>
        <v>37.779258800000001</v>
      </c>
      <c r="R1326" s="3">
        <f>VLOOKUP(C1326,layoffs_location!A:G,7,FALSE)</f>
        <v>-122.4193286</v>
      </c>
    </row>
    <row r="1327" spans="1:18" x14ac:dyDescent="0.2">
      <c r="A1327" s="3">
        <v>1326</v>
      </c>
      <c r="B1327" s="17" t="s">
        <v>148</v>
      </c>
      <c r="C1327" s="3" t="s">
        <v>39</v>
      </c>
      <c r="D1327" s="3" t="str">
        <f>VLOOKUP(C1327,layoffs_location!A:B,2,FALSE)</f>
        <v>New York</v>
      </c>
      <c r="E1327" s="3" t="str">
        <f>VLOOKUP(C1327,layoffs_location!A:C,3,FALSE)</f>
        <v>New York</v>
      </c>
      <c r="F1327" s="3" t="str">
        <f>VLOOKUP(C1327,layoffs_location!A:D,4,FALSE)</f>
        <v>USA</v>
      </c>
      <c r="G1327" s="3" t="str">
        <f>VLOOKUP(C1327,layoffs_location!A:E,5,FALSE)</f>
        <v>North America</v>
      </c>
      <c r="H1327" s="17">
        <v>17</v>
      </c>
      <c r="I1327" s="18">
        <v>45173</v>
      </c>
      <c r="J1327" s="19">
        <v>14</v>
      </c>
      <c r="K1327" s="20">
        <v>121</v>
      </c>
      <c r="L1327" s="20">
        <v>104</v>
      </c>
      <c r="M1327" s="17" t="s">
        <v>32</v>
      </c>
      <c r="N1327" s="17" t="s">
        <v>108</v>
      </c>
      <c r="O1327" s="35">
        <v>149</v>
      </c>
      <c r="P1327" s="3">
        <v>2023</v>
      </c>
      <c r="Q1327" s="3">
        <f>VLOOKUP(C1327,layoffs_location!A:F,6,FALSE)</f>
        <v>40.7127281</v>
      </c>
      <c r="R1327" s="3">
        <f>VLOOKUP(C1327,layoffs_location!A:G,7,FALSE)</f>
        <v>-74.006015199999993</v>
      </c>
    </row>
    <row r="1328" spans="1:18" x14ac:dyDescent="0.2">
      <c r="A1328" s="3">
        <v>1327</v>
      </c>
      <c r="B1328" s="17" t="s">
        <v>144</v>
      </c>
      <c r="C1328" s="17" t="s">
        <v>145</v>
      </c>
      <c r="D1328" s="3" t="str">
        <f>VLOOKUP(C1328,layoffs_location!A:B,2,FALSE)</f>
        <v>Cascadia</v>
      </c>
      <c r="E1328" s="3" t="str">
        <f>VLOOKUP(C1328,layoffs_location!A:C,3,FALSE)</f>
        <v>Oregon</v>
      </c>
      <c r="F1328" s="3" t="str">
        <f>VLOOKUP(C1328,layoffs_location!A:D,4,FALSE)</f>
        <v>USA</v>
      </c>
      <c r="G1328" s="3" t="str">
        <f>VLOOKUP(C1328,layoffs_location!A:E,5,FALSE)</f>
        <v>North America</v>
      </c>
      <c r="H1328" s="17">
        <v>30</v>
      </c>
      <c r="I1328" s="18">
        <v>45174</v>
      </c>
      <c r="J1328" s="19">
        <v>15</v>
      </c>
      <c r="K1328" s="20">
        <v>200</v>
      </c>
      <c r="L1328" s="20">
        <v>170</v>
      </c>
      <c r="M1328" s="17" t="s">
        <v>21</v>
      </c>
      <c r="N1328" s="17" t="s">
        <v>28</v>
      </c>
      <c r="O1328" s="35">
        <v>238</v>
      </c>
      <c r="P1328" s="7">
        <v>2024</v>
      </c>
      <c r="Q1328" s="3">
        <f>VLOOKUP(C1328,layoffs_location!A:F,6,FALSE)</f>
        <v>45.520247099999999</v>
      </c>
      <c r="R1328" s="3">
        <f>VLOOKUP(C1328,layoffs_location!A:G,7,FALSE)</f>
        <v>-122.674194</v>
      </c>
    </row>
    <row r="1329" spans="1:18" x14ac:dyDescent="0.2">
      <c r="A1329" s="3">
        <v>1328</v>
      </c>
      <c r="B1329" s="17" t="s">
        <v>146</v>
      </c>
      <c r="C1329" s="17" t="s">
        <v>39</v>
      </c>
      <c r="D1329" s="3" t="str">
        <f>VLOOKUP(C1329,layoffs_location!A:B,2,FALSE)</f>
        <v>New York</v>
      </c>
      <c r="E1329" s="3" t="str">
        <f>VLOOKUP(C1329,layoffs_location!A:C,3,FALSE)</f>
        <v>New York</v>
      </c>
      <c r="F1329" s="3" t="str">
        <f>VLOOKUP(C1329,layoffs_location!A:D,4,FALSE)</f>
        <v>USA</v>
      </c>
      <c r="G1329" s="3" t="str">
        <f>VLOOKUP(C1329,layoffs_location!A:E,5,FALSE)</f>
        <v>North America</v>
      </c>
      <c r="H1329" s="17">
        <v>24</v>
      </c>
      <c r="I1329" s="18">
        <v>45174</v>
      </c>
      <c r="J1329" s="19">
        <v>20</v>
      </c>
      <c r="K1329" s="20">
        <v>120</v>
      </c>
      <c r="L1329" s="20">
        <v>96</v>
      </c>
      <c r="M1329" s="17" t="s">
        <v>30</v>
      </c>
      <c r="N1329" s="17" t="s">
        <v>147</v>
      </c>
      <c r="O1329" s="35">
        <v>40</v>
      </c>
      <c r="P1329" s="3">
        <v>2023</v>
      </c>
      <c r="Q1329" s="3">
        <f>VLOOKUP(C1329,layoffs_location!A:F,6,FALSE)</f>
        <v>40.7127281</v>
      </c>
      <c r="R1329" s="3">
        <f>VLOOKUP(C1329,layoffs_location!A:G,7,FALSE)</f>
        <v>-74.006015199999993</v>
      </c>
    </row>
    <row r="1330" spans="1:18" x14ac:dyDescent="0.2">
      <c r="A1330" s="3">
        <v>1329</v>
      </c>
      <c r="B1330" s="17" t="s">
        <v>143</v>
      </c>
      <c r="C1330" s="3" t="s">
        <v>1694</v>
      </c>
      <c r="D1330" s="3" t="str">
        <f>VLOOKUP(C1330,layoffs_location!A:B,2,FALSE)</f>
        <v>San Francisco Bay Area</v>
      </c>
      <c r="E1330" s="3" t="str">
        <f>VLOOKUP(C1330,layoffs_location!A:C,3,FALSE)</f>
        <v>California</v>
      </c>
      <c r="F1330" s="3" t="str">
        <f>VLOOKUP(C1330,layoffs_location!A:D,4,FALSE)</f>
        <v>USA</v>
      </c>
      <c r="G1330" s="3" t="str">
        <f>VLOOKUP(C1330,layoffs_location!A:E,5,FALSE)</f>
        <v>North America</v>
      </c>
      <c r="H1330" s="17">
        <v>360</v>
      </c>
      <c r="I1330" s="18">
        <v>45175</v>
      </c>
      <c r="J1330" s="19">
        <v>10</v>
      </c>
      <c r="K1330" s="20">
        <v>3600</v>
      </c>
      <c r="L1330" s="20">
        <v>3240</v>
      </c>
      <c r="M1330" s="17" t="s">
        <v>54</v>
      </c>
      <c r="N1330" s="17" t="s">
        <v>28</v>
      </c>
      <c r="O1330" s="35">
        <v>208</v>
      </c>
      <c r="P1330" s="3">
        <v>2023</v>
      </c>
      <c r="Q1330" s="3">
        <f>VLOOKUP(C1330,layoffs_location!A:F,6,FALSE)</f>
        <v>37.336166300000002</v>
      </c>
      <c r="R1330" s="3">
        <f>VLOOKUP(C1330,layoffs_location!A:G,7,FALSE)</f>
        <v>-121.890591</v>
      </c>
    </row>
    <row r="1331" spans="1:18" x14ac:dyDescent="0.2">
      <c r="A1331" s="3">
        <v>1330</v>
      </c>
      <c r="B1331" s="17" t="s">
        <v>142</v>
      </c>
      <c r="C1331" s="3" t="s">
        <v>71</v>
      </c>
      <c r="D1331" s="3" t="str">
        <f>VLOOKUP(C1331,layoffs_location!A:B,2,FALSE)</f>
        <v>other</v>
      </c>
      <c r="E1331" s="3" t="str">
        <f>VLOOKUP(C1331,layoffs_location!A:C,3,FALSE)</f>
        <v>Massachusetts</v>
      </c>
      <c r="F1331" s="3" t="str">
        <f>VLOOKUP(C1331,layoffs_location!A:D,4,FALSE)</f>
        <v>USA</v>
      </c>
      <c r="G1331" s="3" t="str">
        <f>VLOOKUP(C1331,layoffs_location!A:E,5,FALSE)</f>
        <v>North America</v>
      </c>
      <c r="H1331" s="17">
        <v>100</v>
      </c>
      <c r="I1331" s="18">
        <v>45176</v>
      </c>
      <c r="J1331" s="19">
        <v>25</v>
      </c>
      <c r="K1331" s="20">
        <v>400</v>
      </c>
      <c r="L1331" s="20">
        <v>300</v>
      </c>
      <c r="M1331" s="17" t="s">
        <v>130</v>
      </c>
      <c r="N1331" s="17" t="s">
        <v>33</v>
      </c>
      <c r="O1331" s="35">
        <v>107</v>
      </c>
      <c r="P1331" s="3">
        <v>2023</v>
      </c>
      <c r="Q1331" s="3">
        <f>VLOOKUP(C1331,layoffs_location!A:F,6,FALSE)</f>
        <v>42.355433400000003</v>
      </c>
      <c r="R1331" s="3">
        <f>VLOOKUP(C1331,layoffs_location!A:G,7,FALSE)</f>
        <v>-71.060511000000005</v>
      </c>
    </row>
    <row r="1332" spans="1:18" x14ac:dyDescent="0.2">
      <c r="A1332" s="3">
        <v>1331</v>
      </c>
      <c r="B1332" s="17" t="s">
        <v>140</v>
      </c>
      <c r="C1332" s="3" t="s">
        <v>1714</v>
      </c>
      <c r="D1332" s="3" t="str">
        <f>VLOOKUP(C1332,layoffs_location!A:B,2,FALSE)</f>
        <v>San Francisco Bay Area</v>
      </c>
      <c r="E1332" s="3" t="str">
        <f>VLOOKUP(C1332,layoffs_location!A:C,3,FALSE)</f>
        <v>California</v>
      </c>
      <c r="F1332" s="3" t="str">
        <f>VLOOKUP(C1332,layoffs_location!A:D,4,FALSE)</f>
        <v>USA</v>
      </c>
      <c r="G1332" s="3" t="str">
        <f>VLOOKUP(C1332,layoffs_location!A:E,5,FALSE)</f>
        <v>North America</v>
      </c>
      <c r="H1332" s="17">
        <v>100</v>
      </c>
      <c r="I1332" s="18">
        <v>45180</v>
      </c>
      <c r="J1332" s="19">
        <v>10</v>
      </c>
      <c r="K1332" s="20">
        <v>1000</v>
      </c>
      <c r="L1332" s="20">
        <v>900</v>
      </c>
      <c r="M1332" s="17" t="s">
        <v>35</v>
      </c>
      <c r="N1332" s="17" t="s">
        <v>17</v>
      </c>
      <c r="O1332" s="35">
        <v>468</v>
      </c>
      <c r="P1332" s="3">
        <v>2023</v>
      </c>
      <c r="Q1332" s="3">
        <f>VLOOKUP(C1332,layoffs_location!A:F,6,FALSE)</f>
        <v>37.773972000000001</v>
      </c>
      <c r="R1332" s="3">
        <f>VLOOKUP(C1332,layoffs_location!A:G,7,FALSE)</f>
        <v>-122.431297</v>
      </c>
    </row>
    <row r="1333" spans="1:18" x14ac:dyDescent="0.2">
      <c r="A1333" s="3">
        <v>1332</v>
      </c>
      <c r="B1333" s="17" t="s">
        <v>141</v>
      </c>
      <c r="C1333" s="3" t="s">
        <v>1716</v>
      </c>
      <c r="D1333" s="3" t="str">
        <f>VLOOKUP(C1333,layoffs_location!A:B,2,FALSE)</f>
        <v>San Francisco Bay Area</v>
      </c>
      <c r="E1333" s="3" t="str">
        <f>VLOOKUP(C1333,layoffs_location!A:C,3,FALSE)</f>
        <v>California</v>
      </c>
      <c r="F1333" s="3" t="str">
        <f>VLOOKUP(C1333,layoffs_location!A:D,4,FALSE)</f>
        <v>USA</v>
      </c>
      <c r="G1333" s="3" t="str">
        <f>VLOOKUP(C1333,layoffs_location!A:E,5,FALSE)</f>
        <v>North America</v>
      </c>
      <c r="H1333" s="17">
        <v>34</v>
      </c>
      <c r="I1333" s="18">
        <v>45180</v>
      </c>
      <c r="J1333" s="19">
        <v>40</v>
      </c>
      <c r="K1333" s="20">
        <v>85</v>
      </c>
      <c r="L1333" s="20">
        <v>51</v>
      </c>
      <c r="M1333" s="17" t="s">
        <v>77</v>
      </c>
      <c r="N1333" s="17" t="s">
        <v>22</v>
      </c>
      <c r="O1333" s="35">
        <v>94</v>
      </c>
      <c r="P1333" s="3">
        <v>2023</v>
      </c>
      <c r="Q1333" s="3">
        <f>VLOOKUP(C1333,layoffs_location!A:F,6,FALSE)</f>
        <v>37.8708393</v>
      </c>
      <c r="R1333" s="3">
        <f>VLOOKUP(C1333,layoffs_location!A:G,7,FALSE)</f>
        <v>-122.272863</v>
      </c>
    </row>
    <row r="1334" spans="1:18" x14ac:dyDescent="0.2">
      <c r="A1334" s="3">
        <v>1333</v>
      </c>
      <c r="B1334" s="17" t="s">
        <v>138</v>
      </c>
      <c r="C1334" s="17" t="s">
        <v>1370</v>
      </c>
      <c r="D1334" s="3" t="str">
        <f>VLOOKUP(C1334,layoffs_location!A:B,2,FALSE)</f>
        <v>San Francisco Bay Area</v>
      </c>
      <c r="E1334" s="3" t="str">
        <f>VLOOKUP(C1334,layoffs_location!A:C,3,FALSE)</f>
        <v>California</v>
      </c>
      <c r="F1334" s="3" t="str">
        <f>VLOOKUP(C1334,layoffs_location!A:D,4,FALSE)</f>
        <v>USA</v>
      </c>
      <c r="G1334" s="3" t="str">
        <f>VLOOKUP(C1334,layoffs_location!A:E,5,FALSE)</f>
        <v>North America</v>
      </c>
      <c r="H1334" s="17">
        <v>27</v>
      </c>
      <c r="I1334" s="18">
        <v>45181</v>
      </c>
      <c r="J1334" s="19">
        <v>9</v>
      </c>
      <c r="K1334" s="20">
        <v>300</v>
      </c>
      <c r="L1334" s="20">
        <v>273</v>
      </c>
      <c r="M1334" s="17" t="s">
        <v>139</v>
      </c>
      <c r="N1334" s="17" t="s">
        <v>22</v>
      </c>
      <c r="O1334" s="35">
        <v>296</v>
      </c>
      <c r="P1334" s="3">
        <v>2023</v>
      </c>
      <c r="Q1334" s="3">
        <f>VLOOKUP(C1334,layoffs_location!A:F,6,FALSE)</f>
        <v>37.779258800000001</v>
      </c>
      <c r="R1334" s="3">
        <f>VLOOKUP(C1334,layoffs_location!A:G,7,FALSE)</f>
        <v>-122.4193286</v>
      </c>
    </row>
    <row r="1335" spans="1:18" x14ac:dyDescent="0.2">
      <c r="A1335" s="3">
        <v>1334</v>
      </c>
      <c r="B1335" s="17" t="s">
        <v>131</v>
      </c>
      <c r="C1335" s="17" t="s">
        <v>132</v>
      </c>
      <c r="D1335" s="3" t="str">
        <f>VLOOKUP(C1335,layoffs_location!A:B,2,FALSE)</f>
        <v>other</v>
      </c>
      <c r="E1335" s="3" t="str">
        <f>VLOOKUP(C1335,layoffs_location!A:C,3,FALSE)</f>
        <v>Colorado</v>
      </c>
      <c r="F1335" s="3" t="str">
        <f>VLOOKUP(C1335,layoffs_location!A:D,4,FALSE)</f>
        <v>USA</v>
      </c>
      <c r="G1335" s="3" t="str">
        <f>VLOOKUP(C1335,layoffs_location!A:E,5,FALSE)</f>
        <v>North America</v>
      </c>
      <c r="H1335" s="17">
        <v>175</v>
      </c>
      <c r="I1335" s="18">
        <v>45181</v>
      </c>
      <c r="J1335" s="19">
        <v>20</v>
      </c>
      <c r="K1335" s="20">
        <v>875</v>
      </c>
      <c r="L1335" s="20">
        <v>700</v>
      </c>
      <c r="M1335" s="17" t="s">
        <v>72</v>
      </c>
      <c r="N1335" s="17" t="s">
        <v>63</v>
      </c>
      <c r="O1335" s="35">
        <v>224</v>
      </c>
      <c r="P1335" s="3">
        <v>2023</v>
      </c>
      <c r="Q1335" s="3">
        <f>VLOOKUP(C1335,layoffs_location!A:F,6,FALSE)</f>
        <v>39.739236400000003</v>
      </c>
      <c r="R1335" s="3">
        <f>VLOOKUP(C1335,layoffs_location!A:G,7,FALSE)</f>
        <v>-104.98486200000001</v>
      </c>
    </row>
    <row r="1336" spans="1:18" x14ac:dyDescent="0.2">
      <c r="A1336" s="3">
        <v>1335</v>
      </c>
      <c r="B1336" s="17" t="s">
        <v>134</v>
      </c>
      <c r="C1336" s="17" t="s">
        <v>135</v>
      </c>
      <c r="D1336" s="3" t="str">
        <f>VLOOKUP(C1336,layoffs_location!A:B,2,FALSE)</f>
        <v>other</v>
      </c>
      <c r="E1336" s="3" t="str">
        <f>VLOOKUP(C1336,layoffs_location!A:C,3,FALSE)</f>
        <v>Berlin</v>
      </c>
      <c r="F1336" s="3" t="str">
        <f>VLOOKUP(C1336,layoffs_location!A:D,4,FALSE)</f>
        <v>Germany</v>
      </c>
      <c r="G1336" s="3" t="str">
        <f>VLOOKUP(C1336,layoffs_location!A:E,5,FALSE)</f>
        <v>Europe</v>
      </c>
      <c r="H1336" s="17">
        <v>40</v>
      </c>
      <c r="I1336" s="18">
        <v>45181</v>
      </c>
      <c r="J1336" s="19">
        <v>20</v>
      </c>
      <c r="K1336" s="20">
        <v>200</v>
      </c>
      <c r="L1336" s="20">
        <v>160</v>
      </c>
      <c r="M1336" s="17" t="s">
        <v>137</v>
      </c>
      <c r="N1336" s="17" t="s">
        <v>22</v>
      </c>
      <c r="O1336" s="35">
        <v>71</v>
      </c>
      <c r="P1336" s="3">
        <v>2023</v>
      </c>
      <c r="Q1336" s="3">
        <f>VLOOKUP(C1336,layoffs_location!A:F,6,FALSE)</f>
        <v>52.517036500000003</v>
      </c>
      <c r="R1336" s="3">
        <f>VLOOKUP(C1336,layoffs_location!A:G,7,FALSE)</f>
        <v>13.3888599</v>
      </c>
    </row>
    <row r="1337" spans="1:18" x14ac:dyDescent="0.2">
      <c r="A1337" s="3">
        <v>1336</v>
      </c>
      <c r="B1337" s="17" t="s">
        <v>133</v>
      </c>
      <c r="C1337" s="17" t="s">
        <v>115</v>
      </c>
      <c r="D1337" s="3" t="str">
        <f>VLOOKUP(C1337,layoffs_location!A:B,2,FALSE)</f>
        <v>other</v>
      </c>
      <c r="E1337" s="3" t="str">
        <f>VLOOKUP(C1337,layoffs_location!A:C,3,FALSE)</f>
        <v>Quebec</v>
      </c>
      <c r="F1337" s="3" t="str">
        <f>VLOOKUP(C1337,layoffs_location!A:D,4,FALSE)</f>
        <v>Canada</v>
      </c>
      <c r="G1337" s="3" t="str">
        <f>VLOOKUP(C1337,layoffs_location!A:E,5,FALSE)</f>
        <v>North America</v>
      </c>
      <c r="H1337" s="17">
        <v>87</v>
      </c>
      <c r="I1337" s="18">
        <v>45181</v>
      </c>
      <c r="J1337" s="19">
        <v>3</v>
      </c>
      <c r="K1337" s="20">
        <v>2900</v>
      </c>
      <c r="L1337" s="20">
        <v>2813</v>
      </c>
      <c r="M1337" s="17" t="s">
        <v>68</v>
      </c>
      <c r="N1337" s="17" t="s">
        <v>108</v>
      </c>
      <c r="O1337" s="35">
        <v>389</v>
      </c>
      <c r="P1337" s="3">
        <v>2023</v>
      </c>
      <c r="Q1337" s="3">
        <f>VLOOKUP(C1337,layoffs_location!A:F,6,FALSE)</f>
        <v>45.5031824</v>
      </c>
      <c r="R1337" s="3">
        <f>VLOOKUP(C1337,layoffs_location!A:G,7,FALSE)</f>
        <v>-73.569806499999999</v>
      </c>
    </row>
    <row r="1338" spans="1:18" x14ac:dyDescent="0.2">
      <c r="A1338" s="3">
        <v>1337</v>
      </c>
      <c r="B1338" s="17" t="s">
        <v>128</v>
      </c>
      <c r="C1338" s="3" t="s">
        <v>1370</v>
      </c>
      <c r="D1338" s="3" t="str">
        <f>VLOOKUP(C1338,layoffs_location!A:B,2,FALSE)</f>
        <v>San Francisco Bay Area</v>
      </c>
      <c r="E1338" s="3" t="str">
        <f>VLOOKUP(C1338,layoffs_location!A:C,3,FALSE)</f>
        <v>California</v>
      </c>
      <c r="F1338" s="3" t="str">
        <f>VLOOKUP(C1338,layoffs_location!A:D,4,FALSE)</f>
        <v>USA</v>
      </c>
      <c r="G1338" s="3" t="str">
        <f>VLOOKUP(C1338,layoffs_location!A:E,5,FALSE)</f>
        <v>North America</v>
      </c>
      <c r="H1338" s="17">
        <v>237</v>
      </c>
      <c r="I1338" s="18">
        <v>45183</v>
      </c>
      <c r="J1338" s="19">
        <v>27</v>
      </c>
      <c r="K1338" s="20">
        <v>878</v>
      </c>
      <c r="L1338" s="20">
        <v>641</v>
      </c>
      <c r="M1338" s="17" t="s">
        <v>48</v>
      </c>
      <c r="N1338" s="17" t="s">
        <v>63</v>
      </c>
      <c r="O1338" s="35">
        <v>1400</v>
      </c>
      <c r="P1338" s="3">
        <v>2023</v>
      </c>
      <c r="Q1338" s="3">
        <f>VLOOKUP(C1338,layoffs_location!A:F,6,FALSE)</f>
        <v>37.779258800000001</v>
      </c>
      <c r="R1338" s="3">
        <f>VLOOKUP(C1338,layoffs_location!A:G,7,FALSE)</f>
        <v>-122.4193286</v>
      </c>
    </row>
    <row r="1339" spans="1:18" x14ac:dyDescent="0.2">
      <c r="A1339" s="3">
        <v>1338</v>
      </c>
      <c r="B1339" s="17" t="s">
        <v>129</v>
      </c>
      <c r="C1339" s="17" t="s">
        <v>76</v>
      </c>
      <c r="D1339" s="3" t="str">
        <f>VLOOKUP(C1339,layoffs_location!A:B,2,FALSE)</f>
        <v>other</v>
      </c>
      <c r="E1339" s="3" t="str">
        <f>VLOOKUP(C1339,layoffs_location!A:C,3,FALSE)</f>
        <v>California</v>
      </c>
      <c r="F1339" s="3" t="str">
        <f>VLOOKUP(C1339,layoffs_location!A:D,4,FALSE)</f>
        <v>USA</v>
      </c>
      <c r="G1339" s="3" t="str">
        <f>VLOOKUP(C1339,layoffs_location!A:E,5,FALSE)</f>
        <v>North America</v>
      </c>
      <c r="H1339" s="17">
        <v>40</v>
      </c>
      <c r="I1339" s="18">
        <v>45183</v>
      </c>
      <c r="J1339" s="19">
        <v>10</v>
      </c>
      <c r="K1339" s="20">
        <v>400</v>
      </c>
      <c r="L1339" s="20">
        <v>360</v>
      </c>
      <c r="M1339" s="17" t="s">
        <v>130</v>
      </c>
      <c r="N1339" s="17" t="s">
        <v>63</v>
      </c>
      <c r="O1339" s="35">
        <v>456</v>
      </c>
      <c r="P1339" s="3">
        <v>2023</v>
      </c>
      <c r="Q1339" s="3">
        <f>VLOOKUP(C1339,layoffs_location!A:F,6,FALSE)</f>
        <v>34.053690899999999</v>
      </c>
      <c r="R1339" s="3">
        <f>VLOOKUP(C1339,layoffs_location!A:G,7,FALSE)</f>
        <v>-118.242766</v>
      </c>
    </row>
    <row r="1340" spans="1:18" x14ac:dyDescent="0.2">
      <c r="A1340" s="3">
        <v>1339</v>
      </c>
      <c r="B1340" s="17" t="s">
        <v>126</v>
      </c>
      <c r="C1340" s="17" t="s">
        <v>127</v>
      </c>
      <c r="D1340" s="3" t="str">
        <f>VLOOKUP(C1340,layoffs_location!A:B,2,FALSE)</f>
        <v>other</v>
      </c>
      <c r="E1340" s="3" t="str">
        <f>VLOOKUP(C1340,layoffs_location!A:C,3,FALSE)</f>
        <v>Saskatchewan</v>
      </c>
      <c r="F1340" s="3" t="str">
        <f>VLOOKUP(C1340,layoffs_location!A:D,4,FALSE)</f>
        <v>Canada</v>
      </c>
      <c r="G1340" s="3" t="str">
        <f>VLOOKUP(C1340,layoffs_location!A:E,5,FALSE)</f>
        <v>North America</v>
      </c>
      <c r="H1340" s="17">
        <v>30</v>
      </c>
      <c r="I1340" s="18">
        <v>45184</v>
      </c>
      <c r="J1340" s="19">
        <v>7</v>
      </c>
      <c r="K1340" s="20">
        <v>429</v>
      </c>
      <c r="L1340" s="20">
        <v>399</v>
      </c>
      <c r="M1340" s="17" t="s">
        <v>77</v>
      </c>
      <c r="N1340" s="17" t="s">
        <v>41</v>
      </c>
      <c r="O1340" s="35">
        <v>131</v>
      </c>
      <c r="P1340" s="3">
        <v>2023</v>
      </c>
      <c r="Q1340" s="3">
        <f>VLOOKUP(C1340,layoffs_location!A:F,6,FALSE)</f>
        <v>52.131802</v>
      </c>
      <c r="R1340" s="3">
        <f>VLOOKUP(C1340,layoffs_location!A:G,7,FALSE)</f>
        <v>-106.66076700000001</v>
      </c>
    </row>
    <row r="1341" spans="1:18" x14ac:dyDescent="0.2">
      <c r="A1341" s="3">
        <v>1340</v>
      </c>
      <c r="B1341" s="17" t="s">
        <v>125</v>
      </c>
      <c r="C1341" s="3" t="s">
        <v>113</v>
      </c>
      <c r="D1341" s="3" t="str">
        <f>VLOOKUP(C1341,layoffs_location!A:B,2,FALSE)</f>
        <v>other</v>
      </c>
      <c r="E1341" s="3" t="str">
        <f>VLOOKUP(C1341,layoffs_location!A:C,3,FALSE)</f>
        <v>Utah</v>
      </c>
      <c r="F1341" s="3" t="str">
        <f>VLOOKUP(C1341,layoffs_location!A:D,4,FALSE)</f>
        <v>USA</v>
      </c>
      <c r="G1341" s="3" t="str">
        <f>VLOOKUP(C1341,layoffs_location!A:E,5,FALSE)</f>
        <v>North America</v>
      </c>
      <c r="H1341" s="17">
        <v>75</v>
      </c>
      <c r="I1341" s="18">
        <v>45194</v>
      </c>
      <c r="J1341" s="19">
        <v>7</v>
      </c>
      <c r="K1341" s="20">
        <v>1071</v>
      </c>
      <c r="L1341" s="20">
        <v>996</v>
      </c>
      <c r="M1341" s="17" t="s">
        <v>60</v>
      </c>
      <c r="N1341" s="17" t="s">
        <v>36</v>
      </c>
      <c r="O1341" s="35">
        <v>170</v>
      </c>
      <c r="P1341" s="3">
        <v>2023</v>
      </c>
      <c r="Q1341" s="3">
        <f>VLOOKUP(C1341,layoffs_location!A:F,6,FALSE)</f>
        <v>40.759619800000003</v>
      </c>
      <c r="R1341" s="3">
        <f>VLOOKUP(C1341,layoffs_location!A:G,7,FALSE)</f>
        <v>-111.886797</v>
      </c>
    </row>
    <row r="1342" spans="1:18" x14ac:dyDescent="0.2">
      <c r="A1342" s="3">
        <v>1341</v>
      </c>
      <c r="B1342" s="17" t="s">
        <v>123</v>
      </c>
      <c r="C1342" s="17" t="s">
        <v>13</v>
      </c>
      <c r="D1342" s="3" t="str">
        <f>VLOOKUP(C1342,layoffs_location!A:B,2,FALSE)</f>
        <v>other</v>
      </c>
      <c r="E1342" s="3" t="str">
        <f>VLOOKUP(C1342,layoffs_location!A:C,3,FALSE)</f>
        <v>Karnataka</v>
      </c>
      <c r="F1342" s="3" t="str">
        <f>VLOOKUP(C1342,layoffs_location!A:D,4,FALSE)</f>
        <v>India</v>
      </c>
      <c r="G1342" s="3" t="str">
        <f>VLOOKUP(C1342,layoffs_location!A:E,5,FALSE)</f>
        <v>Asia</v>
      </c>
      <c r="H1342" s="17">
        <v>150</v>
      </c>
      <c r="I1342" s="18">
        <v>45195</v>
      </c>
      <c r="J1342" s="19">
        <v>30</v>
      </c>
      <c r="K1342" s="20">
        <v>500</v>
      </c>
      <c r="L1342" s="20">
        <v>350</v>
      </c>
      <c r="M1342" s="17" t="s">
        <v>77</v>
      </c>
      <c r="N1342" s="17" t="s">
        <v>22</v>
      </c>
      <c r="O1342" s="35">
        <v>458</v>
      </c>
      <c r="P1342" s="3">
        <v>2023</v>
      </c>
      <c r="Q1342" s="3">
        <f>VLOOKUP(C1342,layoffs_location!A:F,6,FALSE)</f>
        <v>12.98815675</v>
      </c>
      <c r="R1342" s="3">
        <f>VLOOKUP(C1342,layoffs_location!A:G,7,FALSE)</f>
        <v>77.622600037959998</v>
      </c>
    </row>
    <row r="1343" spans="1:18" x14ac:dyDescent="0.2">
      <c r="A1343" s="3">
        <v>1342</v>
      </c>
      <c r="B1343" s="17" t="s">
        <v>124</v>
      </c>
      <c r="C1343" s="17" t="s">
        <v>43</v>
      </c>
      <c r="D1343" s="3" t="str">
        <f>VLOOKUP(C1343,layoffs_location!A:B,2,FALSE)</f>
        <v>Cascadia</v>
      </c>
      <c r="E1343" s="3" t="str">
        <f>VLOOKUP(C1343,layoffs_location!A:C,3,FALSE)</f>
        <v>Washington</v>
      </c>
      <c r="F1343" s="3" t="str">
        <f>VLOOKUP(C1343,layoffs_location!A:D,4,FALSE)</f>
        <v>USA</v>
      </c>
      <c r="G1343" s="3" t="str">
        <f>VLOOKUP(C1343,layoffs_location!A:E,5,FALSE)</f>
        <v>North America</v>
      </c>
      <c r="H1343" s="17">
        <v>131</v>
      </c>
      <c r="I1343" s="18">
        <v>45195</v>
      </c>
      <c r="J1343" s="19">
        <v>33</v>
      </c>
      <c r="K1343" s="20">
        <v>397</v>
      </c>
      <c r="L1343" s="20">
        <v>266</v>
      </c>
      <c r="M1343" s="17" t="s">
        <v>90</v>
      </c>
      <c r="N1343" s="17" t="s">
        <v>108</v>
      </c>
      <c r="O1343" s="35">
        <v>263</v>
      </c>
      <c r="P1343" s="3">
        <v>2023</v>
      </c>
      <c r="Q1343" s="3">
        <f>VLOOKUP(C1343,layoffs_location!A:F,6,FALSE)</f>
        <v>47.603832099999998</v>
      </c>
      <c r="R1343" s="3">
        <f>VLOOKUP(C1343,layoffs_location!A:G,7,FALSE)</f>
        <v>-122.330062</v>
      </c>
    </row>
    <row r="1344" spans="1:18" x14ac:dyDescent="0.2">
      <c r="A1344" s="3">
        <v>1343</v>
      </c>
      <c r="B1344" s="17" t="s">
        <v>122</v>
      </c>
      <c r="C1344" s="17" t="s">
        <v>13</v>
      </c>
      <c r="D1344" s="3" t="str">
        <f>VLOOKUP(C1344,layoffs_location!A:B,2,FALSE)</f>
        <v>other</v>
      </c>
      <c r="E1344" s="3" t="str">
        <f>VLOOKUP(C1344,layoffs_location!A:C,3,FALSE)</f>
        <v>Karnataka</v>
      </c>
      <c r="F1344" s="3" t="str">
        <f>VLOOKUP(C1344,layoffs_location!A:D,4,FALSE)</f>
        <v>India</v>
      </c>
      <c r="G1344" s="3" t="str">
        <f>VLOOKUP(C1344,layoffs_location!A:E,5,FALSE)</f>
        <v>Asia</v>
      </c>
      <c r="H1344" s="17">
        <v>30</v>
      </c>
      <c r="I1344" s="18">
        <v>45196</v>
      </c>
      <c r="J1344" s="19">
        <v>10</v>
      </c>
      <c r="K1344" s="20">
        <v>300</v>
      </c>
      <c r="L1344" s="20">
        <v>270</v>
      </c>
      <c r="M1344" s="17" t="s">
        <v>35</v>
      </c>
      <c r="N1344" s="17" t="s">
        <v>41</v>
      </c>
      <c r="O1344" s="35">
        <v>137</v>
      </c>
      <c r="P1344" s="3">
        <v>2023</v>
      </c>
      <c r="Q1344" s="3">
        <f>VLOOKUP(C1344,layoffs_location!A:F,6,FALSE)</f>
        <v>12.98815675</v>
      </c>
      <c r="R1344" s="3">
        <f>VLOOKUP(C1344,layoffs_location!A:G,7,FALSE)</f>
        <v>77.622600037959998</v>
      </c>
    </row>
    <row r="1345" spans="1:18" x14ac:dyDescent="0.2">
      <c r="A1345" s="3">
        <v>1344</v>
      </c>
      <c r="B1345" s="17" t="s">
        <v>1699</v>
      </c>
      <c r="C1345" s="17" t="s">
        <v>121</v>
      </c>
      <c r="D1345" s="3" t="str">
        <f>VLOOKUP(C1345,layoffs_location!A:B,2,FALSE)</f>
        <v>other</v>
      </c>
      <c r="E1345" s="3" t="str">
        <f>VLOOKUP(C1345,layoffs_location!A:C,3,FALSE)</f>
        <v>North Carolina</v>
      </c>
      <c r="F1345" s="3" t="str">
        <f>VLOOKUP(C1345,layoffs_location!A:D,4,FALSE)</f>
        <v>USA</v>
      </c>
      <c r="G1345" s="3" t="str">
        <f>VLOOKUP(C1345,layoffs_location!A:E,5,FALSE)</f>
        <v>North America</v>
      </c>
      <c r="H1345" s="17">
        <v>870</v>
      </c>
      <c r="I1345" s="18">
        <v>45197</v>
      </c>
      <c r="J1345" s="19">
        <v>16</v>
      </c>
      <c r="K1345" s="20">
        <v>5438</v>
      </c>
      <c r="L1345" s="20">
        <v>4568</v>
      </c>
      <c r="M1345" s="17" t="s">
        <v>16</v>
      </c>
      <c r="N1345" s="17" t="s">
        <v>22</v>
      </c>
      <c r="O1345" s="35"/>
      <c r="P1345" s="3">
        <v>2023</v>
      </c>
      <c r="Q1345" s="3">
        <f>VLOOKUP(C1345,layoffs_location!A:F,6,FALSE)</f>
        <v>35.780397700000002</v>
      </c>
      <c r="R1345" s="3">
        <f>VLOOKUP(C1345,layoffs_location!A:G,7,FALSE)</f>
        <v>-78.639098899999993</v>
      </c>
    </row>
    <row r="1346" spans="1:18" x14ac:dyDescent="0.2">
      <c r="A1346" s="3">
        <v>1345</v>
      </c>
      <c r="B1346" s="17" t="s">
        <v>120</v>
      </c>
      <c r="C1346" s="17" t="s">
        <v>1704</v>
      </c>
      <c r="D1346" s="3" t="str">
        <f>VLOOKUP(C1346,layoffs_location!A:B,2,FALSE)</f>
        <v>San Francisco Bay Area</v>
      </c>
      <c r="E1346" s="3" t="str">
        <f>VLOOKUP(C1346,layoffs_location!A:C,3,FALSE)</f>
        <v>California</v>
      </c>
      <c r="F1346" s="3" t="str">
        <f>VLOOKUP(C1346,layoffs_location!A:D,4,FALSE)</f>
        <v>USA</v>
      </c>
      <c r="G1346" s="3" t="str">
        <f>VLOOKUP(C1346,layoffs_location!A:E,5,FALSE)</f>
        <v>North America</v>
      </c>
      <c r="H1346" s="17">
        <v>28</v>
      </c>
      <c r="I1346" s="18">
        <v>45198</v>
      </c>
      <c r="J1346" s="19">
        <v>12</v>
      </c>
      <c r="K1346" s="20">
        <v>233</v>
      </c>
      <c r="L1346" s="20">
        <v>205</v>
      </c>
      <c r="M1346" s="17" t="s">
        <v>35</v>
      </c>
      <c r="N1346" s="17" t="s">
        <v>49</v>
      </c>
      <c r="O1346" s="34">
        <v>123</v>
      </c>
      <c r="P1346" s="21">
        <v>2023</v>
      </c>
      <c r="Q1346" s="3">
        <f>VLOOKUP(C1346,layoffs_location!A:F,6,FALSE)</f>
        <v>37.6624312</v>
      </c>
      <c r="R1346" s="3">
        <f>VLOOKUP(C1346,layoffs_location!A:G,7,FALSE)</f>
        <v>-121.87467890000001</v>
      </c>
    </row>
    <row r="1347" spans="1:18" x14ac:dyDescent="0.2">
      <c r="A1347" s="3">
        <v>1346</v>
      </c>
      <c r="B1347" s="17" t="s">
        <v>116</v>
      </c>
      <c r="C1347" s="3" t="s">
        <v>39</v>
      </c>
      <c r="D1347" s="3" t="str">
        <f>VLOOKUP(C1347,layoffs_location!A:B,2,FALSE)</f>
        <v>New York</v>
      </c>
      <c r="E1347" s="3" t="str">
        <f>VLOOKUP(C1347,layoffs_location!A:C,3,FALSE)</f>
        <v>New York</v>
      </c>
      <c r="F1347" s="3" t="str">
        <f>VLOOKUP(C1347,layoffs_location!A:D,4,FALSE)</f>
        <v>USA</v>
      </c>
      <c r="G1347" s="3" t="str">
        <f>VLOOKUP(C1347,layoffs_location!A:E,5,FALSE)</f>
        <v>North America</v>
      </c>
      <c r="H1347" s="17">
        <v>150</v>
      </c>
      <c r="I1347" s="18">
        <v>45201</v>
      </c>
      <c r="J1347" s="19">
        <v>15</v>
      </c>
      <c r="K1347" s="20">
        <v>1000</v>
      </c>
      <c r="L1347" s="20">
        <v>850</v>
      </c>
      <c r="M1347" s="17" t="s">
        <v>117</v>
      </c>
      <c r="N1347" s="17" t="s">
        <v>63</v>
      </c>
      <c r="O1347" s="35">
        <v>536</v>
      </c>
      <c r="P1347" s="3">
        <v>2023</v>
      </c>
      <c r="Q1347" s="3">
        <f>VLOOKUP(C1347,layoffs_location!A:F,6,FALSE)</f>
        <v>40.7127281</v>
      </c>
      <c r="R1347" s="3">
        <f>VLOOKUP(C1347,layoffs_location!A:G,7,FALSE)</f>
        <v>-74.006015199999993</v>
      </c>
    </row>
    <row r="1348" spans="1:18" x14ac:dyDescent="0.2">
      <c r="A1348" s="3">
        <v>1347</v>
      </c>
      <c r="B1348" s="17" t="s">
        <v>119</v>
      </c>
      <c r="C1348" s="17" t="s">
        <v>1370</v>
      </c>
      <c r="D1348" s="3" t="str">
        <f>VLOOKUP(C1348,layoffs_location!A:B,2,FALSE)</f>
        <v>San Francisco Bay Area</v>
      </c>
      <c r="E1348" s="3" t="str">
        <f>VLOOKUP(C1348,layoffs_location!A:C,3,FALSE)</f>
        <v>California</v>
      </c>
      <c r="F1348" s="3" t="str">
        <f>VLOOKUP(C1348,layoffs_location!A:D,4,FALSE)</f>
        <v>USA</v>
      </c>
      <c r="G1348" s="3" t="str">
        <f>VLOOKUP(C1348,layoffs_location!A:E,5,FALSE)</f>
        <v>North America</v>
      </c>
      <c r="H1348" s="17">
        <v>26</v>
      </c>
      <c r="I1348" s="18">
        <v>45201</v>
      </c>
      <c r="J1348" s="19">
        <v>37</v>
      </c>
      <c r="K1348" s="20">
        <v>70</v>
      </c>
      <c r="L1348" s="20">
        <v>44</v>
      </c>
      <c r="M1348" s="17" t="s">
        <v>117</v>
      </c>
      <c r="N1348" s="17" t="s">
        <v>108</v>
      </c>
      <c r="O1348" s="35">
        <v>70</v>
      </c>
      <c r="P1348" s="3">
        <v>2023</v>
      </c>
      <c r="Q1348" s="3">
        <f>VLOOKUP(C1348,layoffs_location!A:F,6,FALSE)</f>
        <v>37.779258800000001</v>
      </c>
      <c r="R1348" s="3">
        <f>VLOOKUP(C1348,layoffs_location!A:G,7,FALSE)</f>
        <v>-122.4193286</v>
      </c>
    </row>
    <row r="1349" spans="1:18" ht="16" x14ac:dyDescent="0.2">
      <c r="A1349" s="3">
        <v>1348</v>
      </c>
      <c r="B1349" s="17" t="s">
        <v>118</v>
      </c>
      <c r="C1349" s="26" t="s">
        <v>1370</v>
      </c>
      <c r="D1349" s="3" t="str">
        <f>VLOOKUP(C1349,layoffs_location!A:B,2,FALSE)</f>
        <v>San Francisco Bay Area</v>
      </c>
      <c r="E1349" s="3" t="str">
        <f>VLOOKUP(C1349,layoffs_location!A:C,3,FALSE)</f>
        <v>California</v>
      </c>
      <c r="F1349" s="3" t="str">
        <f>VLOOKUP(C1349,layoffs_location!A:D,4,FALSE)</f>
        <v>USA</v>
      </c>
      <c r="G1349" s="3" t="str">
        <f>VLOOKUP(C1349,layoffs_location!A:E,5,FALSE)</f>
        <v>North America</v>
      </c>
      <c r="H1349" s="17">
        <v>86</v>
      </c>
      <c r="I1349" s="18">
        <v>45201</v>
      </c>
      <c r="J1349" s="19">
        <v>40</v>
      </c>
      <c r="K1349" s="20">
        <v>215</v>
      </c>
      <c r="L1349" s="20">
        <v>129</v>
      </c>
      <c r="M1349" s="17" t="s">
        <v>35</v>
      </c>
      <c r="N1349" s="17" t="s">
        <v>49</v>
      </c>
      <c r="O1349" s="34">
        <v>50</v>
      </c>
      <c r="P1349" s="21">
        <v>2023</v>
      </c>
      <c r="Q1349" s="3">
        <f>VLOOKUP(C1349,layoffs_location!A:F,6,FALSE)</f>
        <v>37.779258800000001</v>
      </c>
      <c r="R1349" s="3">
        <f>VLOOKUP(C1349,layoffs_location!A:G,7,FALSE)</f>
        <v>-122.4193286</v>
      </c>
    </row>
    <row r="1350" spans="1:18" x14ac:dyDescent="0.2">
      <c r="A1350" s="3">
        <v>1349</v>
      </c>
      <c r="B1350" s="17" t="s">
        <v>114</v>
      </c>
      <c r="C1350" s="3" t="s">
        <v>115</v>
      </c>
      <c r="D1350" s="3" t="str">
        <f>VLOOKUP(C1350,layoffs_location!A:B,2,FALSE)</f>
        <v>other</v>
      </c>
      <c r="E1350" s="3" t="str">
        <f>VLOOKUP(C1350,layoffs_location!A:C,3,FALSE)</f>
        <v>Quebec</v>
      </c>
      <c r="F1350" s="3" t="str">
        <f>VLOOKUP(C1350,layoffs_location!A:D,4,FALSE)</f>
        <v>Canada</v>
      </c>
      <c r="G1350" s="3" t="str">
        <f>VLOOKUP(C1350,layoffs_location!A:E,5,FALSE)</f>
        <v>North America</v>
      </c>
      <c r="H1350" s="17">
        <v>250</v>
      </c>
      <c r="I1350" s="18">
        <v>45203</v>
      </c>
      <c r="J1350" s="19">
        <v>30</v>
      </c>
      <c r="K1350" s="20">
        <v>833</v>
      </c>
      <c r="L1350" s="20">
        <v>583</v>
      </c>
      <c r="M1350" s="17" t="s">
        <v>72</v>
      </c>
      <c r="N1350" s="17" t="s">
        <v>22</v>
      </c>
      <c r="O1350" s="35">
        <v>730</v>
      </c>
      <c r="P1350" s="3">
        <v>2023</v>
      </c>
      <c r="Q1350" s="3">
        <f>VLOOKUP(C1350,layoffs_location!A:F,6,FALSE)</f>
        <v>45.5031824</v>
      </c>
      <c r="R1350" s="3">
        <f>VLOOKUP(C1350,layoffs_location!A:G,7,FALSE)</f>
        <v>-73.569806499999999</v>
      </c>
    </row>
    <row r="1351" spans="1:18" x14ac:dyDescent="0.2">
      <c r="A1351" s="3">
        <v>1350</v>
      </c>
      <c r="B1351" s="17" t="s">
        <v>112</v>
      </c>
      <c r="C1351" s="17" t="s">
        <v>113</v>
      </c>
      <c r="D1351" s="3" t="str">
        <f>VLOOKUP(C1351,layoffs_location!A:B,2,FALSE)</f>
        <v>other</v>
      </c>
      <c r="E1351" s="3" t="str">
        <f>VLOOKUP(C1351,layoffs_location!A:C,3,FALSE)</f>
        <v>Utah</v>
      </c>
      <c r="F1351" s="3" t="str">
        <f>VLOOKUP(C1351,layoffs_location!A:D,4,FALSE)</f>
        <v>USA</v>
      </c>
      <c r="G1351" s="3" t="str">
        <f>VLOOKUP(C1351,layoffs_location!A:E,5,FALSE)</f>
        <v>North America</v>
      </c>
      <c r="H1351" s="17">
        <v>780</v>
      </c>
      <c r="I1351" s="18">
        <v>45203</v>
      </c>
      <c r="J1351" s="19">
        <v>14</v>
      </c>
      <c r="K1351" s="20">
        <v>5571</v>
      </c>
      <c r="L1351" s="20">
        <v>4791</v>
      </c>
      <c r="M1351" s="17" t="s">
        <v>60</v>
      </c>
      <c r="N1351" s="17" t="s">
        <v>28</v>
      </c>
      <c r="O1351" s="34">
        <v>400</v>
      </c>
      <c r="P1351" s="21">
        <v>2023</v>
      </c>
      <c r="Q1351" s="3">
        <f>VLOOKUP(C1351,layoffs_location!A:F,6,FALSE)</f>
        <v>40.759619800000003</v>
      </c>
      <c r="R1351" s="3">
        <f>VLOOKUP(C1351,layoffs_location!A:G,7,FALSE)</f>
        <v>-111.886797</v>
      </c>
    </row>
    <row r="1352" spans="1:18" x14ac:dyDescent="0.2">
      <c r="A1352" s="3">
        <v>1351</v>
      </c>
      <c r="B1352" s="17" t="s">
        <v>111</v>
      </c>
      <c r="C1352" s="3" t="s">
        <v>58</v>
      </c>
      <c r="D1352" s="3" t="str">
        <f>VLOOKUP(C1352,layoffs_location!A:B,2,FALSE)</f>
        <v>other</v>
      </c>
      <c r="E1352" s="3" t="str">
        <f>VLOOKUP(C1352,layoffs_location!A:C,3,FALSE)</f>
        <v>England</v>
      </c>
      <c r="F1352" s="3" t="str">
        <f>VLOOKUP(C1352,layoffs_location!A:D,4,FALSE)</f>
        <v>UK</v>
      </c>
      <c r="G1352" s="3" t="str">
        <f>VLOOKUP(C1352,layoffs_location!A:E,5,FALSE)</f>
        <v>Europe</v>
      </c>
      <c r="H1352" s="17">
        <v>200</v>
      </c>
      <c r="I1352" s="18">
        <v>45204</v>
      </c>
      <c r="J1352" s="19">
        <v>25</v>
      </c>
      <c r="K1352" s="20">
        <v>800</v>
      </c>
      <c r="L1352" s="20">
        <v>600</v>
      </c>
      <c r="M1352" s="17" t="s">
        <v>32</v>
      </c>
      <c r="N1352" s="17" t="s">
        <v>28</v>
      </c>
      <c r="O1352" s="35">
        <v>629</v>
      </c>
      <c r="P1352" s="3">
        <v>2023</v>
      </c>
      <c r="Q1352" s="3">
        <f>VLOOKUP(C1352,layoffs_location!A:F,6,FALSE)</f>
        <v>51.489333500000001</v>
      </c>
      <c r="R1352" s="3">
        <f>VLOOKUP(C1352,layoffs_location!A:G,7,FALSE)</f>
        <v>-0.14405508452768701</v>
      </c>
    </row>
    <row r="1353" spans="1:18" ht="16" x14ac:dyDescent="0.2">
      <c r="A1353" s="3">
        <v>1352</v>
      </c>
      <c r="B1353" s="17" t="s">
        <v>110</v>
      </c>
      <c r="C1353" s="26" t="s">
        <v>1370</v>
      </c>
      <c r="D1353" s="3" t="str">
        <f>VLOOKUP(C1353,layoffs_location!A:B,2,FALSE)</f>
        <v>San Francisco Bay Area</v>
      </c>
      <c r="E1353" s="3" t="str">
        <f>VLOOKUP(C1353,layoffs_location!A:C,3,FALSE)</f>
        <v>California</v>
      </c>
      <c r="F1353" s="3" t="str">
        <f>VLOOKUP(C1353,layoffs_location!A:D,4,FALSE)</f>
        <v>USA</v>
      </c>
      <c r="G1353" s="3" t="str">
        <f>VLOOKUP(C1353,layoffs_location!A:E,5,FALSE)</f>
        <v>North America</v>
      </c>
      <c r="H1353" s="17">
        <v>29</v>
      </c>
      <c r="I1353" s="18">
        <v>45204</v>
      </c>
      <c r="J1353" s="19">
        <v>14</v>
      </c>
      <c r="K1353" s="20">
        <v>207</v>
      </c>
      <c r="L1353" s="20">
        <v>178</v>
      </c>
      <c r="M1353" s="17" t="s">
        <v>68</v>
      </c>
      <c r="N1353" s="17" t="s">
        <v>33</v>
      </c>
      <c r="O1353" s="35">
        <v>8</v>
      </c>
      <c r="P1353" s="3">
        <v>2023</v>
      </c>
      <c r="Q1353" s="3">
        <f>VLOOKUP(C1353,layoffs_location!A:F,6,FALSE)</f>
        <v>37.779258800000001</v>
      </c>
      <c r="R1353" s="3">
        <f>VLOOKUP(C1353,layoffs_location!A:G,7,FALSE)</f>
        <v>-122.4193286</v>
      </c>
    </row>
    <row r="1354" spans="1:18" x14ac:dyDescent="0.2">
      <c r="A1354" s="3">
        <v>1353</v>
      </c>
      <c r="B1354" s="17" t="s">
        <v>109</v>
      </c>
      <c r="C1354" s="17" t="s">
        <v>76</v>
      </c>
      <c r="D1354" s="3" t="str">
        <f>VLOOKUP(C1354,layoffs_location!A:B,2,FALSE)</f>
        <v>other</v>
      </c>
      <c r="E1354" s="3" t="str">
        <f>VLOOKUP(C1354,layoffs_location!A:C,3,FALSE)</f>
        <v>California</v>
      </c>
      <c r="F1354" s="3" t="str">
        <f>VLOOKUP(C1354,layoffs_location!A:D,4,FALSE)</f>
        <v>USA</v>
      </c>
      <c r="G1354" s="3" t="str">
        <f>VLOOKUP(C1354,layoffs_location!A:E,5,FALSE)</f>
        <v>North America</v>
      </c>
      <c r="H1354" s="17">
        <v>80</v>
      </c>
      <c r="I1354" s="18">
        <v>45205</v>
      </c>
      <c r="J1354" s="19">
        <v>5</v>
      </c>
      <c r="K1354" s="20">
        <v>1600</v>
      </c>
      <c r="L1354" s="20">
        <v>1520</v>
      </c>
      <c r="M1354" s="17" t="s">
        <v>35</v>
      </c>
      <c r="N1354" s="17" t="s">
        <v>1696</v>
      </c>
      <c r="O1354" s="35">
        <v>54</v>
      </c>
      <c r="P1354" s="3">
        <v>2023</v>
      </c>
      <c r="Q1354" s="3">
        <f>VLOOKUP(C1354,layoffs_location!A:F,6,FALSE)</f>
        <v>34.053690899999999</v>
      </c>
      <c r="R1354" s="3">
        <f>VLOOKUP(C1354,layoffs_location!A:G,7,FALSE)</f>
        <v>-118.242766</v>
      </c>
    </row>
    <row r="1355" spans="1:18" x14ac:dyDescent="0.2">
      <c r="A1355" s="3">
        <v>1354</v>
      </c>
      <c r="B1355" s="17" t="s">
        <v>107</v>
      </c>
      <c r="C1355" s="17" t="s">
        <v>1370</v>
      </c>
      <c r="D1355" s="3" t="str">
        <f>VLOOKUP(C1355,layoffs_location!A:B,2,FALSE)</f>
        <v>San Francisco Bay Area</v>
      </c>
      <c r="E1355" s="3" t="str">
        <f>VLOOKUP(C1355,layoffs_location!A:C,3,FALSE)</f>
        <v>California</v>
      </c>
      <c r="F1355" s="3" t="str">
        <f>VLOOKUP(C1355,layoffs_location!A:D,4,FALSE)</f>
        <v>USA</v>
      </c>
      <c r="G1355" s="3" t="str">
        <f>VLOOKUP(C1355,layoffs_location!A:E,5,FALSE)</f>
        <v>North America</v>
      </c>
      <c r="H1355" s="17">
        <v>114</v>
      </c>
      <c r="I1355" s="18">
        <v>45208</v>
      </c>
      <c r="J1355" s="19">
        <v>5</v>
      </c>
      <c r="K1355" s="20">
        <v>2280</v>
      </c>
      <c r="L1355" s="20">
        <v>2166</v>
      </c>
      <c r="M1355" s="17" t="s">
        <v>21</v>
      </c>
      <c r="N1355" s="17" t="s">
        <v>108</v>
      </c>
      <c r="O1355" s="35">
        <v>522</v>
      </c>
      <c r="P1355" s="3">
        <v>2023</v>
      </c>
      <c r="Q1355" s="3">
        <f>VLOOKUP(C1355,layoffs_location!A:F,6,FALSE)</f>
        <v>37.779258800000001</v>
      </c>
      <c r="R1355" s="3">
        <f>VLOOKUP(C1355,layoffs_location!A:G,7,FALSE)</f>
        <v>-122.4193286</v>
      </c>
    </row>
    <row r="1356" spans="1:18" x14ac:dyDescent="0.2">
      <c r="A1356" s="3">
        <v>1355</v>
      </c>
      <c r="B1356" s="17" t="s">
        <v>106</v>
      </c>
      <c r="C1356" s="17" t="s">
        <v>1370</v>
      </c>
      <c r="D1356" s="3" t="str">
        <f>VLOOKUP(C1356,layoffs_location!A:B,2,FALSE)</f>
        <v>San Francisco Bay Area</v>
      </c>
      <c r="E1356" s="3" t="str">
        <f>VLOOKUP(C1356,layoffs_location!A:C,3,FALSE)</f>
        <v>California</v>
      </c>
      <c r="F1356" s="3" t="str">
        <f>VLOOKUP(C1356,layoffs_location!A:D,4,FALSE)</f>
        <v>USA</v>
      </c>
      <c r="G1356" s="3" t="str">
        <f>VLOOKUP(C1356,layoffs_location!A:E,5,FALSE)</f>
        <v>North America</v>
      </c>
      <c r="H1356" s="17">
        <v>20</v>
      </c>
      <c r="I1356" s="18">
        <v>45210</v>
      </c>
      <c r="J1356" s="19">
        <v>20</v>
      </c>
      <c r="K1356" s="20">
        <v>100</v>
      </c>
      <c r="L1356" s="20">
        <v>80</v>
      </c>
      <c r="M1356" s="17" t="s">
        <v>62</v>
      </c>
      <c r="N1356" s="17" t="s">
        <v>49</v>
      </c>
      <c r="O1356" s="35">
        <v>86</v>
      </c>
      <c r="P1356" s="3">
        <v>2023</v>
      </c>
      <c r="Q1356" s="3">
        <f>VLOOKUP(C1356,layoffs_location!A:F,6,FALSE)</f>
        <v>37.779258800000001</v>
      </c>
      <c r="R1356" s="3">
        <f>VLOOKUP(C1356,layoffs_location!A:G,7,FALSE)</f>
        <v>-122.4193286</v>
      </c>
    </row>
    <row r="1357" spans="1:18" ht="16" x14ac:dyDescent="0.2">
      <c r="A1357" s="3">
        <v>1356</v>
      </c>
      <c r="B1357" s="17" t="s">
        <v>104</v>
      </c>
      <c r="C1357" s="11" t="s">
        <v>1370</v>
      </c>
      <c r="D1357" s="3" t="str">
        <f>VLOOKUP(C1357,layoffs_location!A:B,2,FALSE)</f>
        <v>San Francisco Bay Area</v>
      </c>
      <c r="E1357" s="3" t="str">
        <f>VLOOKUP(C1357,layoffs_location!A:C,3,FALSE)</f>
        <v>California</v>
      </c>
      <c r="F1357" s="3" t="str">
        <f>VLOOKUP(C1357,layoffs_location!A:D,4,FALSE)</f>
        <v>USA</v>
      </c>
      <c r="G1357" s="3" t="str">
        <f>VLOOKUP(C1357,layoffs_location!A:E,5,FALSE)</f>
        <v>North America</v>
      </c>
      <c r="H1357" s="17">
        <v>172</v>
      </c>
      <c r="I1357" s="18">
        <v>45211</v>
      </c>
      <c r="J1357" s="19">
        <v>14</v>
      </c>
      <c r="K1357" s="20">
        <v>1229</v>
      </c>
      <c r="L1357" s="20">
        <v>1057</v>
      </c>
      <c r="M1357" s="17" t="s">
        <v>35</v>
      </c>
      <c r="N1357" s="17" t="s">
        <v>28</v>
      </c>
      <c r="O1357" s="35">
        <v>392</v>
      </c>
      <c r="P1357" s="3">
        <v>2023</v>
      </c>
      <c r="Q1357" s="3">
        <f>VLOOKUP(C1357,layoffs_location!A:F,6,FALSE)</f>
        <v>37.779258800000001</v>
      </c>
      <c r="R1357" s="3">
        <f>VLOOKUP(C1357,layoffs_location!A:G,7,FALSE)</f>
        <v>-122.4193286</v>
      </c>
    </row>
    <row r="1358" spans="1:18" x14ac:dyDescent="0.2">
      <c r="A1358" s="3">
        <v>1357</v>
      </c>
      <c r="B1358" s="17" t="s">
        <v>105</v>
      </c>
      <c r="C1358" s="17" t="s">
        <v>1710</v>
      </c>
      <c r="D1358" s="3" t="str">
        <f>VLOOKUP(C1358,layoffs_location!A:B,2,FALSE)</f>
        <v>San Francisco Bay Area</v>
      </c>
      <c r="E1358" s="3" t="str">
        <f>VLOOKUP(C1358,layoffs_location!A:C,3,FALSE)</f>
        <v>California</v>
      </c>
      <c r="F1358" s="3" t="str">
        <f>VLOOKUP(C1358,layoffs_location!A:D,4,FALSE)</f>
        <v>USA</v>
      </c>
      <c r="G1358" s="3" t="str">
        <f>VLOOKUP(C1358,layoffs_location!A:E,5,FALSE)</f>
        <v>North America</v>
      </c>
      <c r="H1358" s="17">
        <v>84</v>
      </c>
      <c r="I1358" s="18">
        <v>45211</v>
      </c>
      <c r="J1358" s="19">
        <v>28</v>
      </c>
      <c r="K1358" s="20">
        <v>300</v>
      </c>
      <c r="L1358" s="20">
        <v>216</v>
      </c>
      <c r="M1358" s="17" t="s">
        <v>79</v>
      </c>
      <c r="N1358" s="17" t="s">
        <v>28</v>
      </c>
      <c r="O1358" s="35">
        <v>272</v>
      </c>
      <c r="P1358" s="3">
        <v>2023</v>
      </c>
      <c r="Q1358" s="3">
        <f>VLOOKUP(C1358,layoffs_location!A:F,6,FALSE)</f>
        <v>37.486323900000002</v>
      </c>
      <c r="R1358" s="3">
        <f>VLOOKUP(C1358,layoffs_location!A:G,7,FALSE)</f>
        <v>-122.232523</v>
      </c>
    </row>
    <row r="1359" spans="1:18" x14ac:dyDescent="0.2">
      <c r="A1359" s="3">
        <v>1358</v>
      </c>
      <c r="B1359" s="17" t="s">
        <v>102</v>
      </c>
      <c r="C1359" s="17" t="s">
        <v>103</v>
      </c>
      <c r="D1359" s="3" t="str">
        <f>VLOOKUP(C1359,layoffs_location!A:B,2,FALSE)</f>
        <v>other</v>
      </c>
      <c r="E1359" s="3" t="str">
        <f>VLOOKUP(C1359,layoffs_location!A:C,3,FALSE)</f>
        <v>Kansas</v>
      </c>
      <c r="F1359" s="3" t="str">
        <f>VLOOKUP(C1359,layoffs_location!A:D,4,FALSE)</f>
        <v>USA</v>
      </c>
      <c r="G1359" s="3" t="str">
        <f>VLOOKUP(C1359,layoffs_location!A:E,5,FALSE)</f>
        <v>North America</v>
      </c>
      <c r="H1359" s="17">
        <v>80</v>
      </c>
      <c r="I1359" s="18">
        <v>45215</v>
      </c>
      <c r="J1359" s="19">
        <v>3</v>
      </c>
      <c r="K1359" s="20">
        <v>2667</v>
      </c>
      <c r="L1359" s="20">
        <v>2587</v>
      </c>
      <c r="M1359" s="17" t="s">
        <v>35</v>
      </c>
      <c r="N1359" s="17" t="s">
        <v>17</v>
      </c>
      <c r="O1359" s="35">
        <v>537</v>
      </c>
      <c r="P1359" s="3">
        <v>2023</v>
      </c>
      <c r="Q1359" s="3">
        <f>VLOOKUP(C1359,layoffs_location!A:F,6,FALSE)</f>
        <v>39.100104999999999</v>
      </c>
      <c r="R1359" s="3">
        <f>VLOOKUP(C1359,layoffs_location!A:G,7,FALSE)</f>
        <v>-94.578141599999995</v>
      </c>
    </row>
    <row r="1360" spans="1:18" x14ac:dyDescent="0.2">
      <c r="A1360" s="3">
        <v>1359</v>
      </c>
      <c r="B1360" s="17" t="s">
        <v>101</v>
      </c>
      <c r="C1360" s="17" t="s">
        <v>1720</v>
      </c>
      <c r="D1360" s="3" t="str">
        <f>VLOOKUP(C1360,layoffs_location!A:B,2,FALSE)</f>
        <v>San Francisco Bay Area</v>
      </c>
      <c r="E1360" s="3" t="str">
        <f>VLOOKUP(C1360,layoffs_location!A:C,3,FALSE)</f>
        <v>California</v>
      </c>
      <c r="F1360" s="3" t="str">
        <f>VLOOKUP(C1360,layoffs_location!A:D,4,FALSE)</f>
        <v>USA</v>
      </c>
      <c r="G1360" s="3" t="str">
        <f>VLOOKUP(C1360,layoffs_location!A:E,5,FALSE)</f>
        <v>North America</v>
      </c>
      <c r="H1360" s="17">
        <v>660</v>
      </c>
      <c r="I1360" s="18">
        <v>45215</v>
      </c>
      <c r="J1360" s="19">
        <v>3</v>
      </c>
      <c r="K1360" s="20">
        <v>22000</v>
      </c>
      <c r="L1360" s="20">
        <v>21340</v>
      </c>
      <c r="M1360" s="17" t="s">
        <v>84</v>
      </c>
      <c r="N1360" s="17" t="s">
        <v>33</v>
      </c>
      <c r="O1360" s="35">
        <v>154</v>
      </c>
      <c r="P1360" s="3">
        <v>2023</v>
      </c>
      <c r="Q1360" s="3">
        <f>VLOOKUP(C1360,layoffs_location!A:F,6,FALSE)</f>
        <v>37.368830099999997</v>
      </c>
      <c r="R1360" s="3">
        <f>VLOOKUP(C1360,layoffs_location!A:G,7,FALSE)</f>
        <v>-122.036349</v>
      </c>
    </row>
    <row r="1361" spans="1:18" x14ac:dyDescent="0.2">
      <c r="A1361" s="3">
        <v>1360</v>
      </c>
      <c r="B1361" s="17" t="s">
        <v>96</v>
      </c>
      <c r="C1361" s="17" t="s">
        <v>97</v>
      </c>
      <c r="D1361" s="3" t="str">
        <f>VLOOKUP(C1361,layoffs_location!A:B,2,FALSE)</f>
        <v>other</v>
      </c>
      <c r="E1361" s="3" t="str">
        <f>VLOOKUP(C1361,layoffs_location!A:C,3,FALSE)</f>
        <v>non</v>
      </c>
      <c r="F1361" s="3" t="str">
        <f>VLOOKUP(C1361,layoffs_location!A:D,4,FALSE)</f>
        <v>France</v>
      </c>
      <c r="G1361" s="3" t="str">
        <f>VLOOKUP(C1361,layoffs_location!A:E,5,FALSE)</f>
        <v>Europe</v>
      </c>
      <c r="H1361" s="17">
        <v>230</v>
      </c>
      <c r="I1361" s="18">
        <v>45217</v>
      </c>
      <c r="J1361" s="19">
        <v>25</v>
      </c>
      <c r="K1361" s="20">
        <v>920</v>
      </c>
      <c r="L1361" s="20">
        <v>690</v>
      </c>
      <c r="M1361" s="17" t="s">
        <v>30</v>
      </c>
      <c r="N1361" s="17" t="s">
        <v>63</v>
      </c>
      <c r="O1361" s="35">
        <v>705</v>
      </c>
      <c r="P1361" s="3">
        <v>2023</v>
      </c>
      <c r="Q1361" s="3">
        <f>VLOOKUP(C1361,layoffs_location!A:F,6,FALSE)</f>
        <v>48.858889699999999</v>
      </c>
      <c r="R1361" s="3">
        <f>VLOOKUP(C1361,layoffs_location!A:G,7,FALSE)</f>
        <v>2.32004102172007</v>
      </c>
    </row>
    <row r="1362" spans="1:18" x14ac:dyDescent="0.2">
      <c r="A1362" s="3">
        <v>1361</v>
      </c>
      <c r="B1362" s="17" t="s">
        <v>1688</v>
      </c>
      <c r="C1362" s="17" t="s">
        <v>99</v>
      </c>
      <c r="D1362" s="3" t="str">
        <f>VLOOKUP(C1362,layoffs_location!A:B,2,FALSE)</f>
        <v>other</v>
      </c>
      <c r="E1362" s="3" t="str">
        <f>VLOOKUP(C1362,layoffs_location!A:C,3,FALSE)</f>
        <v>non</v>
      </c>
      <c r="F1362" s="3" t="str">
        <f>VLOOKUP(C1362,layoffs_location!A:D,4,FALSE)</f>
        <v>Netherlands</v>
      </c>
      <c r="G1362" s="3" t="str">
        <f>VLOOKUP(C1362,layoffs_location!A:E,5,FALSE)</f>
        <v>Europe</v>
      </c>
      <c r="H1362" s="17">
        <v>35</v>
      </c>
      <c r="I1362" s="18">
        <v>45217</v>
      </c>
      <c r="J1362" s="19">
        <v>10</v>
      </c>
      <c r="K1362" s="20">
        <v>350</v>
      </c>
      <c r="L1362" s="20">
        <v>315</v>
      </c>
      <c r="M1362" s="17" t="s">
        <v>60</v>
      </c>
      <c r="N1362" s="17" t="s">
        <v>69</v>
      </c>
      <c r="O1362" s="35">
        <v>64</v>
      </c>
      <c r="P1362" s="3">
        <v>2023</v>
      </c>
      <c r="Q1362" s="3">
        <f>VLOOKUP(C1362,layoffs_location!A:F,6,FALSE)</f>
        <v>52.373079599999997</v>
      </c>
      <c r="R1362" s="3">
        <f>VLOOKUP(C1362,layoffs_location!A:G,7,FALSE)</f>
        <v>4.8924534</v>
      </c>
    </row>
    <row r="1363" spans="1:18" x14ac:dyDescent="0.2">
      <c r="A1363" s="3">
        <v>1362</v>
      </c>
      <c r="B1363" s="17" t="s">
        <v>91</v>
      </c>
      <c r="C1363" s="17" t="s">
        <v>71</v>
      </c>
      <c r="D1363" s="3" t="str">
        <f>VLOOKUP(C1363,layoffs_location!A:B,2,FALSE)</f>
        <v>other</v>
      </c>
      <c r="E1363" s="3" t="str">
        <f>VLOOKUP(C1363,layoffs_location!A:C,3,FALSE)</f>
        <v>Massachusetts</v>
      </c>
      <c r="F1363" s="3" t="str">
        <f>VLOOKUP(C1363,layoffs_location!A:D,4,FALSE)</f>
        <v>USA</v>
      </c>
      <c r="G1363" s="3" t="str">
        <f>VLOOKUP(C1363,layoffs_location!A:E,5,FALSE)</f>
        <v>North America</v>
      </c>
      <c r="H1363" s="17">
        <v>140</v>
      </c>
      <c r="I1363" s="18">
        <v>45218</v>
      </c>
      <c r="J1363" s="19">
        <v>9</v>
      </c>
      <c r="K1363" s="20">
        <v>1556</v>
      </c>
      <c r="L1363" s="20">
        <v>1416</v>
      </c>
      <c r="M1363" s="17" t="s">
        <v>92</v>
      </c>
      <c r="N1363" s="17" t="s">
        <v>33</v>
      </c>
      <c r="O1363" s="35">
        <v>32</v>
      </c>
      <c r="P1363" s="3">
        <v>2023</v>
      </c>
      <c r="Q1363" s="3">
        <f>VLOOKUP(C1363,layoffs_location!A:F,6,FALSE)</f>
        <v>42.355433400000003</v>
      </c>
      <c r="R1363" s="3">
        <f>VLOOKUP(C1363,layoffs_location!A:G,7,FALSE)</f>
        <v>-71.060511000000005</v>
      </c>
    </row>
    <row r="1364" spans="1:18" x14ac:dyDescent="0.2">
      <c r="A1364" s="3">
        <v>1363</v>
      </c>
      <c r="B1364" s="17" t="s">
        <v>89</v>
      </c>
      <c r="C1364" s="17" t="s">
        <v>43</v>
      </c>
      <c r="D1364" s="3" t="str">
        <f>VLOOKUP(C1364,layoffs_location!A:B,2,FALSE)</f>
        <v>Cascadia</v>
      </c>
      <c r="E1364" s="3" t="str">
        <f>VLOOKUP(C1364,layoffs_location!A:C,3,FALSE)</f>
        <v>Washington</v>
      </c>
      <c r="F1364" s="3" t="str">
        <f>VLOOKUP(C1364,layoffs_location!A:D,4,FALSE)</f>
        <v>USA</v>
      </c>
      <c r="G1364" s="3" t="str">
        <f>VLOOKUP(C1364,layoffs_location!A:E,5,FALSE)</f>
        <v>North America</v>
      </c>
      <c r="H1364" s="17">
        <v>500</v>
      </c>
      <c r="I1364" s="18">
        <v>45218</v>
      </c>
      <c r="J1364" s="19">
        <v>100</v>
      </c>
      <c r="K1364" s="20">
        <v>500</v>
      </c>
      <c r="L1364" s="20">
        <v>0</v>
      </c>
      <c r="M1364" s="17" t="s">
        <v>90</v>
      </c>
      <c r="N1364" s="17" t="s">
        <v>36</v>
      </c>
      <c r="O1364" s="35">
        <v>1100</v>
      </c>
      <c r="P1364" s="3">
        <v>2023</v>
      </c>
      <c r="Q1364" s="3">
        <f>VLOOKUP(C1364,layoffs_location!A:F,6,FALSE)</f>
        <v>47.603832099999998</v>
      </c>
      <c r="R1364" s="3">
        <f>VLOOKUP(C1364,layoffs_location!A:G,7,FALSE)</f>
        <v>-122.330062</v>
      </c>
    </row>
    <row r="1365" spans="1:18" x14ac:dyDescent="0.2">
      <c r="A1365" s="3">
        <v>1364</v>
      </c>
      <c r="B1365" s="17" t="s">
        <v>93</v>
      </c>
      <c r="C1365" s="17" t="s">
        <v>94</v>
      </c>
      <c r="D1365" s="3" t="str">
        <f>VLOOKUP(C1365,layoffs_location!A:B,2,FALSE)</f>
        <v>other</v>
      </c>
      <c r="E1365" s="3" t="str">
        <f>VLOOKUP(C1365,layoffs_location!A:C,3,FALSE)</f>
        <v>Alberta</v>
      </c>
      <c r="F1365" s="3" t="str">
        <f>VLOOKUP(C1365,layoffs_location!A:D,4,FALSE)</f>
        <v>Canada</v>
      </c>
      <c r="G1365" s="3" t="str">
        <f>VLOOKUP(C1365,layoffs_location!A:E,5,FALSE)</f>
        <v>North America</v>
      </c>
      <c r="H1365" s="17">
        <v>21</v>
      </c>
      <c r="I1365" s="18">
        <v>45218</v>
      </c>
      <c r="J1365" s="19">
        <v>28</v>
      </c>
      <c r="K1365" s="20">
        <v>75</v>
      </c>
      <c r="L1365" s="20">
        <v>54</v>
      </c>
      <c r="M1365" s="17" t="s">
        <v>79</v>
      </c>
      <c r="N1365" s="17" t="s">
        <v>69</v>
      </c>
      <c r="O1365" s="35">
        <v>16</v>
      </c>
      <c r="P1365" s="3">
        <v>2023</v>
      </c>
      <c r="Q1365" s="3">
        <f>VLOOKUP(C1365,layoffs_location!A:F,6,FALSE)</f>
        <v>51.045606399999997</v>
      </c>
      <c r="R1365" s="3">
        <f>VLOOKUP(C1365,layoffs_location!A:G,7,FALSE)</f>
        <v>-114.057541</v>
      </c>
    </row>
    <row r="1366" spans="1:18" x14ac:dyDescent="0.2">
      <c r="A1366" s="3">
        <v>1365</v>
      </c>
      <c r="B1366" s="17" t="s">
        <v>88</v>
      </c>
      <c r="C1366" s="17" t="s">
        <v>39</v>
      </c>
      <c r="D1366" s="3" t="str">
        <f>VLOOKUP(C1366,layoffs_location!A:B,2,FALSE)</f>
        <v>New York</v>
      </c>
      <c r="E1366" s="3" t="str">
        <f>VLOOKUP(C1366,layoffs_location!A:C,3,FALSE)</f>
        <v>New York</v>
      </c>
      <c r="F1366" s="3" t="str">
        <f>VLOOKUP(C1366,layoffs_location!A:D,4,FALSE)</f>
        <v>USA</v>
      </c>
      <c r="G1366" s="3" t="str">
        <f>VLOOKUP(C1366,layoffs_location!A:E,5,FALSE)</f>
        <v>North America</v>
      </c>
      <c r="H1366" s="17">
        <v>119</v>
      </c>
      <c r="I1366" s="18">
        <v>45219</v>
      </c>
      <c r="J1366" s="19">
        <v>17</v>
      </c>
      <c r="K1366" s="20">
        <v>700</v>
      </c>
      <c r="L1366" s="20">
        <v>581</v>
      </c>
      <c r="M1366" s="17" t="s">
        <v>21</v>
      </c>
      <c r="N1366" s="17" t="s">
        <v>22</v>
      </c>
      <c r="O1366" s="35">
        <v>218</v>
      </c>
      <c r="P1366" s="3">
        <v>2023</v>
      </c>
      <c r="Q1366" s="3">
        <f>VLOOKUP(C1366,layoffs_location!A:F,6,FALSE)</f>
        <v>40.7127281</v>
      </c>
      <c r="R1366" s="3">
        <f>VLOOKUP(C1366,layoffs_location!A:G,7,FALSE)</f>
        <v>-74.006015199999993</v>
      </c>
    </row>
    <row r="1367" spans="1:18" x14ac:dyDescent="0.2">
      <c r="A1367" s="3">
        <v>1366</v>
      </c>
      <c r="B1367" s="17" t="s">
        <v>86</v>
      </c>
      <c r="C1367" s="17" t="s">
        <v>1415</v>
      </c>
      <c r="D1367" s="3" t="str">
        <f>VLOOKUP(C1367,layoffs_location!A:B,2,FALSE)</f>
        <v>San Francisco Bay Area</v>
      </c>
      <c r="E1367" s="3" t="str">
        <f>VLOOKUP(C1367,layoffs_location!A:C,3,FALSE)</f>
        <v>California</v>
      </c>
      <c r="F1367" s="3" t="str">
        <f>VLOOKUP(C1367,layoffs_location!A:D,4,FALSE)</f>
        <v>USA</v>
      </c>
      <c r="G1367" s="3" t="str">
        <f>VLOOKUP(C1367,layoffs_location!A:E,5,FALSE)</f>
        <v>North America</v>
      </c>
      <c r="H1367" s="17">
        <v>130</v>
      </c>
      <c r="I1367" s="18">
        <v>45223</v>
      </c>
      <c r="J1367" s="19">
        <v>20</v>
      </c>
      <c r="K1367" s="20">
        <v>650</v>
      </c>
      <c r="L1367" s="20">
        <v>520</v>
      </c>
      <c r="M1367" s="17" t="s">
        <v>87</v>
      </c>
      <c r="N1367" s="17" t="s">
        <v>63</v>
      </c>
      <c r="O1367" s="35">
        <v>365</v>
      </c>
      <c r="P1367" s="3">
        <v>2023</v>
      </c>
      <c r="Q1367" s="3">
        <f>VLOOKUP(C1367,layoffs_location!A:F,6,FALSE)</f>
        <v>37.354106999999999</v>
      </c>
      <c r="R1367" s="3">
        <f>VLOOKUP(C1367,layoffs_location!A:G,7,FALSE)</f>
        <v>-121.95523799999999</v>
      </c>
    </row>
    <row r="1368" spans="1:18" x14ac:dyDescent="0.2">
      <c r="A1368" s="3">
        <v>1367</v>
      </c>
      <c r="B1368" s="17" t="s">
        <v>85</v>
      </c>
      <c r="C1368" s="17" t="s">
        <v>1473</v>
      </c>
      <c r="D1368" s="3" t="str">
        <f>VLOOKUP(C1368,layoffs_location!A:B,2,FALSE)</f>
        <v>San Francisco Bay Area</v>
      </c>
      <c r="E1368" s="3" t="str">
        <f>VLOOKUP(C1368,layoffs_location!A:C,3,FALSE)</f>
        <v>California</v>
      </c>
      <c r="F1368" s="3" t="str">
        <f>VLOOKUP(C1368,layoffs_location!A:D,4,FALSE)</f>
        <v>USA</v>
      </c>
      <c r="G1368" s="3" t="str">
        <f>VLOOKUP(C1368,layoffs_location!A:E,5,FALSE)</f>
        <v>North America</v>
      </c>
      <c r="H1368" s="17">
        <v>120</v>
      </c>
      <c r="I1368" s="18">
        <v>45225</v>
      </c>
      <c r="J1368" s="19">
        <v>20</v>
      </c>
      <c r="K1368" s="20">
        <v>600</v>
      </c>
      <c r="L1368" s="20">
        <v>480</v>
      </c>
      <c r="M1368" s="17" t="s">
        <v>35</v>
      </c>
      <c r="N1368" s="17" t="s">
        <v>28</v>
      </c>
      <c r="O1368" s="35">
        <v>1300</v>
      </c>
      <c r="P1368" s="3">
        <v>2023</v>
      </c>
      <c r="Q1368" s="3">
        <f>VLOOKUP(C1368,layoffs_location!A:F,6,FALSE)</f>
        <v>37.4443293</v>
      </c>
      <c r="R1368" s="3">
        <f>VLOOKUP(C1368,layoffs_location!A:G,7,FALSE)</f>
        <v>-122.1598465</v>
      </c>
    </row>
    <row r="1369" spans="1:18" x14ac:dyDescent="0.2">
      <c r="A1369" s="3">
        <v>1368</v>
      </c>
      <c r="B1369" s="17" t="s">
        <v>80</v>
      </c>
      <c r="C1369" s="3" t="s">
        <v>1370</v>
      </c>
      <c r="D1369" s="3" t="str">
        <f>VLOOKUP(C1369,layoffs_location!A:B,2,FALSE)</f>
        <v>San Francisco Bay Area</v>
      </c>
      <c r="E1369" s="3" t="str">
        <f>VLOOKUP(C1369,layoffs_location!A:C,3,FALSE)</f>
        <v>California</v>
      </c>
      <c r="F1369" s="3" t="str">
        <f>VLOOKUP(C1369,layoffs_location!A:D,4,FALSE)</f>
        <v>USA</v>
      </c>
      <c r="G1369" s="3" t="str">
        <f>VLOOKUP(C1369,layoffs_location!A:E,5,FALSE)</f>
        <v>North America</v>
      </c>
      <c r="H1369" s="17">
        <v>250</v>
      </c>
      <c r="I1369" s="18">
        <v>45231</v>
      </c>
      <c r="J1369" s="19">
        <v>20</v>
      </c>
      <c r="K1369" s="20">
        <v>1250</v>
      </c>
      <c r="L1369" s="20">
        <v>1000</v>
      </c>
      <c r="M1369" s="17" t="s">
        <v>30</v>
      </c>
      <c r="N1369" s="17" t="s">
        <v>81</v>
      </c>
      <c r="O1369" s="35">
        <v>1700</v>
      </c>
      <c r="P1369" s="3">
        <v>2023</v>
      </c>
      <c r="Q1369" s="3">
        <f>VLOOKUP(C1369,layoffs_location!A:F,6,FALSE)</f>
        <v>37.779258800000001</v>
      </c>
      <c r="R1369" s="3">
        <f>VLOOKUP(C1369,layoffs_location!A:G,7,FALSE)</f>
        <v>-122.4193286</v>
      </c>
    </row>
    <row r="1370" spans="1:18" x14ac:dyDescent="0.2">
      <c r="A1370" s="3">
        <v>1369</v>
      </c>
      <c r="B1370" s="17" t="s">
        <v>82</v>
      </c>
      <c r="C1370" s="17" t="s">
        <v>83</v>
      </c>
      <c r="D1370" s="3" t="str">
        <f>VLOOKUP(C1370,layoffs_location!A:B,2,FALSE)</f>
        <v>other</v>
      </c>
      <c r="E1370" s="3" t="str">
        <f>VLOOKUP(C1370,layoffs_location!A:C,3,FALSE)</f>
        <v>Texas</v>
      </c>
      <c r="F1370" s="3" t="str">
        <f>VLOOKUP(C1370,layoffs_location!A:D,4,FALSE)</f>
        <v>USA</v>
      </c>
      <c r="G1370" s="3" t="str">
        <f>VLOOKUP(C1370,layoffs_location!A:E,5,FALSE)</f>
        <v>North America</v>
      </c>
      <c r="H1370" s="17">
        <v>73</v>
      </c>
      <c r="I1370" s="18">
        <v>45231</v>
      </c>
      <c r="J1370" s="19">
        <v>50</v>
      </c>
      <c r="K1370" s="20">
        <v>146</v>
      </c>
      <c r="L1370" s="20">
        <v>73</v>
      </c>
      <c r="M1370" s="17" t="s">
        <v>84</v>
      </c>
      <c r="N1370" s="17" t="s">
        <v>49</v>
      </c>
      <c r="O1370" s="35">
        <v>106</v>
      </c>
      <c r="P1370" s="3">
        <v>2023</v>
      </c>
      <c r="Q1370" s="3">
        <f>VLOOKUP(C1370,layoffs_location!A:F,6,FALSE)</f>
        <v>30.271128600000001</v>
      </c>
      <c r="R1370" s="3">
        <f>VLOOKUP(C1370,layoffs_location!A:G,7,FALSE)</f>
        <v>-97.743699500000005</v>
      </c>
    </row>
    <row r="1371" spans="1:18" x14ac:dyDescent="0.2">
      <c r="A1371" s="3">
        <v>1370</v>
      </c>
      <c r="B1371" s="17" t="s">
        <v>78</v>
      </c>
      <c r="C1371" s="17" t="s">
        <v>1694</v>
      </c>
      <c r="D1371" s="3" t="str">
        <f>VLOOKUP(C1371,layoffs_location!A:B,2,FALSE)</f>
        <v>San Francisco Bay Area</v>
      </c>
      <c r="E1371" s="3" t="str">
        <f>VLOOKUP(C1371,layoffs_location!A:C,3,FALSE)</f>
        <v>California</v>
      </c>
      <c r="F1371" s="3" t="str">
        <f>VLOOKUP(C1371,layoffs_location!A:D,4,FALSE)</f>
        <v>USA</v>
      </c>
      <c r="G1371" s="3" t="str">
        <f>VLOOKUP(C1371,layoffs_location!A:E,5,FALSE)</f>
        <v>North America</v>
      </c>
      <c r="H1371" s="17">
        <v>500</v>
      </c>
      <c r="I1371" s="18">
        <v>45231</v>
      </c>
      <c r="J1371" s="19">
        <v>7</v>
      </c>
      <c r="K1371" s="20">
        <v>7143</v>
      </c>
      <c r="L1371" s="20">
        <v>6643</v>
      </c>
      <c r="M1371" s="17" t="s">
        <v>79</v>
      </c>
      <c r="N1371" s="17" t="s">
        <v>28</v>
      </c>
      <c r="O1371" s="35">
        <v>2400</v>
      </c>
      <c r="P1371" s="3">
        <v>2023</v>
      </c>
      <c r="Q1371" s="3">
        <f>VLOOKUP(C1371,layoffs_location!A:F,6,FALSE)</f>
        <v>37.336166300000002</v>
      </c>
      <c r="R1371" s="3">
        <f>VLOOKUP(C1371,layoffs_location!A:G,7,FALSE)</f>
        <v>-121.890591</v>
      </c>
    </row>
    <row r="1372" spans="1:18" x14ac:dyDescent="0.2">
      <c r="A1372" s="3">
        <v>1371</v>
      </c>
      <c r="B1372" s="17" t="s">
        <v>75</v>
      </c>
      <c r="C1372" s="17" t="s">
        <v>76</v>
      </c>
      <c r="D1372" s="3" t="str">
        <f>VLOOKUP(C1372,layoffs_location!A:B,2,FALSE)</f>
        <v>other</v>
      </c>
      <c r="E1372" s="3" t="str">
        <f>VLOOKUP(C1372,layoffs_location!A:C,3,FALSE)</f>
        <v>California</v>
      </c>
      <c r="F1372" s="3" t="str">
        <f>VLOOKUP(C1372,layoffs_location!A:D,4,FALSE)</f>
        <v>USA</v>
      </c>
      <c r="G1372" s="3" t="str">
        <f>VLOOKUP(C1372,layoffs_location!A:E,5,FALSE)</f>
        <v>North America</v>
      </c>
      <c r="H1372" s="17">
        <v>65</v>
      </c>
      <c r="I1372" s="18">
        <v>45232</v>
      </c>
      <c r="J1372" s="19">
        <v>8</v>
      </c>
      <c r="K1372" s="20">
        <v>813</v>
      </c>
      <c r="L1372" s="20">
        <v>748</v>
      </c>
      <c r="M1372" s="17" t="s">
        <v>77</v>
      </c>
      <c r="N1372" s="17" t="s">
        <v>28</v>
      </c>
      <c r="O1372" s="35">
        <v>122</v>
      </c>
      <c r="P1372" s="3">
        <v>2023</v>
      </c>
      <c r="Q1372" s="3">
        <f>VLOOKUP(C1372,layoffs_location!A:F,6,FALSE)</f>
        <v>34.053690899999999</v>
      </c>
      <c r="R1372" s="3">
        <f>VLOOKUP(C1372,layoffs_location!A:G,7,FALSE)</f>
        <v>-118.242766</v>
      </c>
    </row>
    <row r="1373" spans="1:18" x14ac:dyDescent="0.2">
      <c r="A1373" s="3">
        <v>1372</v>
      </c>
      <c r="B1373" s="17" t="s">
        <v>73</v>
      </c>
      <c r="C1373" s="17" t="s">
        <v>74</v>
      </c>
      <c r="D1373" s="3" t="str">
        <f>VLOOKUP(C1373,layoffs_location!A:B,2,FALSE)</f>
        <v>other</v>
      </c>
      <c r="E1373" s="3" t="str">
        <f>VLOOKUP(C1373,layoffs_location!A:C,3,FALSE)</f>
        <v>California</v>
      </c>
      <c r="F1373" s="3" t="str">
        <f>VLOOKUP(C1373,layoffs_location!A:D,4,FALSE)</f>
        <v>USA</v>
      </c>
      <c r="G1373" s="3" t="str">
        <f>VLOOKUP(C1373,layoffs_location!A:E,5,FALSE)</f>
        <v>North America</v>
      </c>
      <c r="H1373" s="17">
        <v>800</v>
      </c>
      <c r="I1373" s="18">
        <v>45232</v>
      </c>
      <c r="J1373" s="19">
        <v>10</v>
      </c>
      <c r="K1373" s="20">
        <v>8000</v>
      </c>
      <c r="L1373" s="20">
        <v>7200</v>
      </c>
      <c r="M1373" s="17" t="s">
        <v>60</v>
      </c>
      <c r="N1373" s="17" t="s">
        <v>28</v>
      </c>
      <c r="O1373" s="35">
        <v>366</v>
      </c>
      <c r="P1373" s="3">
        <v>2023</v>
      </c>
      <c r="Q1373" s="3">
        <f>VLOOKUP(C1373,layoffs_location!A:F,6,FALSE)</f>
        <v>32.717420199999999</v>
      </c>
      <c r="R1373" s="3">
        <f>VLOOKUP(C1373,layoffs_location!A:G,7,FALSE)</f>
        <v>-117.162772</v>
      </c>
    </row>
    <row r="1374" spans="1:18" x14ac:dyDescent="0.2">
      <c r="A1374" s="3">
        <v>1373</v>
      </c>
      <c r="B1374" s="17" t="s">
        <v>70</v>
      </c>
      <c r="C1374" s="17" t="s">
        <v>71</v>
      </c>
      <c r="D1374" s="3" t="str">
        <f>VLOOKUP(C1374,layoffs_location!A:B,2,FALSE)</f>
        <v>other</v>
      </c>
      <c r="E1374" s="3" t="str">
        <f>VLOOKUP(C1374,layoffs_location!A:C,3,FALSE)</f>
        <v>Massachusetts</v>
      </c>
      <c r="F1374" s="3" t="str">
        <f>VLOOKUP(C1374,layoffs_location!A:D,4,FALSE)</f>
        <v>USA</v>
      </c>
      <c r="G1374" s="3" t="str">
        <f>VLOOKUP(C1374,layoffs_location!A:E,5,FALSE)</f>
        <v>North America</v>
      </c>
      <c r="H1374" s="17">
        <v>125</v>
      </c>
      <c r="I1374" s="18">
        <v>45242</v>
      </c>
      <c r="J1374" s="19">
        <v>4</v>
      </c>
      <c r="K1374" s="20">
        <v>3125</v>
      </c>
      <c r="L1374" s="20">
        <v>3000</v>
      </c>
      <c r="M1374" s="17" t="s">
        <v>72</v>
      </c>
      <c r="N1374" s="17" t="s">
        <v>28</v>
      </c>
      <c r="O1374" s="35">
        <v>3</v>
      </c>
      <c r="P1374" s="3">
        <v>2023</v>
      </c>
      <c r="Q1374" s="3">
        <f>VLOOKUP(C1374,layoffs_location!A:F,6,FALSE)</f>
        <v>42.355433400000003</v>
      </c>
      <c r="R1374" s="3">
        <f>VLOOKUP(C1374,layoffs_location!A:G,7,FALSE)</f>
        <v>-71.060511000000005</v>
      </c>
    </row>
    <row r="1375" spans="1:18" x14ac:dyDescent="0.2">
      <c r="A1375" s="3">
        <v>1374</v>
      </c>
      <c r="B1375" s="17" t="s">
        <v>66</v>
      </c>
      <c r="C1375" s="17" t="s">
        <v>67</v>
      </c>
      <c r="D1375" s="3" t="str">
        <f>VLOOKUP(C1375,layoffs_location!A:B,2,FALSE)</f>
        <v>other</v>
      </c>
      <c r="E1375" s="3" t="str">
        <f>VLOOKUP(C1375,layoffs_location!A:C,3,FALSE)</f>
        <v>Uttar Pradesh</v>
      </c>
      <c r="F1375" s="3" t="str">
        <f>VLOOKUP(C1375,layoffs_location!A:D,4,FALSE)</f>
        <v>India</v>
      </c>
      <c r="G1375" s="3" t="str">
        <f>VLOOKUP(C1375,layoffs_location!A:E,5,FALSE)</f>
        <v>Asia</v>
      </c>
      <c r="H1375" s="17">
        <v>120</v>
      </c>
      <c r="I1375" s="18">
        <v>45249</v>
      </c>
      <c r="J1375" s="19">
        <v>1</v>
      </c>
      <c r="K1375" s="20">
        <v>12000</v>
      </c>
      <c r="L1375" s="20">
        <v>11880</v>
      </c>
      <c r="M1375" s="17" t="s">
        <v>68</v>
      </c>
      <c r="N1375" s="17" t="s">
        <v>69</v>
      </c>
      <c r="O1375" s="35">
        <v>100</v>
      </c>
      <c r="P1375" s="3">
        <v>2023</v>
      </c>
      <c r="Q1375" s="3">
        <f>VLOOKUP(C1375,layoffs_location!A:F,6,FALSE)</f>
        <v>28.570633300000001</v>
      </c>
      <c r="R1375" s="3">
        <f>VLOOKUP(C1375,layoffs_location!A:G,7,FALSE)</f>
        <v>77.327214699999999</v>
      </c>
    </row>
    <row r="1376" spans="1:18" x14ac:dyDescent="0.2">
      <c r="A1376" s="3">
        <v>1375</v>
      </c>
      <c r="B1376" s="17" t="s">
        <v>64</v>
      </c>
      <c r="C1376" s="17" t="s">
        <v>65</v>
      </c>
      <c r="D1376" s="3" t="str">
        <f>VLOOKUP(C1376,layoffs_location!A:B,2,FALSE)</f>
        <v>other</v>
      </c>
      <c r="E1376" s="3" t="str">
        <f>VLOOKUP(C1376,layoffs_location!A:C,3,FALSE)</f>
        <v>Michigan</v>
      </c>
      <c r="F1376" s="3" t="str">
        <f>VLOOKUP(C1376,layoffs_location!A:D,4,FALSE)</f>
        <v>USA</v>
      </c>
      <c r="G1376" s="3" t="str">
        <f>VLOOKUP(C1376,layoffs_location!A:E,5,FALSE)</f>
        <v>North America</v>
      </c>
      <c r="H1376" s="17">
        <v>128</v>
      </c>
      <c r="I1376" s="18">
        <v>45257</v>
      </c>
      <c r="J1376" s="19">
        <v>25</v>
      </c>
      <c r="K1376" s="20">
        <v>512</v>
      </c>
      <c r="L1376" s="20">
        <v>384</v>
      </c>
      <c r="M1376" s="17" t="s">
        <v>32</v>
      </c>
      <c r="N1376" s="17" t="s">
        <v>49</v>
      </c>
      <c r="O1376" s="35">
        <v>390</v>
      </c>
      <c r="P1376" s="3">
        <v>2023</v>
      </c>
      <c r="Q1376" s="3">
        <f>VLOOKUP(C1376,layoffs_location!A:F,6,FALSE)</f>
        <v>42.331550900000003</v>
      </c>
      <c r="R1376" s="3">
        <f>VLOOKUP(C1376,layoffs_location!A:G,7,FALSE)</f>
        <v>-83.046640300000007</v>
      </c>
    </row>
    <row r="1377" spans="1:18" x14ac:dyDescent="0.2">
      <c r="A1377" s="3">
        <v>1376</v>
      </c>
      <c r="B1377" s="17" t="s">
        <v>61</v>
      </c>
      <c r="C1377" s="17" t="s">
        <v>39</v>
      </c>
      <c r="D1377" s="3" t="str">
        <f>VLOOKUP(C1377,layoffs_location!A:B,2,FALSE)</f>
        <v>New York</v>
      </c>
      <c r="E1377" s="3" t="str">
        <f>VLOOKUP(C1377,layoffs_location!A:C,3,FALSE)</f>
        <v>New York</v>
      </c>
      <c r="F1377" s="3" t="str">
        <f>VLOOKUP(C1377,layoffs_location!A:D,4,FALSE)</f>
        <v>USA</v>
      </c>
      <c r="G1377" s="3" t="str">
        <f>VLOOKUP(C1377,layoffs_location!A:E,5,FALSE)</f>
        <v>North America</v>
      </c>
      <c r="H1377" s="17">
        <v>150</v>
      </c>
      <c r="I1377" s="18">
        <v>45258</v>
      </c>
      <c r="J1377" s="19">
        <v>20</v>
      </c>
      <c r="K1377" s="20">
        <v>750</v>
      </c>
      <c r="L1377" s="20">
        <v>600</v>
      </c>
      <c r="M1377" s="17" t="s">
        <v>62</v>
      </c>
      <c r="N1377" s="17" t="s">
        <v>63</v>
      </c>
      <c r="O1377" s="34">
        <v>1100</v>
      </c>
      <c r="P1377" s="21">
        <v>2023</v>
      </c>
      <c r="Q1377" s="3">
        <f>VLOOKUP(C1377,layoffs_location!A:F,6,FALSE)</f>
        <v>40.7127281</v>
      </c>
      <c r="R1377" s="3">
        <f>VLOOKUP(C1377,layoffs_location!A:G,7,FALSE)</f>
        <v>-74.006015199999993</v>
      </c>
    </row>
    <row r="1378" spans="1:18" ht="16" x14ac:dyDescent="0.2">
      <c r="A1378" s="3">
        <v>1377</v>
      </c>
      <c r="B1378" s="17" t="s">
        <v>59</v>
      </c>
      <c r="C1378" s="26" t="s">
        <v>1370</v>
      </c>
      <c r="D1378" s="3" t="str">
        <f>VLOOKUP(C1378,layoffs_location!A:B,2,FALSE)</f>
        <v>San Francisco Bay Area</v>
      </c>
      <c r="E1378" s="3" t="str">
        <f>VLOOKUP(C1378,layoffs_location!A:C,3,FALSE)</f>
        <v>California</v>
      </c>
      <c r="F1378" s="3" t="str">
        <f>VLOOKUP(C1378,layoffs_location!A:D,4,FALSE)</f>
        <v>USA</v>
      </c>
      <c r="G1378" s="3" t="str">
        <f>VLOOKUP(C1378,layoffs_location!A:E,5,FALSE)</f>
        <v>North America</v>
      </c>
      <c r="H1378" s="17">
        <v>265</v>
      </c>
      <c r="I1378" s="18">
        <v>45258</v>
      </c>
      <c r="J1378" s="19">
        <v>4</v>
      </c>
      <c r="K1378" s="20">
        <v>6625</v>
      </c>
      <c r="L1378" s="20">
        <v>6360</v>
      </c>
      <c r="M1378" s="17" t="s">
        <v>60</v>
      </c>
      <c r="N1378" s="17" t="s">
        <v>28</v>
      </c>
      <c r="O1378" s="35">
        <v>1300</v>
      </c>
      <c r="P1378" s="3">
        <v>2023</v>
      </c>
      <c r="Q1378" s="3">
        <f>VLOOKUP(C1378,layoffs_location!A:F,6,FALSE)</f>
        <v>37.779258800000001</v>
      </c>
      <c r="R1378" s="3">
        <f>VLOOKUP(C1378,layoffs_location!A:G,7,FALSE)</f>
        <v>-122.4193286</v>
      </c>
    </row>
    <row r="1379" spans="1:18" x14ac:dyDescent="0.2">
      <c r="A1379" s="3">
        <v>1378</v>
      </c>
      <c r="B1379" s="17" t="s">
        <v>55</v>
      </c>
      <c r="C1379" s="17" t="s">
        <v>56</v>
      </c>
      <c r="D1379" s="3" t="str">
        <f>VLOOKUP(C1379,layoffs_location!A:B,2,FALSE)</f>
        <v>other</v>
      </c>
      <c r="E1379" s="3" t="str">
        <f>VLOOKUP(C1379,layoffs_location!A:C,3,FALSE)</f>
        <v>Maharashtra</v>
      </c>
      <c r="F1379" s="3" t="str">
        <f>VLOOKUP(C1379,layoffs_location!A:D,4,FALSE)</f>
        <v>India</v>
      </c>
      <c r="G1379" s="3" t="str">
        <f>VLOOKUP(C1379,layoffs_location!A:E,5,FALSE)</f>
        <v>Asia</v>
      </c>
      <c r="H1379" s="17">
        <v>40</v>
      </c>
      <c r="I1379" s="18">
        <v>45260</v>
      </c>
      <c r="J1379" s="19">
        <v>36</v>
      </c>
      <c r="K1379" s="20">
        <v>111</v>
      </c>
      <c r="L1379" s="20">
        <v>71</v>
      </c>
      <c r="M1379" s="17" t="s">
        <v>16</v>
      </c>
      <c r="N1379" s="17" t="s">
        <v>33</v>
      </c>
      <c r="O1379" s="35">
        <v>52</v>
      </c>
      <c r="P1379" s="3">
        <v>2023</v>
      </c>
      <c r="Q1379" s="3">
        <f>VLOOKUP(C1379,layoffs_location!A:F,6,FALSE)</f>
        <v>19.078545099999999</v>
      </c>
      <c r="R1379" s="3">
        <f>VLOOKUP(C1379,layoffs_location!A:G,7,FALSE)</f>
        <v>72.878175999999996</v>
      </c>
    </row>
    <row r="1380" spans="1:18" x14ac:dyDescent="0.2">
      <c r="A1380" s="3">
        <v>1379</v>
      </c>
      <c r="B1380" s="17" t="s">
        <v>57</v>
      </c>
      <c r="C1380" s="17" t="s">
        <v>58</v>
      </c>
      <c r="D1380" s="3" t="str">
        <f>VLOOKUP(C1380,layoffs_location!A:B,2,FALSE)</f>
        <v>other</v>
      </c>
      <c r="E1380" s="3" t="str">
        <f>VLOOKUP(C1380,layoffs_location!A:C,3,FALSE)</f>
        <v>England</v>
      </c>
      <c r="F1380" s="3" t="str">
        <f>VLOOKUP(C1380,layoffs_location!A:D,4,FALSE)</f>
        <v>UK</v>
      </c>
      <c r="G1380" s="3" t="str">
        <f>VLOOKUP(C1380,layoffs_location!A:E,5,FALSE)</f>
        <v>Europe</v>
      </c>
      <c r="H1380" s="17">
        <v>30</v>
      </c>
      <c r="I1380" s="18">
        <v>45260</v>
      </c>
      <c r="J1380" s="19">
        <v>2</v>
      </c>
      <c r="K1380" s="20">
        <v>1500</v>
      </c>
      <c r="L1380" s="20">
        <v>1470</v>
      </c>
      <c r="M1380" s="17" t="s">
        <v>35</v>
      </c>
      <c r="N1380" s="17" t="s">
        <v>36</v>
      </c>
      <c r="O1380" s="34">
        <v>700</v>
      </c>
      <c r="P1380" s="21">
        <v>2023</v>
      </c>
      <c r="Q1380" s="3">
        <f>VLOOKUP(C1380,layoffs_location!A:F,6,FALSE)</f>
        <v>51.489333500000001</v>
      </c>
      <c r="R1380" s="3">
        <f>VLOOKUP(C1380,layoffs_location!A:G,7,FALSE)</f>
        <v>-0.14405508452768701</v>
      </c>
    </row>
    <row r="1381" spans="1:18" x14ac:dyDescent="0.2">
      <c r="A1381" s="3">
        <v>1380</v>
      </c>
      <c r="B1381" s="17" t="s">
        <v>50</v>
      </c>
      <c r="C1381" s="3" t="s">
        <v>51</v>
      </c>
      <c r="D1381" s="3" t="str">
        <f>VLOOKUP(C1381,layoffs_location!A:B,2,FALSE)</f>
        <v>other</v>
      </c>
      <c r="E1381" s="3" t="str">
        <f>VLOOKUP(C1381,layoffs_location!A:C,3,FALSE)</f>
        <v>non</v>
      </c>
      <c r="F1381" s="3" t="str">
        <f>VLOOKUP(C1381,layoffs_location!A:D,4,FALSE)</f>
        <v>Sweden</v>
      </c>
      <c r="G1381" s="3" t="str">
        <f>VLOOKUP(C1381,layoffs_location!A:E,5,FALSE)</f>
        <v>Europe</v>
      </c>
      <c r="H1381" s="17">
        <v>1500</v>
      </c>
      <c r="I1381" s="18">
        <v>45264</v>
      </c>
      <c r="J1381" s="19">
        <v>17</v>
      </c>
      <c r="K1381" s="20">
        <v>9200</v>
      </c>
      <c r="L1381" s="20">
        <v>7700</v>
      </c>
      <c r="M1381" s="17" t="s">
        <v>54</v>
      </c>
      <c r="N1381" s="17" t="s">
        <v>28</v>
      </c>
      <c r="O1381" s="34">
        <v>2100</v>
      </c>
      <c r="P1381" s="22">
        <v>2023</v>
      </c>
      <c r="Q1381" s="3">
        <f>VLOOKUP(C1381,layoffs_location!A:F,6,FALSE)</f>
        <v>59.325117200000001</v>
      </c>
      <c r="R1381" s="3">
        <f>VLOOKUP(C1381,layoffs_location!A:G,7,FALSE)</f>
        <v>18.0710935</v>
      </c>
    </row>
    <row r="1382" spans="1:18" x14ac:dyDescent="0.2">
      <c r="A1382" s="3">
        <v>1381</v>
      </c>
      <c r="B1382" s="17" t="s">
        <v>46</v>
      </c>
      <c r="C1382" s="17" t="s">
        <v>47</v>
      </c>
      <c r="D1382" s="3" t="str">
        <f>VLOOKUP(C1382,layoffs_location!A:B,2,FALSE)</f>
        <v>other</v>
      </c>
      <c r="E1382" s="3" t="str">
        <f>VLOOKUP(C1382,layoffs_location!A:C,3,FALSE)</f>
        <v>non</v>
      </c>
      <c r="F1382" s="3" t="str">
        <f>VLOOKUP(C1382,layoffs_location!A:D,4,FALSE)</f>
        <v>Israel</v>
      </c>
      <c r="G1382" s="3" t="str">
        <f>VLOOKUP(C1382,layoffs_location!A:E,5,FALSE)</f>
        <v>Asia</v>
      </c>
      <c r="H1382" s="17">
        <v>40</v>
      </c>
      <c r="I1382" s="18">
        <v>45265</v>
      </c>
      <c r="J1382" s="19">
        <v>20</v>
      </c>
      <c r="K1382" s="20">
        <v>200</v>
      </c>
      <c r="L1382" s="20">
        <v>160</v>
      </c>
      <c r="M1382" s="17" t="s">
        <v>48</v>
      </c>
      <c r="N1382" s="17" t="s">
        <v>49</v>
      </c>
      <c r="O1382" s="35">
        <v>35</v>
      </c>
      <c r="P1382" s="3">
        <v>2023</v>
      </c>
      <c r="Q1382" s="3">
        <f>VLOOKUP(C1382,layoffs_location!A:F,6,FALSE)</f>
        <v>32.0852997</v>
      </c>
      <c r="R1382" s="3">
        <f>VLOOKUP(C1382,layoffs_location!A:G,7,FALSE)</f>
        <v>34.781806400000001</v>
      </c>
    </row>
    <row r="1383" spans="1:18" x14ac:dyDescent="0.2">
      <c r="A1383" s="3">
        <v>1382</v>
      </c>
      <c r="B1383" s="17" t="s">
        <v>45</v>
      </c>
      <c r="C1383" s="17" t="s">
        <v>1473</v>
      </c>
      <c r="D1383" s="3" t="str">
        <f>VLOOKUP(C1383,layoffs_location!A:B,2,FALSE)</f>
        <v>San Francisco Bay Area</v>
      </c>
      <c r="E1383" s="3" t="str">
        <f>VLOOKUP(C1383,layoffs_location!A:C,3,FALSE)</f>
        <v>California</v>
      </c>
      <c r="F1383" s="3" t="str">
        <f>VLOOKUP(C1383,layoffs_location!A:D,4,FALSE)</f>
        <v>USA</v>
      </c>
      <c r="G1383" s="3" t="str">
        <f>VLOOKUP(C1383,layoffs_location!A:E,5,FALSE)</f>
        <v>North America</v>
      </c>
      <c r="H1383" s="17">
        <v>145</v>
      </c>
      <c r="I1383" s="18">
        <v>45265</v>
      </c>
      <c r="J1383" s="19">
        <v>5</v>
      </c>
      <c r="K1383" s="20">
        <v>2900</v>
      </c>
      <c r="L1383" s="20">
        <v>2755</v>
      </c>
      <c r="M1383" s="17" t="s">
        <v>35</v>
      </c>
      <c r="N1383" s="17" t="s">
        <v>22</v>
      </c>
      <c r="O1383" s="35"/>
      <c r="P1383" s="3">
        <v>2023</v>
      </c>
      <c r="Q1383" s="3">
        <f>VLOOKUP(C1383,layoffs_location!A:F,6,FALSE)</f>
        <v>37.4443293</v>
      </c>
      <c r="R1383" s="3">
        <f>VLOOKUP(C1383,layoffs_location!A:G,7,FALSE)</f>
        <v>-122.1598465</v>
      </c>
    </row>
    <row r="1384" spans="1:18" x14ac:dyDescent="0.2">
      <c r="A1384" s="3">
        <v>1383</v>
      </c>
      <c r="B1384" s="17" t="s">
        <v>44</v>
      </c>
      <c r="C1384" s="17" t="s">
        <v>13</v>
      </c>
      <c r="D1384" s="3" t="str">
        <f>VLOOKUP(C1384,layoffs_location!A:B,2,FALSE)</f>
        <v>other</v>
      </c>
      <c r="E1384" s="3" t="str">
        <f>VLOOKUP(C1384,layoffs_location!A:C,3,FALSE)</f>
        <v>Karnataka</v>
      </c>
      <c r="F1384" s="3" t="str">
        <f>VLOOKUP(C1384,layoffs_location!A:D,4,FALSE)</f>
        <v>India</v>
      </c>
      <c r="G1384" s="3" t="str">
        <f>VLOOKUP(C1384,layoffs_location!A:E,5,FALSE)</f>
        <v>Asia</v>
      </c>
      <c r="H1384" s="17">
        <v>150</v>
      </c>
      <c r="I1384" s="18">
        <v>45265</v>
      </c>
      <c r="J1384" s="19">
        <v>100</v>
      </c>
      <c r="K1384" s="20">
        <v>150</v>
      </c>
      <c r="L1384" s="20">
        <v>0</v>
      </c>
      <c r="M1384" s="17" t="s">
        <v>35</v>
      </c>
      <c r="N1384" s="17" t="s">
        <v>41</v>
      </c>
      <c r="O1384" s="35">
        <v>120</v>
      </c>
      <c r="P1384" s="3">
        <v>2023</v>
      </c>
      <c r="Q1384" s="3">
        <f>VLOOKUP(C1384,layoffs_location!A:F,6,FALSE)</f>
        <v>12.98815675</v>
      </c>
      <c r="R1384" s="3">
        <f>VLOOKUP(C1384,layoffs_location!A:G,7,FALSE)</f>
        <v>77.622600037959998</v>
      </c>
    </row>
    <row r="1385" spans="1:18" x14ac:dyDescent="0.2">
      <c r="A1385" s="3">
        <v>1384</v>
      </c>
      <c r="B1385" s="17" t="s">
        <v>42</v>
      </c>
      <c r="C1385" s="17" t="s">
        <v>43</v>
      </c>
      <c r="D1385" s="3" t="str">
        <f>VLOOKUP(C1385,layoffs_location!A:B,2,FALSE)</f>
        <v>Cascadia</v>
      </c>
      <c r="E1385" s="3" t="str">
        <f>VLOOKUP(C1385,layoffs_location!A:C,3,FALSE)</f>
        <v>Washington</v>
      </c>
      <c r="F1385" s="3" t="str">
        <f>VLOOKUP(C1385,layoffs_location!A:D,4,FALSE)</f>
        <v>USA</v>
      </c>
      <c r="G1385" s="3" t="str">
        <f>VLOOKUP(C1385,layoffs_location!A:E,5,FALSE)</f>
        <v>North America</v>
      </c>
      <c r="H1385" s="17">
        <v>839</v>
      </c>
      <c r="I1385" s="18">
        <v>45268</v>
      </c>
      <c r="J1385" s="19">
        <v>100</v>
      </c>
      <c r="K1385" s="20">
        <v>839</v>
      </c>
      <c r="L1385" s="20">
        <v>0</v>
      </c>
      <c r="M1385" s="17" t="s">
        <v>30</v>
      </c>
      <c r="N1385" s="17" t="s">
        <v>33</v>
      </c>
      <c r="O1385" s="35">
        <v>194</v>
      </c>
      <c r="P1385" s="3">
        <v>2023</v>
      </c>
      <c r="Q1385" s="3">
        <f>VLOOKUP(C1385,layoffs_location!A:F,6,FALSE)</f>
        <v>47.603832099999998</v>
      </c>
      <c r="R1385" s="3">
        <f>VLOOKUP(C1385,layoffs_location!A:G,7,FALSE)</f>
        <v>-122.330062</v>
      </c>
    </row>
    <row r="1386" spans="1:18" ht="16" x14ac:dyDescent="0.2">
      <c r="A1386" s="3">
        <v>1385</v>
      </c>
      <c r="B1386" s="26" t="s">
        <v>1584</v>
      </c>
      <c r="C1386" s="26" t="s">
        <v>83</v>
      </c>
      <c r="D1386" s="3" t="str">
        <f>VLOOKUP(C1386,layoffs_location!A:B,2,FALSE)</f>
        <v>other</v>
      </c>
      <c r="E1386" s="3" t="str">
        <f>VLOOKUP(C1386,layoffs_location!A:C,3,FALSE)</f>
        <v>Texas</v>
      </c>
      <c r="F1386" s="3" t="str">
        <f>VLOOKUP(C1386,layoffs_location!A:D,4,FALSE)</f>
        <v>USA</v>
      </c>
      <c r="G1386" s="3" t="str">
        <f>VLOOKUP(C1386,layoffs_location!A:E,5,FALSE)</f>
        <v>North America</v>
      </c>
      <c r="H1386" s="27"/>
      <c r="I1386" s="24">
        <v>45269</v>
      </c>
      <c r="J1386" s="5"/>
      <c r="K1386" s="6"/>
      <c r="L1386" s="6"/>
      <c r="M1386" s="4" t="s">
        <v>30</v>
      </c>
      <c r="N1386" s="17" t="s">
        <v>1696</v>
      </c>
      <c r="O1386" s="27">
        <v>110</v>
      </c>
      <c r="P1386" s="3">
        <v>2024</v>
      </c>
      <c r="Q1386" s="3">
        <f>VLOOKUP(C1386,layoffs_location!A:F,6,FALSE)</f>
        <v>30.271128600000001</v>
      </c>
      <c r="R1386" s="3">
        <f>VLOOKUP(C1386,layoffs_location!A:G,7,FALSE)</f>
        <v>-97.743699500000005</v>
      </c>
    </row>
    <row r="1387" spans="1:18" ht="16" x14ac:dyDescent="0.2">
      <c r="A1387" s="3">
        <v>1386</v>
      </c>
      <c r="B1387" s="26" t="s">
        <v>1643</v>
      </c>
      <c r="C1387" s="26" t="s">
        <v>562</v>
      </c>
      <c r="D1387" s="3" t="str">
        <f>VLOOKUP(C1387,layoffs_location!A:B,2,FALSE)</f>
        <v>other</v>
      </c>
      <c r="E1387" s="3" t="str">
        <f>VLOOKUP(C1387,layoffs_location!A:C,3,FALSE)</f>
        <v>Tennessee</v>
      </c>
      <c r="F1387" s="3" t="str">
        <f>VLOOKUP(C1387,layoffs_location!A:D,4,FALSE)</f>
        <v>USA</v>
      </c>
      <c r="G1387" s="3" t="str">
        <f>VLOOKUP(C1387,layoffs_location!A:E,5,FALSE)</f>
        <v>North America</v>
      </c>
      <c r="H1387" s="27"/>
      <c r="I1387" s="24">
        <v>45269</v>
      </c>
      <c r="J1387" s="5">
        <v>100</v>
      </c>
      <c r="K1387" s="6"/>
      <c r="L1387" s="6">
        <v>0</v>
      </c>
      <c r="M1387" s="4" t="s">
        <v>21</v>
      </c>
      <c r="N1387" s="4" t="s">
        <v>28</v>
      </c>
      <c r="O1387" s="27">
        <v>694</v>
      </c>
      <c r="P1387" s="3">
        <v>2024</v>
      </c>
      <c r="Q1387" s="3">
        <f>VLOOKUP(C1387,layoffs_location!A:F,6,FALSE)</f>
        <v>36.1622767</v>
      </c>
      <c r="R1387" s="3">
        <f>VLOOKUP(C1387,layoffs_location!A:G,7,FALSE)</f>
        <v>-86.774298400000006</v>
      </c>
    </row>
    <row r="1388" spans="1:18" ht="16" x14ac:dyDescent="0.2">
      <c r="A1388" s="3">
        <v>1387</v>
      </c>
      <c r="B1388" s="26" t="s">
        <v>1651</v>
      </c>
      <c r="C1388" s="26" t="s">
        <v>1370</v>
      </c>
      <c r="D1388" s="3" t="str">
        <f>VLOOKUP(C1388,layoffs_location!A:B,2,FALSE)</f>
        <v>San Francisco Bay Area</v>
      </c>
      <c r="E1388" s="3" t="str">
        <f>VLOOKUP(C1388,layoffs_location!A:C,3,FALSE)</f>
        <v>California</v>
      </c>
      <c r="F1388" s="3" t="str">
        <f>VLOOKUP(C1388,layoffs_location!A:D,4,FALSE)</f>
        <v>USA</v>
      </c>
      <c r="G1388" s="3" t="str">
        <f>VLOOKUP(C1388,layoffs_location!A:E,5,FALSE)</f>
        <v>North America</v>
      </c>
      <c r="H1388" s="27"/>
      <c r="I1388" s="24">
        <v>45269</v>
      </c>
      <c r="J1388" s="5">
        <v>100</v>
      </c>
      <c r="K1388" s="6"/>
      <c r="L1388" s="6">
        <v>0</v>
      </c>
      <c r="M1388" s="4" t="s">
        <v>27</v>
      </c>
      <c r="N1388" s="4" t="s">
        <v>49</v>
      </c>
      <c r="O1388" s="27">
        <v>32</v>
      </c>
      <c r="P1388" s="3">
        <v>2024</v>
      </c>
      <c r="Q1388" s="3">
        <f>VLOOKUP(C1388,layoffs_location!A:F,6,FALSE)</f>
        <v>37.779258800000001</v>
      </c>
      <c r="R1388" s="3">
        <f>VLOOKUP(C1388,layoffs_location!A:G,7,FALSE)</f>
        <v>-122.4193286</v>
      </c>
    </row>
    <row r="1389" spans="1:18" x14ac:dyDescent="0.2">
      <c r="A1389" s="3">
        <v>1388</v>
      </c>
      <c r="B1389" s="17" t="s">
        <v>40</v>
      </c>
      <c r="C1389" s="17" t="s">
        <v>1370</v>
      </c>
      <c r="D1389" s="3" t="str">
        <f>VLOOKUP(C1389,layoffs_location!A:B,2,FALSE)</f>
        <v>San Francisco Bay Area</v>
      </c>
      <c r="E1389" s="3" t="str">
        <f>VLOOKUP(C1389,layoffs_location!A:C,3,FALSE)</f>
        <v>California</v>
      </c>
      <c r="F1389" s="3" t="str">
        <f>VLOOKUP(C1389,layoffs_location!A:D,4,FALSE)</f>
        <v>USA</v>
      </c>
      <c r="G1389" s="3" t="str">
        <f>VLOOKUP(C1389,layoffs_location!A:E,5,FALSE)</f>
        <v>North America</v>
      </c>
      <c r="H1389" s="17">
        <v>15</v>
      </c>
      <c r="I1389" s="18">
        <v>45271</v>
      </c>
      <c r="J1389" s="19">
        <v>33</v>
      </c>
      <c r="K1389" s="20">
        <v>45</v>
      </c>
      <c r="L1389" s="20">
        <v>30</v>
      </c>
      <c r="M1389" s="17" t="s">
        <v>35</v>
      </c>
      <c r="N1389" s="17" t="s">
        <v>41</v>
      </c>
      <c r="O1389" s="34">
        <v>302</v>
      </c>
      <c r="P1389" s="21">
        <v>2023</v>
      </c>
      <c r="Q1389" s="3">
        <f>VLOOKUP(C1389,layoffs_location!A:F,6,FALSE)</f>
        <v>37.779258800000001</v>
      </c>
      <c r="R1389" s="3">
        <f>VLOOKUP(C1389,layoffs_location!A:G,7,FALSE)</f>
        <v>-122.4193286</v>
      </c>
    </row>
    <row r="1390" spans="1:18" ht="16" x14ac:dyDescent="0.2">
      <c r="A1390" s="3">
        <v>1389</v>
      </c>
      <c r="B1390" s="26" t="s">
        <v>1660</v>
      </c>
      <c r="C1390" s="26" t="s">
        <v>1350</v>
      </c>
      <c r="D1390" s="3" t="str">
        <f>VLOOKUP(C1390,layoffs_location!A:B,2,FALSE)</f>
        <v>other</v>
      </c>
      <c r="E1390" s="3" t="str">
        <f>VLOOKUP(C1390,layoffs_location!A:C,3,FALSE)</f>
        <v>non</v>
      </c>
      <c r="F1390" s="3" t="str">
        <f>VLOOKUP(C1390,layoffs_location!A:D,4,FALSE)</f>
        <v>Poland</v>
      </c>
      <c r="G1390" s="3" t="str">
        <f>VLOOKUP(C1390,layoffs_location!A:E,5,FALSE)</f>
        <v>Europe</v>
      </c>
      <c r="H1390" s="23">
        <v>45</v>
      </c>
      <c r="I1390" s="24">
        <v>45272</v>
      </c>
      <c r="J1390" s="5"/>
      <c r="K1390" s="6"/>
      <c r="L1390" s="6"/>
      <c r="M1390" s="4" t="s">
        <v>32</v>
      </c>
      <c r="N1390" s="4" t="s">
        <v>28</v>
      </c>
      <c r="O1390" s="27"/>
      <c r="P1390" s="3">
        <v>2024</v>
      </c>
      <c r="Q1390" s="3">
        <f>VLOOKUP(C1390,layoffs_location!A:F,6,FALSE)</f>
        <v>51.768732300000003</v>
      </c>
      <c r="R1390" s="3">
        <f>VLOOKUP(C1390,layoffs_location!A:G,7,FALSE)</f>
        <v>19.4569911</v>
      </c>
    </row>
    <row r="1391" spans="1:18" ht="16" x14ac:dyDescent="0.2">
      <c r="A1391" s="3">
        <v>1390</v>
      </c>
      <c r="B1391" s="26" t="s">
        <v>1349</v>
      </c>
      <c r="C1391" s="26" t="s">
        <v>1694</v>
      </c>
      <c r="D1391" s="3" t="str">
        <f>VLOOKUP(C1391,layoffs_location!A:B,2,FALSE)</f>
        <v>San Francisco Bay Area</v>
      </c>
      <c r="E1391" s="3" t="str">
        <f>VLOOKUP(C1391,layoffs_location!A:C,3,FALSE)</f>
        <v>California</v>
      </c>
      <c r="F1391" s="3" t="str">
        <f>VLOOKUP(C1391,layoffs_location!A:D,4,FALSE)</f>
        <v>USA</v>
      </c>
      <c r="G1391" s="3" t="str">
        <f>VLOOKUP(C1391,layoffs_location!A:E,5,FALSE)</f>
        <v>North America</v>
      </c>
      <c r="H1391" s="23">
        <v>111</v>
      </c>
      <c r="I1391" s="24">
        <v>45273</v>
      </c>
      <c r="J1391" s="5"/>
      <c r="K1391" s="6"/>
      <c r="L1391" s="6"/>
      <c r="M1391" s="4" t="s">
        <v>155</v>
      </c>
      <c r="N1391" s="4" t="s">
        <v>28</v>
      </c>
      <c r="O1391" s="27"/>
      <c r="P1391" s="3">
        <v>2024</v>
      </c>
      <c r="Q1391" s="3">
        <f>VLOOKUP(C1391,layoffs_location!A:F,6,FALSE)</f>
        <v>37.336166300000002</v>
      </c>
      <c r="R1391" s="3">
        <f>VLOOKUP(C1391,layoffs_location!A:G,7,FALSE)</f>
        <v>-121.890591</v>
      </c>
    </row>
    <row r="1392" spans="1:18" x14ac:dyDescent="0.2">
      <c r="A1392" s="3">
        <v>1391</v>
      </c>
      <c r="B1392" s="17" t="s">
        <v>38</v>
      </c>
      <c r="C1392" s="17" t="s">
        <v>39</v>
      </c>
      <c r="D1392" s="3" t="str">
        <f>VLOOKUP(C1392,layoffs_location!A:B,2,FALSE)</f>
        <v>New York</v>
      </c>
      <c r="E1392" s="3" t="str">
        <f>VLOOKUP(C1392,layoffs_location!A:C,3,FALSE)</f>
        <v>New York</v>
      </c>
      <c r="F1392" s="3" t="str">
        <f>VLOOKUP(C1392,layoffs_location!A:D,4,FALSE)</f>
        <v>USA</v>
      </c>
      <c r="G1392" s="3" t="str">
        <f>VLOOKUP(C1392,layoffs_location!A:E,5,FALSE)</f>
        <v>North America</v>
      </c>
      <c r="H1392" s="17">
        <v>225</v>
      </c>
      <c r="I1392" s="18">
        <v>45273</v>
      </c>
      <c r="J1392" s="19">
        <v>11</v>
      </c>
      <c r="K1392" s="20">
        <v>2045</v>
      </c>
      <c r="L1392" s="20">
        <v>1820</v>
      </c>
      <c r="M1392" s="17" t="s">
        <v>30</v>
      </c>
      <c r="N1392" s="17" t="s">
        <v>28</v>
      </c>
      <c r="O1392" s="35">
        <v>97</v>
      </c>
      <c r="P1392" s="3">
        <v>2023</v>
      </c>
      <c r="Q1392" s="3">
        <f>VLOOKUP(C1392,layoffs_location!A:F,6,FALSE)</f>
        <v>40.7127281</v>
      </c>
      <c r="R1392" s="3">
        <f>VLOOKUP(C1392,layoffs_location!A:G,7,FALSE)</f>
        <v>-74.006015199999993</v>
      </c>
    </row>
    <row r="1393" spans="1:18" ht="16" x14ac:dyDescent="0.2">
      <c r="A1393" s="3">
        <v>1392</v>
      </c>
      <c r="B1393" s="26" t="s">
        <v>38</v>
      </c>
      <c r="C1393" s="26" t="s">
        <v>39</v>
      </c>
      <c r="D1393" s="3" t="str">
        <f>VLOOKUP(C1393,layoffs_location!A:B,2,FALSE)</f>
        <v>New York</v>
      </c>
      <c r="E1393" s="3" t="str">
        <f>VLOOKUP(C1393,layoffs_location!A:C,3,FALSE)</f>
        <v>New York</v>
      </c>
      <c r="F1393" s="3" t="str">
        <f>VLOOKUP(C1393,layoffs_location!A:D,4,FALSE)</f>
        <v>USA</v>
      </c>
      <c r="G1393" s="3" t="str">
        <f>VLOOKUP(C1393,layoffs_location!A:E,5,FALSE)</f>
        <v>North America</v>
      </c>
      <c r="H1393" s="23">
        <v>225</v>
      </c>
      <c r="I1393" s="24">
        <v>45273</v>
      </c>
      <c r="J1393" s="5">
        <v>11</v>
      </c>
      <c r="K1393" s="6">
        <v>2045</v>
      </c>
      <c r="L1393" s="6">
        <v>1820</v>
      </c>
      <c r="M1393" s="4" t="s">
        <v>30</v>
      </c>
      <c r="N1393" s="4" t="s">
        <v>28</v>
      </c>
      <c r="O1393" s="27">
        <v>97</v>
      </c>
      <c r="P1393" s="3">
        <v>2024</v>
      </c>
      <c r="Q1393" s="3">
        <f>VLOOKUP(C1393,layoffs_location!A:F,6,FALSE)</f>
        <v>40.7127281</v>
      </c>
      <c r="R1393" s="3">
        <f>VLOOKUP(C1393,layoffs_location!A:G,7,FALSE)</f>
        <v>-74.006015199999993</v>
      </c>
    </row>
    <row r="1394" spans="1:18" ht="16" x14ac:dyDescent="0.2">
      <c r="A1394" s="3">
        <v>1393</v>
      </c>
      <c r="B1394" s="26" t="s">
        <v>1552</v>
      </c>
      <c r="C1394" s="26" t="s">
        <v>1706</v>
      </c>
      <c r="D1394" s="3" t="str">
        <f>VLOOKUP(C1394,layoffs_location!A:B,2,FALSE)</f>
        <v>San Francisco Bay Area</v>
      </c>
      <c r="E1394" s="3" t="str">
        <f>VLOOKUP(C1394,layoffs_location!A:C,3,FALSE)</f>
        <v>California</v>
      </c>
      <c r="F1394" s="3" t="str">
        <f>VLOOKUP(C1394,layoffs_location!A:D,4,FALSE)</f>
        <v>USA</v>
      </c>
      <c r="G1394" s="3" t="str">
        <f>VLOOKUP(C1394,layoffs_location!A:E,5,FALSE)</f>
        <v>North America</v>
      </c>
      <c r="H1394" s="23">
        <v>31</v>
      </c>
      <c r="I1394" s="24">
        <v>45273</v>
      </c>
      <c r="J1394" s="5"/>
      <c r="K1394" s="6"/>
      <c r="L1394" s="6"/>
      <c r="M1394" s="4" t="s">
        <v>155</v>
      </c>
      <c r="N1394" s="4" t="s">
        <v>22</v>
      </c>
      <c r="O1394" s="27"/>
      <c r="P1394" s="3">
        <v>2024</v>
      </c>
      <c r="Q1394" s="3">
        <f>VLOOKUP(C1394,layoffs_location!A:F,6,FALSE)</f>
        <v>37.433227299999999</v>
      </c>
      <c r="R1394" s="3">
        <f>VLOOKUP(C1394,layoffs_location!A:G,7,FALSE)</f>
        <v>-121.8989248</v>
      </c>
    </row>
    <row r="1395" spans="1:18" ht="16" x14ac:dyDescent="0.2">
      <c r="A1395" s="3">
        <v>1394</v>
      </c>
      <c r="B1395" s="26" t="s">
        <v>1554</v>
      </c>
      <c r="C1395" s="40" t="s">
        <v>1370</v>
      </c>
      <c r="D1395" s="3" t="str">
        <f>VLOOKUP(C1395,layoffs_location!A:B,2,FALSE)</f>
        <v>San Francisco Bay Area</v>
      </c>
      <c r="E1395" s="3" t="str">
        <f>VLOOKUP(C1395,layoffs_location!A:C,3,FALSE)</f>
        <v>California</v>
      </c>
      <c r="F1395" s="3" t="str">
        <f>VLOOKUP(C1395,layoffs_location!A:D,4,FALSE)</f>
        <v>USA</v>
      </c>
      <c r="G1395" s="3" t="str">
        <f>VLOOKUP(C1395,layoffs_location!A:E,5,FALSE)</f>
        <v>North America</v>
      </c>
      <c r="H1395" s="23">
        <v>109</v>
      </c>
      <c r="I1395" s="24">
        <v>45273</v>
      </c>
      <c r="J1395" s="5"/>
      <c r="K1395" s="6"/>
      <c r="L1395" s="6"/>
      <c r="M1395" s="4" t="s">
        <v>60</v>
      </c>
      <c r="N1395" s="4" t="s">
        <v>33</v>
      </c>
      <c r="O1395" s="27">
        <v>234</v>
      </c>
      <c r="P1395" s="3">
        <v>2024</v>
      </c>
      <c r="Q1395" s="3">
        <f>VLOOKUP(C1395,layoffs_location!A:F,6,FALSE)</f>
        <v>37.779258800000001</v>
      </c>
      <c r="R1395" s="3">
        <f>VLOOKUP(C1395,layoffs_location!A:G,7,FALSE)</f>
        <v>-122.4193286</v>
      </c>
    </row>
    <row r="1396" spans="1:18" ht="16" x14ac:dyDescent="0.2">
      <c r="A1396" s="3">
        <v>1395</v>
      </c>
      <c r="B1396" s="26" t="s">
        <v>830</v>
      </c>
      <c r="C1396" s="26" t="s">
        <v>154</v>
      </c>
      <c r="D1396" s="3" t="str">
        <f>VLOOKUP(C1396,layoffs_location!A:B,2,FALSE)</f>
        <v>other</v>
      </c>
      <c r="E1396" s="3" t="str">
        <f>VLOOKUP(C1396,layoffs_location!A:C,3,FALSE)</f>
        <v>Illinois</v>
      </c>
      <c r="F1396" s="3" t="str">
        <f>VLOOKUP(C1396,layoffs_location!A:D,4,FALSE)</f>
        <v>USA</v>
      </c>
      <c r="G1396" s="3" t="str">
        <f>VLOOKUP(C1396,layoffs_location!A:E,5,FALSE)</f>
        <v>North America</v>
      </c>
      <c r="H1396" s="27"/>
      <c r="I1396" s="24">
        <v>45273</v>
      </c>
      <c r="J1396" s="5">
        <v>15</v>
      </c>
      <c r="K1396" s="6"/>
      <c r="L1396" s="6"/>
      <c r="M1396" s="4" t="s">
        <v>90</v>
      </c>
      <c r="N1396" s="4" t="s">
        <v>22</v>
      </c>
      <c r="O1396" s="27">
        <v>241</v>
      </c>
      <c r="P1396" s="3">
        <v>2024</v>
      </c>
      <c r="Q1396" s="3">
        <f>VLOOKUP(C1396,layoffs_location!A:F,6,FALSE)</f>
        <v>41.875561599999997</v>
      </c>
      <c r="R1396" s="3">
        <f>VLOOKUP(C1396,layoffs_location!A:G,7,FALSE)</f>
        <v>-87.6244212</v>
      </c>
    </row>
    <row r="1397" spans="1:18" ht="16" x14ac:dyDescent="0.2">
      <c r="A1397" s="3">
        <v>1396</v>
      </c>
      <c r="B1397" s="17" t="s">
        <v>37</v>
      </c>
      <c r="C1397" s="26" t="s">
        <v>1370</v>
      </c>
      <c r="D1397" s="3" t="str">
        <f>VLOOKUP(C1397,layoffs_location!A:B,2,FALSE)</f>
        <v>San Francisco Bay Area</v>
      </c>
      <c r="E1397" s="3" t="str">
        <f>VLOOKUP(C1397,layoffs_location!A:C,3,FALSE)</f>
        <v>California</v>
      </c>
      <c r="F1397" s="3" t="str">
        <f>VLOOKUP(C1397,layoffs_location!A:D,4,FALSE)</f>
        <v>USA</v>
      </c>
      <c r="G1397" s="3" t="str">
        <f>VLOOKUP(C1397,layoffs_location!A:E,5,FALSE)</f>
        <v>North America</v>
      </c>
      <c r="H1397" s="17">
        <v>235</v>
      </c>
      <c r="I1397" s="18">
        <v>45273</v>
      </c>
      <c r="J1397" s="19">
        <v>15</v>
      </c>
      <c r="K1397" s="20">
        <v>1567</v>
      </c>
      <c r="L1397" s="20">
        <v>1332</v>
      </c>
      <c r="M1397" s="17" t="s">
        <v>21</v>
      </c>
      <c r="N1397" s="17" t="s">
        <v>28</v>
      </c>
      <c r="O1397" s="35"/>
      <c r="P1397" s="3">
        <v>2023</v>
      </c>
      <c r="Q1397" s="3">
        <f>VLOOKUP(C1397,layoffs_location!A:F,6,FALSE)</f>
        <v>37.779258800000001</v>
      </c>
      <c r="R1397" s="3">
        <f>VLOOKUP(C1397,layoffs_location!A:G,7,FALSE)</f>
        <v>-122.4193286</v>
      </c>
    </row>
    <row r="1398" spans="1:18" ht="16" x14ac:dyDescent="0.2">
      <c r="A1398" s="3">
        <v>1397</v>
      </c>
      <c r="B1398" s="26" t="s">
        <v>1249</v>
      </c>
      <c r="C1398" s="26" t="s">
        <v>1370</v>
      </c>
      <c r="D1398" s="3" t="str">
        <f>VLOOKUP(C1398,layoffs_location!A:B,2,FALSE)</f>
        <v>San Francisco Bay Area</v>
      </c>
      <c r="E1398" s="3" t="str">
        <f>VLOOKUP(C1398,layoffs_location!A:C,3,FALSE)</f>
        <v>California</v>
      </c>
      <c r="F1398" s="3" t="str">
        <f>VLOOKUP(C1398,layoffs_location!A:D,4,FALSE)</f>
        <v>USA</v>
      </c>
      <c r="G1398" s="3" t="str">
        <f>VLOOKUP(C1398,layoffs_location!A:E,5,FALSE)</f>
        <v>North America</v>
      </c>
      <c r="H1398" s="27"/>
      <c r="I1398" s="24">
        <v>45273</v>
      </c>
      <c r="J1398" s="5">
        <v>20</v>
      </c>
      <c r="K1398" s="6"/>
      <c r="L1398" s="6"/>
      <c r="M1398" s="4" t="s">
        <v>130</v>
      </c>
      <c r="N1398" s="4" t="s">
        <v>22</v>
      </c>
      <c r="O1398" s="27">
        <v>172</v>
      </c>
      <c r="P1398" s="3">
        <v>2024</v>
      </c>
      <c r="Q1398" s="3">
        <f>VLOOKUP(C1398,layoffs_location!A:F,6,FALSE)</f>
        <v>37.779258800000001</v>
      </c>
      <c r="R1398" s="3">
        <f>VLOOKUP(C1398,layoffs_location!A:G,7,FALSE)</f>
        <v>-122.4193286</v>
      </c>
    </row>
    <row r="1399" spans="1:18" x14ac:dyDescent="0.2">
      <c r="A1399" s="3">
        <v>1398</v>
      </c>
      <c r="B1399" s="17" t="s">
        <v>34</v>
      </c>
      <c r="C1399" s="3" t="s">
        <v>1370</v>
      </c>
      <c r="D1399" s="3" t="str">
        <f>VLOOKUP(C1399,layoffs_location!A:B,2,FALSE)</f>
        <v>San Francisco Bay Area</v>
      </c>
      <c r="E1399" s="3" t="str">
        <f>VLOOKUP(C1399,layoffs_location!A:C,3,FALSE)</f>
        <v>California</v>
      </c>
      <c r="F1399" s="3" t="str">
        <f>VLOOKUP(C1399,layoffs_location!A:D,4,FALSE)</f>
        <v>USA</v>
      </c>
      <c r="G1399" s="3" t="str">
        <f>VLOOKUP(C1399,layoffs_location!A:E,5,FALSE)</f>
        <v>North America</v>
      </c>
      <c r="H1399" s="17">
        <v>130</v>
      </c>
      <c r="I1399" s="18">
        <v>45274</v>
      </c>
      <c r="J1399" s="19">
        <v>29</v>
      </c>
      <c r="K1399" s="20">
        <v>450</v>
      </c>
      <c r="L1399" s="20">
        <v>320</v>
      </c>
      <c r="M1399" s="17" t="s">
        <v>35</v>
      </c>
      <c r="N1399" s="17" t="s">
        <v>36</v>
      </c>
      <c r="O1399" s="35">
        <v>1300</v>
      </c>
      <c r="P1399" s="3">
        <v>2023</v>
      </c>
      <c r="Q1399" s="3">
        <f>VLOOKUP(C1399,layoffs_location!A:F,6,FALSE)</f>
        <v>37.779258800000001</v>
      </c>
      <c r="R1399" s="3">
        <f>VLOOKUP(C1399,layoffs_location!A:G,7,FALSE)</f>
        <v>-122.4193286</v>
      </c>
    </row>
    <row r="1400" spans="1:18" x14ac:dyDescent="0.2">
      <c r="A1400" s="3">
        <v>1399</v>
      </c>
      <c r="B1400" s="17" t="s">
        <v>31</v>
      </c>
      <c r="C1400" s="3" t="s">
        <v>1370</v>
      </c>
      <c r="D1400" s="3" t="str">
        <f>VLOOKUP(C1400,layoffs_location!A:B,2,FALSE)</f>
        <v>San Francisco Bay Area</v>
      </c>
      <c r="E1400" s="3" t="str">
        <f>VLOOKUP(C1400,layoffs_location!A:C,3,FALSE)</f>
        <v>California</v>
      </c>
      <c r="F1400" s="3" t="str">
        <f>VLOOKUP(C1400,layoffs_location!A:D,4,FALSE)</f>
        <v>USA</v>
      </c>
      <c r="G1400" s="3" t="str">
        <f>VLOOKUP(C1400,layoffs_location!A:E,5,FALSE)</f>
        <v>North America</v>
      </c>
      <c r="H1400" s="17">
        <v>900</v>
      </c>
      <c r="I1400" s="18">
        <v>45274</v>
      </c>
      <c r="J1400" s="19">
        <v>24</v>
      </c>
      <c r="K1400" s="20">
        <v>3750</v>
      </c>
      <c r="L1400" s="20">
        <v>2850</v>
      </c>
      <c r="M1400" s="17" t="s">
        <v>32</v>
      </c>
      <c r="N1400" s="17" t="s">
        <v>33</v>
      </c>
      <c r="O1400" s="35">
        <v>15000</v>
      </c>
      <c r="P1400" s="3">
        <v>2023</v>
      </c>
      <c r="Q1400" s="3">
        <f>VLOOKUP(C1400,layoffs_location!A:F,6,FALSE)</f>
        <v>37.779258800000001</v>
      </c>
      <c r="R1400" s="3">
        <f>VLOOKUP(C1400,layoffs_location!A:G,7,FALSE)</f>
        <v>-122.4193286</v>
      </c>
    </row>
    <row r="1401" spans="1:18" ht="16" x14ac:dyDescent="0.2">
      <c r="A1401" s="3">
        <v>1400</v>
      </c>
      <c r="B1401" s="26" t="s">
        <v>1534</v>
      </c>
      <c r="C1401" s="26" t="s">
        <v>135</v>
      </c>
      <c r="D1401" s="3" t="str">
        <f>VLOOKUP(C1401,layoffs_location!A:B,2,FALSE)</f>
        <v>other</v>
      </c>
      <c r="E1401" s="3" t="str">
        <f>VLOOKUP(C1401,layoffs_location!A:C,3,FALSE)</f>
        <v>Berlin</v>
      </c>
      <c r="F1401" s="3" t="str">
        <f>VLOOKUP(C1401,layoffs_location!A:D,4,FALSE)</f>
        <v>Germany</v>
      </c>
      <c r="G1401" s="3" t="str">
        <f>VLOOKUP(C1401,layoffs_location!A:E,5,FALSE)</f>
        <v>Europe</v>
      </c>
      <c r="H1401" s="27"/>
      <c r="I1401" s="24">
        <v>45274</v>
      </c>
      <c r="J1401" s="5">
        <v>100</v>
      </c>
      <c r="K1401" s="6"/>
      <c r="L1401" s="6">
        <v>0</v>
      </c>
      <c r="M1401" s="4" t="s">
        <v>21</v>
      </c>
      <c r="N1401" s="4" t="s">
        <v>22</v>
      </c>
      <c r="O1401" s="27"/>
      <c r="P1401" s="3">
        <v>2024</v>
      </c>
      <c r="Q1401" s="3">
        <f>VLOOKUP(C1401,layoffs_location!A:F,6,FALSE)</f>
        <v>52.517036500000003</v>
      </c>
      <c r="R1401" s="3">
        <f>VLOOKUP(C1401,layoffs_location!A:G,7,FALSE)</f>
        <v>13.3888599</v>
      </c>
    </row>
    <row r="1402" spans="1:18" ht="16" x14ac:dyDescent="0.2">
      <c r="A1402" s="3">
        <v>1401</v>
      </c>
      <c r="B1402" s="26" t="s">
        <v>1535</v>
      </c>
      <c r="C1402" s="26" t="s">
        <v>260</v>
      </c>
      <c r="D1402" s="3" t="str">
        <f>VLOOKUP(C1402,layoffs_location!A:B,2,FALSE)</f>
        <v>other</v>
      </c>
      <c r="E1402" s="3" t="str">
        <f>VLOOKUP(C1402,layoffs_location!A:C,3,FALSE)</f>
        <v>District of Columbia</v>
      </c>
      <c r="F1402" s="3" t="str">
        <f>VLOOKUP(C1402,layoffs_location!A:D,4,FALSE)</f>
        <v>USA</v>
      </c>
      <c r="G1402" s="3" t="str">
        <f>VLOOKUP(C1402,layoffs_location!A:E,5,FALSE)</f>
        <v>North America</v>
      </c>
      <c r="H1402" s="27"/>
      <c r="I1402" s="24">
        <v>45274</v>
      </c>
      <c r="J1402" s="5"/>
      <c r="K1402" s="6"/>
      <c r="L1402" s="6"/>
      <c r="M1402" s="4" t="s">
        <v>137</v>
      </c>
      <c r="N1402" s="4" t="s">
        <v>49</v>
      </c>
      <c r="O1402" s="27">
        <v>76</v>
      </c>
      <c r="P1402" s="3">
        <v>2024</v>
      </c>
      <c r="Q1402" s="3">
        <f>VLOOKUP(C1402,layoffs_location!A:F,6,FALSE)</f>
        <v>38.8950368</v>
      </c>
      <c r="R1402" s="3">
        <f>VLOOKUP(C1402,layoffs_location!A:G,7,FALSE)</f>
        <v>-77.036542699999998</v>
      </c>
    </row>
    <row r="1403" spans="1:18" ht="16" x14ac:dyDescent="0.2">
      <c r="A1403" s="3">
        <v>1402</v>
      </c>
      <c r="B1403" s="26" t="s">
        <v>700</v>
      </c>
      <c r="C1403" s="26" t="s">
        <v>43</v>
      </c>
      <c r="D1403" s="3" t="str">
        <f>VLOOKUP(C1403,layoffs_location!A:B,2,FALSE)</f>
        <v>Cascadia</v>
      </c>
      <c r="E1403" s="3" t="str">
        <f>VLOOKUP(C1403,layoffs_location!A:C,3,FALSE)</f>
        <v>Washington</v>
      </c>
      <c r="F1403" s="3" t="str">
        <f>VLOOKUP(C1403,layoffs_location!A:D,4,FALSE)</f>
        <v>USA</v>
      </c>
      <c r="G1403" s="3" t="str">
        <f>VLOOKUP(C1403,layoffs_location!A:E,5,FALSE)</f>
        <v>North America</v>
      </c>
      <c r="H1403" s="27"/>
      <c r="I1403" s="24">
        <v>45274</v>
      </c>
      <c r="J1403" s="5"/>
      <c r="K1403" s="6"/>
      <c r="L1403" s="6"/>
      <c r="M1403" s="4" t="s">
        <v>137</v>
      </c>
      <c r="N1403" s="4" t="s">
        <v>41</v>
      </c>
      <c r="O1403" s="27">
        <v>310</v>
      </c>
      <c r="P1403" s="3">
        <v>2024</v>
      </c>
      <c r="Q1403" s="3">
        <f>VLOOKUP(C1403,layoffs_location!A:F,6,FALSE)</f>
        <v>47.603832099999998</v>
      </c>
      <c r="R1403" s="3">
        <f>VLOOKUP(C1403,layoffs_location!A:G,7,FALSE)</f>
        <v>-122.330062</v>
      </c>
    </row>
    <row r="1404" spans="1:18" ht="16" x14ac:dyDescent="0.2">
      <c r="A1404" s="3">
        <v>1403</v>
      </c>
      <c r="B1404" s="26" t="s">
        <v>1645</v>
      </c>
      <c r="C1404" s="26" t="s">
        <v>135</v>
      </c>
      <c r="D1404" s="3" t="str">
        <f>VLOOKUP(C1404,layoffs_location!A:B,2,FALSE)</f>
        <v>other</v>
      </c>
      <c r="E1404" s="3" t="str">
        <f>VLOOKUP(C1404,layoffs_location!A:C,3,FALSE)</f>
        <v>Berlin</v>
      </c>
      <c r="F1404" s="3" t="str">
        <f>VLOOKUP(C1404,layoffs_location!A:D,4,FALSE)</f>
        <v>Germany</v>
      </c>
      <c r="G1404" s="3" t="str">
        <f>VLOOKUP(C1404,layoffs_location!A:E,5,FALSE)</f>
        <v>Europe</v>
      </c>
      <c r="H1404" s="23">
        <v>20</v>
      </c>
      <c r="I1404" s="24">
        <v>45274</v>
      </c>
      <c r="J1404" s="5"/>
      <c r="K1404" s="6"/>
      <c r="L1404" s="6"/>
      <c r="M1404" s="4" t="s">
        <v>35</v>
      </c>
      <c r="N1404" s="4" t="s">
        <v>22</v>
      </c>
      <c r="O1404" s="27">
        <v>385</v>
      </c>
      <c r="P1404" s="3">
        <v>2024</v>
      </c>
      <c r="Q1404" s="3">
        <f>VLOOKUP(C1404,layoffs_location!A:F,6,FALSE)</f>
        <v>52.517036500000003</v>
      </c>
      <c r="R1404" s="3">
        <f>VLOOKUP(C1404,layoffs_location!A:G,7,FALSE)</f>
        <v>13.3888599</v>
      </c>
    </row>
    <row r="1405" spans="1:18" ht="16" x14ac:dyDescent="0.2">
      <c r="A1405" s="3">
        <v>1404</v>
      </c>
      <c r="B1405" s="26" t="s">
        <v>1649</v>
      </c>
      <c r="C1405" s="26" t="s">
        <v>76</v>
      </c>
      <c r="D1405" s="3" t="str">
        <f>VLOOKUP(C1405,layoffs_location!A:B,2,FALSE)</f>
        <v>other</v>
      </c>
      <c r="E1405" s="3" t="str">
        <f>VLOOKUP(C1405,layoffs_location!A:C,3,FALSE)</f>
        <v>California</v>
      </c>
      <c r="F1405" s="3" t="str">
        <f>VLOOKUP(C1405,layoffs_location!A:D,4,FALSE)</f>
        <v>USA</v>
      </c>
      <c r="G1405" s="3" t="str">
        <f>VLOOKUP(C1405,layoffs_location!A:E,5,FALSE)</f>
        <v>North America</v>
      </c>
      <c r="H1405" s="27"/>
      <c r="I1405" s="24">
        <v>45274</v>
      </c>
      <c r="J1405" s="5">
        <v>50</v>
      </c>
      <c r="K1405" s="6"/>
      <c r="L1405" s="6"/>
      <c r="M1405" s="4" t="s">
        <v>77</v>
      </c>
      <c r="N1405" s="4" t="s">
        <v>69</v>
      </c>
      <c r="O1405" s="27">
        <v>25</v>
      </c>
      <c r="P1405" s="3">
        <v>2024</v>
      </c>
      <c r="Q1405" s="3">
        <f>VLOOKUP(C1405,layoffs_location!A:F,6,FALSE)</f>
        <v>34.053690899999999</v>
      </c>
      <c r="R1405" s="3">
        <f>VLOOKUP(C1405,layoffs_location!A:G,7,FALSE)</f>
        <v>-118.242766</v>
      </c>
    </row>
    <row r="1406" spans="1:18" ht="16" x14ac:dyDescent="0.2">
      <c r="A1406" s="3">
        <v>1405</v>
      </c>
      <c r="B1406" s="26" t="s">
        <v>1559</v>
      </c>
      <c r="C1406" s="26" t="s">
        <v>43</v>
      </c>
      <c r="D1406" s="3" t="str">
        <f>VLOOKUP(C1406,layoffs_location!A:B,2,FALSE)</f>
        <v>Cascadia</v>
      </c>
      <c r="E1406" s="3" t="str">
        <f>VLOOKUP(C1406,layoffs_location!A:C,3,FALSE)</f>
        <v>Washington</v>
      </c>
      <c r="F1406" s="3" t="str">
        <f>VLOOKUP(C1406,layoffs_location!A:D,4,FALSE)</f>
        <v>USA</v>
      </c>
      <c r="G1406" s="3" t="str">
        <f>VLOOKUP(C1406,layoffs_location!A:E,5,FALSE)</f>
        <v>North America</v>
      </c>
      <c r="H1406" s="23">
        <v>30</v>
      </c>
      <c r="I1406" s="24">
        <v>45275</v>
      </c>
      <c r="J1406" s="5"/>
      <c r="K1406" s="6"/>
      <c r="L1406" s="6"/>
      <c r="M1406" s="4" t="s">
        <v>155</v>
      </c>
      <c r="N1406" s="4" t="s">
        <v>36</v>
      </c>
      <c r="O1406" s="27">
        <v>133</v>
      </c>
      <c r="P1406" s="3">
        <v>2024</v>
      </c>
      <c r="Q1406" s="3">
        <f>VLOOKUP(C1406,layoffs_location!A:F,6,FALSE)</f>
        <v>47.603832099999998</v>
      </c>
      <c r="R1406" s="3">
        <f>VLOOKUP(C1406,layoffs_location!A:G,7,FALSE)</f>
        <v>-122.330062</v>
      </c>
    </row>
    <row r="1407" spans="1:18" ht="16" x14ac:dyDescent="0.2">
      <c r="A1407" s="3">
        <v>1406</v>
      </c>
      <c r="B1407" s="26" t="s">
        <v>1582</v>
      </c>
      <c r="C1407" s="26" t="s">
        <v>97</v>
      </c>
      <c r="D1407" s="3" t="str">
        <f>VLOOKUP(C1407,layoffs_location!A:B,2,FALSE)</f>
        <v>other</v>
      </c>
      <c r="E1407" s="3" t="str">
        <f>VLOOKUP(C1407,layoffs_location!A:C,3,FALSE)</f>
        <v>non</v>
      </c>
      <c r="F1407" s="3" t="str">
        <f>VLOOKUP(C1407,layoffs_location!A:D,4,FALSE)</f>
        <v>France</v>
      </c>
      <c r="G1407" s="3" t="str">
        <f>VLOOKUP(C1407,layoffs_location!A:E,5,FALSE)</f>
        <v>Europe</v>
      </c>
      <c r="H1407" s="27"/>
      <c r="I1407" s="24">
        <v>45275</v>
      </c>
      <c r="J1407" s="5"/>
      <c r="K1407" s="6"/>
      <c r="L1407" s="6"/>
      <c r="M1407" s="4" t="s">
        <v>54</v>
      </c>
      <c r="N1407" s="4" t="s">
        <v>41</v>
      </c>
      <c r="O1407" s="27">
        <v>22</v>
      </c>
      <c r="P1407" s="3">
        <v>2024</v>
      </c>
      <c r="Q1407" s="3">
        <f>VLOOKUP(C1407,layoffs_location!A:F,6,FALSE)</f>
        <v>48.858889699999999</v>
      </c>
      <c r="R1407" s="3">
        <f>VLOOKUP(C1407,layoffs_location!A:G,7,FALSE)</f>
        <v>2.32004102172007</v>
      </c>
    </row>
    <row r="1408" spans="1:18" ht="16" x14ac:dyDescent="0.2">
      <c r="A1408" s="3">
        <v>1407</v>
      </c>
      <c r="B1408" s="26" t="s">
        <v>950</v>
      </c>
      <c r="C1408" s="26" t="s">
        <v>71</v>
      </c>
      <c r="D1408" s="3" t="str">
        <f>VLOOKUP(C1408,layoffs_location!A:B,2,FALSE)</f>
        <v>other</v>
      </c>
      <c r="E1408" s="3" t="str">
        <f>VLOOKUP(C1408,layoffs_location!A:C,3,FALSE)</f>
        <v>Massachusetts</v>
      </c>
      <c r="F1408" s="3" t="str">
        <f>VLOOKUP(C1408,layoffs_location!A:D,4,FALSE)</f>
        <v>USA</v>
      </c>
      <c r="G1408" s="3" t="str">
        <f>VLOOKUP(C1408,layoffs_location!A:E,5,FALSE)</f>
        <v>North America</v>
      </c>
      <c r="H1408" s="27"/>
      <c r="I1408" s="24">
        <v>45275</v>
      </c>
      <c r="J1408" s="5"/>
      <c r="K1408" s="6"/>
      <c r="L1408" s="6"/>
      <c r="M1408" s="4" t="s">
        <v>32</v>
      </c>
      <c r="N1408" s="4" t="s">
        <v>41</v>
      </c>
      <c r="O1408" s="27">
        <v>262</v>
      </c>
      <c r="P1408" s="3">
        <v>2024</v>
      </c>
      <c r="Q1408" s="3">
        <f>VLOOKUP(C1408,layoffs_location!A:F,6,FALSE)</f>
        <v>42.355433400000003</v>
      </c>
      <c r="R1408" s="3">
        <f>VLOOKUP(C1408,layoffs_location!A:G,7,FALSE)</f>
        <v>-71.060511000000005</v>
      </c>
    </row>
    <row r="1409" spans="1:18" ht="16" x14ac:dyDescent="0.2">
      <c r="A1409" s="3">
        <v>1408</v>
      </c>
      <c r="B1409" s="26" t="s">
        <v>463</v>
      </c>
      <c r="C1409" s="17" t="s">
        <v>1370</v>
      </c>
      <c r="D1409" s="3" t="str">
        <f>VLOOKUP(C1409,layoffs_location!A:B,2,FALSE)</f>
        <v>San Francisco Bay Area</v>
      </c>
      <c r="E1409" s="3" t="str">
        <f>VLOOKUP(C1409,layoffs_location!A:C,3,FALSE)</f>
        <v>California</v>
      </c>
      <c r="F1409" s="3" t="str">
        <f>VLOOKUP(C1409,layoffs_location!A:D,4,FALSE)</f>
        <v>USA</v>
      </c>
      <c r="G1409" s="3" t="str">
        <f>VLOOKUP(C1409,layoffs_location!A:E,5,FALSE)</f>
        <v>North America</v>
      </c>
      <c r="H1409" s="23">
        <v>20</v>
      </c>
      <c r="I1409" s="24">
        <v>45277</v>
      </c>
      <c r="J1409" s="5"/>
      <c r="K1409" s="6"/>
      <c r="L1409" s="6"/>
      <c r="M1409" s="4" t="s">
        <v>1478</v>
      </c>
      <c r="N1409" s="4" t="s">
        <v>28</v>
      </c>
      <c r="O1409" s="27">
        <v>1.2</v>
      </c>
      <c r="P1409" s="3">
        <v>2024</v>
      </c>
      <c r="Q1409" s="3">
        <f>VLOOKUP(C1409,layoffs_location!A:F,6,FALSE)</f>
        <v>37.779258800000001</v>
      </c>
      <c r="R1409" s="3">
        <f>VLOOKUP(C1409,layoffs_location!A:G,7,FALSE)</f>
        <v>-122.4193286</v>
      </c>
    </row>
    <row r="1410" spans="1:18" ht="16" x14ac:dyDescent="0.2">
      <c r="A1410" s="3">
        <v>1409</v>
      </c>
      <c r="B1410" s="26" t="s">
        <v>1509</v>
      </c>
      <c r="C1410" s="26" t="s">
        <v>1047</v>
      </c>
      <c r="D1410" s="3" t="str">
        <f>VLOOKUP(C1410,layoffs_location!A:B,2,FALSE)</f>
        <v>other</v>
      </c>
      <c r="E1410" s="3" t="str">
        <f>VLOOKUP(C1410,layoffs_location!A:C,3,FALSE)</f>
        <v>non</v>
      </c>
      <c r="F1410" s="3" t="str">
        <f>VLOOKUP(C1410,layoffs_location!A:D,4,FALSE)</f>
        <v>China</v>
      </c>
      <c r="G1410" s="3" t="str">
        <f>VLOOKUP(C1410,layoffs_location!A:E,5,FALSE)</f>
        <v>Asia</v>
      </c>
      <c r="H1410" s="23">
        <v>70</v>
      </c>
      <c r="I1410" s="24">
        <v>45278</v>
      </c>
      <c r="J1410" s="5"/>
      <c r="K1410" s="6"/>
      <c r="L1410" s="6"/>
      <c r="M1410" s="4" t="s">
        <v>87</v>
      </c>
      <c r="N1410" s="4" t="s">
        <v>28</v>
      </c>
      <c r="O1410" s="27"/>
      <c r="P1410" s="3">
        <v>2024</v>
      </c>
      <c r="Q1410" s="3">
        <f>VLOOKUP(C1410,layoffs_location!A:F,6,FALSE)</f>
        <v>31.2312707</v>
      </c>
      <c r="R1410" s="3">
        <f>VLOOKUP(C1410,layoffs_location!A:G,7,FALSE)</f>
        <v>121.47001520000001</v>
      </c>
    </row>
    <row r="1411" spans="1:18" ht="16" x14ac:dyDescent="0.2">
      <c r="A1411" s="3">
        <v>1410</v>
      </c>
      <c r="B1411" s="26" t="s">
        <v>789</v>
      </c>
      <c r="C1411" s="26" t="s">
        <v>58</v>
      </c>
      <c r="D1411" s="3" t="str">
        <f>VLOOKUP(C1411,layoffs_location!A:B,2,FALSE)</f>
        <v>other</v>
      </c>
      <c r="E1411" s="3" t="str">
        <f>VLOOKUP(C1411,layoffs_location!A:C,3,FALSE)</f>
        <v>England</v>
      </c>
      <c r="F1411" s="3" t="str">
        <f>VLOOKUP(C1411,layoffs_location!A:D,4,FALSE)</f>
        <v>UK</v>
      </c>
      <c r="G1411" s="3" t="str">
        <f>VLOOKUP(C1411,layoffs_location!A:E,5,FALSE)</f>
        <v>Europe</v>
      </c>
      <c r="H1411" s="23">
        <v>80</v>
      </c>
      <c r="I1411" s="24">
        <v>45278</v>
      </c>
      <c r="J1411" s="5"/>
      <c r="K1411" s="6"/>
      <c r="L1411" s="6"/>
      <c r="M1411" s="4" t="s">
        <v>35</v>
      </c>
      <c r="N1411" s="4" t="s">
        <v>108</v>
      </c>
      <c r="O1411" s="27">
        <v>1.8</v>
      </c>
      <c r="P1411" s="3">
        <v>2024</v>
      </c>
      <c r="Q1411" s="3">
        <f>VLOOKUP(C1411,layoffs_location!A:F,6,FALSE)</f>
        <v>51.489333500000001</v>
      </c>
      <c r="R1411" s="3">
        <f>VLOOKUP(C1411,layoffs_location!A:G,7,FALSE)</f>
        <v>-0.14405508452768701</v>
      </c>
    </row>
    <row r="1412" spans="1:18" ht="16" x14ac:dyDescent="0.2">
      <c r="A1412" s="3">
        <v>1411</v>
      </c>
      <c r="B1412" s="26" t="s">
        <v>488</v>
      </c>
      <c r="C1412" s="26" t="s">
        <v>135</v>
      </c>
      <c r="D1412" s="3" t="str">
        <f>VLOOKUP(C1412,layoffs_location!A:B,2,FALSE)</f>
        <v>other</v>
      </c>
      <c r="E1412" s="3" t="str">
        <f>VLOOKUP(C1412,layoffs_location!A:C,3,FALSE)</f>
        <v>Berlin</v>
      </c>
      <c r="F1412" s="3" t="str">
        <f>VLOOKUP(C1412,layoffs_location!A:D,4,FALSE)</f>
        <v>Germany</v>
      </c>
      <c r="G1412" s="3" t="str">
        <f>VLOOKUP(C1412,layoffs_location!A:E,5,FALSE)</f>
        <v>Europe</v>
      </c>
      <c r="H1412" s="27"/>
      <c r="I1412" s="24">
        <v>45278</v>
      </c>
      <c r="J1412" s="5"/>
      <c r="K1412" s="6"/>
      <c r="L1412" s="6"/>
      <c r="M1412" s="4" t="s">
        <v>77</v>
      </c>
      <c r="N1412" s="4" t="s">
        <v>28</v>
      </c>
      <c r="O1412" s="27">
        <v>9.9</v>
      </c>
      <c r="P1412" s="3">
        <v>2024</v>
      </c>
      <c r="Q1412" s="3">
        <f>VLOOKUP(C1412,layoffs_location!A:F,6,FALSE)</f>
        <v>52.517036500000003</v>
      </c>
      <c r="R1412" s="3">
        <f>VLOOKUP(C1412,layoffs_location!A:G,7,FALSE)</f>
        <v>13.3888599</v>
      </c>
    </row>
    <row r="1413" spans="1:18" x14ac:dyDescent="0.2">
      <c r="A1413" s="3">
        <v>1412</v>
      </c>
      <c r="B1413" s="17" t="s">
        <v>23</v>
      </c>
      <c r="C1413" s="17" t="s">
        <v>1329</v>
      </c>
      <c r="D1413" s="3" t="str">
        <f>VLOOKUP(C1413,layoffs_location!A:B,2,FALSE)</f>
        <v>San Francisco Bay Area</v>
      </c>
      <c r="E1413" s="3" t="str">
        <f>VLOOKUP(C1413,layoffs_location!A:C,3,FALSE)</f>
        <v>California</v>
      </c>
      <c r="F1413" s="3" t="str">
        <f>VLOOKUP(C1413,layoffs_location!A:D,4,FALSE)</f>
        <v>USA</v>
      </c>
      <c r="G1413" s="3" t="str">
        <f>VLOOKUP(C1413,layoffs_location!A:E,5,FALSE)</f>
        <v>North America</v>
      </c>
      <c r="H1413" s="17">
        <v>350</v>
      </c>
      <c r="I1413" s="18">
        <v>45278</v>
      </c>
      <c r="J1413" s="19">
        <v>10</v>
      </c>
      <c r="K1413" s="20">
        <v>3500</v>
      </c>
      <c r="L1413" s="20">
        <v>3150</v>
      </c>
      <c r="M1413" s="17" t="s">
        <v>27</v>
      </c>
      <c r="N1413" s="17" t="s">
        <v>28</v>
      </c>
      <c r="O1413" s="35">
        <v>116</v>
      </c>
      <c r="P1413" s="3">
        <v>2023</v>
      </c>
      <c r="Q1413" s="3">
        <f>VLOOKUP(C1413,layoffs_location!A:F,6,FALSE)</f>
        <v>37.548269699999999</v>
      </c>
      <c r="R1413" s="3">
        <f>VLOOKUP(C1413,layoffs_location!A:G,7,FALSE)</f>
        <v>-121.98857099999999</v>
      </c>
    </row>
    <row r="1414" spans="1:18" x14ac:dyDescent="0.2">
      <c r="A1414" s="3">
        <v>1413</v>
      </c>
      <c r="B1414" s="17" t="s">
        <v>29</v>
      </c>
      <c r="C1414" s="17" t="s">
        <v>13</v>
      </c>
      <c r="D1414" s="3" t="str">
        <f>VLOOKUP(C1414,layoffs_location!A:B,2,FALSE)</f>
        <v>other</v>
      </c>
      <c r="E1414" s="3" t="str">
        <f>VLOOKUP(C1414,layoffs_location!A:C,3,FALSE)</f>
        <v>Karnataka</v>
      </c>
      <c r="F1414" s="3" t="str">
        <f>VLOOKUP(C1414,layoffs_location!A:D,4,FALSE)</f>
        <v>India</v>
      </c>
      <c r="G1414" s="3" t="str">
        <f>VLOOKUP(C1414,layoffs_location!A:E,5,FALSE)</f>
        <v>Asia</v>
      </c>
      <c r="H1414" s="17">
        <v>100</v>
      </c>
      <c r="I1414" s="18">
        <v>45278</v>
      </c>
      <c r="J1414" s="19">
        <v>10</v>
      </c>
      <c r="K1414" s="20">
        <v>1000</v>
      </c>
      <c r="L1414" s="20">
        <v>900</v>
      </c>
      <c r="M1414" s="17" t="s">
        <v>30</v>
      </c>
      <c r="N1414" s="17" t="s">
        <v>22</v>
      </c>
      <c r="O1414" s="35"/>
      <c r="P1414" s="3">
        <v>2023</v>
      </c>
      <c r="Q1414" s="3">
        <f>VLOOKUP(C1414,layoffs_location!A:F,6,FALSE)</f>
        <v>12.98815675</v>
      </c>
      <c r="R1414" s="3">
        <f>VLOOKUP(C1414,layoffs_location!A:G,7,FALSE)</f>
        <v>77.622600037959998</v>
      </c>
    </row>
    <row r="1415" spans="1:18" x14ac:dyDescent="0.2">
      <c r="A1415" s="3">
        <v>1414</v>
      </c>
      <c r="B1415" s="17" t="s">
        <v>18</v>
      </c>
      <c r="C1415" s="17" t="s">
        <v>19</v>
      </c>
      <c r="D1415" s="3" t="str">
        <f>VLOOKUP(C1415,layoffs_location!A:B,2,FALSE)</f>
        <v>other</v>
      </c>
      <c r="E1415" s="3" t="str">
        <f>VLOOKUP(C1415,layoffs_location!A:C,3,FALSE)</f>
        <v>non</v>
      </c>
      <c r="F1415" s="3" t="str">
        <f>VLOOKUP(C1415,layoffs_location!A:D,4,FALSE)</f>
        <v>Israel</v>
      </c>
      <c r="G1415" s="3" t="str">
        <f>VLOOKUP(C1415,layoffs_location!A:E,5,FALSE)</f>
        <v>Asia</v>
      </c>
      <c r="H1415" s="17">
        <v>100</v>
      </c>
      <c r="I1415" s="18">
        <v>45279</v>
      </c>
      <c r="J1415" s="19">
        <v>20</v>
      </c>
      <c r="K1415" s="20">
        <v>500</v>
      </c>
      <c r="L1415" s="20">
        <v>400</v>
      </c>
      <c r="M1415" s="17" t="s">
        <v>21</v>
      </c>
      <c r="N1415" s="17" t="s">
        <v>22</v>
      </c>
      <c r="O1415" s="35">
        <v>733</v>
      </c>
      <c r="P1415" s="3">
        <v>2023</v>
      </c>
      <c r="Q1415" s="3">
        <f>VLOOKUP(C1415,layoffs_location!A:F,6,FALSE)</f>
        <v>32.799312999999998</v>
      </c>
      <c r="R1415" s="3">
        <f>VLOOKUP(C1415,layoffs_location!A:G,7,FALSE)</f>
        <v>34.989571715728196</v>
      </c>
    </row>
    <row r="1416" spans="1:18" ht="16" x14ac:dyDescent="0.2">
      <c r="A1416" s="3">
        <v>1415</v>
      </c>
      <c r="B1416" s="26" t="s">
        <v>18</v>
      </c>
      <c r="C1416" s="11" t="s">
        <v>19</v>
      </c>
      <c r="D1416" s="3" t="str">
        <f>VLOOKUP(C1416,layoffs_location!A:B,2,FALSE)</f>
        <v>other</v>
      </c>
      <c r="E1416" s="3" t="str">
        <f>VLOOKUP(C1416,layoffs_location!A:C,3,FALSE)</f>
        <v>non</v>
      </c>
      <c r="F1416" s="3" t="str">
        <f>VLOOKUP(C1416,layoffs_location!A:D,4,FALSE)</f>
        <v>Israel</v>
      </c>
      <c r="G1416" s="3" t="str">
        <f>VLOOKUP(C1416,layoffs_location!A:E,5,FALSE)</f>
        <v>Asia</v>
      </c>
      <c r="H1416" s="23">
        <v>100</v>
      </c>
      <c r="I1416" s="24">
        <v>45279</v>
      </c>
      <c r="J1416" s="5">
        <v>20</v>
      </c>
      <c r="K1416" s="6">
        <v>500</v>
      </c>
      <c r="L1416" s="6">
        <v>400</v>
      </c>
      <c r="M1416" s="4" t="s">
        <v>21</v>
      </c>
      <c r="N1416" s="4" t="s">
        <v>22</v>
      </c>
      <c r="O1416" s="27">
        <v>733</v>
      </c>
      <c r="P1416" s="3">
        <v>2024</v>
      </c>
      <c r="Q1416" s="3">
        <f>VLOOKUP(C1416,layoffs_location!A:F,6,FALSE)</f>
        <v>32.799312999999998</v>
      </c>
      <c r="R1416" s="3">
        <f>VLOOKUP(C1416,layoffs_location!A:G,7,FALSE)</f>
        <v>34.989571715728196</v>
      </c>
    </row>
    <row r="1417" spans="1:18" ht="16" x14ac:dyDescent="0.2">
      <c r="A1417" s="3">
        <v>1416</v>
      </c>
      <c r="B1417" s="26" t="s">
        <v>1586</v>
      </c>
      <c r="C1417" s="11" t="s">
        <v>43</v>
      </c>
      <c r="D1417" s="3" t="str">
        <f>VLOOKUP(C1417,layoffs_location!A:B,2,FALSE)</f>
        <v>Cascadia</v>
      </c>
      <c r="E1417" s="3" t="str">
        <f>VLOOKUP(C1417,layoffs_location!A:C,3,FALSE)</f>
        <v>Washington</v>
      </c>
      <c r="F1417" s="3" t="str">
        <f>VLOOKUP(C1417,layoffs_location!A:D,4,FALSE)</f>
        <v>USA</v>
      </c>
      <c r="G1417" s="3" t="str">
        <f>VLOOKUP(C1417,layoffs_location!A:E,5,FALSE)</f>
        <v>North America</v>
      </c>
      <c r="H1417" s="27"/>
      <c r="I1417" s="24">
        <v>45279</v>
      </c>
      <c r="J1417" s="5">
        <v>100</v>
      </c>
      <c r="K1417" s="6"/>
      <c r="L1417" s="6">
        <v>0</v>
      </c>
      <c r="M1417" s="4" t="s">
        <v>30</v>
      </c>
      <c r="N1417" s="7" t="s">
        <v>28</v>
      </c>
      <c r="O1417" s="27">
        <v>52</v>
      </c>
      <c r="P1417" s="3">
        <v>2024</v>
      </c>
      <c r="Q1417" s="3">
        <f>VLOOKUP(C1417,layoffs_location!A:F,6,FALSE)</f>
        <v>47.603832099999998</v>
      </c>
      <c r="R1417" s="3">
        <f>VLOOKUP(C1417,layoffs_location!A:G,7,FALSE)</f>
        <v>-122.330062</v>
      </c>
    </row>
    <row r="1418" spans="1:18" x14ac:dyDescent="0.2">
      <c r="A1418" s="3">
        <v>1417</v>
      </c>
      <c r="B1418" s="17" t="s">
        <v>12</v>
      </c>
      <c r="C1418" s="17" t="s">
        <v>13</v>
      </c>
      <c r="D1418" s="3" t="str">
        <f>VLOOKUP(C1418,layoffs_location!A:B,2,FALSE)</f>
        <v>other</v>
      </c>
      <c r="E1418" s="3" t="str">
        <f>VLOOKUP(C1418,layoffs_location!A:C,3,FALSE)</f>
        <v>Karnataka</v>
      </c>
      <c r="F1418" s="3" t="str">
        <f>VLOOKUP(C1418,layoffs_location!A:D,4,FALSE)</f>
        <v>India</v>
      </c>
      <c r="G1418" s="3" t="str">
        <f>VLOOKUP(C1418,layoffs_location!A:E,5,FALSE)</f>
        <v>Asia</v>
      </c>
      <c r="H1418" s="17">
        <v>200</v>
      </c>
      <c r="I1418" s="18">
        <v>45280</v>
      </c>
      <c r="J1418" s="19">
        <v>15</v>
      </c>
      <c r="K1418" s="20">
        <v>1333</v>
      </c>
      <c r="L1418" s="20">
        <v>1133</v>
      </c>
      <c r="M1418" s="17" t="s">
        <v>16</v>
      </c>
      <c r="N1418" s="17" t="s">
        <v>17</v>
      </c>
      <c r="O1418" s="35">
        <v>1700</v>
      </c>
      <c r="P1418" s="3">
        <v>2023</v>
      </c>
      <c r="Q1418" s="3">
        <f>VLOOKUP(C1418,layoffs_location!A:F,6,FALSE)</f>
        <v>12.98815675</v>
      </c>
      <c r="R1418" s="3">
        <f>VLOOKUP(C1418,layoffs_location!A:G,7,FALSE)</f>
        <v>77.622600037959998</v>
      </c>
    </row>
    <row r="1419" spans="1:18" ht="16" x14ac:dyDescent="0.2">
      <c r="A1419" s="3">
        <v>1418</v>
      </c>
      <c r="B1419" s="26" t="s">
        <v>1567</v>
      </c>
      <c r="C1419" s="11" t="s">
        <v>76</v>
      </c>
      <c r="D1419" s="3" t="str">
        <f>VLOOKUP(C1419,layoffs_location!A:B,2,FALSE)</f>
        <v>other</v>
      </c>
      <c r="E1419" s="3" t="str">
        <f>VLOOKUP(C1419,layoffs_location!A:C,3,FALSE)</f>
        <v>California</v>
      </c>
      <c r="F1419" s="3" t="str">
        <f>VLOOKUP(C1419,layoffs_location!A:D,4,FALSE)</f>
        <v>USA</v>
      </c>
      <c r="G1419" s="3" t="str">
        <f>VLOOKUP(C1419,layoffs_location!A:E,5,FALSE)</f>
        <v>North America</v>
      </c>
      <c r="H1419" s="27"/>
      <c r="I1419" s="24">
        <v>45281</v>
      </c>
      <c r="J1419" s="5">
        <v>100</v>
      </c>
      <c r="K1419" s="6"/>
      <c r="L1419" s="6">
        <v>0</v>
      </c>
      <c r="M1419" s="4" t="s">
        <v>32</v>
      </c>
      <c r="N1419" s="4" t="s">
        <v>22</v>
      </c>
      <c r="O1419" s="27">
        <v>368</v>
      </c>
      <c r="P1419" s="3">
        <v>2024</v>
      </c>
      <c r="Q1419" s="3">
        <f>VLOOKUP(C1419,layoffs_location!A:F,6,FALSE)</f>
        <v>34.053690899999999</v>
      </c>
      <c r="R1419" s="3">
        <f>VLOOKUP(C1419,layoffs_location!A:G,7,FALSE)</f>
        <v>-118.242766</v>
      </c>
    </row>
    <row r="1420" spans="1:18" ht="16" x14ac:dyDescent="0.2">
      <c r="A1420" s="3">
        <v>1419</v>
      </c>
      <c r="B1420" s="26" t="s">
        <v>1578</v>
      </c>
      <c r="C1420" s="11" t="s">
        <v>637</v>
      </c>
      <c r="D1420" s="3" t="str">
        <f>VLOOKUP(C1420,layoffs_location!A:B,2,FALSE)</f>
        <v>other</v>
      </c>
      <c r="E1420" s="3" t="str">
        <f>VLOOKUP(C1420,layoffs_location!A:C,3,FALSE)</f>
        <v>California</v>
      </c>
      <c r="F1420" s="3" t="str">
        <f>VLOOKUP(C1420,layoffs_location!A:D,4,FALSE)</f>
        <v>USA</v>
      </c>
      <c r="G1420" s="3" t="str">
        <f>VLOOKUP(C1420,layoffs_location!A:E,5,FALSE)</f>
        <v>North America</v>
      </c>
      <c r="H1420" s="23">
        <v>311</v>
      </c>
      <c r="I1420" s="24">
        <v>45281</v>
      </c>
      <c r="J1420" s="5"/>
      <c r="K1420" s="6"/>
      <c r="L1420" s="6"/>
      <c r="M1420" s="17" t="s">
        <v>1441</v>
      </c>
      <c r="N1420" s="4" t="s">
        <v>28</v>
      </c>
      <c r="O1420" s="27">
        <v>12</v>
      </c>
      <c r="P1420" s="3">
        <v>2024</v>
      </c>
      <c r="Q1420" s="3">
        <f>VLOOKUP(C1420,layoffs_location!A:F,6,FALSE)</f>
        <v>38.581060600000001</v>
      </c>
      <c r="R1420" s="3">
        <f>VLOOKUP(C1420,layoffs_location!A:G,7,FALSE)</f>
        <v>-121.49389499999999</v>
      </c>
    </row>
    <row r="1421" spans="1:18" ht="16" x14ac:dyDescent="0.2">
      <c r="A1421" s="3">
        <v>1420</v>
      </c>
      <c r="B1421" s="26" t="s">
        <v>1354</v>
      </c>
      <c r="C1421" s="26" t="s">
        <v>1348</v>
      </c>
      <c r="D1421" s="3" t="str">
        <f>VLOOKUP(C1421,layoffs_location!A:B,2,FALSE)</f>
        <v>other</v>
      </c>
      <c r="E1421" s="3" t="str">
        <f>VLOOKUP(C1421,layoffs_location!A:C,3,FALSE)</f>
        <v>South Carolina</v>
      </c>
      <c r="F1421" s="3" t="str">
        <f>VLOOKUP(C1421,layoffs_location!A:D,4,FALSE)</f>
        <v>USA</v>
      </c>
      <c r="G1421" s="3" t="str">
        <f>VLOOKUP(C1421,layoffs_location!A:E,5,FALSE)</f>
        <v>North America</v>
      </c>
      <c r="H1421" s="27"/>
      <c r="I1421" s="24">
        <v>45281</v>
      </c>
      <c r="J1421" s="5"/>
      <c r="K1421" s="6"/>
      <c r="L1421" s="6"/>
      <c r="M1421" s="4" t="s">
        <v>27</v>
      </c>
      <c r="N1421" s="17" t="s">
        <v>1696</v>
      </c>
      <c r="O1421" s="27">
        <v>628</v>
      </c>
      <c r="P1421" s="3">
        <v>2024</v>
      </c>
      <c r="Q1421" s="3">
        <f>VLOOKUP(C1421,layoffs_location!A:F,6,FALSE)</f>
        <v>32.788436300000001</v>
      </c>
      <c r="R1421" s="3">
        <f>VLOOKUP(C1421,layoffs_location!A:G,7,FALSE)</f>
        <v>-79.939930899999993</v>
      </c>
    </row>
    <row r="1422" spans="1:18" ht="16" x14ac:dyDescent="0.2">
      <c r="A1422" s="3">
        <v>1421</v>
      </c>
      <c r="B1422" s="26" t="s">
        <v>1426</v>
      </c>
      <c r="C1422" s="26" t="s">
        <v>67</v>
      </c>
      <c r="D1422" s="3" t="str">
        <f>VLOOKUP(C1422,layoffs_location!A:B,2,FALSE)</f>
        <v>other</v>
      </c>
      <c r="E1422" s="3" t="str">
        <f>VLOOKUP(C1422,layoffs_location!A:C,3,FALSE)</f>
        <v>Uttar Pradesh</v>
      </c>
      <c r="F1422" s="3" t="str">
        <f>VLOOKUP(C1422,layoffs_location!A:D,4,FALSE)</f>
        <v>India</v>
      </c>
      <c r="G1422" s="3" t="str">
        <f>VLOOKUP(C1422,layoffs_location!A:E,5,FALSE)</f>
        <v>Asia</v>
      </c>
      <c r="H1422" s="23">
        <v>1000</v>
      </c>
      <c r="I1422" s="24">
        <v>45285</v>
      </c>
      <c r="J1422" s="5"/>
      <c r="K1422" s="6"/>
      <c r="L1422" s="6"/>
      <c r="M1422" s="4" t="s">
        <v>35</v>
      </c>
      <c r="N1422" s="4" t="s">
        <v>22</v>
      </c>
      <c r="O1422" s="27"/>
      <c r="P1422" s="3">
        <v>2024</v>
      </c>
      <c r="Q1422" s="3">
        <f>VLOOKUP(C1422,layoffs_location!A:F,6,FALSE)</f>
        <v>28.570633300000001</v>
      </c>
      <c r="R1422" s="3">
        <f>VLOOKUP(C1422,layoffs_location!A:G,7,FALSE)</f>
        <v>77.327214699999999</v>
      </c>
    </row>
    <row r="1423" spans="1:18" ht="16" x14ac:dyDescent="0.2">
      <c r="A1423" s="3">
        <v>1422</v>
      </c>
      <c r="B1423" s="26" t="s">
        <v>1650</v>
      </c>
      <c r="C1423" s="26" t="s">
        <v>531</v>
      </c>
      <c r="D1423" s="3" t="str">
        <f>VLOOKUP(C1423,layoffs_location!A:B,2,FALSE)</f>
        <v>other</v>
      </c>
      <c r="E1423" s="3" t="str">
        <f>VLOOKUP(C1423,layoffs_location!A:C,3,FALSE)</f>
        <v>Colorado</v>
      </c>
      <c r="F1423" s="3" t="str">
        <f>VLOOKUP(C1423,layoffs_location!A:D,4,FALSE)</f>
        <v>USA</v>
      </c>
      <c r="G1423" s="3" t="str">
        <f>VLOOKUP(C1423,layoffs_location!A:E,5,FALSE)</f>
        <v>North America</v>
      </c>
      <c r="H1423" s="27"/>
      <c r="I1423" s="24">
        <v>45288</v>
      </c>
      <c r="J1423" s="5">
        <v>100</v>
      </c>
      <c r="K1423" s="6"/>
      <c r="L1423" s="6">
        <v>0</v>
      </c>
      <c r="M1423" s="4" t="s">
        <v>239</v>
      </c>
      <c r="N1423" s="4" t="s">
        <v>22</v>
      </c>
      <c r="O1423" s="27"/>
      <c r="P1423" s="3">
        <v>2024</v>
      </c>
      <c r="Q1423" s="3">
        <f>VLOOKUP(C1423,layoffs_location!A:F,6,FALSE)</f>
        <v>40.014985600000003</v>
      </c>
      <c r="R1423" s="3">
        <f>VLOOKUP(C1423,layoffs_location!A:G,7,FALSE)</f>
        <v>-105.270545</v>
      </c>
    </row>
    <row r="1424" spans="1:18" ht="16" x14ac:dyDescent="0.2">
      <c r="A1424" s="3">
        <v>1423</v>
      </c>
      <c r="B1424" s="26" t="s">
        <v>1406</v>
      </c>
      <c r="C1424" s="26" t="s">
        <v>13</v>
      </c>
      <c r="D1424" s="3" t="str">
        <f>VLOOKUP(C1424,layoffs_location!A:B,2,FALSE)</f>
        <v>other</v>
      </c>
      <c r="E1424" s="3" t="str">
        <f>VLOOKUP(C1424,layoffs_location!A:C,3,FALSE)</f>
        <v>Karnataka</v>
      </c>
      <c r="F1424" s="3" t="str">
        <f>VLOOKUP(C1424,layoffs_location!A:D,4,FALSE)</f>
        <v>India</v>
      </c>
      <c r="G1424" s="3" t="str">
        <f>VLOOKUP(C1424,layoffs_location!A:E,5,FALSE)</f>
        <v>Asia</v>
      </c>
      <c r="H1424" s="27"/>
      <c r="I1424" s="24">
        <v>45289</v>
      </c>
      <c r="J1424" s="5">
        <v>20</v>
      </c>
      <c r="K1424" s="6"/>
      <c r="L1424" s="6"/>
      <c r="M1424" s="4" t="s">
        <v>27</v>
      </c>
      <c r="N1424" s="4" t="s">
        <v>49</v>
      </c>
      <c r="O1424" s="27">
        <v>24</v>
      </c>
      <c r="P1424" s="3">
        <v>2024</v>
      </c>
      <c r="Q1424" s="3">
        <f>VLOOKUP(C1424,layoffs_location!A:F,6,FALSE)</f>
        <v>12.98815675</v>
      </c>
      <c r="R1424" s="3">
        <f>VLOOKUP(C1424,layoffs_location!A:G,7,FALSE)</f>
        <v>77.622600037959998</v>
      </c>
    </row>
    <row r="1425" spans="1:18" ht="16" x14ac:dyDescent="0.2">
      <c r="A1425" s="3">
        <v>1424</v>
      </c>
      <c r="B1425" s="26" t="s">
        <v>1209</v>
      </c>
      <c r="C1425" s="11" t="s">
        <v>1210</v>
      </c>
      <c r="D1425" s="3" t="str">
        <f>VLOOKUP(C1425,layoffs_location!A:B,2,FALSE)</f>
        <v>other</v>
      </c>
      <c r="E1425" s="3" t="str">
        <f>VLOOKUP(C1425,layoffs_location!A:C,3,FALSE)</f>
        <v>Wisconsin</v>
      </c>
      <c r="F1425" s="3" t="str">
        <f>VLOOKUP(C1425,layoffs_location!A:D,4,FALSE)</f>
        <v>USA</v>
      </c>
      <c r="G1425" s="3" t="str">
        <f>VLOOKUP(C1425,layoffs_location!A:E,5,FALSE)</f>
        <v>North America</v>
      </c>
      <c r="H1425" s="23">
        <v>200</v>
      </c>
      <c r="I1425" s="24">
        <v>45293</v>
      </c>
      <c r="J1425" s="5">
        <v>100</v>
      </c>
      <c r="K1425" s="6">
        <v>200</v>
      </c>
      <c r="L1425" s="6">
        <v>0</v>
      </c>
      <c r="M1425" s="4" t="s">
        <v>72</v>
      </c>
      <c r="N1425" s="4" t="s">
        <v>22</v>
      </c>
      <c r="O1425" s="27">
        <v>26</v>
      </c>
      <c r="P1425" s="3">
        <v>2024</v>
      </c>
      <c r="Q1425" s="3">
        <f>VLOOKUP(C1425,layoffs_location!A:F,6,FALSE)</f>
        <v>43.038647500000003</v>
      </c>
      <c r="R1425" s="3">
        <f>VLOOKUP(C1425,layoffs_location!A:G,7,FALSE)</f>
        <v>-87.909075099999995</v>
      </c>
    </row>
    <row r="1426" spans="1:18" ht="16" x14ac:dyDescent="0.2">
      <c r="A1426" s="3">
        <v>1425</v>
      </c>
      <c r="B1426" s="26" t="s">
        <v>1656</v>
      </c>
      <c r="C1426" s="11" t="s">
        <v>39</v>
      </c>
      <c r="D1426" s="3" t="str">
        <f>VLOOKUP(C1426,layoffs_location!A:B,2,FALSE)</f>
        <v>New York</v>
      </c>
      <c r="E1426" s="3" t="str">
        <f>VLOOKUP(C1426,layoffs_location!A:C,3,FALSE)</f>
        <v>New York</v>
      </c>
      <c r="F1426" s="3" t="str">
        <f>VLOOKUP(C1426,layoffs_location!A:D,4,FALSE)</f>
        <v>USA</v>
      </c>
      <c r="G1426" s="3" t="str">
        <f>VLOOKUP(C1426,layoffs_location!A:E,5,FALSE)</f>
        <v>North America</v>
      </c>
      <c r="H1426" s="23">
        <v>24</v>
      </c>
      <c r="I1426" s="24">
        <v>45293</v>
      </c>
      <c r="J1426" s="5"/>
      <c r="K1426" s="6"/>
      <c r="L1426" s="6"/>
      <c r="M1426" s="4" t="s">
        <v>54</v>
      </c>
      <c r="N1426" s="4" t="s">
        <v>22</v>
      </c>
      <c r="O1426" s="27"/>
      <c r="P1426" s="3">
        <v>2024</v>
      </c>
      <c r="Q1426" s="3">
        <f>VLOOKUP(C1426,layoffs_location!A:F,6,FALSE)</f>
        <v>40.7127281</v>
      </c>
      <c r="R1426" s="3">
        <f>VLOOKUP(C1426,layoffs_location!A:G,7,FALSE)</f>
        <v>-74.006015199999993</v>
      </c>
    </row>
    <row r="1427" spans="1:18" ht="16" x14ac:dyDescent="0.2">
      <c r="A1427" s="3">
        <v>1426</v>
      </c>
      <c r="B1427" s="26" t="s">
        <v>1592</v>
      </c>
      <c r="C1427" s="11" t="s">
        <v>244</v>
      </c>
      <c r="D1427" s="3" t="str">
        <f>VLOOKUP(C1427,layoffs_location!A:B,2,FALSE)</f>
        <v>other</v>
      </c>
      <c r="E1427" s="3" t="str">
        <f>VLOOKUP(C1427,layoffs_location!A:C,3,FALSE)</f>
        <v>non</v>
      </c>
      <c r="F1427" s="3" t="str">
        <f>VLOOKUP(C1427,layoffs_location!A:D,4,FALSE)</f>
        <v>Singapore</v>
      </c>
      <c r="G1427" s="3" t="str">
        <f>VLOOKUP(C1427,layoffs_location!A:E,5,FALSE)</f>
        <v>Asia</v>
      </c>
      <c r="H1427" s="23">
        <v>100</v>
      </c>
      <c r="I1427" s="24">
        <v>45294</v>
      </c>
      <c r="J1427" s="5">
        <v>30</v>
      </c>
      <c r="K1427" s="6">
        <v>333</v>
      </c>
      <c r="L1427" s="6">
        <v>233</v>
      </c>
      <c r="M1427" s="4" t="s">
        <v>30</v>
      </c>
      <c r="N1427" s="4" t="s">
        <v>33</v>
      </c>
      <c r="O1427" s="27">
        <v>7.2</v>
      </c>
      <c r="P1427" s="3">
        <v>2024</v>
      </c>
      <c r="Q1427" s="3">
        <f>VLOOKUP(C1427,layoffs_location!A:F,6,FALSE)</f>
        <v>1.2899175000000001</v>
      </c>
      <c r="R1427" s="3">
        <f>VLOOKUP(C1427,layoffs_location!A:G,7,FALSE)</f>
        <v>103.8519072</v>
      </c>
    </row>
    <row r="1428" spans="1:18" ht="16" x14ac:dyDescent="0.2">
      <c r="A1428" s="3">
        <v>1427</v>
      </c>
      <c r="B1428" s="26" t="s">
        <v>1614</v>
      </c>
      <c r="C1428" s="11" t="s">
        <v>47</v>
      </c>
      <c r="D1428" s="3" t="str">
        <f>VLOOKUP(C1428,layoffs_location!A:B,2,FALSE)</f>
        <v>other</v>
      </c>
      <c r="E1428" s="3" t="str">
        <f>VLOOKUP(C1428,layoffs_location!A:C,3,FALSE)</f>
        <v>non</v>
      </c>
      <c r="F1428" s="3" t="str">
        <f>VLOOKUP(C1428,layoffs_location!A:D,4,FALSE)</f>
        <v>Israel</v>
      </c>
      <c r="G1428" s="3" t="str">
        <f>VLOOKUP(C1428,layoffs_location!A:E,5,FALSE)</f>
        <v>Asia</v>
      </c>
      <c r="H1428" s="23">
        <v>60</v>
      </c>
      <c r="I1428" s="24">
        <v>45294</v>
      </c>
      <c r="J1428" s="5">
        <v>15</v>
      </c>
      <c r="K1428" s="6">
        <v>400</v>
      </c>
      <c r="L1428" s="6">
        <v>340</v>
      </c>
      <c r="M1428" s="4" t="s">
        <v>139</v>
      </c>
      <c r="N1428" s="4" t="s">
        <v>41</v>
      </c>
      <c r="O1428" s="27">
        <v>632</v>
      </c>
      <c r="P1428" s="3">
        <v>2024</v>
      </c>
      <c r="Q1428" s="3">
        <f>VLOOKUP(C1428,layoffs_location!A:F,6,FALSE)</f>
        <v>32.0852997</v>
      </c>
      <c r="R1428" s="3">
        <f>VLOOKUP(C1428,layoffs_location!A:G,7,FALSE)</f>
        <v>34.781806400000001</v>
      </c>
    </row>
    <row r="1429" spans="1:18" ht="16" x14ac:dyDescent="0.2">
      <c r="A1429" s="3">
        <v>1428</v>
      </c>
      <c r="B1429" s="26" t="s">
        <v>1680</v>
      </c>
      <c r="C1429" s="26" t="s">
        <v>1347</v>
      </c>
      <c r="D1429" s="3" t="str">
        <f>VLOOKUP(C1429,layoffs_location!A:B,2,FALSE)</f>
        <v>other</v>
      </c>
      <c r="E1429" s="3" t="str">
        <f>VLOOKUP(C1429,layoffs_location!A:C,3,FALSE)</f>
        <v>Connecticut</v>
      </c>
      <c r="F1429" s="3" t="str">
        <f>VLOOKUP(C1429,layoffs_location!A:D,4,FALSE)</f>
        <v>USA</v>
      </c>
      <c r="G1429" s="3" t="str">
        <f>VLOOKUP(C1429,layoffs_location!A:E,5,FALSE)</f>
        <v>North America</v>
      </c>
      <c r="H1429" s="23">
        <v>3000</v>
      </c>
      <c r="I1429" s="24">
        <v>45294</v>
      </c>
      <c r="J1429" s="5">
        <v>15</v>
      </c>
      <c r="K1429" s="6">
        <v>20000</v>
      </c>
      <c r="L1429" s="6">
        <v>17000</v>
      </c>
      <c r="M1429" s="4" t="s">
        <v>87</v>
      </c>
      <c r="N1429" s="4" t="s">
        <v>28</v>
      </c>
      <c r="O1429" s="27">
        <v>27.2</v>
      </c>
      <c r="P1429" s="3">
        <v>2024</v>
      </c>
      <c r="Q1429" s="3">
        <f>VLOOKUP(C1429,layoffs_location!A:F,6,FALSE)</f>
        <v>41.117596599999999</v>
      </c>
      <c r="R1429" s="3">
        <f>VLOOKUP(C1429,layoffs_location!A:G,7,FALSE)</f>
        <v>-73.407896800000003</v>
      </c>
    </row>
    <row r="1430" spans="1:18" ht="16" x14ac:dyDescent="0.2">
      <c r="A1430" s="3">
        <v>1429</v>
      </c>
      <c r="B1430" s="26" t="s">
        <v>1579</v>
      </c>
      <c r="C1430" s="26" t="s">
        <v>39</v>
      </c>
      <c r="D1430" s="3" t="str">
        <f>VLOOKUP(C1430,layoffs_location!A:B,2,FALSE)</f>
        <v>New York</v>
      </c>
      <c r="E1430" s="3" t="str">
        <f>VLOOKUP(C1430,layoffs_location!A:C,3,FALSE)</f>
        <v>New York</v>
      </c>
      <c r="F1430" s="3" t="str">
        <f>VLOOKUP(C1430,layoffs_location!A:D,4,FALSE)</f>
        <v>USA</v>
      </c>
      <c r="G1430" s="3" t="str">
        <f>VLOOKUP(C1430,layoffs_location!A:E,5,FALSE)</f>
        <v>North America</v>
      </c>
      <c r="H1430" s="27"/>
      <c r="I1430" s="24">
        <v>45295</v>
      </c>
      <c r="J1430" s="5">
        <v>100</v>
      </c>
      <c r="K1430" s="6"/>
      <c r="L1430" s="6">
        <v>0</v>
      </c>
      <c r="M1430" s="4" t="s">
        <v>48</v>
      </c>
      <c r="N1430" s="4" t="s">
        <v>63</v>
      </c>
      <c r="O1430" s="27">
        <v>356</v>
      </c>
      <c r="P1430" s="3">
        <v>2024</v>
      </c>
      <c r="Q1430" s="3">
        <f>VLOOKUP(C1430,layoffs_location!A:F,6,FALSE)</f>
        <v>40.7127281</v>
      </c>
      <c r="R1430" s="3">
        <f>VLOOKUP(C1430,layoffs_location!A:G,7,FALSE)</f>
        <v>-74.006015199999993</v>
      </c>
    </row>
    <row r="1431" spans="1:18" ht="16" x14ac:dyDescent="0.2">
      <c r="A1431" s="3">
        <v>1430</v>
      </c>
      <c r="B1431" s="26" t="s">
        <v>1667</v>
      </c>
      <c r="C1431" s="26" t="s">
        <v>47</v>
      </c>
      <c r="D1431" s="3" t="str">
        <f>VLOOKUP(C1431,layoffs_location!A:B,2,FALSE)</f>
        <v>other</v>
      </c>
      <c r="E1431" s="3" t="str">
        <f>VLOOKUP(C1431,layoffs_location!A:C,3,FALSE)</f>
        <v>non</v>
      </c>
      <c r="F1431" s="3" t="str">
        <f>VLOOKUP(C1431,layoffs_location!A:D,4,FALSE)</f>
        <v>Israel</v>
      </c>
      <c r="G1431" s="3" t="str">
        <f>VLOOKUP(C1431,layoffs_location!A:E,5,FALSE)</f>
        <v>Asia</v>
      </c>
      <c r="H1431" s="23">
        <v>30</v>
      </c>
      <c r="I1431" s="24">
        <v>45295</v>
      </c>
      <c r="J1431" s="5">
        <v>15</v>
      </c>
      <c r="K1431" s="6">
        <v>200</v>
      </c>
      <c r="L1431" s="6">
        <v>170</v>
      </c>
      <c r="M1431" s="4" t="s">
        <v>30</v>
      </c>
      <c r="N1431" s="4" t="s">
        <v>41</v>
      </c>
      <c r="O1431" s="27">
        <v>199</v>
      </c>
      <c r="P1431" s="3">
        <v>2024</v>
      </c>
      <c r="Q1431" s="3">
        <f>VLOOKUP(C1431,layoffs_location!A:F,6,FALSE)</f>
        <v>32.0852997</v>
      </c>
      <c r="R1431" s="3">
        <f>VLOOKUP(C1431,layoffs_location!A:G,7,FALSE)</f>
        <v>34.781806400000001</v>
      </c>
    </row>
    <row r="1432" spans="1:18" ht="16" x14ac:dyDescent="0.2">
      <c r="A1432" s="3">
        <v>1431</v>
      </c>
      <c r="B1432" s="26" t="s">
        <v>129</v>
      </c>
      <c r="C1432" s="26" t="s">
        <v>76</v>
      </c>
      <c r="D1432" s="3" t="str">
        <f>VLOOKUP(C1432,layoffs_location!A:B,2,FALSE)</f>
        <v>other</v>
      </c>
      <c r="E1432" s="3" t="str">
        <f>VLOOKUP(C1432,layoffs_location!A:C,3,FALSE)</f>
        <v>California</v>
      </c>
      <c r="F1432" s="3" t="str">
        <f>VLOOKUP(C1432,layoffs_location!A:D,4,FALSE)</f>
        <v>USA</v>
      </c>
      <c r="G1432" s="3" t="str">
        <f>VLOOKUP(C1432,layoffs_location!A:E,5,FALSE)</f>
        <v>North America</v>
      </c>
      <c r="H1432" s="27"/>
      <c r="I1432" s="24">
        <v>45295</v>
      </c>
      <c r="J1432" s="5">
        <v>20</v>
      </c>
      <c r="K1432" s="6"/>
      <c r="L1432" s="6"/>
      <c r="M1432" s="4" t="s">
        <v>130</v>
      </c>
      <c r="N1432" s="7" t="s">
        <v>63</v>
      </c>
      <c r="O1432" s="27">
        <v>456</v>
      </c>
      <c r="P1432" s="3">
        <v>2024</v>
      </c>
      <c r="Q1432" s="3">
        <f>VLOOKUP(C1432,layoffs_location!A:F,6,FALSE)</f>
        <v>34.053690899999999</v>
      </c>
      <c r="R1432" s="3">
        <f>VLOOKUP(C1432,layoffs_location!A:G,7,FALSE)</f>
        <v>-118.242766</v>
      </c>
    </row>
    <row r="1433" spans="1:18" ht="16" x14ac:dyDescent="0.2">
      <c r="A1433" s="3">
        <v>1432</v>
      </c>
      <c r="B1433" s="26" t="s">
        <v>314</v>
      </c>
      <c r="C1433" s="26" t="s">
        <v>74</v>
      </c>
      <c r="D1433" s="3" t="str">
        <f>VLOOKUP(C1433,layoffs_location!A:B,2,FALSE)</f>
        <v>other</v>
      </c>
      <c r="E1433" s="3" t="str">
        <f>VLOOKUP(C1433,layoffs_location!A:C,3,FALSE)</f>
        <v>California</v>
      </c>
      <c r="F1433" s="3" t="str">
        <f>VLOOKUP(C1433,layoffs_location!A:D,4,FALSE)</f>
        <v>USA</v>
      </c>
      <c r="G1433" s="3" t="str">
        <f>VLOOKUP(C1433,layoffs_location!A:E,5,FALSE)</f>
        <v>North America</v>
      </c>
      <c r="H1433" s="23">
        <v>94</v>
      </c>
      <c r="I1433" s="24">
        <v>45296</v>
      </c>
      <c r="J1433" s="5">
        <v>13</v>
      </c>
      <c r="K1433" s="6">
        <v>723</v>
      </c>
      <c r="L1433" s="6">
        <v>629</v>
      </c>
      <c r="M1433" s="4" t="s">
        <v>21</v>
      </c>
      <c r="N1433" s="4" t="s">
        <v>28</v>
      </c>
      <c r="O1433" s="27">
        <v>899</v>
      </c>
      <c r="P1433" s="3">
        <v>2024</v>
      </c>
      <c r="Q1433" s="3">
        <f>VLOOKUP(C1433,layoffs_location!A:F,6,FALSE)</f>
        <v>32.717420199999999</v>
      </c>
      <c r="R1433" s="3">
        <f>VLOOKUP(C1433,layoffs_location!A:G,7,FALSE)</f>
        <v>-117.162772</v>
      </c>
    </row>
    <row r="1434" spans="1:18" ht="16" x14ac:dyDescent="0.2">
      <c r="A1434" s="3">
        <v>1433</v>
      </c>
      <c r="B1434" s="26" t="s">
        <v>1223</v>
      </c>
      <c r="C1434" s="26" t="s">
        <v>1370</v>
      </c>
      <c r="D1434" s="3" t="str">
        <f>VLOOKUP(C1434,layoffs_location!A:B,2,FALSE)</f>
        <v>San Francisco Bay Area</v>
      </c>
      <c r="E1434" s="3" t="str">
        <f>VLOOKUP(C1434,layoffs_location!A:C,3,FALSE)</f>
        <v>California</v>
      </c>
      <c r="F1434" s="3" t="str">
        <f>VLOOKUP(C1434,layoffs_location!A:D,4,FALSE)</f>
        <v>USA</v>
      </c>
      <c r="G1434" s="3" t="str">
        <f>VLOOKUP(C1434,layoffs_location!A:E,5,FALSE)</f>
        <v>North America</v>
      </c>
      <c r="H1434" s="27"/>
      <c r="I1434" s="24">
        <v>45296</v>
      </c>
      <c r="J1434" s="5"/>
      <c r="K1434" s="6"/>
      <c r="L1434" s="6"/>
      <c r="M1434" s="4" t="s">
        <v>84</v>
      </c>
      <c r="N1434" s="4" t="s">
        <v>33</v>
      </c>
      <c r="O1434" s="27">
        <v>123</v>
      </c>
      <c r="P1434" s="3">
        <v>2024</v>
      </c>
      <c r="Q1434" s="3">
        <f>VLOOKUP(C1434,layoffs_location!A:F,6,FALSE)</f>
        <v>37.779258800000001</v>
      </c>
      <c r="R1434" s="3">
        <f>VLOOKUP(C1434,layoffs_location!A:G,7,FALSE)</f>
        <v>-122.4193286</v>
      </c>
    </row>
    <row r="1435" spans="1:18" ht="16" x14ac:dyDescent="0.2">
      <c r="A1435" s="3">
        <v>1434</v>
      </c>
      <c r="B1435" s="26" t="s">
        <v>1689</v>
      </c>
      <c r="C1435" s="26" t="s">
        <v>43</v>
      </c>
      <c r="D1435" s="3" t="str">
        <f>VLOOKUP(C1435,layoffs_location!A:B,2,FALSE)</f>
        <v>Cascadia</v>
      </c>
      <c r="E1435" s="3" t="str">
        <f>VLOOKUP(C1435,layoffs_location!A:C,3,FALSE)</f>
        <v>Washington</v>
      </c>
      <c r="F1435" s="3" t="str">
        <f>VLOOKUP(C1435,layoffs_location!A:D,4,FALSE)</f>
        <v>USA</v>
      </c>
      <c r="G1435" s="3" t="str">
        <f>VLOOKUP(C1435,layoffs_location!A:E,5,FALSE)</f>
        <v>North America</v>
      </c>
      <c r="H1435" s="23">
        <v>50</v>
      </c>
      <c r="I1435" s="24">
        <v>45297</v>
      </c>
      <c r="J1435" s="5">
        <v>9</v>
      </c>
      <c r="K1435" s="6">
        <v>555</v>
      </c>
      <c r="L1435" s="6">
        <v>505</v>
      </c>
      <c r="M1435" s="4" t="s">
        <v>21</v>
      </c>
      <c r="N1435" s="4" t="s">
        <v>28</v>
      </c>
      <c r="O1435" s="27">
        <v>826</v>
      </c>
      <c r="P1435" s="3">
        <v>2024</v>
      </c>
      <c r="Q1435" s="3">
        <f>VLOOKUP(C1435,layoffs_location!A:F,6,FALSE)</f>
        <v>47.603832099999998</v>
      </c>
      <c r="R1435" s="3">
        <f>VLOOKUP(C1435,layoffs_location!A:G,7,FALSE)</f>
        <v>-122.330062</v>
      </c>
    </row>
    <row r="1436" spans="1:18" ht="16" x14ac:dyDescent="0.2">
      <c r="A1436" s="3">
        <v>1435</v>
      </c>
      <c r="B1436" s="26" t="s">
        <v>1596</v>
      </c>
      <c r="C1436" s="26" t="s">
        <v>1370</v>
      </c>
      <c r="D1436" s="3" t="str">
        <f>VLOOKUP(C1436,layoffs_location!A:B,2,FALSE)</f>
        <v>San Francisco Bay Area</v>
      </c>
      <c r="E1436" s="3" t="str">
        <f>VLOOKUP(C1436,layoffs_location!A:C,3,FALSE)</f>
        <v>California</v>
      </c>
      <c r="F1436" s="3" t="str">
        <f>VLOOKUP(C1436,layoffs_location!A:D,4,FALSE)</f>
        <v>USA</v>
      </c>
      <c r="G1436" s="3" t="str">
        <f>VLOOKUP(C1436,layoffs_location!A:E,5,FALSE)</f>
        <v>North America</v>
      </c>
      <c r="H1436" s="27"/>
      <c r="I1436" s="24">
        <v>45298</v>
      </c>
      <c r="J1436" s="5"/>
      <c r="K1436" s="6"/>
      <c r="L1436" s="6"/>
      <c r="M1436" s="4" t="s">
        <v>274</v>
      </c>
      <c r="N1436" s="4" t="s">
        <v>33</v>
      </c>
      <c r="O1436" s="27">
        <v>12</v>
      </c>
      <c r="P1436" s="3">
        <v>2024</v>
      </c>
      <c r="Q1436" s="3">
        <f>VLOOKUP(C1436,layoffs_location!A:F,6,FALSE)</f>
        <v>37.779258800000001</v>
      </c>
      <c r="R1436" s="3">
        <f>VLOOKUP(C1436,layoffs_location!A:G,7,FALSE)</f>
        <v>-122.4193286</v>
      </c>
    </row>
    <row r="1437" spans="1:18" ht="16" x14ac:dyDescent="0.2">
      <c r="A1437" s="3">
        <v>1436</v>
      </c>
      <c r="B1437" s="26" t="s">
        <v>1517</v>
      </c>
      <c r="C1437" s="11" t="s">
        <v>179</v>
      </c>
      <c r="D1437" s="3" t="str">
        <f>VLOOKUP(C1437,layoffs_location!A:B,2,FALSE)</f>
        <v>other</v>
      </c>
      <c r="E1437" s="3" t="str">
        <f>VLOOKUP(C1437,layoffs_location!A:C,3,FALSE)</f>
        <v>Ontario</v>
      </c>
      <c r="F1437" s="3" t="str">
        <f>VLOOKUP(C1437,layoffs_location!A:D,4,FALSE)</f>
        <v>Canada</v>
      </c>
      <c r="G1437" s="3" t="str">
        <f>VLOOKUP(C1437,layoffs_location!A:E,5,FALSE)</f>
        <v>North America</v>
      </c>
      <c r="H1437" s="23">
        <v>70</v>
      </c>
      <c r="I1437" s="24">
        <v>45299</v>
      </c>
      <c r="J1437" s="5">
        <v>17</v>
      </c>
      <c r="K1437" s="6">
        <v>411</v>
      </c>
      <c r="L1437" s="6">
        <v>341</v>
      </c>
      <c r="M1437" s="4" t="s">
        <v>21</v>
      </c>
      <c r="N1437" s="4" t="s">
        <v>108</v>
      </c>
      <c r="O1437" s="27">
        <v>164</v>
      </c>
      <c r="P1437" s="3">
        <v>2024</v>
      </c>
      <c r="Q1437" s="3">
        <f>VLOOKUP(C1437,layoffs_location!A:F,6,FALSE)</f>
        <v>43.6534817</v>
      </c>
      <c r="R1437" s="3">
        <f>VLOOKUP(C1437,layoffs_location!A:G,7,FALSE)</f>
        <v>-79.383934699999998</v>
      </c>
    </row>
    <row r="1438" spans="1:18" ht="16" x14ac:dyDescent="0.2">
      <c r="A1438" s="3">
        <v>1437</v>
      </c>
      <c r="B1438" s="26" t="s">
        <v>124</v>
      </c>
      <c r="C1438" s="11" t="s">
        <v>43</v>
      </c>
      <c r="D1438" s="3" t="str">
        <f>VLOOKUP(C1438,layoffs_location!A:B,2,FALSE)</f>
        <v>Cascadia</v>
      </c>
      <c r="E1438" s="3" t="str">
        <f>VLOOKUP(C1438,layoffs_location!A:C,3,FALSE)</f>
        <v>Washington</v>
      </c>
      <c r="F1438" s="3" t="str">
        <f>VLOOKUP(C1438,layoffs_location!A:D,4,FALSE)</f>
        <v>USA</v>
      </c>
      <c r="G1438" s="3" t="str">
        <f>VLOOKUP(C1438,layoffs_location!A:E,5,FALSE)</f>
        <v>North America</v>
      </c>
      <c r="H1438" s="23">
        <v>99</v>
      </c>
      <c r="I1438" s="24">
        <v>45299</v>
      </c>
      <c r="J1438" s="5">
        <v>38</v>
      </c>
      <c r="K1438" s="6">
        <v>260</v>
      </c>
      <c r="L1438" s="6">
        <v>161</v>
      </c>
      <c r="M1438" s="4" t="s">
        <v>90</v>
      </c>
      <c r="N1438" s="4" t="s">
        <v>108</v>
      </c>
      <c r="O1438" s="27">
        <v>263</v>
      </c>
      <c r="P1438" s="3">
        <v>2024</v>
      </c>
      <c r="Q1438" s="3">
        <f>VLOOKUP(C1438,layoffs_location!A:F,6,FALSE)</f>
        <v>47.603832099999998</v>
      </c>
      <c r="R1438" s="3">
        <f>VLOOKUP(C1438,layoffs_location!A:G,7,FALSE)</f>
        <v>-122.330062</v>
      </c>
    </row>
    <row r="1439" spans="1:18" ht="16" x14ac:dyDescent="0.2">
      <c r="A1439" s="3">
        <v>1438</v>
      </c>
      <c r="B1439" s="26" t="s">
        <v>1553</v>
      </c>
      <c r="C1439" s="26" t="s">
        <v>13</v>
      </c>
      <c r="D1439" s="3" t="str">
        <f>VLOOKUP(C1439,layoffs_location!A:B,2,FALSE)</f>
        <v>other</v>
      </c>
      <c r="E1439" s="3" t="str">
        <f>VLOOKUP(C1439,layoffs_location!A:C,3,FALSE)</f>
        <v>Karnataka</v>
      </c>
      <c r="F1439" s="3" t="str">
        <f>VLOOKUP(C1439,layoffs_location!A:D,4,FALSE)</f>
        <v>India</v>
      </c>
      <c r="G1439" s="3" t="str">
        <f>VLOOKUP(C1439,layoffs_location!A:E,5,FALSE)</f>
        <v>Asia</v>
      </c>
      <c r="H1439" s="23">
        <v>1100</v>
      </c>
      <c r="I1439" s="24">
        <v>45299</v>
      </c>
      <c r="J1439" s="5">
        <v>5</v>
      </c>
      <c r="K1439" s="6">
        <v>22000</v>
      </c>
      <c r="L1439" s="6">
        <v>20900</v>
      </c>
      <c r="M1439" s="4" t="s">
        <v>30</v>
      </c>
      <c r="N1439" s="4" t="s">
        <v>33</v>
      </c>
      <c r="O1439" s="27">
        <v>12.9</v>
      </c>
      <c r="P1439" s="3">
        <v>2024</v>
      </c>
      <c r="Q1439" s="3">
        <f>VLOOKUP(C1439,layoffs_location!A:F,6,FALSE)</f>
        <v>12.98815675</v>
      </c>
      <c r="R1439" s="3">
        <f>VLOOKUP(C1439,layoffs_location!A:G,7,FALSE)</f>
        <v>77.622600037959998</v>
      </c>
    </row>
    <row r="1440" spans="1:18" ht="16" x14ac:dyDescent="0.2">
      <c r="A1440" s="3">
        <v>1439</v>
      </c>
      <c r="B1440" s="26" t="s">
        <v>1565</v>
      </c>
      <c r="C1440" s="26" t="s">
        <v>220</v>
      </c>
      <c r="D1440" s="3" t="str">
        <f>VLOOKUP(C1440,layoffs_location!A:B,2,FALSE)</f>
        <v>other</v>
      </c>
      <c r="E1440" s="3" t="str">
        <f>VLOOKUP(C1440,layoffs_location!A:C,3,FALSE)</f>
        <v>Florida</v>
      </c>
      <c r="F1440" s="3" t="str">
        <f>VLOOKUP(C1440,layoffs_location!A:D,4,FALSE)</f>
        <v>USA</v>
      </c>
      <c r="G1440" s="3" t="str">
        <f>VLOOKUP(C1440,layoffs_location!A:E,5,FALSE)</f>
        <v>North America</v>
      </c>
      <c r="H1440" s="27"/>
      <c r="I1440" s="24">
        <v>45299</v>
      </c>
      <c r="J1440" s="5">
        <v>100</v>
      </c>
      <c r="K1440" s="6"/>
      <c r="L1440" s="6">
        <v>0</v>
      </c>
      <c r="M1440" s="4" t="s">
        <v>137</v>
      </c>
      <c r="N1440" s="4" t="s">
        <v>147</v>
      </c>
      <c r="O1440" s="27">
        <v>5</v>
      </c>
      <c r="P1440" s="3">
        <v>2024</v>
      </c>
      <c r="Q1440" s="3">
        <f>VLOOKUP(C1440,layoffs_location!A:F,6,FALSE)</f>
        <v>25.774172799999999</v>
      </c>
      <c r="R1440" s="3">
        <f>VLOOKUP(C1440,layoffs_location!A:G,7,FALSE)</f>
        <v>-80.193619999999996</v>
      </c>
    </row>
    <row r="1441" spans="1:18" ht="16" x14ac:dyDescent="0.2">
      <c r="A1441" s="3">
        <v>1440</v>
      </c>
      <c r="B1441" s="26" t="s">
        <v>1593</v>
      </c>
      <c r="C1441" s="26" t="s">
        <v>39</v>
      </c>
      <c r="D1441" s="3" t="str">
        <f>VLOOKUP(C1441,layoffs_location!A:B,2,FALSE)</f>
        <v>New York</v>
      </c>
      <c r="E1441" s="3" t="str">
        <f>VLOOKUP(C1441,layoffs_location!A:C,3,FALSE)</f>
        <v>New York</v>
      </c>
      <c r="F1441" s="3" t="str">
        <f>VLOOKUP(C1441,layoffs_location!A:D,4,FALSE)</f>
        <v>USA</v>
      </c>
      <c r="G1441" s="3" t="str">
        <f>VLOOKUP(C1441,layoffs_location!A:E,5,FALSE)</f>
        <v>North America</v>
      </c>
      <c r="H1441" s="27"/>
      <c r="I1441" s="24">
        <v>45299</v>
      </c>
      <c r="J1441" s="5">
        <v>25</v>
      </c>
      <c r="K1441" s="6"/>
      <c r="L1441" s="6"/>
      <c r="M1441" s="4" t="s">
        <v>35</v>
      </c>
      <c r="N1441" s="4" t="s">
        <v>49</v>
      </c>
      <c r="O1441" s="27">
        <v>91</v>
      </c>
      <c r="P1441" s="3">
        <v>2024</v>
      </c>
      <c r="Q1441" s="3">
        <f>VLOOKUP(C1441,layoffs_location!A:F,6,FALSE)</f>
        <v>40.7127281</v>
      </c>
      <c r="R1441" s="3">
        <f>VLOOKUP(C1441,layoffs_location!A:G,7,FALSE)</f>
        <v>-74.006015199999993</v>
      </c>
    </row>
    <row r="1442" spans="1:18" ht="16" x14ac:dyDescent="0.2">
      <c r="A1442" s="3">
        <v>1441</v>
      </c>
      <c r="B1442" s="26" t="s">
        <v>1594</v>
      </c>
      <c r="C1442" s="26" t="s">
        <v>699</v>
      </c>
      <c r="D1442" s="3" t="str">
        <f>VLOOKUP(C1442,layoffs_location!A:B,2,FALSE)</f>
        <v>other</v>
      </c>
      <c r="E1442" s="3" t="str">
        <f>VLOOKUP(C1442,layoffs_location!A:C,3,FALSE)</f>
        <v>Utah</v>
      </c>
      <c r="F1442" s="3" t="str">
        <f>VLOOKUP(C1442,layoffs_location!A:D,4,FALSE)</f>
        <v>USA</v>
      </c>
      <c r="G1442" s="3" t="str">
        <f>VLOOKUP(C1442,layoffs_location!A:E,5,FALSE)</f>
        <v>North America</v>
      </c>
      <c r="H1442" s="27"/>
      <c r="I1442" s="24">
        <v>45299</v>
      </c>
      <c r="J1442" s="5"/>
      <c r="K1442" s="6"/>
      <c r="L1442" s="6"/>
      <c r="M1442" s="4" t="s">
        <v>35</v>
      </c>
      <c r="N1442" s="4" t="s">
        <v>36</v>
      </c>
      <c r="O1442" s="27">
        <v>108</v>
      </c>
      <c r="P1442" s="3">
        <v>2024</v>
      </c>
      <c r="Q1442" s="3">
        <f>VLOOKUP(C1442,layoffs_location!A:F,6,FALSE)</f>
        <v>40.3881114</v>
      </c>
      <c r="R1442" s="3">
        <f>VLOOKUP(C1442,layoffs_location!A:G,7,FALSE)</f>
        <v>-111.84860190000001</v>
      </c>
    </row>
    <row r="1443" spans="1:18" ht="16" x14ac:dyDescent="0.2">
      <c r="A1443" s="3">
        <v>1442</v>
      </c>
      <c r="B1443" s="26" t="s">
        <v>1603</v>
      </c>
      <c r="C1443" s="26" t="s">
        <v>76</v>
      </c>
      <c r="D1443" s="3" t="str">
        <f>VLOOKUP(C1443,layoffs_location!A:B,2,FALSE)</f>
        <v>other</v>
      </c>
      <c r="E1443" s="3" t="str">
        <f>VLOOKUP(C1443,layoffs_location!A:C,3,FALSE)</f>
        <v>California</v>
      </c>
      <c r="F1443" s="3" t="str">
        <f>VLOOKUP(C1443,layoffs_location!A:D,4,FALSE)</f>
        <v>USA</v>
      </c>
      <c r="G1443" s="3" t="str">
        <f>VLOOKUP(C1443,layoffs_location!A:E,5,FALSE)</f>
        <v>North America</v>
      </c>
      <c r="H1443" s="27"/>
      <c r="I1443" s="24">
        <v>45299</v>
      </c>
      <c r="J1443" s="5">
        <v>9</v>
      </c>
      <c r="K1443" s="6"/>
      <c r="L1443" s="6"/>
      <c r="M1443" s="4" t="s">
        <v>35</v>
      </c>
      <c r="N1443" s="4" t="s">
        <v>28</v>
      </c>
      <c r="O1443" s="27">
        <v>485</v>
      </c>
      <c r="P1443" s="3">
        <v>2024</v>
      </c>
      <c r="Q1443" s="3">
        <f>VLOOKUP(C1443,layoffs_location!A:F,6,FALSE)</f>
        <v>34.053690899999999</v>
      </c>
      <c r="R1443" s="3">
        <f>VLOOKUP(C1443,layoffs_location!A:G,7,FALSE)</f>
        <v>-118.242766</v>
      </c>
    </row>
    <row r="1444" spans="1:18" ht="16" x14ac:dyDescent="0.2">
      <c r="A1444" s="3">
        <v>1443</v>
      </c>
      <c r="B1444" s="26" t="s">
        <v>1612</v>
      </c>
      <c r="C1444" s="26" t="s">
        <v>1346</v>
      </c>
      <c r="D1444" s="3" t="str">
        <f>VLOOKUP(C1444,layoffs_location!A:B,2,FALSE)</f>
        <v>other</v>
      </c>
      <c r="E1444" s="3" t="str">
        <f>VLOOKUP(C1444,layoffs_location!A:C,3,FALSE)</f>
        <v>Oregon</v>
      </c>
      <c r="F1444" s="3" t="str">
        <f>VLOOKUP(C1444,layoffs_location!A:D,4,FALSE)</f>
        <v>USA</v>
      </c>
      <c r="G1444" s="3" t="str">
        <f>VLOOKUP(C1444,layoffs_location!A:E,5,FALSE)</f>
        <v>North America</v>
      </c>
      <c r="H1444" s="23">
        <v>154</v>
      </c>
      <c r="I1444" s="24">
        <v>45299</v>
      </c>
      <c r="J1444" s="5">
        <v>28</v>
      </c>
      <c r="K1444" s="6">
        <v>550</v>
      </c>
      <c r="L1444" s="6">
        <v>396</v>
      </c>
      <c r="M1444" s="4" t="s">
        <v>27</v>
      </c>
      <c r="N1444" s="4" t="s">
        <v>28</v>
      </c>
      <c r="O1444" s="27">
        <v>470</v>
      </c>
      <c r="P1444" s="3">
        <v>2024</v>
      </c>
      <c r="Q1444" s="3">
        <f>VLOOKUP(C1444,layoffs_location!A:F,6,FALSE)</f>
        <v>44.564565899999998</v>
      </c>
      <c r="R1444" s="3">
        <f>VLOOKUP(C1444,layoffs_location!A:G,7,FALSE)</f>
        <v>-123.2620435</v>
      </c>
    </row>
    <row r="1445" spans="1:18" ht="16" x14ac:dyDescent="0.2">
      <c r="A1445" s="3">
        <v>1444</v>
      </c>
      <c r="B1445" s="26" t="s">
        <v>787</v>
      </c>
      <c r="C1445" s="26" t="s">
        <v>135</v>
      </c>
      <c r="D1445" s="3" t="str">
        <f>VLOOKUP(C1445,layoffs_location!A:B,2,FALSE)</f>
        <v>other</v>
      </c>
      <c r="E1445" s="3" t="str">
        <f>VLOOKUP(C1445,layoffs_location!A:C,3,FALSE)</f>
        <v>Berlin</v>
      </c>
      <c r="F1445" s="3" t="str">
        <f>VLOOKUP(C1445,layoffs_location!A:D,4,FALSE)</f>
        <v>Germany</v>
      </c>
      <c r="G1445" s="3" t="str">
        <f>VLOOKUP(C1445,layoffs_location!A:E,5,FALSE)</f>
        <v>Europe</v>
      </c>
      <c r="H1445" s="23">
        <v>80</v>
      </c>
      <c r="I1445" s="24">
        <v>45299</v>
      </c>
      <c r="J1445" s="5">
        <v>67</v>
      </c>
      <c r="K1445" s="6">
        <v>119</v>
      </c>
      <c r="L1445" s="6">
        <v>39</v>
      </c>
      <c r="M1445" s="4" t="s">
        <v>60</v>
      </c>
      <c r="N1445" s="4" t="s">
        <v>49</v>
      </c>
      <c r="O1445" s="27">
        <v>138</v>
      </c>
      <c r="P1445" s="3">
        <v>2024</v>
      </c>
      <c r="Q1445" s="3">
        <f>VLOOKUP(C1445,layoffs_location!A:F,6,FALSE)</f>
        <v>52.517036500000003</v>
      </c>
      <c r="R1445" s="3">
        <f>VLOOKUP(C1445,layoffs_location!A:G,7,FALSE)</f>
        <v>13.3888599</v>
      </c>
    </row>
    <row r="1446" spans="1:18" ht="16" x14ac:dyDescent="0.2">
      <c r="A1446" s="3">
        <v>1445</v>
      </c>
      <c r="B1446" s="26" t="s">
        <v>59</v>
      </c>
      <c r="C1446" s="26" t="s">
        <v>1370</v>
      </c>
      <c r="D1446" s="3" t="str">
        <f>VLOOKUP(C1446,layoffs_location!A:B,2,FALSE)</f>
        <v>San Francisco Bay Area</v>
      </c>
      <c r="E1446" s="3" t="str">
        <f>VLOOKUP(C1446,layoffs_location!A:C,3,FALSE)</f>
        <v>California</v>
      </c>
      <c r="F1446" s="3" t="str">
        <f>VLOOKUP(C1446,layoffs_location!A:D,4,FALSE)</f>
        <v>USA</v>
      </c>
      <c r="G1446" s="3" t="str">
        <f>VLOOKUP(C1446,layoffs_location!A:E,5,FALSE)</f>
        <v>North America</v>
      </c>
      <c r="H1446" s="23">
        <v>1800</v>
      </c>
      <c r="I1446" s="24">
        <v>45299</v>
      </c>
      <c r="J1446" s="5">
        <v>25</v>
      </c>
      <c r="K1446" s="6">
        <v>7200</v>
      </c>
      <c r="L1446" s="6">
        <v>5400</v>
      </c>
      <c r="M1446" s="4" t="s">
        <v>60</v>
      </c>
      <c r="N1446" s="4" t="s">
        <v>28</v>
      </c>
      <c r="O1446" s="27">
        <v>1.3</v>
      </c>
      <c r="P1446" s="3">
        <v>2024</v>
      </c>
      <c r="Q1446" s="3">
        <f>VLOOKUP(C1446,layoffs_location!A:F,6,FALSE)</f>
        <v>37.779258800000001</v>
      </c>
      <c r="R1446" s="3">
        <f>VLOOKUP(C1446,layoffs_location!A:G,7,FALSE)</f>
        <v>-122.4193286</v>
      </c>
    </row>
    <row r="1447" spans="1:18" ht="16" x14ac:dyDescent="0.2">
      <c r="A1447" s="3">
        <v>1446</v>
      </c>
      <c r="B1447" s="26" t="s">
        <v>1104</v>
      </c>
      <c r="C1447" s="26" t="s">
        <v>452</v>
      </c>
      <c r="D1447" s="3" t="str">
        <f>VLOOKUP(C1447,layoffs_location!A:B,2,FALSE)</f>
        <v>other</v>
      </c>
      <c r="E1447" s="3" t="str">
        <f>VLOOKUP(C1447,layoffs_location!A:C,3,FALSE)</f>
        <v>Ohio</v>
      </c>
      <c r="F1447" s="3" t="str">
        <f>VLOOKUP(C1447,layoffs_location!A:D,4,FALSE)</f>
        <v>USA</v>
      </c>
      <c r="G1447" s="3" t="str">
        <f>VLOOKUP(C1447,layoffs_location!A:E,5,FALSE)</f>
        <v>North America</v>
      </c>
      <c r="H1447" s="23">
        <v>85</v>
      </c>
      <c r="I1447" s="24">
        <v>45300</v>
      </c>
      <c r="J1447" s="5"/>
      <c r="K1447" s="6"/>
      <c r="L1447" s="6"/>
      <c r="M1447" s="4" t="s">
        <v>35</v>
      </c>
      <c r="N1447" s="4" t="s">
        <v>41</v>
      </c>
      <c r="O1447" s="27">
        <v>229</v>
      </c>
      <c r="P1447" s="3">
        <v>2024</v>
      </c>
      <c r="Q1447" s="3">
        <f>VLOOKUP(C1447,layoffs_location!A:F,6,FALSE)</f>
        <v>39.962260100000002</v>
      </c>
      <c r="R1447" s="3">
        <f>VLOOKUP(C1447,layoffs_location!A:G,7,FALSE)</f>
        <v>-83.000706500000007</v>
      </c>
    </row>
    <row r="1448" spans="1:18" ht="16" x14ac:dyDescent="0.2">
      <c r="A1448" s="3">
        <v>1447</v>
      </c>
      <c r="B1448" s="26" t="s">
        <v>1545</v>
      </c>
      <c r="C1448" s="26" t="s">
        <v>99</v>
      </c>
      <c r="D1448" s="3" t="str">
        <f>VLOOKUP(C1448,layoffs_location!A:B,2,FALSE)</f>
        <v>other</v>
      </c>
      <c r="E1448" s="3" t="str">
        <f>VLOOKUP(C1448,layoffs_location!A:C,3,FALSE)</f>
        <v>non</v>
      </c>
      <c r="F1448" s="3" t="str">
        <f>VLOOKUP(C1448,layoffs_location!A:D,4,FALSE)</f>
        <v>Netherlands</v>
      </c>
      <c r="G1448" s="3" t="str">
        <f>VLOOKUP(C1448,layoffs_location!A:E,5,FALSE)</f>
        <v>Europe</v>
      </c>
      <c r="H1448" s="27"/>
      <c r="I1448" s="24">
        <v>45300</v>
      </c>
      <c r="J1448" s="5"/>
      <c r="K1448" s="6"/>
      <c r="L1448" s="6"/>
      <c r="M1448" s="4" t="s">
        <v>27</v>
      </c>
      <c r="N1448" s="4" t="s">
        <v>28</v>
      </c>
      <c r="O1448" s="27"/>
      <c r="P1448" s="3">
        <v>2024</v>
      </c>
      <c r="Q1448" s="3">
        <f>VLOOKUP(C1448,layoffs_location!A:F,6,FALSE)</f>
        <v>52.373079599999997</v>
      </c>
      <c r="R1448" s="3">
        <f>VLOOKUP(C1448,layoffs_location!A:G,7,FALSE)</f>
        <v>4.8924534</v>
      </c>
    </row>
    <row r="1449" spans="1:18" ht="16" x14ac:dyDescent="0.2">
      <c r="A1449" s="3">
        <v>1448</v>
      </c>
      <c r="B1449" s="26" t="s">
        <v>1557</v>
      </c>
      <c r="C1449" s="26" t="s">
        <v>171</v>
      </c>
      <c r="D1449" s="3" t="str">
        <f>VLOOKUP(C1449,layoffs_location!A:B,2,FALSE)</f>
        <v>other</v>
      </c>
      <c r="E1449" s="3" t="str">
        <f>VLOOKUP(C1449,layoffs_location!A:C,3,FALSE)</f>
        <v>Georgia</v>
      </c>
      <c r="F1449" s="3" t="str">
        <f>VLOOKUP(C1449,layoffs_location!A:D,4,FALSE)</f>
        <v>USA</v>
      </c>
      <c r="G1449" s="3" t="str">
        <f>VLOOKUP(C1449,layoffs_location!A:E,5,FALSE)</f>
        <v>North America</v>
      </c>
      <c r="H1449" s="23">
        <v>50</v>
      </c>
      <c r="I1449" s="24">
        <v>45300</v>
      </c>
      <c r="J1449" s="5">
        <v>10</v>
      </c>
      <c r="K1449" s="6">
        <v>500</v>
      </c>
      <c r="L1449" s="6">
        <v>450</v>
      </c>
      <c r="M1449" s="4" t="s">
        <v>130</v>
      </c>
      <c r="N1449" s="4" t="s">
        <v>22</v>
      </c>
      <c r="O1449" s="27">
        <v>197</v>
      </c>
      <c r="P1449" s="3">
        <v>2024</v>
      </c>
      <c r="Q1449" s="3">
        <f>VLOOKUP(C1449,layoffs_location!A:F,6,FALSE)</f>
        <v>33.748992399999999</v>
      </c>
      <c r="R1449" s="3">
        <f>VLOOKUP(C1449,layoffs_location!A:G,7,FALSE)</f>
        <v>-84.390264400000007</v>
      </c>
    </row>
    <row r="1450" spans="1:18" ht="16" x14ac:dyDescent="0.2">
      <c r="A1450" s="3">
        <v>1449</v>
      </c>
      <c r="B1450" s="26" t="s">
        <v>1566</v>
      </c>
      <c r="C1450" s="17" t="s">
        <v>1370</v>
      </c>
      <c r="D1450" s="3" t="str">
        <f>VLOOKUP(C1450,layoffs_location!A:B,2,FALSE)</f>
        <v>San Francisco Bay Area</v>
      </c>
      <c r="E1450" s="3" t="str">
        <f>VLOOKUP(C1450,layoffs_location!A:C,3,FALSE)</f>
        <v>California</v>
      </c>
      <c r="F1450" s="3" t="str">
        <f>VLOOKUP(C1450,layoffs_location!A:D,4,FALSE)</f>
        <v>USA</v>
      </c>
      <c r="G1450" s="3" t="str">
        <f>VLOOKUP(C1450,layoffs_location!A:E,5,FALSE)</f>
        <v>North America</v>
      </c>
      <c r="H1450" s="23">
        <v>10</v>
      </c>
      <c r="I1450" s="24">
        <v>45300</v>
      </c>
      <c r="J1450" s="5">
        <v>4</v>
      </c>
      <c r="K1450" s="6">
        <v>250</v>
      </c>
      <c r="L1450" s="6">
        <v>240</v>
      </c>
      <c r="M1450" s="4" t="s">
        <v>87</v>
      </c>
      <c r="N1450" s="4" t="s">
        <v>41</v>
      </c>
      <c r="O1450" s="16">
        <v>230</v>
      </c>
      <c r="P1450" s="21">
        <v>2024</v>
      </c>
      <c r="Q1450" s="3">
        <f>VLOOKUP(C1450,layoffs_location!A:F,6,FALSE)</f>
        <v>37.779258800000001</v>
      </c>
      <c r="R1450" s="3">
        <f>VLOOKUP(C1450,layoffs_location!A:G,7,FALSE)</f>
        <v>-122.4193286</v>
      </c>
    </row>
    <row r="1451" spans="1:18" ht="16" x14ac:dyDescent="0.2">
      <c r="A1451" s="3">
        <v>1450</v>
      </c>
      <c r="B1451" s="26" t="s">
        <v>1605</v>
      </c>
      <c r="C1451" s="26" t="s">
        <v>260</v>
      </c>
      <c r="D1451" s="3" t="str">
        <f>VLOOKUP(C1451,layoffs_location!A:B,2,FALSE)</f>
        <v>other</v>
      </c>
      <c r="E1451" s="3" t="str">
        <f>VLOOKUP(C1451,layoffs_location!A:C,3,FALSE)</f>
        <v>District of Columbia</v>
      </c>
      <c r="F1451" s="3" t="str">
        <f>VLOOKUP(C1451,layoffs_location!A:D,4,FALSE)</f>
        <v>USA</v>
      </c>
      <c r="G1451" s="3" t="str">
        <f>VLOOKUP(C1451,layoffs_location!A:E,5,FALSE)</f>
        <v>North America</v>
      </c>
      <c r="H1451" s="27"/>
      <c r="I1451" s="24">
        <v>45300</v>
      </c>
      <c r="J1451" s="5"/>
      <c r="K1451" s="6"/>
      <c r="L1451" s="6"/>
      <c r="M1451" s="4" t="s">
        <v>79</v>
      </c>
      <c r="N1451" s="4" t="s">
        <v>49</v>
      </c>
      <c r="O1451" s="27">
        <v>91</v>
      </c>
      <c r="P1451" s="3">
        <v>2024</v>
      </c>
      <c r="Q1451" s="3">
        <f>VLOOKUP(C1451,layoffs_location!A:F,6,FALSE)</f>
        <v>38.8950368</v>
      </c>
      <c r="R1451" s="3">
        <f>VLOOKUP(C1451,layoffs_location!A:G,7,FALSE)</f>
        <v>-77.036542699999998</v>
      </c>
    </row>
    <row r="1452" spans="1:18" ht="16" x14ac:dyDescent="0.2">
      <c r="A1452" s="3">
        <v>1451</v>
      </c>
      <c r="B1452" s="26" t="s">
        <v>1608</v>
      </c>
      <c r="C1452" s="26" t="s">
        <v>1710</v>
      </c>
      <c r="D1452" s="3" t="str">
        <f>VLOOKUP(C1452,layoffs_location!A:B,2,FALSE)</f>
        <v>San Francisco Bay Area</v>
      </c>
      <c r="E1452" s="3" t="str">
        <f>VLOOKUP(C1452,layoffs_location!A:C,3,FALSE)</f>
        <v>California</v>
      </c>
      <c r="F1452" s="3" t="str">
        <f>VLOOKUP(C1452,layoffs_location!A:D,4,FALSE)</f>
        <v>USA</v>
      </c>
      <c r="G1452" s="3" t="str">
        <f>VLOOKUP(C1452,layoffs_location!A:E,5,FALSE)</f>
        <v>North America</v>
      </c>
      <c r="H1452" s="23">
        <v>63</v>
      </c>
      <c r="I1452" s="24">
        <v>45300</v>
      </c>
      <c r="J1452" s="5">
        <v>5</v>
      </c>
      <c r="K1452" s="6">
        <v>1260</v>
      </c>
      <c r="L1452" s="6">
        <v>1197</v>
      </c>
      <c r="M1452" s="4" t="s">
        <v>21</v>
      </c>
      <c r="N1452" s="4" t="s">
        <v>28</v>
      </c>
      <c r="O1452" s="27">
        <v>556</v>
      </c>
      <c r="P1452" s="3">
        <v>2024</v>
      </c>
      <c r="Q1452" s="3">
        <f>VLOOKUP(C1452,layoffs_location!A:F,6,FALSE)</f>
        <v>37.486323900000002</v>
      </c>
      <c r="R1452" s="3">
        <f>VLOOKUP(C1452,layoffs_location!A:G,7,FALSE)</f>
        <v>-122.232523</v>
      </c>
    </row>
    <row r="1453" spans="1:18" ht="16" x14ac:dyDescent="0.2">
      <c r="A1453" s="3">
        <v>1452</v>
      </c>
      <c r="B1453" s="26" t="s">
        <v>1632</v>
      </c>
      <c r="C1453" s="26" t="s">
        <v>39</v>
      </c>
      <c r="D1453" s="3" t="str">
        <f>VLOOKUP(C1453,layoffs_location!A:B,2,FALSE)</f>
        <v>New York</v>
      </c>
      <c r="E1453" s="3" t="str">
        <f>VLOOKUP(C1453,layoffs_location!A:C,3,FALSE)</f>
        <v>New York</v>
      </c>
      <c r="F1453" s="3" t="str">
        <f>VLOOKUP(C1453,layoffs_location!A:D,4,FALSE)</f>
        <v>USA</v>
      </c>
      <c r="G1453" s="3" t="str">
        <f>VLOOKUP(C1453,layoffs_location!A:E,5,FALSE)</f>
        <v>North America</v>
      </c>
      <c r="H1453" s="23">
        <v>37</v>
      </c>
      <c r="I1453" s="24">
        <v>45300</v>
      </c>
      <c r="J1453" s="5">
        <v>10</v>
      </c>
      <c r="K1453" s="6">
        <v>370</v>
      </c>
      <c r="L1453" s="6">
        <v>333</v>
      </c>
      <c r="M1453" s="4" t="s">
        <v>30</v>
      </c>
      <c r="N1453" s="4" t="s">
        <v>28</v>
      </c>
      <c r="O1453" s="16">
        <v>526</v>
      </c>
      <c r="P1453" s="3">
        <v>2024</v>
      </c>
      <c r="Q1453" s="3">
        <f>VLOOKUP(C1453,layoffs_location!A:F,6,FALSE)</f>
        <v>40.7127281</v>
      </c>
      <c r="R1453" s="3">
        <f>VLOOKUP(C1453,layoffs_location!A:G,7,FALSE)</f>
        <v>-74.006015199999993</v>
      </c>
    </row>
    <row r="1454" spans="1:18" ht="16" x14ac:dyDescent="0.2">
      <c r="A1454" s="3">
        <v>1453</v>
      </c>
      <c r="B1454" s="26" t="s">
        <v>1663</v>
      </c>
      <c r="C1454" s="26" t="s">
        <v>1370</v>
      </c>
      <c r="D1454" s="3" t="str">
        <f>VLOOKUP(C1454,layoffs_location!A:B,2,FALSE)</f>
        <v>San Francisco Bay Area</v>
      </c>
      <c r="E1454" s="3" t="str">
        <f>VLOOKUP(C1454,layoffs_location!A:C,3,FALSE)</f>
        <v>California</v>
      </c>
      <c r="F1454" s="3" t="str">
        <f>VLOOKUP(C1454,layoffs_location!A:D,4,FALSE)</f>
        <v>USA</v>
      </c>
      <c r="G1454" s="3" t="str">
        <f>VLOOKUP(C1454,layoffs_location!A:E,5,FALSE)</f>
        <v>North America</v>
      </c>
      <c r="H1454" s="23">
        <v>14</v>
      </c>
      <c r="I1454" s="24">
        <v>45300</v>
      </c>
      <c r="J1454" s="5">
        <v>60</v>
      </c>
      <c r="K1454" s="6">
        <v>23</v>
      </c>
      <c r="L1454" s="6">
        <v>9</v>
      </c>
      <c r="M1454" s="4" t="s">
        <v>35</v>
      </c>
      <c r="N1454" s="4" t="s">
        <v>69</v>
      </c>
      <c r="O1454" s="27">
        <v>14</v>
      </c>
      <c r="P1454" s="3">
        <v>2024</v>
      </c>
      <c r="Q1454" s="3">
        <f>VLOOKUP(C1454,layoffs_location!A:F,6,FALSE)</f>
        <v>37.779258800000001</v>
      </c>
      <c r="R1454" s="3">
        <f>VLOOKUP(C1454,layoffs_location!A:G,7,FALSE)</f>
        <v>-122.4193286</v>
      </c>
    </row>
    <row r="1455" spans="1:18" ht="16" x14ac:dyDescent="0.2">
      <c r="A1455" s="3">
        <v>1454</v>
      </c>
      <c r="B1455" s="26" t="s">
        <v>1665</v>
      </c>
      <c r="C1455" s="26" t="s">
        <v>547</v>
      </c>
      <c r="D1455" s="3" t="str">
        <f>VLOOKUP(C1455,layoffs_location!A:B,2,FALSE)</f>
        <v>Tokyo</v>
      </c>
      <c r="E1455" s="3" t="str">
        <f>VLOOKUP(C1455,layoffs_location!A:C,3,FALSE)</f>
        <v>Tokyo</v>
      </c>
      <c r="F1455" s="3" t="str">
        <f>VLOOKUP(C1455,layoffs_location!A:D,4,FALSE)</f>
        <v>Japan</v>
      </c>
      <c r="G1455" s="3" t="str">
        <f>VLOOKUP(C1455,layoffs_location!A:E,5,FALSE)</f>
        <v>Asia</v>
      </c>
      <c r="H1455" s="27"/>
      <c r="I1455" s="24">
        <v>45300</v>
      </c>
      <c r="J1455" s="5">
        <v>2</v>
      </c>
      <c r="K1455" s="6"/>
      <c r="L1455" s="6"/>
      <c r="M1455" s="4" t="s">
        <v>139</v>
      </c>
      <c r="N1455" s="4" t="s">
        <v>22</v>
      </c>
      <c r="O1455" s="27"/>
      <c r="P1455" s="3">
        <v>2024</v>
      </c>
      <c r="Q1455" s="3">
        <f>VLOOKUP(C1455,layoffs_location!A:F,6,FALSE)</f>
        <v>35.682193599999998</v>
      </c>
      <c r="R1455" s="3">
        <f>VLOOKUP(C1455,layoffs_location!A:G,7,FALSE)</f>
        <v>139.76222100000001</v>
      </c>
    </row>
    <row r="1456" spans="1:18" ht="16" x14ac:dyDescent="0.2">
      <c r="A1456" s="3">
        <v>1455</v>
      </c>
      <c r="B1456" s="26" t="s">
        <v>1670</v>
      </c>
      <c r="C1456" s="26" t="s">
        <v>1370</v>
      </c>
      <c r="D1456" s="3" t="str">
        <f>VLOOKUP(C1456,layoffs_location!A:B,2,FALSE)</f>
        <v>San Francisco Bay Area</v>
      </c>
      <c r="E1456" s="3" t="str">
        <f>VLOOKUP(C1456,layoffs_location!A:C,3,FALSE)</f>
        <v>California</v>
      </c>
      <c r="F1456" s="3" t="str">
        <f>VLOOKUP(C1456,layoffs_location!A:D,4,FALSE)</f>
        <v>USA</v>
      </c>
      <c r="G1456" s="3" t="str">
        <f>VLOOKUP(C1456,layoffs_location!A:E,5,FALSE)</f>
        <v>North America</v>
      </c>
      <c r="H1456" s="23">
        <v>500</v>
      </c>
      <c r="I1456" s="24">
        <v>45300</v>
      </c>
      <c r="J1456" s="5">
        <v>35</v>
      </c>
      <c r="K1456" s="6">
        <v>1428</v>
      </c>
      <c r="L1456" s="6">
        <v>928</v>
      </c>
      <c r="M1456" s="4" t="s">
        <v>16</v>
      </c>
      <c r="N1456" s="4" t="s">
        <v>33</v>
      </c>
      <c r="O1456" s="27">
        <v>35</v>
      </c>
      <c r="P1456" s="3">
        <v>2024</v>
      </c>
      <c r="Q1456" s="3">
        <f>VLOOKUP(C1456,layoffs_location!A:F,6,FALSE)</f>
        <v>37.779258800000001</v>
      </c>
      <c r="R1456" s="3">
        <f>VLOOKUP(C1456,layoffs_location!A:G,7,FALSE)</f>
        <v>-122.4193286</v>
      </c>
    </row>
    <row r="1457" spans="1:18" ht="16" x14ac:dyDescent="0.2">
      <c r="A1457" s="3">
        <v>1456</v>
      </c>
      <c r="B1457" s="26" t="s">
        <v>509</v>
      </c>
      <c r="C1457" s="26" t="s">
        <v>1370</v>
      </c>
      <c r="D1457" s="3" t="str">
        <f>VLOOKUP(C1457,layoffs_location!A:B,2,FALSE)</f>
        <v>San Francisco Bay Area</v>
      </c>
      <c r="E1457" s="3" t="str">
        <f>VLOOKUP(C1457,layoffs_location!A:C,3,FALSE)</f>
        <v>California</v>
      </c>
      <c r="F1457" s="3" t="str">
        <f>VLOOKUP(C1457,layoffs_location!A:D,4,FALSE)</f>
        <v>USA</v>
      </c>
      <c r="G1457" s="3" t="str">
        <f>VLOOKUP(C1457,layoffs_location!A:E,5,FALSE)</f>
        <v>North America</v>
      </c>
      <c r="H1457" s="23">
        <v>40</v>
      </c>
      <c r="I1457" s="24">
        <v>45300</v>
      </c>
      <c r="J1457" s="5"/>
      <c r="K1457" s="6"/>
      <c r="L1457" s="6"/>
      <c r="M1457" s="4" t="s">
        <v>90</v>
      </c>
      <c r="N1457" s="17" t="s">
        <v>1697</v>
      </c>
      <c r="O1457" s="27">
        <v>2.7</v>
      </c>
      <c r="P1457" s="3">
        <v>2024</v>
      </c>
      <c r="Q1457" s="3">
        <f>VLOOKUP(C1457,layoffs_location!A:F,6,FALSE)</f>
        <v>37.779258800000001</v>
      </c>
      <c r="R1457" s="3">
        <f>VLOOKUP(C1457,layoffs_location!A:G,7,FALSE)</f>
        <v>-122.4193286</v>
      </c>
    </row>
    <row r="1458" spans="1:18" ht="16" x14ac:dyDescent="0.2">
      <c r="A1458" s="3">
        <v>1457</v>
      </c>
      <c r="B1458" s="26" t="s">
        <v>376</v>
      </c>
      <c r="C1458" s="26" t="s">
        <v>43</v>
      </c>
      <c r="D1458" s="3" t="str">
        <f>VLOOKUP(C1458,layoffs_location!A:B,2,FALSE)</f>
        <v>Cascadia</v>
      </c>
      <c r="E1458" s="3" t="str">
        <f>VLOOKUP(C1458,layoffs_location!A:C,3,FALSE)</f>
        <v>Washington</v>
      </c>
      <c r="F1458" s="3" t="str">
        <f>VLOOKUP(C1458,layoffs_location!A:D,4,FALSE)</f>
        <v>USA</v>
      </c>
      <c r="G1458" s="3" t="str">
        <f>VLOOKUP(C1458,layoffs_location!A:E,5,FALSE)</f>
        <v>North America</v>
      </c>
      <c r="H1458" s="27"/>
      <c r="I1458" s="24">
        <v>45301</v>
      </c>
      <c r="J1458" s="5"/>
      <c r="K1458" s="6"/>
      <c r="L1458" s="6"/>
      <c r="M1458" s="4" t="s">
        <v>30</v>
      </c>
      <c r="N1458" s="4" t="s">
        <v>28</v>
      </c>
      <c r="O1458" s="27">
        <v>108</v>
      </c>
      <c r="P1458" s="3">
        <v>2024</v>
      </c>
      <c r="Q1458" s="3">
        <f>VLOOKUP(C1458,layoffs_location!A:F,6,FALSE)</f>
        <v>47.603832099999998</v>
      </c>
      <c r="R1458" s="3">
        <f>VLOOKUP(C1458,layoffs_location!A:G,7,FALSE)</f>
        <v>-122.330062</v>
      </c>
    </row>
    <row r="1459" spans="1:18" ht="16" x14ac:dyDescent="0.2">
      <c r="A1459" s="3">
        <v>1458</v>
      </c>
      <c r="B1459" s="26" t="s">
        <v>460</v>
      </c>
      <c r="C1459" s="26" t="s">
        <v>452</v>
      </c>
      <c r="D1459" s="3" t="str">
        <f>VLOOKUP(C1459,layoffs_location!A:B,2,FALSE)</f>
        <v>other</v>
      </c>
      <c r="E1459" s="3" t="str">
        <f>VLOOKUP(C1459,layoffs_location!A:C,3,FALSE)</f>
        <v>Ohio</v>
      </c>
      <c r="F1459" s="3" t="str">
        <f>VLOOKUP(C1459,layoffs_location!A:D,4,FALSE)</f>
        <v>USA</v>
      </c>
      <c r="G1459" s="3" t="str">
        <f>VLOOKUP(C1459,layoffs_location!A:E,5,FALSE)</f>
        <v>North America</v>
      </c>
      <c r="H1459" s="23">
        <v>74</v>
      </c>
      <c r="I1459" s="24">
        <v>45301</v>
      </c>
      <c r="J1459" s="5"/>
      <c r="K1459" s="6"/>
      <c r="L1459" s="6"/>
      <c r="M1459" s="4" t="s">
        <v>21</v>
      </c>
      <c r="N1459" s="4" t="s">
        <v>36</v>
      </c>
      <c r="O1459" s="27">
        <v>168</v>
      </c>
      <c r="P1459" s="3">
        <v>2024</v>
      </c>
      <c r="Q1459" s="3">
        <f>VLOOKUP(C1459,layoffs_location!A:F,6,FALSE)</f>
        <v>39.962260100000002</v>
      </c>
      <c r="R1459" s="3">
        <f>VLOOKUP(C1459,layoffs_location!A:G,7,FALSE)</f>
        <v>-83.000706500000007</v>
      </c>
    </row>
    <row r="1460" spans="1:18" ht="16" x14ac:dyDescent="0.2">
      <c r="A1460" s="3">
        <v>1459</v>
      </c>
      <c r="B1460" s="26" t="s">
        <v>1527</v>
      </c>
      <c r="C1460" s="26" t="s">
        <v>1705</v>
      </c>
      <c r="D1460" s="3" t="str">
        <f>VLOOKUP(C1460,layoffs_location!A:B,2,FALSE)</f>
        <v>San Francisco Bay Area</v>
      </c>
      <c r="E1460" s="3" t="str">
        <f>VLOOKUP(C1460,layoffs_location!A:C,3,FALSE)</f>
        <v>California</v>
      </c>
      <c r="F1460" s="3" t="str">
        <f>VLOOKUP(C1460,layoffs_location!A:D,4,FALSE)</f>
        <v>USA</v>
      </c>
      <c r="G1460" s="3" t="str">
        <f>VLOOKUP(C1460,layoffs_location!A:E,5,FALSE)</f>
        <v>North America</v>
      </c>
      <c r="H1460" s="27"/>
      <c r="I1460" s="24">
        <v>45301</v>
      </c>
      <c r="J1460" s="5">
        <v>12</v>
      </c>
      <c r="K1460" s="6"/>
      <c r="L1460" s="6"/>
      <c r="M1460" s="4" t="s">
        <v>155</v>
      </c>
      <c r="N1460" s="4" t="s">
        <v>22</v>
      </c>
      <c r="O1460" s="27">
        <v>1.4</v>
      </c>
      <c r="P1460" s="3">
        <v>2024</v>
      </c>
      <c r="Q1460" s="3">
        <f>VLOOKUP(C1460,layoffs_location!A:F,6,FALSE)</f>
        <v>37.287166999999997</v>
      </c>
      <c r="R1460" s="3">
        <f>VLOOKUP(C1460,layoffs_location!A:G,7,FALSE)</f>
        <v>-121.94995900000001</v>
      </c>
    </row>
    <row r="1461" spans="1:18" ht="16" x14ac:dyDescent="0.2">
      <c r="A1461" s="3">
        <v>1460</v>
      </c>
      <c r="B1461" s="26" t="s">
        <v>1529</v>
      </c>
      <c r="C1461" s="26" t="s">
        <v>220</v>
      </c>
      <c r="D1461" s="3" t="str">
        <f>VLOOKUP(C1461,layoffs_location!A:B,2,FALSE)</f>
        <v>other</v>
      </c>
      <c r="E1461" s="3" t="str">
        <f>VLOOKUP(C1461,layoffs_location!A:C,3,FALSE)</f>
        <v>Florida</v>
      </c>
      <c r="F1461" s="3" t="str">
        <f>VLOOKUP(C1461,layoffs_location!A:D,4,FALSE)</f>
        <v>USA</v>
      </c>
      <c r="G1461" s="3" t="str">
        <f>VLOOKUP(C1461,layoffs_location!A:E,5,FALSE)</f>
        <v>North America</v>
      </c>
      <c r="H1461" s="23">
        <v>1000</v>
      </c>
      <c r="I1461" s="24">
        <v>45301</v>
      </c>
      <c r="J1461" s="5">
        <v>12</v>
      </c>
      <c r="K1461" s="6">
        <v>8333</v>
      </c>
      <c r="L1461" s="6">
        <v>7333.3333333333339</v>
      </c>
      <c r="M1461" s="4" t="s">
        <v>239</v>
      </c>
      <c r="N1461" s="4" t="s">
        <v>33</v>
      </c>
      <c r="O1461" s="27">
        <v>20</v>
      </c>
      <c r="P1461" s="3">
        <v>2024</v>
      </c>
      <c r="Q1461" s="3">
        <f>VLOOKUP(C1461,layoffs_location!A:F,6,FALSE)</f>
        <v>25.774172799999999</v>
      </c>
      <c r="R1461" s="3">
        <f>VLOOKUP(C1461,layoffs_location!A:G,7,FALSE)</f>
        <v>-80.193619999999996</v>
      </c>
    </row>
    <row r="1462" spans="1:18" ht="16" x14ac:dyDescent="0.2">
      <c r="A1462" s="3">
        <v>1461</v>
      </c>
      <c r="B1462" s="26" t="s">
        <v>1556</v>
      </c>
      <c r="C1462" s="26" t="s">
        <v>39</v>
      </c>
      <c r="D1462" s="3" t="str">
        <f>VLOOKUP(C1462,layoffs_location!A:B,2,FALSE)</f>
        <v>New York</v>
      </c>
      <c r="E1462" s="3" t="str">
        <f>VLOOKUP(C1462,layoffs_location!A:C,3,FALSE)</f>
        <v>New York</v>
      </c>
      <c r="F1462" s="3" t="str">
        <f>VLOOKUP(C1462,layoffs_location!A:D,4,FALSE)</f>
        <v>USA</v>
      </c>
      <c r="G1462" s="3" t="str">
        <f>VLOOKUP(C1462,layoffs_location!A:E,5,FALSE)</f>
        <v>North America</v>
      </c>
      <c r="H1462" s="23">
        <v>100</v>
      </c>
      <c r="I1462" s="24">
        <v>45301</v>
      </c>
      <c r="J1462" s="5">
        <v>3</v>
      </c>
      <c r="K1462" s="6">
        <v>3333</v>
      </c>
      <c r="L1462" s="6">
        <v>3233.3333333333335</v>
      </c>
      <c r="M1462" s="4" t="s">
        <v>77</v>
      </c>
      <c r="N1462" s="4" t="s">
        <v>33</v>
      </c>
      <c r="O1462" s="27">
        <v>280</v>
      </c>
      <c r="P1462" s="3">
        <v>2024</v>
      </c>
      <c r="Q1462" s="3">
        <f>VLOOKUP(C1462,layoffs_location!A:F,6,FALSE)</f>
        <v>40.7127281</v>
      </c>
      <c r="R1462" s="3">
        <f>VLOOKUP(C1462,layoffs_location!A:G,7,FALSE)</f>
        <v>-74.006015199999993</v>
      </c>
    </row>
    <row r="1463" spans="1:18" ht="16" x14ac:dyDescent="0.2">
      <c r="A1463" s="3">
        <v>1462</v>
      </c>
      <c r="B1463" s="26" t="s">
        <v>513</v>
      </c>
      <c r="C1463" s="17" t="s">
        <v>1408</v>
      </c>
      <c r="D1463" s="3" t="str">
        <f>VLOOKUP(C1463,layoffs_location!A:B,2,FALSE)</f>
        <v>San Francisco Bay Area</v>
      </c>
      <c r="E1463" s="3" t="str">
        <f>VLOOKUP(C1463,layoffs_location!A:C,3,FALSE)</f>
        <v>California</v>
      </c>
      <c r="F1463" s="3" t="str">
        <f>VLOOKUP(C1463,layoffs_location!A:D,4,FALSE)</f>
        <v>USA</v>
      </c>
      <c r="G1463" s="3" t="str">
        <f>VLOOKUP(C1463,layoffs_location!A:E,5,FALSE)</f>
        <v>North America</v>
      </c>
      <c r="H1463" s="23">
        <v>1000</v>
      </c>
      <c r="I1463" s="24">
        <v>45301</v>
      </c>
      <c r="J1463" s="5"/>
      <c r="K1463" s="6"/>
      <c r="L1463" s="6"/>
      <c r="M1463" s="4" t="s">
        <v>16</v>
      </c>
      <c r="N1463" s="4" t="s">
        <v>28</v>
      </c>
      <c r="O1463" s="27">
        <v>26</v>
      </c>
      <c r="P1463" s="3">
        <v>2024</v>
      </c>
      <c r="Q1463" s="3">
        <f>VLOOKUP(C1463,layoffs_location!A:F,6,FALSE)</f>
        <v>37.3893889</v>
      </c>
      <c r="R1463" s="3">
        <f>VLOOKUP(C1463,layoffs_location!A:G,7,FALSE)</f>
        <v>-122.0832101</v>
      </c>
    </row>
    <row r="1464" spans="1:18" ht="16" x14ac:dyDescent="0.2">
      <c r="A1464" s="3">
        <v>1463</v>
      </c>
      <c r="B1464" s="26" t="s">
        <v>1568</v>
      </c>
      <c r="C1464" s="26" t="s">
        <v>39</v>
      </c>
      <c r="D1464" s="3" t="str">
        <f>VLOOKUP(C1464,layoffs_location!A:B,2,FALSE)</f>
        <v>New York</v>
      </c>
      <c r="E1464" s="3" t="str">
        <f>VLOOKUP(C1464,layoffs_location!A:C,3,FALSE)</f>
        <v>New York</v>
      </c>
      <c r="F1464" s="3" t="str">
        <f>VLOOKUP(C1464,layoffs_location!A:D,4,FALSE)</f>
        <v>USA</v>
      </c>
      <c r="G1464" s="3" t="str">
        <f>VLOOKUP(C1464,layoffs_location!A:E,5,FALSE)</f>
        <v>North America</v>
      </c>
      <c r="H1464" s="23">
        <v>330</v>
      </c>
      <c r="I1464" s="24">
        <v>45301</v>
      </c>
      <c r="J1464" s="5"/>
      <c r="K1464" s="6"/>
      <c r="L1464" s="6"/>
      <c r="M1464" s="4" t="s">
        <v>16</v>
      </c>
      <c r="N1464" s="4" t="s">
        <v>28</v>
      </c>
      <c r="O1464" s="27"/>
      <c r="P1464" s="3">
        <v>2024</v>
      </c>
      <c r="Q1464" s="3">
        <f>VLOOKUP(C1464,layoffs_location!A:F,6,FALSE)</f>
        <v>40.7127281</v>
      </c>
      <c r="R1464" s="3">
        <f>VLOOKUP(C1464,layoffs_location!A:G,7,FALSE)</f>
        <v>-74.006015199999993</v>
      </c>
    </row>
    <row r="1465" spans="1:18" ht="16" x14ac:dyDescent="0.2">
      <c r="A1465" s="3">
        <v>1464</v>
      </c>
      <c r="B1465" s="26" t="s">
        <v>1577</v>
      </c>
      <c r="C1465" s="26" t="s">
        <v>1473</v>
      </c>
      <c r="D1465" s="3" t="str">
        <f>VLOOKUP(C1465,layoffs_location!A:B,2,FALSE)</f>
        <v>San Francisco Bay Area</v>
      </c>
      <c r="E1465" s="3" t="str">
        <f>VLOOKUP(C1465,layoffs_location!A:C,3,FALSE)</f>
        <v>California</v>
      </c>
      <c r="F1465" s="3" t="str">
        <f>VLOOKUP(C1465,layoffs_location!A:D,4,FALSE)</f>
        <v>USA</v>
      </c>
      <c r="G1465" s="3" t="str">
        <f>VLOOKUP(C1465,layoffs_location!A:E,5,FALSE)</f>
        <v>North America</v>
      </c>
      <c r="H1465" s="23">
        <v>60</v>
      </c>
      <c r="I1465" s="24">
        <v>45301</v>
      </c>
      <c r="J1465" s="5"/>
      <c r="K1465" s="6"/>
      <c r="L1465" s="6"/>
      <c r="M1465" s="4" t="s">
        <v>16</v>
      </c>
      <c r="N1465" s="4" t="s">
        <v>33</v>
      </c>
      <c r="O1465" s="27">
        <v>57</v>
      </c>
      <c r="P1465" s="3">
        <v>2024</v>
      </c>
      <c r="Q1465" s="3">
        <f>VLOOKUP(C1465,layoffs_location!A:F,6,FALSE)</f>
        <v>37.4443293</v>
      </c>
      <c r="R1465" s="3">
        <f>VLOOKUP(C1465,layoffs_location!A:G,7,FALSE)</f>
        <v>-122.1598465</v>
      </c>
    </row>
    <row r="1466" spans="1:18" ht="16" x14ac:dyDescent="0.2">
      <c r="A1466" s="3">
        <v>1465</v>
      </c>
      <c r="B1466" s="26" t="s">
        <v>1125</v>
      </c>
      <c r="C1466" s="26" t="s">
        <v>1370</v>
      </c>
      <c r="D1466" s="3" t="str">
        <f>VLOOKUP(C1466,layoffs_location!A:B,2,FALSE)</f>
        <v>San Francisco Bay Area</v>
      </c>
      <c r="E1466" s="3" t="str">
        <f>VLOOKUP(C1466,layoffs_location!A:C,3,FALSE)</f>
        <v>California</v>
      </c>
      <c r="F1466" s="3" t="str">
        <f>VLOOKUP(C1466,layoffs_location!A:D,4,FALSE)</f>
        <v>USA</v>
      </c>
      <c r="G1466" s="3" t="str">
        <f>VLOOKUP(C1466,layoffs_location!A:E,5,FALSE)</f>
        <v>North America</v>
      </c>
      <c r="H1466" s="27"/>
      <c r="I1466" s="24">
        <v>45301</v>
      </c>
      <c r="J1466" s="5">
        <v>4</v>
      </c>
      <c r="K1466" s="6"/>
      <c r="L1466" s="6"/>
      <c r="M1466" s="4" t="s">
        <v>35</v>
      </c>
      <c r="N1466" s="4" t="s">
        <v>28</v>
      </c>
      <c r="O1466" s="27">
        <v>3</v>
      </c>
      <c r="P1466" s="3">
        <v>2024</v>
      </c>
      <c r="Q1466" s="3">
        <f>VLOOKUP(C1466,layoffs_location!A:F,6,FALSE)</f>
        <v>37.779258800000001</v>
      </c>
      <c r="R1466" s="3">
        <f>VLOOKUP(C1466,layoffs_location!A:G,7,FALSE)</f>
        <v>-122.4193286</v>
      </c>
    </row>
    <row r="1467" spans="1:18" ht="16" x14ac:dyDescent="0.2">
      <c r="A1467" s="3">
        <v>1466</v>
      </c>
      <c r="B1467" s="38" t="s">
        <v>1500</v>
      </c>
      <c r="C1467" s="26" t="s">
        <v>47</v>
      </c>
      <c r="D1467" s="3" t="str">
        <f>VLOOKUP(C1467,layoffs_location!A:B,2,FALSE)</f>
        <v>other</v>
      </c>
      <c r="E1467" s="3" t="str">
        <f>VLOOKUP(C1467,layoffs_location!A:C,3,FALSE)</f>
        <v>non</v>
      </c>
      <c r="F1467" s="3" t="str">
        <f>VLOOKUP(C1467,layoffs_location!A:D,4,FALSE)</f>
        <v>Israel</v>
      </c>
      <c r="G1467" s="3" t="str">
        <f>VLOOKUP(C1467,layoffs_location!A:E,5,FALSE)</f>
        <v>Asia</v>
      </c>
      <c r="H1467" s="27"/>
      <c r="I1467" s="24">
        <v>45302</v>
      </c>
      <c r="J1467" s="5"/>
      <c r="K1467" s="6"/>
      <c r="L1467" s="6"/>
      <c r="M1467" s="4" t="s">
        <v>16</v>
      </c>
      <c r="N1467" s="4" t="s">
        <v>28</v>
      </c>
      <c r="O1467" s="27"/>
      <c r="P1467" s="3">
        <v>2024</v>
      </c>
      <c r="Q1467" s="3">
        <f>VLOOKUP(C1467,layoffs_location!A:F,6,FALSE)</f>
        <v>32.0852997</v>
      </c>
      <c r="R1467" s="3">
        <f>VLOOKUP(C1467,layoffs_location!A:G,7,FALSE)</f>
        <v>34.781806400000001</v>
      </c>
    </row>
    <row r="1468" spans="1:18" ht="16" x14ac:dyDescent="0.2">
      <c r="A1468" s="3">
        <v>1467</v>
      </c>
      <c r="B1468" s="26" t="s">
        <v>1502</v>
      </c>
      <c r="C1468" s="11" t="s">
        <v>127</v>
      </c>
      <c r="D1468" s="3" t="str">
        <f>VLOOKUP(C1468,layoffs_location!A:B,2,FALSE)</f>
        <v>other</v>
      </c>
      <c r="E1468" s="3" t="str">
        <f>VLOOKUP(C1468,layoffs_location!A:C,3,FALSE)</f>
        <v>Saskatchewan</v>
      </c>
      <c r="F1468" s="3" t="str">
        <f>VLOOKUP(C1468,layoffs_location!A:D,4,FALSE)</f>
        <v>Canada</v>
      </c>
      <c r="G1468" s="3" t="str">
        <f>VLOOKUP(C1468,layoffs_location!A:E,5,FALSE)</f>
        <v>North America</v>
      </c>
      <c r="H1468" s="23">
        <v>68</v>
      </c>
      <c r="I1468" s="24">
        <v>45302</v>
      </c>
      <c r="J1468" s="5">
        <v>19</v>
      </c>
      <c r="K1468" s="6">
        <v>358</v>
      </c>
      <c r="L1468" s="6">
        <v>290</v>
      </c>
      <c r="M1468" s="4" t="s">
        <v>77</v>
      </c>
      <c r="N1468" s="4" t="s">
        <v>41</v>
      </c>
      <c r="O1468" s="27">
        <v>131</v>
      </c>
      <c r="P1468" s="3">
        <v>2024</v>
      </c>
      <c r="Q1468" s="3">
        <f>VLOOKUP(C1468,layoffs_location!A:F,6,FALSE)</f>
        <v>52.131802</v>
      </c>
      <c r="R1468" s="3">
        <f>VLOOKUP(C1468,layoffs_location!A:G,7,FALSE)</f>
        <v>-106.66076700000001</v>
      </c>
    </row>
    <row r="1469" spans="1:18" ht="16" x14ac:dyDescent="0.2">
      <c r="A1469" s="3">
        <v>1468</v>
      </c>
      <c r="B1469" s="26" t="s">
        <v>1513</v>
      </c>
      <c r="C1469" s="11" t="s">
        <v>39</v>
      </c>
      <c r="D1469" s="3" t="str">
        <f>VLOOKUP(C1469,layoffs_location!A:B,2,FALSE)</f>
        <v>New York</v>
      </c>
      <c r="E1469" s="3" t="str">
        <f>VLOOKUP(C1469,layoffs_location!A:C,3,FALSE)</f>
        <v>New York</v>
      </c>
      <c r="F1469" s="3" t="str">
        <f>VLOOKUP(C1469,layoffs_location!A:D,4,FALSE)</f>
        <v>USA</v>
      </c>
      <c r="G1469" s="3" t="str">
        <f>VLOOKUP(C1469,layoffs_location!A:E,5,FALSE)</f>
        <v>North America</v>
      </c>
      <c r="H1469" s="23">
        <v>100</v>
      </c>
      <c r="I1469" s="24">
        <v>45302</v>
      </c>
      <c r="J1469" s="5">
        <v>5</v>
      </c>
      <c r="K1469" s="6">
        <v>2000</v>
      </c>
      <c r="L1469" s="6">
        <v>1900</v>
      </c>
      <c r="M1469" s="4" t="s">
        <v>54</v>
      </c>
      <c r="N1469" s="4" t="s">
        <v>33</v>
      </c>
      <c r="O1469" s="27">
        <v>14</v>
      </c>
      <c r="P1469" s="3">
        <v>2024</v>
      </c>
      <c r="Q1469" s="3">
        <f>VLOOKUP(C1469,layoffs_location!A:F,6,FALSE)</f>
        <v>40.7127281</v>
      </c>
      <c r="R1469" s="3">
        <f>VLOOKUP(C1469,layoffs_location!A:G,7,FALSE)</f>
        <v>-74.006015199999993</v>
      </c>
    </row>
    <row r="1470" spans="1:18" ht="16" x14ac:dyDescent="0.2">
      <c r="A1470" s="3">
        <v>1469</v>
      </c>
      <c r="B1470" s="26" t="s">
        <v>1526</v>
      </c>
      <c r="C1470" s="26" t="s">
        <v>1694</v>
      </c>
      <c r="D1470" s="3" t="str">
        <f>VLOOKUP(C1470,layoffs_location!A:B,2,FALSE)</f>
        <v>San Francisco Bay Area</v>
      </c>
      <c r="E1470" s="3" t="str">
        <f>VLOOKUP(C1470,layoffs_location!A:C,3,FALSE)</f>
        <v>California</v>
      </c>
      <c r="F1470" s="3" t="str">
        <f>VLOOKUP(C1470,layoffs_location!A:D,4,FALSE)</f>
        <v>USA</v>
      </c>
      <c r="G1470" s="3" t="str">
        <f>VLOOKUP(C1470,layoffs_location!A:E,5,FALSE)</f>
        <v>North America</v>
      </c>
      <c r="H1470" s="27"/>
      <c r="I1470" s="24">
        <v>45302</v>
      </c>
      <c r="J1470" s="5"/>
      <c r="K1470" s="6"/>
      <c r="L1470" s="6"/>
      <c r="M1470" s="4" t="s">
        <v>60</v>
      </c>
      <c r="N1470" s="4" t="s">
        <v>22</v>
      </c>
      <c r="O1470" s="27">
        <v>194</v>
      </c>
      <c r="P1470" s="3">
        <v>2024</v>
      </c>
      <c r="Q1470" s="3">
        <f>VLOOKUP(C1470,layoffs_location!A:F,6,FALSE)</f>
        <v>37.336166300000002</v>
      </c>
      <c r="R1470" s="3">
        <f>VLOOKUP(C1470,layoffs_location!A:G,7,FALSE)</f>
        <v>-121.890591</v>
      </c>
    </row>
    <row r="1471" spans="1:18" ht="16" x14ac:dyDescent="0.2">
      <c r="A1471" s="3">
        <v>1470</v>
      </c>
      <c r="B1471" s="26" t="s">
        <v>323</v>
      </c>
      <c r="C1471" s="26" t="s">
        <v>39</v>
      </c>
      <c r="D1471" s="3" t="str">
        <f>VLOOKUP(C1471,layoffs_location!A:B,2,FALSE)</f>
        <v>New York</v>
      </c>
      <c r="E1471" s="3" t="str">
        <f>VLOOKUP(C1471,layoffs_location!A:C,3,FALSE)</f>
        <v>New York</v>
      </c>
      <c r="F1471" s="3" t="str">
        <f>VLOOKUP(C1471,layoffs_location!A:D,4,FALSE)</f>
        <v>USA</v>
      </c>
      <c r="G1471" s="3" t="str">
        <f>VLOOKUP(C1471,layoffs_location!A:E,5,FALSE)</f>
        <v>North America</v>
      </c>
      <c r="H1471" s="27"/>
      <c r="I1471" s="24">
        <v>45302</v>
      </c>
      <c r="J1471" s="5"/>
      <c r="K1471" s="6"/>
      <c r="L1471" s="6"/>
      <c r="M1471" s="4" t="s">
        <v>84</v>
      </c>
      <c r="N1471" s="4" t="s">
        <v>49</v>
      </c>
      <c r="O1471" s="27">
        <v>140</v>
      </c>
      <c r="P1471" s="3">
        <v>2024</v>
      </c>
      <c r="Q1471" s="3">
        <f>VLOOKUP(C1471,layoffs_location!A:F,6,FALSE)</f>
        <v>40.7127281</v>
      </c>
      <c r="R1471" s="3">
        <f>VLOOKUP(C1471,layoffs_location!A:G,7,FALSE)</f>
        <v>-74.006015199999993</v>
      </c>
    </row>
    <row r="1472" spans="1:18" ht="16" x14ac:dyDescent="0.2">
      <c r="A1472" s="3">
        <v>1471</v>
      </c>
      <c r="B1472" s="26" t="s">
        <v>1530</v>
      </c>
      <c r="C1472" s="17" t="s">
        <v>1370</v>
      </c>
      <c r="D1472" s="3" t="str">
        <f>VLOOKUP(C1472,layoffs_location!A:B,2,FALSE)</f>
        <v>San Francisco Bay Area</v>
      </c>
      <c r="E1472" s="3" t="str">
        <f>VLOOKUP(C1472,layoffs_location!A:C,3,FALSE)</f>
        <v>California</v>
      </c>
      <c r="F1472" s="3" t="str">
        <f>VLOOKUP(C1472,layoffs_location!A:D,4,FALSE)</f>
        <v>USA</v>
      </c>
      <c r="G1472" s="3" t="str">
        <f>VLOOKUP(C1472,layoffs_location!A:E,5,FALSE)</f>
        <v>North America</v>
      </c>
      <c r="H1472" s="23">
        <v>40</v>
      </c>
      <c r="I1472" s="24">
        <v>45302</v>
      </c>
      <c r="J1472" s="5"/>
      <c r="K1472" s="6"/>
      <c r="L1472" s="6"/>
      <c r="M1472" s="4" t="s">
        <v>139</v>
      </c>
      <c r="N1472" s="4" t="s">
        <v>28</v>
      </c>
      <c r="O1472" s="27">
        <v>332</v>
      </c>
      <c r="P1472" s="3">
        <v>2024</v>
      </c>
      <c r="Q1472" s="3">
        <f>VLOOKUP(C1472,layoffs_location!A:F,6,FALSE)</f>
        <v>37.779258800000001</v>
      </c>
      <c r="R1472" s="3">
        <f>VLOOKUP(C1472,layoffs_location!A:G,7,FALSE)</f>
        <v>-122.4193286</v>
      </c>
    </row>
    <row r="1473" spans="1:18" ht="16" x14ac:dyDescent="0.2">
      <c r="A1473" s="3">
        <v>1472</v>
      </c>
      <c r="B1473" s="26" t="s">
        <v>1542</v>
      </c>
      <c r="C1473" s="26" t="s">
        <v>1345</v>
      </c>
      <c r="D1473" s="3" t="str">
        <f>VLOOKUP(C1473,layoffs_location!A:B,2,FALSE)</f>
        <v>other</v>
      </c>
      <c r="E1473" s="3" t="str">
        <f>VLOOKUP(C1473,layoffs_location!A:C,3,FALSE)</f>
        <v>Tennessee</v>
      </c>
      <c r="F1473" s="3" t="str">
        <f>VLOOKUP(C1473,layoffs_location!A:D,4,FALSE)</f>
        <v>USA</v>
      </c>
      <c r="G1473" s="3" t="str">
        <f>VLOOKUP(C1473,layoffs_location!A:E,5,FALSE)</f>
        <v>North America</v>
      </c>
      <c r="H1473" s="27"/>
      <c r="I1473" s="24">
        <v>45302</v>
      </c>
      <c r="J1473" s="5">
        <v>100</v>
      </c>
      <c r="K1473" s="6"/>
      <c r="L1473" s="6">
        <v>0</v>
      </c>
      <c r="M1473" s="4" t="s">
        <v>90</v>
      </c>
      <c r="N1473" s="4" t="s">
        <v>22</v>
      </c>
      <c r="O1473" s="27"/>
      <c r="P1473" s="3">
        <v>2024</v>
      </c>
      <c r="Q1473" s="3">
        <f>VLOOKUP(C1473,layoffs_location!A:F,6,FALSE)</f>
        <v>35.1460249</v>
      </c>
      <c r="R1473" s="3">
        <f>VLOOKUP(C1473,layoffs_location!A:G,7,FALSE)</f>
        <v>-90.051763800000003</v>
      </c>
    </row>
    <row r="1474" spans="1:18" ht="16" x14ac:dyDescent="0.2">
      <c r="A1474" s="3">
        <v>1473</v>
      </c>
      <c r="B1474" s="26" t="s">
        <v>180</v>
      </c>
      <c r="C1474" s="17" t="s">
        <v>1370</v>
      </c>
      <c r="D1474" s="3" t="str">
        <f>VLOOKUP(C1474,layoffs_location!A:B,2,FALSE)</f>
        <v>San Francisco Bay Area</v>
      </c>
      <c r="E1474" s="3" t="str">
        <f>VLOOKUP(C1474,layoffs_location!A:C,3,FALSE)</f>
        <v>California</v>
      </c>
      <c r="F1474" s="3" t="str">
        <f>VLOOKUP(C1474,layoffs_location!A:D,4,FALSE)</f>
        <v>USA</v>
      </c>
      <c r="G1474" s="3" t="str">
        <f>VLOOKUP(C1474,layoffs_location!A:E,5,FALSE)</f>
        <v>North America</v>
      </c>
      <c r="H1474" s="23">
        <v>170</v>
      </c>
      <c r="I1474" s="24">
        <v>45302</v>
      </c>
      <c r="J1474" s="5">
        <v>17</v>
      </c>
      <c r="K1474" s="6">
        <v>1000</v>
      </c>
      <c r="L1474" s="6">
        <v>830</v>
      </c>
      <c r="M1474" s="4" t="s">
        <v>16</v>
      </c>
      <c r="N1474" s="4" t="s">
        <v>17</v>
      </c>
      <c r="O1474" s="27">
        <v>995</v>
      </c>
      <c r="P1474" s="3">
        <v>2024</v>
      </c>
      <c r="Q1474" s="3">
        <f>VLOOKUP(C1474,layoffs_location!A:F,6,FALSE)</f>
        <v>37.779258800000001</v>
      </c>
      <c r="R1474" s="3">
        <f>VLOOKUP(C1474,layoffs_location!A:G,7,FALSE)</f>
        <v>-122.4193286</v>
      </c>
    </row>
    <row r="1475" spans="1:18" ht="16" x14ac:dyDescent="0.2">
      <c r="A1475" s="3">
        <v>1474</v>
      </c>
      <c r="B1475" s="26" t="s">
        <v>1573</v>
      </c>
      <c r="C1475" s="26" t="s">
        <v>13</v>
      </c>
      <c r="D1475" s="3" t="str">
        <f>VLOOKUP(C1475,layoffs_location!A:B,2,FALSE)</f>
        <v>other</v>
      </c>
      <c r="E1475" s="3" t="str">
        <f>VLOOKUP(C1475,layoffs_location!A:C,3,FALSE)</f>
        <v>Karnataka</v>
      </c>
      <c r="F1475" s="3" t="str">
        <f>VLOOKUP(C1475,layoffs_location!A:D,4,FALSE)</f>
        <v>India</v>
      </c>
      <c r="G1475" s="3" t="str">
        <f>VLOOKUP(C1475,layoffs_location!A:E,5,FALSE)</f>
        <v>Asia</v>
      </c>
      <c r="H1475" s="23">
        <v>125</v>
      </c>
      <c r="I1475" s="24">
        <v>45302</v>
      </c>
      <c r="J1475" s="5">
        <v>5</v>
      </c>
      <c r="K1475" s="6">
        <v>2500</v>
      </c>
      <c r="L1475" s="6">
        <v>2375</v>
      </c>
      <c r="M1475" s="4" t="s">
        <v>130</v>
      </c>
      <c r="N1475" s="4" t="s">
        <v>22</v>
      </c>
      <c r="O1475" s="27">
        <v>320</v>
      </c>
      <c r="P1475" s="3">
        <v>2024</v>
      </c>
      <c r="Q1475" s="3">
        <f>VLOOKUP(C1475,layoffs_location!A:F,6,FALSE)</f>
        <v>12.98815675</v>
      </c>
      <c r="R1475" s="3">
        <f>VLOOKUP(C1475,layoffs_location!A:G,7,FALSE)</f>
        <v>77.622600037959998</v>
      </c>
    </row>
    <row r="1476" spans="1:18" ht="16" x14ac:dyDescent="0.2">
      <c r="A1476" s="3">
        <v>1475</v>
      </c>
      <c r="B1476" s="26" t="s">
        <v>1609</v>
      </c>
      <c r="C1476" s="26" t="s">
        <v>588</v>
      </c>
      <c r="D1476" s="3" t="str">
        <f>VLOOKUP(C1476,layoffs_location!A:B,2,FALSE)</f>
        <v>other</v>
      </c>
      <c r="E1476" s="3" t="str">
        <f>VLOOKUP(C1476,layoffs_location!A:C,3,FALSE)</f>
        <v>Hamburg</v>
      </c>
      <c r="F1476" s="3" t="str">
        <f>VLOOKUP(C1476,layoffs_location!A:D,4,FALSE)</f>
        <v>Germany</v>
      </c>
      <c r="G1476" s="3" t="str">
        <f>VLOOKUP(C1476,layoffs_location!A:E,5,FALSE)</f>
        <v>Europe</v>
      </c>
      <c r="H1476" s="23">
        <v>400</v>
      </c>
      <c r="I1476" s="24">
        <v>45302</v>
      </c>
      <c r="J1476" s="5"/>
      <c r="K1476" s="6"/>
      <c r="L1476" s="6"/>
      <c r="M1476" s="4" t="s">
        <v>16</v>
      </c>
      <c r="N1476" s="4" t="s">
        <v>28</v>
      </c>
      <c r="O1476" s="27"/>
      <c r="P1476" s="3">
        <v>2024</v>
      </c>
      <c r="Q1476" s="3">
        <f>VLOOKUP(C1476,layoffs_location!A:F,6,FALSE)</f>
        <v>53.550341000000003</v>
      </c>
      <c r="R1476" s="3">
        <f>VLOOKUP(C1476,layoffs_location!A:G,7,FALSE)</f>
        <v>10.000654000000001</v>
      </c>
    </row>
    <row r="1477" spans="1:18" ht="16" x14ac:dyDescent="0.2">
      <c r="A1477" s="3">
        <v>1476</v>
      </c>
      <c r="B1477" s="26" t="s">
        <v>1621</v>
      </c>
      <c r="C1477" s="26" t="s">
        <v>47</v>
      </c>
      <c r="D1477" s="3" t="str">
        <f>VLOOKUP(C1477,layoffs_location!A:B,2,FALSE)</f>
        <v>other</v>
      </c>
      <c r="E1477" s="3" t="str">
        <f>VLOOKUP(C1477,layoffs_location!A:C,3,FALSE)</f>
        <v>non</v>
      </c>
      <c r="F1477" s="3" t="str">
        <f>VLOOKUP(C1477,layoffs_location!A:D,4,FALSE)</f>
        <v>Israel</v>
      </c>
      <c r="G1477" s="3" t="str">
        <f>VLOOKUP(C1477,layoffs_location!A:E,5,FALSE)</f>
        <v>Asia</v>
      </c>
      <c r="H1477" s="23">
        <v>300</v>
      </c>
      <c r="I1477" s="24">
        <v>45302</v>
      </c>
      <c r="J1477" s="5">
        <v>10</v>
      </c>
      <c r="K1477" s="6">
        <v>3000</v>
      </c>
      <c r="L1477" s="6">
        <v>2700</v>
      </c>
      <c r="M1477" s="4" t="s">
        <v>16</v>
      </c>
      <c r="N1477" s="4" t="s">
        <v>28</v>
      </c>
      <c r="O1477" s="27"/>
      <c r="P1477" s="3">
        <v>2024</v>
      </c>
      <c r="Q1477" s="3">
        <f>VLOOKUP(C1477,layoffs_location!A:F,6,FALSE)</f>
        <v>32.0852997</v>
      </c>
      <c r="R1477" s="3">
        <f>VLOOKUP(C1477,layoffs_location!A:G,7,FALSE)</f>
        <v>34.781806400000001</v>
      </c>
    </row>
    <row r="1478" spans="1:18" ht="16" x14ac:dyDescent="0.2">
      <c r="A1478" s="3">
        <v>1477</v>
      </c>
      <c r="B1478" s="26" t="s">
        <v>224</v>
      </c>
      <c r="C1478" s="26" t="s">
        <v>39</v>
      </c>
      <c r="D1478" s="3" t="str">
        <f>VLOOKUP(C1478,layoffs_location!A:B,2,FALSE)</f>
        <v>New York</v>
      </c>
      <c r="E1478" s="3" t="str">
        <f>VLOOKUP(C1478,layoffs_location!A:C,3,FALSE)</f>
        <v>New York</v>
      </c>
      <c r="F1478" s="3" t="str">
        <f>VLOOKUP(C1478,layoffs_location!A:D,4,FALSE)</f>
        <v>USA</v>
      </c>
      <c r="G1478" s="3" t="str">
        <f>VLOOKUP(C1478,layoffs_location!A:E,5,FALSE)</f>
        <v>North America</v>
      </c>
      <c r="H1478" s="23">
        <v>60</v>
      </c>
      <c r="I1478" s="24">
        <v>45302</v>
      </c>
      <c r="J1478" s="5">
        <v>13</v>
      </c>
      <c r="K1478" s="6">
        <v>461</v>
      </c>
      <c r="L1478" s="6">
        <v>401</v>
      </c>
      <c r="M1478" s="4" t="s">
        <v>79</v>
      </c>
      <c r="N1478" s="4" t="s">
        <v>63</v>
      </c>
      <c r="O1478" s="27">
        <v>274</v>
      </c>
      <c r="P1478" s="3">
        <v>2024</v>
      </c>
      <c r="Q1478" s="3">
        <f>VLOOKUP(C1478,layoffs_location!A:F,6,FALSE)</f>
        <v>40.7127281</v>
      </c>
      <c r="R1478" s="3">
        <f>VLOOKUP(C1478,layoffs_location!A:G,7,FALSE)</f>
        <v>-74.006015199999993</v>
      </c>
    </row>
    <row r="1479" spans="1:18" ht="16" x14ac:dyDescent="0.2">
      <c r="A1479" s="3">
        <v>1478</v>
      </c>
      <c r="B1479" s="26" t="s">
        <v>1510</v>
      </c>
      <c r="C1479" s="26" t="s">
        <v>1370</v>
      </c>
      <c r="D1479" s="3" t="str">
        <f>VLOOKUP(C1479,layoffs_location!A:B,2,FALSE)</f>
        <v>San Francisco Bay Area</v>
      </c>
      <c r="E1479" s="3" t="str">
        <f>VLOOKUP(C1479,layoffs_location!A:C,3,FALSE)</f>
        <v>California</v>
      </c>
      <c r="F1479" s="3" t="str">
        <f>VLOOKUP(C1479,layoffs_location!A:D,4,FALSE)</f>
        <v>USA</v>
      </c>
      <c r="G1479" s="3" t="str">
        <f>VLOOKUP(C1479,layoffs_location!A:E,5,FALSE)</f>
        <v>North America</v>
      </c>
      <c r="H1479" s="27"/>
      <c r="I1479" s="24">
        <v>45303</v>
      </c>
      <c r="J1479" s="5">
        <v>100</v>
      </c>
      <c r="K1479" s="6"/>
      <c r="L1479" s="6">
        <v>0</v>
      </c>
      <c r="M1479" s="4" t="s">
        <v>54</v>
      </c>
      <c r="N1479" s="4" t="s">
        <v>22</v>
      </c>
      <c r="O1479" s="27"/>
      <c r="P1479" s="3">
        <v>2024</v>
      </c>
      <c r="Q1479" s="3">
        <f>VLOOKUP(C1479,layoffs_location!A:F,6,FALSE)</f>
        <v>37.779258800000001</v>
      </c>
      <c r="R1479" s="3">
        <f>VLOOKUP(C1479,layoffs_location!A:G,7,FALSE)</f>
        <v>-122.4193286</v>
      </c>
    </row>
    <row r="1480" spans="1:18" ht="16" x14ac:dyDescent="0.2">
      <c r="A1480" s="3">
        <v>1479</v>
      </c>
      <c r="B1480" s="26" t="s">
        <v>1538</v>
      </c>
      <c r="C1480" s="11" t="s">
        <v>1343</v>
      </c>
      <c r="D1480" s="3" t="str">
        <f>VLOOKUP(C1480,layoffs_location!A:B,2,FALSE)</f>
        <v>other</v>
      </c>
      <c r="E1480" s="3" t="str">
        <f>VLOOKUP(C1480,layoffs_location!A:C,3,FALSE)</f>
        <v>non</v>
      </c>
      <c r="F1480" s="3" t="str">
        <f>VLOOKUP(C1480,layoffs_location!A:D,4,FALSE)</f>
        <v>Pakistan</v>
      </c>
      <c r="G1480" s="3" t="str">
        <f>VLOOKUP(C1480,layoffs_location!A:E,5,FALSE)</f>
        <v>Asia</v>
      </c>
      <c r="H1480" s="27"/>
      <c r="I1480" s="24">
        <v>45303</v>
      </c>
      <c r="J1480" s="5">
        <v>80</v>
      </c>
      <c r="K1480" s="6"/>
      <c r="L1480" s="6"/>
      <c r="M1480" s="4" t="s">
        <v>30</v>
      </c>
      <c r="N1480" s="4" t="s">
        <v>69</v>
      </c>
      <c r="O1480" s="27">
        <v>41</v>
      </c>
      <c r="P1480" s="3">
        <v>2024</v>
      </c>
      <c r="Q1480" s="3">
        <f>VLOOKUP(C1480,layoffs_location!A:F,6,FALSE)</f>
        <v>24.854684200000001</v>
      </c>
      <c r="R1480" s="3">
        <f>VLOOKUP(C1480,layoffs_location!A:G,7,FALSE)</f>
        <v>67.020705500000005</v>
      </c>
    </row>
    <row r="1481" spans="1:18" ht="16" x14ac:dyDescent="0.2">
      <c r="A1481" s="3">
        <v>1480</v>
      </c>
      <c r="B1481" s="26" t="s">
        <v>1562</v>
      </c>
      <c r="C1481" s="11" t="s">
        <v>159</v>
      </c>
      <c r="D1481" s="3" t="str">
        <f>VLOOKUP(C1481,layoffs_location!A:B,2,FALSE)</f>
        <v>other</v>
      </c>
      <c r="E1481" s="3" t="str">
        <f>VLOOKUP(C1481,layoffs_location!A:C,3,FALSE)</f>
        <v>non</v>
      </c>
      <c r="F1481" s="3" t="str">
        <f>VLOOKUP(C1481,layoffs_location!A:D,4,FALSE)</f>
        <v>Estonia</v>
      </c>
      <c r="G1481" s="3" t="str">
        <f>VLOOKUP(C1481,layoffs_location!A:E,5,FALSE)</f>
        <v>Europe</v>
      </c>
      <c r="H1481" s="23">
        <v>13</v>
      </c>
      <c r="I1481" s="24">
        <v>45303</v>
      </c>
      <c r="J1481" s="5"/>
      <c r="K1481" s="6"/>
      <c r="L1481" s="6"/>
      <c r="M1481" s="4" t="s">
        <v>60</v>
      </c>
      <c r="N1481" s="4" t="s">
        <v>33</v>
      </c>
      <c r="O1481" s="27">
        <v>28</v>
      </c>
      <c r="P1481" s="3">
        <v>2024</v>
      </c>
      <c r="Q1481" s="3">
        <f>VLOOKUP(C1481,layoffs_location!A:F,6,FALSE)</f>
        <v>59.437215500000001</v>
      </c>
      <c r="R1481" s="3">
        <f>VLOOKUP(C1481,layoffs_location!A:G,7,FALSE)</f>
        <v>24.745368800000001</v>
      </c>
    </row>
    <row r="1482" spans="1:18" ht="16" x14ac:dyDescent="0.2">
      <c r="A1482" s="3">
        <v>1481</v>
      </c>
      <c r="B1482" s="26" t="s">
        <v>985</v>
      </c>
      <c r="C1482" s="11" t="s">
        <v>154</v>
      </c>
      <c r="D1482" s="3" t="str">
        <f>VLOOKUP(C1482,layoffs_location!A:B,2,FALSE)</f>
        <v>other</v>
      </c>
      <c r="E1482" s="3" t="str">
        <f>VLOOKUP(C1482,layoffs_location!A:C,3,FALSE)</f>
        <v>Illinois</v>
      </c>
      <c r="F1482" s="3" t="str">
        <f>VLOOKUP(C1482,layoffs_location!A:D,4,FALSE)</f>
        <v>USA</v>
      </c>
      <c r="G1482" s="3" t="str">
        <f>VLOOKUP(C1482,layoffs_location!A:E,5,FALSE)</f>
        <v>North America</v>
      </c>
      <c r="H1482" s="27"/>
      <c r="I1482" s="24">
        <v>45303</v>
      </c>
      <c r="J1482" s="5"/>
      <c r="K1482" s="6"/>
      <c r="L1482" s="6"/>
      <c r="M1482" s="4" t="s">
        <v>239</v>
      </c>
      <c r="N1482" s="4" t="s">
        <v>22</v>
      </c>
      <c r="O1482" s="27">
        <v>82</v>
      </c>
      <c r="P1482" s="3">
        <v>2024</v>
      </c>
      <c r="Q1482" s="3">
        <f>VLOOKUP(C1482,layoffs_location!A:F,6,FALSE)</f>
        <v>41.875561599999997</v>
      </c>
      <c r="R1482" s="3">
        <f>VLOOKUP(C1482,layoffs_location!A:G,7,FALSE)</f>
        <v>-87.6244212</v>
      </c>
    </row>
    <row r="1483" spans="1:18" ht="16" x14ac:dyDescent="0.2">
      <c r="A1483" s="3">
        <v>1482</v>
      </c>
      <c r="B1483" s="26" t="s">
        <v>1671</v>
      </c>
      <c r="C1483" s="26" t="s">
        <v>452</v>
      </c>
      <c r="D1483" s="3" t="str">
        <f>VLOOKUP(C1483,layoffs_location!A:B,2,FALSE)</f>
        <v>other</v>
      </c>
      <c r="E1483" s="3" t="str">
        <f>VLOOKUP(C1483,layoffs_location!A:C,3,FALSE)</f>
        <v>Ohio</v>
      </c>
      <c r="F1483" s="3" t="str">
        <f>VLOOKUP(C1483,layoffs_location!A:D,4,FALSE)</f>
        <v>USA</v>
      </c>
      <c r="G1483" s="3" t="str">
        <f>VLOOKUP(C1483,layoffs_location!A:E,5,FALSE)</f>
        <v>North America</v>
      </c>
      <c r="H1483" s="23">
        <v>300</v>
      </c>
      <c r="I1483" s="24">
        <v>45303</v>
      </c>
      <c r="J1483" s="5"/>
      <c r="K1483" s="6"/>
      <c r="L1483" s="6"/>
      <c r="M1483" s="4" t="s">
        <v>79</v>
      </c>
      <c r="N1483" s="4" t="s">
        <v>33</v>
      </c>
      <c r="O1483" s="27">
        <v>500</v>
      </c>
      <c r="P1483" s="3">
        <v>2024</v>
      </c>
      <c r="Q1483" s="3">
        <f>VLOOKUP(C1483,layoffs_location!A:F,6,FALSE)</f>
        <v>39.962260100000002</v>
      </c>
      <c r="R1483" s="3">
        <f>VLOOKUP(C1483,layoffs_location!A:G,7,FALSE)</f>
        <v>-83.000706500000007</v>
      </c>
    </row>
    <row r="1484" spans="1:18" ht="16" x14ac:dyDescent="0.2">
      <c r="A1484" s="3">
        <v>1483</v>
      </c>
      <c r="B1484" s="26" t="s">
        <v>276</v>
      </c>
      <c r="C1484" s="11" t="s">
        <v>71</v>
      </c>
      <c r="D1484" s="3" t="str">
        <f>VLOOKUP(C1484,layoffs_location!A:B,2,FALSE)</f>
        <v>other</v>
      </c>
      <c r="E1484" s="3" t="str">
        <f>VLOOKUP(C1484,layoffs_location!A:C,3,FALSE)</f>
        <v>Massachusetts</v>
      </c>
      <c r="F1484" s="3" t="str">
        <f>VLOOKUP(C1484,layoffs_location!A:D,4,FALSE)</f>
        <v>USA</v>
      </c>
      <c r="G1484" s="3" t="str">
        <f>VLOOKUP(C1484,layoffs_location!A:E,5,FALSE)</f>
        <v>North America</v>
      </c>
      <c r="H1484" s="27"/>
      <c r="I1484" s="24">
        <v>45303</v>
      </c>
      <c r="J1484" s="5"/>
      <c r="K1484" s="6"/>
      <c r="L1484" s="6"/>
      <c r="M1484" s="4" t="s">
        <v>60</v>
      </c>
      <c r="N1484" s="4" t="s">
        <v>49</v>
      </c>
      <c r="O1484" s="27">
        <v>216</v>
      </c>
      <c r="P1484" s="3">
        <v>2024</v>
      </c>
      <c r="Q1484" s="3">
        <f>VLOOKUP(C1484,layoffs_location!A:F,6,FALSE)</f>
        <v>42.355433400000003</v>
      </c>
      <c r="R1484" s="3">
        <f>VLOOKUP(C1484,layoffs_location!A:G,7,FALSE)</f>
        <v>-71.060511000000005</v>
      </c>
    </row>
    <row r="1485" spans="1:18" ht="16" x14ac:dyDescent="0.2">
      <c r="A1485" s="3">
        <v>1484</v>
      </c>
      <c r="B1485" s="26" t="s">
        <v>1507</v>
      </c>
      <c r="C1485" s="26" t="s">
        <v>547</v>
      </c>
      <c r="D1485" s="3" t="str">
        <f>VLOOKUP(C1485,layoffs_location!A:B,2,FALSE)</f>
        <v>Tokyo</v>
      </c>
      <c r="E1485" s="3" t="str">
        <f>VLOOKUP(C1485,layoffs_location!A:C,3,FALSE)</f>
        <v>Tokyo</v>
      </c>
      <c r="F1485" s="3" t="str">
        <f>VLOOKUP(C1485,layoffs_location!A:D,4,FALSE)</f>
        <v>Japan</v>
      </c>
      <c r="G1485" s="3" t="str">
        <f>VLOOKUP(C1485,layoffs_location!A:E,5,FALSE)</f>
        <v>Asia</v>
      </c>
      <c r="H1485" s="27"/>
      <c r="I1485" s="24">
        <v>45307</v>
      </c>
      <c r="J1485" s="5">
        <v>100</v>
      </c>
      <c r="K1485" s="6"/>
      <c r="L1485" s="6">
        <v>0</v>
      </c>
      <c r="M1485" s="4" t="s">
        <v>32</v>
      </c>
      <c r="N1485" s="4" t="s">
        <v>22</v>
      </c>
      <c r="O1485" s="27"/>
      <c r="P1485" s="3">
        <v>2024</v>
      </c>
      <c r="Q1485" s="3">
        <f>VLOOKUP(C1485,layoffs_location!A:F,6,FALSE)</f>
        <v>35.682193599999998</v>
      </c>
      <c r="R1485" s="3">
        <f>VLOOKUP(C1485,layoffs_location!A:G,7,FALSE)</f>
        <v>139.76222100000001</v>
      </c>
    </row>
    <row r="1486" spans="1:18" ht="16" x14ac:dyDescent="0.2">
      <c r="A1486" s="3">
        <v>1485</v>
      </c>
      <c r="B1486" s="26" t="s">
        <v>1550</v>
      </c>
      <c r="C1486" s="26" t="s">
        <v>43</v>
      </c>
      <c r="D1486" s="3" t="str">
        <f>VLOOKUP(C1486,layoffs_location!A:B,2,FALSE)</f>
        <v>Cascadia</v>
      </c>
      <c r="E1486" s="3" t="str">
        <f>VLOOKUP(C1486,layoffs_location!A:C,3,FALSE)</f>
        <v>Washington</v>
      </c>
      <c r="F1486" s="3" t="str">
        <f>VLOOKUP(C1486,layoffs_location!A:D,4,FALSE)</f>
        <v>USA</v>
      </c>
      <c r="G1486" s="3" t="str">
        <f>VLOOKUP(C1486,layoffs_location!A:E,5,FALSE)</f>
        <v>North America</v>
      </c>
      <c r="H1486" s="23">
        <v>48</v>
      </c>
      <c r="I1486" s="24">
        <v>45307</v>
      </c>
      <c r="J1486" s="5">
        <v>20</v>
      </c>
      <c r="K1486" s="6">
        <v>240</v>
      </c>
      <c r="L1486" s="6">
        <v>192</v>
      </c>
      <c r="M1486" s="4" t="s">
        <v>32</v>
      </c>
      <c r="N1486" s="7" t="s">
        <v>33</v>
      </c>
      <c r="O1486" s="27">
        <v>9</v>
      </c>
      <c r="P1486" s="3">
        <v>2024</v>
      </c>
      <c r="Q1486" s="3">
        <f>VLOOKUP(C1486,layoffs_location!A:F,6,FALSE)</f>
        <v>47.603832099999998</v>
      </c>
      <c r="R1486" s="3">
        <f>VLOOKUP(C1486,layoffs_location!A:G,7,FALSE)</f>
        <v>-122.330062</v>
      </c>
    </row>
    <row r="1487" spans="1:18" ht="16" x14ac:dyDescent="0.2">
      <c r="A1487" s="3">
        <v>1486</v>
      </c>
      <c r="B1487" s="26" t="s">
        <v>513</v>
      </c>
      <c r="C1487" s="17" t="s">
        <v>1408</v>
      </c>
      <c r="D1487" s="3" t="str">
        <f>VLOOKUP(C1487,layoffs_location!A:B,2,FALSE)</f>
        <v>San Francisco Bay Area</v>
      </c>
      <c r="E1487" s="3" t="str">
        <f>VLOOKUP(C1487,layoffs_location!A:C,3,FALSE)</f>
        <v>California</v>
      </c>
      <c r="F1487" s="3" t="str">
        <f>VLOOKUP(C1487,layoffs_location!A:D,4,FALSE)</f>
        <v>USA</v>
      </c>
      <c r="G1487" s="3" t="str">
        <f>VLOOKUP(C1487,layoffs_location!A:E,5,FALSE)</f>
        <v>North America</v>
      </c>
      <c r="H1487" s="27"/>
      <c r="I1487" s="24">
        <v>45307</v>
      </c>
      <c r="J1487" s="5"/>
      <c r="K1487" s="6"/>
      <c r="L1487" s="6"/>
      <c r="M1487" s="4" t="s">
        <v>16</v>
      </c>
      <c r="N1487" s="4" t="s">
        <v>28</v>
      </c>
      <c r="O1487" s="27">
        <v>26</v>
      </c>
      <c r="P1487" s="3">
        <v>2024</v>
      </c>
      <c r="Q1487" s="3">
        <f>VLOOKUP(C1487,layoffs_location!A:F,6,FALSE)</f>
        <v>37.3893889</v>
      </c>
      <c r="R1487" s="3">
        <f>VLOOKUP(C1487,layoffs_location!A:G,7,FALSE)</f>
        <v>-122.0832101</v>
      </c>
    </row>
    <row r="1488" spans="1:18" ht="16" x14ac:dyDescent="0.2">
      <c r="A1488" s="3">
        <v>1487</v>
      </c>
      <c r="B1488" s="26" t="s">
        <v>1646</v>
      </c>
      <c r="C1488" s="26" t="s">
        <v>132</v>
      </c>
      <c r="D1488" s="3" t="str">
        <f>VLOOKUP(C1488,layoffs_location!A:B,2,FALSE)</f>
        <v>other</v>
      </c>
      <c r="E1488" s="3" t="str">
        <f>VLOOKUP(C1488,layoffs_location!A:C,3,FALSE)</f>
        <v>Colorado</v>
      </c>
      <c r="F1488" s="3" t="str">
        <f>VLOOKUP(C1488,layoffs_location!A:D,4,FALSE)</f>
        <v>USA</v>
      </c>
      <c r="G1488" s="3" t="str">
        <f>VLOOKUP(C1488,layoffs_location!A:E,5,FALSE)</f>
        <v>North America</v>
      </c>
      <c r="H1488" s="23">
        <v>49</v>
      </c>
      <c r="I1488" s="24">
        <v>45307</v>
      </c>
      <c r="J1488" s="5">
        <v>17</v>
      </c>
      <c r="K1488" s="6">
        <v>288</v>
      </c>
      <c r="L1488" s="6">
        <v>239</v>
      </c>
      <c r="M1488" s="4" t="s">
        <v>21</v>
      </c>
      <c r="N1488" s="4" t="s">
        <v>41</v>
      </c>
      <c r="O1488" s="27">
        <v>183</v>
      </c>
      <c r="P1488" s="3">
        <v>2024</v>
      </c>
      <c r="Q1488" s="3">
        <f>VLOOKUP(C1488,layoffs_location!A:F,6,FALSE)</f>
        <v>39.739236400000003</v>
      </c>
      <c r="R1488" s="3">
        <f>VLOOKUP(C1488,layoffs_location!A:G,7,FALSE)</f>
        <v>-104.98486200000001</v>
      </c>
    </row>
    <row r="1489" spans="1:18" ht="16" x14ac:dyDescent="0.2">
      <c r="A1489" s="3">
        <v>1488</v>
      </c>
      <c r="B1489" s="26" t="s">
        <v>1659</v>
      </c>
      <c r="C1489" s="26" t="s">
        <v>58</v>
      </c>
      <c r="D1489" s="3" t="str">
        <f>VLOOKUP(C1489,layoffs_location!A:B,2,FALSE)</f>
        <v>other</v>
      </c>
      <c r="E1489" s="3" t="str">
        <f>VLOOKUP(C1489,layoffs_location!A:C,3,FALSE)</f>
        <v>England</v>
      </c>
      <c r="F1489" s="3" t="str">
        <f>VLOOKUP(C1489,layoffs_location!A:D,4,FALSE)</f>
        <v>UK</v>
      </c>
      <c r="G1489" s="3" t="str">
        <f>VLOOKUP(C1489,layoffs_location!A:E,5,FALSE)</f>
        <v>Europe</v>
      </c>
      <c r="H1489" s="27"/>
      <c r="I1489" s="24">
        <v>45307</v>
      </c>
      <c r="J1489" s="5">
        <v>70</v>
      </c>
      <c r="K1489" s="6"/>
      <c r="L1489" s="6"/>
      <c r="M1489" s="4" t="s">
        <v>16</v>
      </c>
      <c r="N1489" s="4" t="s">
        <v>147</v>
      </c>
      <c r="O1489" s="27">
        <v>3</v>
      </c>
      <c r="P1489" s="3">
        <v>2024</v>
      </c>
      <c r="Q1489" s="3">
        <f>VLOOKUP(C1489,layoffs_location!A:F,6,FALSE)</f>
        <v>51.489333500000001</v>
      </c>
      <c r="R1489" s="3">
        <f>VLOOKUP(C1489,layoffs_location!A:G,7,FALSE)</f>
        <v>-0.14405508452768701</v>
      </c>
    </row>
    <row r="1490" spans="1:18" ht="16" x14ac:dyDescent="0.2">
      <c r="A1490" s="3">
        <v>1489</v>
      </c>
      <c r="B1490" s="26" t="s">
        <v>1642</v>
      </c>
      <c r="C1490" s="11" t="s">
        <v>135</v>
      </c>
      <c r="D1490" s="3" t="str">
        <f>VLOOKUP(C1490,layoffs_location!A:B,2,FALSE)</f>
        <v>other</v>
      </c>
      <c r="E1490" s="3" t="str">
        <f>VLOOKUP(C1490,layoffs_location!A:C,3,FALSE)</f>
        <v>Berlin</v>
      </c>
      <c r="F1490" s="3" t="str">
        <f>VLOOKUP(C1490,layoffs_location!A:D,4,FALSE)</f>
        <v>Germany</v>
      </c>
      <c r="G1490" s="3" t="str">
        <f>VLOOKUP(C1490,layoffs_location!A:E,5,FALSE)</f>
        <v>Europe</v>
      </c>
      <c r="H1490" s="23">
        <v>60</v>
      </c>
      <c r="I1490" s="24">
        <v>45308</v>
      </c>
      <c r="J1490" s="5"/>
      <c r="K1490" s="6"/>
      <c r="L1490" s="6"/>
      <c r="M1490" s="4" t="s">
        <v>77</v>
      </c>
      <c r="N1490" s="4" t="s">
        <v>147</v>
      </c>
      <c r="O1490" s="27"/>
      <c r="P1490" s="3">
        <v>2024</v>
      </c>
      <c r="Q1490" s="3">
        <f>VLOOKUP(C1490,layoffs_location!A:F,6,FALSE)</f>
        <v>52.517036500000003</v>
      </c>
      <c r="R1490" s="3">
        <f>VLOOKUP(C1490,layoffs_location!A:G,7,FALSE)</f>
        <v>13.3888599</v>
      </c>
    </row>
    <row r="1491" spans="1:18" ht="16" x14ac:dyDescent="0.2">
      <c r="A1491" s="3">
        <v>1490</v>
      </c>
      <c r="B1491" s="26" t="s">
        <v>1681</v>
      </c>
      <c r="C1491" s="26" t="s">
        <v>1717</v>
      </c>
      <c r="D1491" s="3" t="str">
        <f>VLOOKUP(C1491,layoffs_location!A:B,2,FALSE)</f>
        <v>San Francisco Bay Area</v>
      </c>
      <c r="E1491" s="3" t="str">
        <f>VLOOKUP(C1491,layoffs_location!A:C,3,FALSE)</f>
        <v>California</v>
      </c>
      <c r="F1491" s="3" t="str">
        <f>VLOOKUP(C1491,layoffs_location!A:D,4,FALSE)</f>
        <v>USA</v>
      </c>
      <c r="G1491" s="3" t="str">
        <f>VLOOKUP(C1491,layoffs_location!A:E,5,FALSE)</f>
        <v>North America</v>
      </c>
      <c r="H1491" s="23">
        <v>100</v>
      </c>
      <c r="I1491" s="24">
        <v>45308</v>
      </c>
      <c r="J1491" s="5"/>
      <c r="K1491" s="6"/>
      <c r="L1491" s="6"/>
      <c r="M1491" s="4" t="s">
        <v>54</v>
      </c>
      <c r="N1491" s="7" t="s">
        <v>33</v>
      </c>
      <c r="O1491" s="27">
        <v>11</v>
      </c>
      <c r="P1491" s="3">
        <v>2024</v>
      </c>
      <c r="Q1491" s="3">
        <f>VLOOKUP(C1491,layoffs_location!A:F,6,FALSE)</f>
        <v>37.624853600000002</v>
      </c>
      <c r="R1491" s="3">
        <f>VLOOKUP(C1491,layoffs_location!A:G,7,FALSE)</f>
        <v>-122.41459860000001</v>
      </c>
    </row>
    <row r="1492" spans="1:18" ht="16" x14ac:dyDescent="0.2">
      <c r="A1492" s="3">
        <v>1491</v>
      </c>
      <c r="B1492" s="26" t="s">
        <v>376</v>
      </c>
      <c r="C1492" s="11" t="s">
        <v>43</v>
      </c>
      <c r="D1492" s="3" t="str">
        <f>VLOOKUP(C1492,layoffs_location!A:B,2,FALSE)</f>
        <v>Cascadia</v>
      </c>
      <c r="E1492" s="3" t="str">
        <f>VLOOKUP(C1492,layoffs_location!A:C,3,FALSE)</f>
        <v>Washington</v>
      </c>
      <c r="F1492" s="3" t="str">
        <f>VLOOKUP(C1492,layoffs_location!A:D,4,FALSE)</f>
        <v>USA</v>
      </c>
      <c r="G1492" s="3" t="str">
        <f>VLOOKUP(C1492,layoffs_location!A:E,5,FALSE)</f>
        <v>North America</v>
      </c>
      <c r="H1492" s="23">
        <v>30</v>
      </c>
      <c r="I1492" s="24">
        <v>45309</v>
      </c>
      <c r="J1492" s="5"/>
      <c r="K1492" s="6"/>
      <c r="L1492" s="6"/>
      <c r="M1492" s="4" t="s">
        <v>30</v>
      </c>
      <c r="N1492" s="4" t="s">
        <v>28</v>
      </c>
      <c r="O1492" s="27">
        <v>108</v>
      </c>
      <c r="P1492" s="3">
        <v>2024</v>
      </c>
      <c r="Q1492" s="3">
        <f>VLOOKUP(C1492,layoffs_location!A:F,6,FALSE)</f>
        <v>47.603832099999998</v>
      </c>
      <c r="R1492" s="3">
        <f>VLOOKUP(C1492,layoffs_location!A:G,7,FALSE)</f>
        <v>-122.330062</v>
      </c>
    </row>
    <row r="1493" spans="1:18" ht="16" x14ac:dyDescent="0.2">
      <c r="A1493" s="3">
        <v>1492</v>
      </c>
      <c r="B1493" s="26" t="s">
        <v>1548</v>
      </c>
      <c r="C1493" s="26" t="s">
        <v>39</v>
      </c>
      <c r="D1493" s="3" t="str">
        <f>VLOOKUP(C1493,layoffs_location!A:B,2,FALSE)</f>
        <v>New York</v>
      </c>
      <c r="E1493" s="3" t="str">
        <f>VLOOKUP(C1493,layoffs_location!A:C,3,FALSE)</f>
        <v>New York</v>
      </c>
      <c r="F1493" s="3" t="str">
        <f>VLOOKUP(C1493,layoffs_location!A:D,4,FALSE)</f>
        <v>USA</v>
      </c>
      <c r="G1493" s="3" t="str">
        <f>VLOOKUP(C1493,layoffs_location!A:E,5,FALSE)</f>
        <v>North America</v>
      </c>
      <c r="H1493" s="27"/>
      <c r="I1493" s="24">
        <v>45309</v>
      </c>
      <c r="J1493" s="5"/>
      <c r="K1493" s="6"/>
      <c r="L1493" s="6"/>
      <c r="M1493" s="4" t="s">
        <v>30</v>
      </c>
      <c r="N1493" s="4" t="s">
        <v>22</v>
      </c>
      <c r="O1493" s="27">
        <v>153</v>
      </c>
      <c r="P1493" s="3">
        <v>2024</v>
      </c>
      <c r="Q1493" s="3">
        <f>VLOOKUP(C1493,layoffs_location!A:F,6,FALSE)</f>
        <v>40.7127281</v>
      </c>
      <c r="R1493" s="3">
        <f>VLOOKUP(C1493,layoffs_location!A:G,7,FALSE)</f>
        <v>-74.006015199999993</v>
      </c>
    </row>
    <row r="1494" spans="1:18" ht="16" x14ac:dyDescent="0.2">
      <c r="A1494" s="3">
        <v>1493</v>
      </c>
      <c r="B1494" s="26" t="s">
        <v>984</v>
      </c>
      <c r="C1494" s="26" t="s">
        <v>304</v>
      </c>
      <c r="D1494" s="3" t="str">
        <f>VLOOKUP(C1494,layoffs_location!A:B,2,FALSE)</f>
        <v>other</v>
      </c>
      <c r="E1494" s="3" t="str">
        <f>VLOOKUP(C1494,layoffs_location!A:C,3,FALSE)</f>
        <v>Texas</v>
      </c>
      <c r="F1494" s="3" t="str">
        <f>VLOOKUP(C1494,layoffs_location!A:D,4,FALSE)</f>
        <v>USA</v>
      </c>
      <c r="G1494" s="3" t="str">
        <f>VLOOKUP(C1494,layoffs_location!A:E,5,FALSE)</f>
        <v>North America</v>
      </c>
      <c r="H1494" s="27"/>
      <c r="I1494" s="24">
        <v>45309</v>
      </c>
      <c r="J1494" s="5"/>
      <c r="K1494" s="6"/>
      <c r="L1494" s="6"/>
      <c r="M1494" s="4" t="s">
        <v>30</v>
      </c>
      <c r="N1494" s="4" t="s">
        <v>28</v>
      </c>
      <c r="O1494" s="27">
        <v>79</v>
      </c>
      <c r="P1494" s="3">
        <v>2024</v>
      </c>
      <c r="Q1494" s="3">
        <f>VLOOKUP(C1494,layoffs_location!A:F,6,FALSE)</f>
        <v>32.776271899999998</v>
      </c>
      <c r="R1494" s="3">
        <f>VLOOKUP(C1494,layoffs_location!A:G,7,FALSE)</f>
        <v>-96.796855899999997</v>
      </c>
    </row>
    <row r="1495" spans="1:18" ht="16" x14ac:dyDescent="0.2">
      <c r="A1495" s="3">
        <v>1494</v>
      </c>
      <c r="B1495" s="26" t="s">
        <v>514</v>
      </c>
      <c r="C1495" s="26" t="s">
        <v>71</v>
      </c>
      <c r="D1495" s="3" t="str">
        <f>VLOOKUP(C1495,layoffs_location!A:B,2,FALSE)</f>
        <v>other</v>
      </c>
      <c r="E1495" s="3" t="str">
        <f>VLOOKUP(C1495,layoffs_location!A:C,3,FALSE)</f>
        <v>Massachusetts</v>
      </c>
      <c r="F1495" s="3" t="str">
        <f>VLOOKUP(C1495,layoffs_location!A:D,4,FALSE)</f>
        <v>USA</v>
      </c>
      <c r="G1495" s="3" t="str">
        <f>VLOOKUP(C1495,layoffs_location!A:E,5,FALSE)</f>
        <v>North America</v>
      </c>
      <c r="H1495" s="23">
        <v>1650</v>
      </c>
      <c r="I1495" s="24">
        <v>45310</v>
      </c>
      <c r="J1495" s="5">
        <v>13</v>
      </c>
      <c r="K1495" s="6">
        <v>12692</v>
      </c>
      <c r="L1495" s="6">
        <v>11042</v>
      </c>
      <c r="M1495" s="4" t="s">
        <v>30</v>
      </c>
      <c r="N1495" s="4" t="s">
        <v>28</v>
      </c>
      <c r="O1495" s="27">
        <v>1.7</v>
      </c>
      <c r="P1495" s="3">
        <v>2024</v>
      </c>
      <c r="Q1495" s="3">
        <f>VLOOKUP(C1495,layoffs_location!A:F,6,FALSE)</f>
        <v>42.355433400000003</v>
      </c>
      <c r="R1495" s="3">
        <f>VLOOKUP(C1495,layoffs_location!A:G,7,FALSE)</f>
        <v>-71.060511000000005</v>
      </c>
    </row>
    <row r="1496" spans="1:18" ht="16" x14ac:dyDescent="0.2">
      <c r="A1496" s="3">
        <v>1495</v>
      </c>
      <c r="B1496" s="26" t="s">
        <v>1644</v>
      </c>
      <c r="C1496" s="26" t="s">
        <v>47</v>
      </c>
      <c r="D1496" s="3" t="str">
        <f>VLOOKUP(C1496,layoffs_location!A:B,2,FALSE)</f>
        <v>other</v>
      </c>
      <c r="E1496" s="3" t="str">
        <f>VLOOKUP(C1496,layoffs_location!A:C,3,FALSE)</f>
        <v>non</v>
      </c>
      <c r="F1496" s="3" t="str">
        <f>VLOOKUP(C1496,layoffs_location!A:D,4,FALSE)</f>
        <v>Israel</v>
      </c>
      <c r="G1496" s="3" t="str">
        <f>VLOOKUP(C1496,layoffs_location!A:E,5,FALSE)</f>
        <v>Asia</v>
      </c>
      <c r="H1496" s="23">
        <v>900</v>
      </c>
      <c r="I1496" s="24">
        <v>45312</v>
      </c>
      <c r="J1496" s="5">
        <v>16</v>
      </c>
      <c r="K1496" s="6">
        <v>5625</v>
      </c>
      <c r="L1496" s="6">
        <v>4725</v>
      </c>
      <c r="M1496" s="4" t="s">
        <v>27</v>
      </c>
      <c r="N1496" s="4" t="s">
        <v>28</v>
      </c>
      <c r="O1496" s="27">
        <v>155</v>
      </c>
      <c r="P1496" s="3">
        <v>2024</v>
      </c>
      <c r="Q1496" s="3">
        <f>VLOOKUP(C1496,layoffs_location!A:F,6,FALSE)</f>
        <v>32.0852997</v>
      </c>
      <c r="R1496" s="3">
        <f>VLOOKUP(C1496,layoffs_location!A:G,7,FALSE)</f>
        <v>34.781806400000001</v>
      </c>
    </row>
    <row r="1497" spans="1:18" ht="16" x14ac:dyDescent="0.2">
      <c r="A1497" s="3">
        <v>1496</v>
      </c>
      <c r="B1497" s="26" t="s">
        <v>1501</v>
      </c>
      <c r="C1497" s="26" t="s">
        <v>260</v>
      </c>
      <c r="D1497" s="3" t="str">
        <f>VLOOKUP(C1497,layoffs_location!A:B,2,FALSE)</f>
        <v>other</v>
      </c>
      <c r="E1497" s="3" t="str">
        <f>VLOOKUP(C1497,layoffs_location!A:C,3,FALSE)</f>
        <v>District of Columbia</v>
      </c>
      <c r="F1497" s="3" t="str">
        <f>VLOOKUP(C1497,layoffs_location!A:D,4,FALSE)</f>
        <v>USA</v>
      </c>
      <c r="G1497" s="3" t="str">
        <f>VLOOKUP(C1497,layoffs_location!A:E,5,FALSE)</f>
        <v>North America</v>
      </c>
      <c r="H1497" s="27"/>
      <c r="I1497" s="24">
        <v>45313</v>
      </c>
      <c r="J1497" s="5"/>
      <c r="K1497" s="6"/>
      <c r="L1497" s="6"/>
      <c r="M1497" s="4" t="s">
        <v>68</v>
      </c>
      <c r="N1497" s="4" t="s">
        <v>28</v>
      </c>
      <c r="O1497" s="27">
        <v>426</v>
      </c>
      <c r="P1497" s="3">
        <v>2024</v>
      </c>
      <c r="Q1497" s="3">
        <f>VLOOKUP(C1497,layoffs_location!A:F,6,FALSE)</f>
        <v>38.8950368</v>
      </c>
      <c r="R1497" s="3">
        <f>VLOOKUP(C1497,layoffs_location!A:G,7,FALSE)</f>
        <v>-77.036542699999998</v>
      </c>
    </row>
    <row r="1498" spans="1:18" ht="16" x14ac:dyDescent="0.2">
      <c r="A1498" s="3">
        <v>1497</v>
      </c>
      <c r="B1498" s="26" t="s">
        <v>513</v>
      </c>
      <c r="C1498" s="17" t="s">
        <v>1408</v>
      </c>
      <c r="D1498" s="3" t="str">
        <f>VLOOKUP(C1498,layoffs_location!A:B,2,FALSE)</f>
        <v>San Francisco Bay Area</v>
      </c>
      <c r="E1498" s="3" t="str">
        <f>VLOOKUP(C1498,layoffs_location!A:C,3,FALSE)</f>
        <v>California</v>
      </c>
      <c r="F1498" s="3" t="str">
        <f>VLOOKUP(C1498,layoffs_location!A:D,4,FALSE)</f>
        <v>USA</v>
      </c>
      <c r="G1498" s="3" t="str">
        <f>VLOOKUP(C1498,layoffs_location!A:E,5,FALSE)</f>
        <v>North America</v>
      </c>
      <c r="H1498" s="27"/>
      <c r="I1498" s="24">
        <v>45313</v>
      </c>
      <c r="J1498" s="5"/>
      <c r="K1498" s="6"/>
      <c r="L1498" s="6"/>
      <c r="M1498" s="4" t="s">
        <v>16</v>
      </c>
      <c r="N1498" s="4" t="s">
        <v>28</v>
      </c>
      <c r="O1498" s="27">
        <v>26</v>
      </c>
      <c r="P1498" s="3">
        <v>2024</v>
      </c>
      <c r="Q1498" s="3">
        <f>VLOOKUP(C1498,layoffs_location!A:F,6,FALSE)</f>
        <v>37.3893889</v>
      </c>
      <c r="R1498" s="3">
        <f>VLOOKUP(C1498,layoffs_location!A:G,7,FALSE)</f>
        <v>-122.0832101</v>
      </c>
    </row>
    <row r="1499" spans="1:18" ht="16" x14ac:dyDescent="0.2">
      <c r="A1499" s="3">
        <v>1498</v>
      </c>
      <c r="B1499" s="26" t="s">
        <v>1701</v>
      </c>
      <c r="C1499" s="26" t="s">
        <v>76</v>
      </c>
      <c r="D1499" s="3" t="str">
        <f>VLOOKUP(C1499,layoffs_location!A:B,2,FALSE)</f>
        <v>other</v>
      </c>
      <c r="E1499" s="3" t="str">
        <f>VLOOKUP(C1499,layoffs_location!A:C,3,FALSE)</f>
        <v>California</v>
      </c>
      <c r="F1499" s="3" t="str">
        <f>VLOOKUP(C1499,layoffs_location!A:D,4,FALSE)</f>
        <v>USA</v>
      </c>
      <c r="G1499" s="3" t="str">
        <f>VLOOKUP(C1499,layoffs_location!A:E,5,FALSE)</f>
        <v>North America</v>
      </c>
      <c r="H1499" s="23">
        <v>530</v>
      </c>
      <c r="I1499" s="24">
        <v>45313</v>
      </c>
      <c r="J1499" s="5">
        <v>11</v>
      </c>
      <c r="K1499" s="6">
        <v>4818</v>
      </c>
      <c r="L1499" s="6">
        <v>4288</v>
      </c>
      <c r="M1499" s="4" t="s">
        <v>16</v>
      </c>
      <c r="N1499" s="4" t="s">
        <v>33</v>
      </c>
      <c r="O1499" s="27">
        <v>21</v>
      </c>
      <c r="P1499" s="3">
        <v>2024</v>
      </c>
      <c r="Q1499" s="3">
        <f>VLOOKUP(C1499,layoffs_location!A:F,6,FALSE)</f>
        <v>34.053690899999999</v>
      </c>
      <c r="R1499" s="3">
        <f>VLOOKUP(C1499,layoffs_location!A:G,7,FALSE)</f>
        <v>-118.242766</v>
      </c>
    </row>
    <row r="1500" spans="1:18" ht="16" x14ac:dyDescent="0.2">
      <c r="A1500" s="3">
        <v>1499</v>
      </c>
      <c r="B1500" s="26" t="s">
        <v>1375</v>
      </c>
      <c r="C1500" s="26" t="s">
        <v>76</v>
      </c>
      <c r="D1500" s="3" t="str">
        <f>VLOOKUP(C1500,layoffs_location!A:B,2,FALSE)</f>
        <v>other</v>
      </c>
      <c r="E1500" s="3" t="str">
        <f>VLOOKUP(C1500,layoffs_location!A:C,3,FALSE)</f>
        <v>California</v>
      </c>
      <c r="F1500" s="3" t="str">
        <f>VLOOKUP(C1500,layoffs_location!A:D,4,FALSE)</f>
        <v>USA</v>
      </c>
      <c r="G1500" s="3" t="str">
        <f>VLOOKUP(C1500,layoffs_location!A:E,5,FALSE)</f>
        <v>North America</v>
      </c>
      <c r="H1500" s="23">
        <v>60</v>
      </c>
      <c r="I1500" s="24">
        <v>45313</v>
      </c>
      <c r="J1500" s="5"/>
      <c r="K1500" s="6"/>
      <c r="L1500" s="6"/>
      <c r="M1500" s="4" t="s">
        <v>1374</v>
      </c>
      <c r="N1500" s="4" t="s">
        <v>33</v>
      </c>
      <c r="O1500" s="27"/>
      <c r="P1500" s="3">
        <v>2024</v>
      </c>
      <c r="Q1500" s="3">
        <f>VLOOKUP(C1500,layoffs_location!A:F,6,FALSE)</f>
        <v>34.053690899999999</v>
      </c>
      <c r="R1500" s="3">
        <f>VLOOKUP(C1500,layoffs_location!A:G,7,FALSE)</f>
        <v>-118.242766</v>
      </c>
    </row>
    <row r="1501" spans="1:18" ht="16" x14ac:dyDescent="0.2">
      <c r="A1501" s="3">
        <v>1500</v>
      </c>
      <c r="B1501" s="26" t="s">
        <v>1679</v>
      </c>
      <c r="C1501" s="26" t="s">
        <v>445</v>
      </c>
      <c r="D1501" s="3" t="str">
        <f>VLOOKUP(C1501,layoffs_location!A:B,2,FALSE)</f>
        <v>other</v>
      </c>
      <c r="E1501" s="3" t="str">
        <f>VLOOKUP(C1501,layoffs_location!A:C,3,FALSE)</f>
        <v>non</v>
      </c>
      <c r="F1501" s="3" t="str">
        <f>VLOOKUP(C1501,layoffs_location!A:D,4,FALSE)</f>
        <v>Indonesia</v>
      </c>
      <c r="G1501" s="3" t="str">
        <f>VLOOKUP(C1501,layoffs_location!A:E,5,FALSE)</f>
        <v>Asia</v>
      </c>
      <c r="H1501" s="23">
        <v>200</v>
      </c>
      <c r="I1501" s="24">
        <v>45313</v>
      </c>
      <c r="J1501" s="5"/>
      <c r="K1501" s="6"/>
      <c r="L1501" s="6"/>
      <c r="M1501" s="4" t="s">
        <v>35</v>
      </c>
      <c r="N1501" s="4" t="s">
        <v>108</v>
      </c>
      <c r="O1501" s="27">
        <v>534</v>
      </c>
      <c r="P1501" s="3">
        <v>2024</v>
      </c>
      <c r="Q1501" s="3">
        <f>VLOOKUP(C1501,layoffs_location!A:F,6,FALSE)</f>
        <v>-6.1752469999999997</v>
      </c>
      <c r="R1501" s="3">
        <f>VLOOKUP(C1501,layoffs_location!A:G,7,FALSE)</f>
        <v>106.8270488</v>
      </c>
    </row>
    <row r="1502" spans="1:18" ht="16" x14ac:dyDescent="0.2">
      <c r="A1502" s="3">
        <v>1501</v>
      </c>
      <c r="B1502" s="26" t="s">
        <v>760</v>
      </c>
      <c r="C1502" s="26" t="s">
        <v>1370</v>
      </c>
      <c r="D1502" s="3" t="str">
        <f>VLOOKUP(C1502,layoffs_location!A:B,2,FALSE)</f>
        <v>San Francisco Bay Area</v>
      </c>
      <c r="E1502" s="3" t="str">
        <f>VLOOKUP(C1502,layoffs_location!A:C,3,FALSE)</f>
        <v>California</v>
      </c>
      <c r="F1502" s="3" t="str">
        <f>VLOOKUP(C1502,layoffs_location!A:D,4,FALSE)</f>
        <v>USA</v>
      </c>
      <c r="G1502" s="3" t="str">
        <f>VLOOKUP(C1502,layoffs_location!A:E,5,FALSE)</f>
        <v>North America</v>
      </c>
      <c r="H1502" s="23">
        <v>282</v>
      </c>
      <c r="I1502" s="24">
        <v>45314</v>
      </c>
      <c r="J1502" s="5">
        <v>20</v>
      </c>
      <c r="K1502" s="6">
        <v>1410</v>
      </c>
      <c r="L1502" s="6">
        <v>1128</v>
      </c>
      <c r="M1502" s="4" t="s">
        <v>35</v>
      </c>
      <c r="N1502" s="4" t="s">
        <v>108</v>
      </c>
      <c r="O1502" s="27">
        <v>1.5</v>
      </c>
      <c r="P1502" s="3">
        <v>2024</v>
      </c>
      <c r="Q1502" s="3">
        <f>VLOOKUP(C1502,layoffs_location!A:F,6,FALSE)</f>
        <v>37.779258800000001</v>
      </c>
      <c r="R1502" s="3">
        <f>VLOOKUP(C1502,layoffs_location!A:G,7,FALSE)</f>
        <v>-122.4193286</v>
      </c>
    </row>
    <row r="1503" spans="1:18" ht="16" x14ac:dyDescent="0.2">
      <c r="A1503" s="3">
        <v>1502</v>
      </c>
      <c r="B1503" s="26" t="s">
        <v>1536</v>
      </c>
      <c r="C1503" s="26" t="s">
        <v>13</v>
      </c>
      <c r="D1503" s="3" t="str">
        <f>VLOOKUP(C1503,layoffs_location!A:B,2,FALSE)</f>
        <v>other</v>
      </c>
      <c r="E1503" s="3" t="str">
        <f>VLOOKUP(C1503,layoffs_location!A:C,3,FALSE)</f>
        <v>Karnataka</v>
      </c>
      <c r="F1503" s="3" t="str">
        <f>VLOOKUP(C1503,layoffs_location!A:D,4,FALSE)</f>
        <v>India</v>
      </c>
      <c r="G1503" s="3" t="str">
        <f>VLOOKUP(C1503,layoffs_location!A:E,5,FALSE)</f>
        <v>Asia</v>
      </c>
      <c r="H1503" s="23">
        <v>120</v>
      </c>
      <c r="I1503" s="24">
        <v>45314</v>
      </c>
      <c r="J1503" s="5"/>
      <c r="K1503" s="6"/>
      <c r="L1503" s="6"/>
      <c r="M1503" s="4" t="s">
        <v>399</v>
      </c>
      <c r="N1503" s="4" t="s">
        <v>63</v>
      </c>
      <c r="O1503" s="27">
        <v>625</v>
      </c>
      <c r="P1503" s="3">
        <v>2024</v>
      </c>
      <c r="Q1503" s="3">
        <f>VLOOKUP(C1503,layoffs_location!A:F,6,FALSE)</f>
        <v>12.98815675</v>
      </c>
      <c r="R1503" s="3">
        <f>VLOOKUP(C1503,layoffs_location!A:G,7,FALSE)</f>
        <v>77.622600037959998</v>
      </c>
    </row>
    <row r="1504" spans="1:18" ht="16" x14ac:dyDescent="0.2">
      <c r="A1504" s="3">
        <v>1503</v>
      </c>
      <c r="B1504" s="26" t="s">
        <v>463</v>
      </c>
      <c r="C1504" s="17" t="s">
        <v>1370</v>
      </c>
      <c r="D1504" s="3" t="str">
        <f>VLOOKUP(C1504,layoffs_location!A:B,2,FALSE)</f>
        <v>San Francisco Bay Area</v>
      </c>
      <c r="E1504" s="3" t="str">
        <f>VLOOKUP(C1504,layoffs_location!A:C,3,FALSE)</f>
        <v>California</v>
      </c>
      <c r="F1504" s="3" t="str">
        <f>VLOOKUP(C1504,layoffs_location!A:D,4,FALSE)</f>
        <v>USA</v>
      </c>
      <c r="G1504" s="3" t="str">
        <f>VLOOKUP(C1504,layoffs_location!A:E,5,FALSE)</f>
        <v>North America</v>
      </c>
      <c r="H1504" s="23">
        <v>1000</v>
      </c>
      <c r="I1504" s="24">
        <v>45314</v>
      </c>
      <c r="J1504" s="5">
        <v>9</v>
      </c>
      <c r="K1504" s="6">
        <v>11111</v>
      </c>
      <c r="L1504" s="6">
        <v>10111</v>
      </c>
      <c r="M1504" s="4" t="s">
        <v>1478</v>
      </c>
      <c r="N1504" s="4" t="s">
        <v>28</v>
      </c>
      <c r="O1504" s="27">
        <v>1.2</v>
      </c>
      <c r="P1504" s="3">
        <v>2024</v>
      </c>
      <c r="Q1504" s="3">
        <f>VLOOKUP(C1504,layoffs_location!A:F,6,FALSE)</f>
        <v>37.779258800000001</v>
      </c>
      <c r="R1504" s="3">
        <f>VLOOKUP(C1504,layoffs_location!A:G,7,FALSE)</f>
        <v>-122.4193286</v>
      </c>
    </row>
    <row r="1505" spans="1:18" ht="16" x14ac:dyDescent="0.2">
      <c r="A1505" s="3">
        <v>1504</v>
      </c>
      <c r="B1505" s="26" t="s">
        <v>1560</v>
      </c>
      <c r="C1505" s="26" t="s">
        <v>937</v>
      </c>
      <c r="D1505" s="3" t="str">
        <f>VLOOKUP(C1505,layoffs_location!A:B,2,FALSE)</f>
        <v>other</v>
      </c>
      <c r="E1505" s="3" t="str">
        <f>VLOOKUP(C1505,layoffs_location!A:C,3,FALSE)</f>
        <v>non</v>
      </c>
      <c r="F1505" s="3" t="str">
        <f>VLOOKUP(C1505,layoffs_location!A:D,4,FALSE)</f>
        <v>Austria</v>
      </c>
      <c r="G1505" s="3" t="str">
        <f>VLOOKUP(C1505,layoffs_location!A:E,5,FALSE)</f>
        <v>Europe</v>
      </c>
      <c r="H1505" s="23">
        <v>100</v>
      </c>
      <c r="I1505" s="24">
        <v>45314</v>
      </c>
      <c r="J1505" s="5"/>
      <c r="K1505" s="6"/>
      <c r="L1505" s="6"/>
      <c r="M1505" s="4" t="s">
        <v>68</v>
      </c>
      <c r="N1505" s="4" t="s">
        <v>108</v>
      </c>
      <c r="O1505" s="27">
        <v>686</v>
      </c>
      <c r="P1505" s="3">
        <v>2024</v>
      </c>
      <c r="Q1505" s="3">
        <f>VLOOKUP(C1505,layoffs_location!A:F,6,FALSE)</f>
        <v>48.208353700000004</v>
      </c>
      <c r="R1505" s="3">
        <f>VLOOKUP(C1505,layoffs_location!A:G,7,FALSE)</f>
        <v>16.372504200000002</v>
      </c>
    </row>
    <row r="1506" spans="1:18" ht="16" x14ac:dyDescent="0.2">
      <c r="A1506" s="3">
        <v>1505</v>
      </c>
      <c r="B1506" s="26" t="s">
        <v>1561</v>
      </c>
      <c r="C1506" s="11" t="s">
        <v>71</v>
      </c>
      <c r="D1506" s="3" t="str">
        <f>VLOOKUP(C1506,layoffs_location!A:B,2,FALSE)</f>
        <v>other</v>
      </c>
      <c r="E1506" s="3" t="str">
        <f>VLOOKUP(C1506,layoffs_location!A:C,3,FALSE)</f>
        <v>Massachusetts</v>
      </c>
      <c r="F1506" s="3" t="str">
        <f>VLOOKUP(C1506,layoffs_location!A:D,4,FALSE)</f>
        <v>USA</v>
      </c>
      <c r="G1506" s="3" t="str">
        <f>VLOOKUP(C1506,layoffs_location!A:E,5,FALSE)</f>
        <v>North America</v>
      </c>
      <c r="H1506" s="23">
        <v>29</v>
      </c>
      <c r="I1506" s="24">
        <v>45314</v>
      </c>
      <c r="J1506" s="5"/>
      <c r="K1506" s="6"/>
      <c r="L1506" s="6"/>
      <c r="M1506" s="4" t="s">
        <v>60</v>
      </c>
      <c r="N1506" s="4" t="s">
        <v>33</v>
      </c>
      <c r="O1506" s="27">
        <v>2</v>
      </c>
      <c r="P1506" s="3">
        <v>2024</v>
      </c>
      <c r="Q1506" s="3">
        <f>VLOOKUP(C1506,layoffs_location!A:F,6,FALSE)</f>
        <v>42.355433400000003</v>
      </c>
      <c r="R1506" s="3">
        <f>VLOOKUP(C1506,layoffs_location!A:G,7,FALSE)</f>
        <v>-71.060511000000005</v>
      </c>
    </row>
    <row r="1507" spans="1:18" ht="16" x14ac:dyDescent="0.2">
      <c r="A1507" s="3">
        <v>1506</v>
      </c>
      <c r="B1507" s="26" t="s">
        <v>496</v>
      </c>
      <c r="C1507" s="11" t="s">
        <v>497</v>
      </c>
      <c r="D1507" s="3" t="str">
        <f>VLOOKUP(C1507,layoffs_location!A:B,2,FALSE)</f>
        <v>other</v>
      </c>
      <c r="E1507" s="3" t="str">
        <f>VLOOKUP(C1507,layoffs_location!A:C,3,FALSE)</f>
        <v>Baden-Würtemberg</v>
      </c>
      <c r="F1507" s="3" t="str">
        <f>VLOOKUP(C1507,layoffs_location!A:D,4,FALSE)</f>
        <v>Germany</v>
      </c>
      <c r="G1507" s="3" t="str">
        <f>VLOOKUP(C1507,layoffs_location!A:E,5,FALSE)</f>
        <v>Europe</v>
      </c>
      <c r="H1507" s="23">
        <v>8000</v>
      </c>
      <c r="I1507" s="24">
        <v>45314</v>
      </c>
      <c r="J1507" s="5">
        <v>7</v>
      </c>
      <c r="K1507" s="6">
        <v>114286</v>
      </c>
      <c r="L1507" s="6">
        <v>106286</v>
      </c>
      <c r="M1507" s="4" t="s">
        <v>60</v>
      </c>
      <c r="N1507" s="4" t="s">
        <v>28</v>
      </c>
      <c r="O1507" s="27">
        <v>1.3</v>
      </c>
      <c r="P1507" s="3">
        <v>2024</v>
      </c>
      <c r="Q1507" s="3">
        <f>VLOOKUP(C1507,layoffs_location!A:F,6,FALSE)</f>
        <v>49.303813400000003</v>
      </c>
      <c r="R1507" s="3">
        <f>VLOOKUP(C1507,layoffs_location!A:G,7,FALSE)</f>
        <v>8.6433517999999996</v>
      </c>
    </row>
    <row r="1508" spans="1:18" ht="16" x14ac:dyDescent="0.2">
      <c r="A1508" s="3">
        <v>1507</v>
      </c>
      <c r="B1508" s="26" t="s">
        <v>1638</v>
      </c>
      <c r="C1508" s="26" t="s">
        <v>58</v>
      </c>
      <c r="D1508" s="3" t="str">
        <f>VLOOKUP(C1508,layoffs_location!A:B,2,FALSE)</f>
        <v>other</v>
      </c>
      <c r="E1508" s="3" t="str">
        <f>VLOOKUP(C1508,layoffs_location!A:C,3,FALSE)</f>
        <v>England</v>
      </c>
      <c r="F1508" s="3" t="str">
        <f>VLOOKUP(C1508,layoffs_location!A:D,4,FALSE)</f>
        <v>UK</v>
      </c>
      <c r="G1508" s="3" t="str">
        <f>VLOOKUP(C1508,layoffs_location!A:E,5,FALSE)</f>
        <v>Europe</v>
      </c>
      <c r="H1508" s="23">
        <v>15</v>
      </c>
      <c r="I1508" s="24">
        <v>45314</v>
      </c>
      <c r="J1508" s="5"/>
      <c r="K1508" s="6"/>
      <c r="L1508" s="6"/>
      <c r="M1508" s="4" t="s">
        <v>35</v>
      </c>
      <c r="N1508" s="4" t="s">
        <v>33</v>
      </c>
      <c r="O1508" s="27">
        <v>28</v>
      </c>
      <c r="P1508" s="3">
        <v>2024</v>
      </c>
      <c r="Q1508" s="3">
        <f>VLOOKUP(C1508,layoffs_location!A:F,6,FALSE)</f>
        <v>51.489333500000001</v>
      </c>
      <c r="R1508" s="3">
        <f>VLOOKUP(C1508,layoffs_location!A:G,7,FALSE)</f>
        <v>-0.14405508452768701</v>
      </c>
    </row>
    <row r="1509" spans="1:18" ht="16" x14ac:dyDescent="0.2">
      <c r="A1509" s="3">
        <v>1508</v>
      </c>
      <c r="B1509" s="26" t="s">
        <v>318</v>
      </c>
      <c r="C1509" s="26" t="s">
        <v>39</v>
      </c>
      <c r="D1509" s="3" t="str">
        <f>VLOOKUP(C1509,layoffs_location!A:B,2,FALSE)</f>
        <v>New York</v>
      </c>
      <c r="E1509" s="3" t="str">
        <f>VLOOKUP(C1509,layoffs_location!A:C,3,FALSE)</f>
        <v>New York</v>
      </c>
      <c r="F1509" s="3" t="str">
        <f>VLOOKUP(C1509,layoffs_location!A:D,4,FALSE)</f>
        <v>USA</v>
      </c>
      <c r="G1509" s="3" t="str">
        <f>VLOOKUP(C1509,layoffs_location!A:E,5,FALSE)</f>
        <v>North America</v>
      </c>
      <c r="H1509" s="23">
        <v>800</v>
      </c>
      <c r="I1509" s="24">
        <v>45314</v>
      </c>
      <c r="J1509" s="5">
        <v>90</v>
      </c>
      <c r="K1509" s="6">
        <v>889</v>
      </c>
      <c r="L1509" s="6">
        <v>89</v>
      </c>
      <c r="M1509" s="4" t="s">
        <v>32</v>
      </c>
      <c r="N1509" s="4" t="s">
        <v>28</v>
      </c>
      <c r="O1509" s="27">
        <v>1.3</v>
      </c>
      <c r="P1509" s="3">
        <v>2024</v>
      </c>
      <c r="Q1509" s="3">
        <f>VLOOKUP(C1509,layoffs_location!A:F,6,FALSE)</f>
        <v>40.7127281</v>
      </c>
      <c r="R1509" s="3">
        <f>VLOOKUP(C1509,layoffs_location!A:G,7,FALSE)</f>
        <v>-74.006015199999993</v>
      </c>
    </row>
    <row r="1510" spans="1:18" ht="16" x14ac:dyDescent="0.2">
      <c r="A1510" s="3">
        <v>1509</v>
      </c>
      <c r="B1510" s="26" t="s">
        <v>1514</v>
      </c>
      <c r="C1510" s="26" t="s">
        <v>730</v>
      </c>
      <c r="D1510" s="3" t="str">
        <f>VLOOKUP(C1510,layoffs_location!A:B,2,FALSE)</f>
        <v>other</v>
      </c>
      <c r="E1510" s="3" t="str">
        <f>VLOOKUP(C1510,layoffs_location!A:C,3,FALSE)</f>
        <v>Pennsylvania</v>
      </c>
      <c r="F1510" s="3" t="str">
        <f>VLOOKUP(C1510,layoffs_location!A:D,4,FALSE)</f>
        <v>USA</v>
      </c>
      <c r="G1510" s="3" t="str">
        <f>VLOOKUP(C1510,layoffs_location!A:E,5,FALSE)</f>
        <v>North America</v>
      </c>
      <c r="H1510" s="27"/>
      <c r="I1510" s="24">
        <v>45315</v>
      </c>
      <c r="J1510" s="5">
        <v>3</v>
      </c>
      <c r="K1510" s="6"/>
      <c r="L1510" s="6"/>
      <c r="M1510" s="4" t="s">
        <v>32</v>
      </c>
      <c r="N1510" s="4" t="s">
        <v>28</v>
      </c>
      <c r="O1510" s="27">
        <v>3.7</v>
      </c>
      <c r="P1510" s="3">
        <v>2024</v>
      </c>
      <c r="Q1510" s="3">
        <f>VLOOKUP(C1510,layoffs_location!A:F,6,FALSE)</f>
        <v>40.441694099999999</v>
      </c>
      <c r="R1510" s="3">
        <f>VLOOKUP(C1510,layoffs_location!A:G,7,FALSE)</f>
        <v>-79.990086099999999</v>
      </c>
    </row>
    <row r="1511" spans="1:18" ht="16" x14ac:dyDescent="0.2">
      <c r="A1511" s="3">
        <v>1510</v>
      </c>
      <c r="B1511" s="26" t="s">
        <v>1541</v>
      </c>
      <c r="C1511" s="26" t="s">
        <v>71</v>
      </c>
      <c r="D1511" s="3" t="str">
        <f>VLOOKUP(C1511,layoffs_location!A:B,2,FALSE)</f>
        <v>other</v>
      </c>
      <c r="E1511" s="3" t="str">
        <f>VLOOKUP(C1511,layoffs_location!A:C,3,FALSE)</f>
        <v>Massachusetts</v>
      </c>
      <c r="F1511" s="3" t="str">
        <f>VLOOKUP(C1511,layoffs_location!A:D,4,FALSE)</f>
        <v>USA</v>
      </c>
      <c r="G1511" s="3" t="str">
        <f>VLOOKUP(C1511,layoffs_location!A:E,5,FALSE)</f>
        <v>North America</v>
      </c>
      <c r="H1511" s="27"/>
      <c r="I1511" s="24">
        <v>45315</v>
      </c>
      <c r="J1511" s="5">
        <v>20</v>
      </c>
      <c r="K1511" s="6"/>
      <c r="L1511" s="6"/>
      <c r="M1511" s="4" t="s">
        <v>60</v>
      </c>
      <c r="N1511" s="4" t="s">
        <v>28</v>
      </c>
      <c r="O1511" s="27">
        <v>811</v>
      </c>
      <c r="P1511" s="3">
        <v>2024</v>
      </c>
      <c r="Q1511" s="3">
        <f>VLOOKUP(C1511,layoffs_location!A:F,6,FALSE)</f>
        <v>42.355433400000003</v>
      </c>
      <c r="R1511" s="3">
        <f>VLOOKUP(C1511,layoffs_location!A:G,7,FALSE)</f>
        <v>-71.060511000000005</v>
      </c>
    </row>
    <row r="1512" spans="1:18" ht="16" x14ac:dyDescent="0.2">
      <c r="A1512" s="3">
        <v>1511</v>
      </c>
      <c r="B1512" s="26" t="s">
        <v>481</v>
      </c>
      <c r="C1512" s="26" t="s">
        <v>71</v>
      </c>
      <c r="D1512" s="3" t="str">
        <f>VLOOKUP(C1512,layoffs_location!A:B,2,FALSE)</f>
        <v>other</v>
      </c>
      <c r="E1512" s="3" t="str">
        <f>VLOOKUP(C1512,layoffs_location!A:C,3,FALSE)</f>
        <v>Massachusetts</v>
      </c>
      <c r="F1512" s="3" t="str">
        <f>VLOOKUP(C1512,layoffs_location!A:D,4,FALSE)</f>
        <v>USA</v>
      </c>
      <c r="G1512" s="3" t="str">
        <f>VLOOKUP(C1512,layoffs_location!A:E,5,FALSE)</f>
        <v>North America</v>
      </c>
      <c r="H1512" s="27"/>
      <c r="I1512" s="24">
        <v>45315</v>
      </c>
      <c r="J1512" s="5"/>
      <c r="K1512" s="6"/>
      <c r="L1512" s="6"/>
      <c r="M1512" s="4" t="s">
        <v>130</v>
      </c>
      <c r="N1512" s="4" t="s">
        <v>28</v>
      </c>
      <c r="O1512" s="27">
        <v>100</v>
      </c>
      <c r="P1512" s="3">
        <v>2024</v>
      </c>
      <c r="Q1512" s="3">
        <f>VLOOKUP(C1512,layoffs_location!A:F,6,FALSE)</f>
        <v>42.355433400000003</v>
      </c>
      <c r="R1512" s="3">
        <f>VLOOKUP(C1512,layoffs_location!A:G,7,FALSE)</f>
        <v>-71.060511000000005</v>
      </c>
    </row>
    <row r="1513" spans="1:18" ht="16" x14ac:dyDescent="0.2">
      <c r="A1513" s="3">
        <v>1512</v>
      </c>
      <c r="B1513" s="26" t="s">
        <v>1618</v>
      </c>
      <c r="C1513" s="26" t="s">
        <v>600</v>
      </c>
      <c r="D1513" s="3" t="str">
        <f>VLOOKUP(C1513,layoffs_location!A:B,2,FALSE)</f>
        <v>other</v>
      </c>
      <c r="E1513" s="3" t="str">
        <f>VLOOKUP(C1513,layoffs_location!A:C,3,FALSE)</f>
        <v>Bayern</v>
      </c>
      <c r="F1513" s="3" t="str">
        <f>VLOOKUP(C1513,layoffs_location!A:D,4,FALSE)</f>
        <v>Germany</v>
      </c>
      <c r="G1513" s="3" t="str">
        <f>VLOOKUP(C1513,layoffs_location!A:E,5,FALSE)</f>
        <v>Europe</v>
      </c>
      <c r="H1513" s="23">
        <v>100</v>
      </c>
      <c r="I1513" s="24">
        <v>45315</v>
      </c>
      <c r="J1513" s="5"/>
      <c r="K1513" s="6"/>
      <c r="L1513" s="6"/>
      <c r="M1513" s="4" t="s">
        <v>84</v>
      </c>
      <c r="N1513" s="4" t="s">
        <v>36</v>
      </c>
      <c r="O1513" s="27">
        <v>724</v>
      </c>
      <c r="P1513" s="3">
        <v>2024</v>
      </c>
      <c r="Q1513" s="3">
        <f>VLOOKUP(C1513,layoffs_location!A:F,6,FALSE)</f>
        <v>48.137107899999997</v>
      </c>
      <c r="R1513" s="3">
        <f>VLOOKUP(C1513,layoffs_location!A:G,7,FALSE)</f>
        <v>11.5753822</v>
      </c>
    </row>
    <row r="1514" spans="1:18" ht="16" x14ac:dyDescent="0.2">
      <c r="A1514" s="3">
        <v>1513</v>
      </c>
      <c r="B1514" s="26" t="s">
        <v>1053</v>
      </c>
      <c r="C1514" s="26" t="s">
        <v>51</v>
      </c>
      <c r="D1514" s="3" t="str">
        <f>VLOOKUP(C1514,layoffs_location!A:B,2,FALSE)</f>
        <v>other</v>
      </c>
      <c r="E1514" s="3" t="str">
        <f>VLOOKUP(C1514,layoffs_location!A:C,3,FALSE)</f>
        <v>non</v>
      </c>
      <c r="F1514" s="3" t="str">
        <f>VLOOKUP(C1514,layoffs_location!A:D,4,FALSE)</f>
        <v>Sweden</v>
      </c>
      <c r="G1514" s="3" t="str">
        <f>VLOOKUP(C1514,layoffs_location!A:E,5,FALSE)</f>
        <v>Europe</v>
      </c>
      <c r="H1514" s="23">
        <v>80</v>
      </c>
      <c r="I1514" s="24">
        <v>45315</v>
      </c>
      <c r="J1514" s="5">
        <v>13</v>
      </c>
      <c r="K1514" s="6">
        <v>615</v>
      </c>
      <c r="L1514" s="6">
        <v>535</v>
      </c>
      <c r="M1514" s="4" t="s">
        <v>54</v>
      </c>
      <c r="N1514" s="4" t="s">
        <v>28</v>
      </c>
      <c r="O1514" s="27">
        <v>275</v>
      </c>
      <c r="P1514" s="3">
        <v>2024</v>
      </c>
      <c r="Q1514" s="3">
        <f>VLOOKUP(C1514,layoffs_location!A:F,6,FALSE)</f>
        <v>59.325117200000001</v>
      </c>
      <c r="R1514" s="3">
        <f>VLOOKUP(C1514,layoffs_location!A:G,7,FALSE)</f>
        <v>18.0710935</v>
      </c>
    </row>
    <row r="1515" spans="1:18" ht="16" x14ac:dyDescent="0.2">
      <c r="A1515" s="3">
        <v>1514</v>
      </c>
      <c r="B1515" s="26" t="s">
        <v>819</v>
      </c>
      <c r="C1515" s="26" t="s">
        <v>43</v>
      </c>
      <c r="D1515" s="3" t="str">
        <f>VLOOKUP(C1515,layoffs_location!A:B,2,FALSE)</f>
        <v>Cascadia</v>
      </c>
      <c r="E1515" s="3" t="str">
        <f>VLOOKUP(C1515,layoffs_location!A:C,3,FALSE)</f>
        <v>Washington</v>
      </c>
      <c r="F1515" s="3" t="str">
        <f>VLOOKUP(C1515,layoffs_location!A:D,4,FALSE)</f>
        <v>USA</v>
      </c>
      <c r="G1515" s="3" t="str">
        <f>VLOOKUP(C1515,layoffs_location!A:E,5,FALSE)</f>
        <v>North America</v>
      </c>
      <c r="H1515" s="23">
        <v>20</v>
      </c>
      <c r="I1515" s="24">
        <v>45316</v>
      </c>
      <c r="J1515" s="5"/>
      <c r="K1515" s="6"/>
      <c r="L1515" s="6"/>
      <c r="M1515" s="4" t="s">
        <v>130</v>
      </c>
      <c r="N1515" s="4" t="s">
        <v>108</v>
      </c>
      <c r="O1515" s="16">
        <v>187</v>
      </c>
      <c r="P1515" s="3">
        <v>2024</v>
      </c>
      <c r="Q1515" s="3">
        <f>VLOOKUP(C1515,layoffs_location!A:F,6,FALSE)</f>
        <v>47.603832099999998</v>
      </c>
      <c r="R1515" s="3">
        <f>VLOOKUP(C1515,layoffs_location!A:G,7,FALSE)</f>
        <v>-122.330062</v>
      </c>
    </row>
    <row r="1516" spans="1:18" ht="16" x14ac:dyDescent="0.2">
      <c r="A1516" s="3">
        <v>1515</v>
      </c>
      <c r="B1516" s="26" t="s">
        <v>1523</v>
      </c>
      <c r="C1516" s="26" t="s">
        <v>39</v>
      </c>
      <c r="D1516" s="3" t="str">
        <f>VLOOKUP(C1516,layoffs_location!A:B,2,FALSE)</f>
        <v>New York</v>
      </c>
      <c r="E1516" s="3" t="str">
        <f>VLOOKUP(C1516,layoffs_location!A:C,3,FALSE)</f>
        <v>New York</v>
      </c>
      <c r="F1516" s="3" t="str">
        <f>VLOOKUP(C1516,layoffs_location!A:D,4,FALSE)</f>
        <v>USA</v>
      </c>
      <c r="G1516" s="3" t="str">
        <f>VLOOKUP(C1516,layoffs_location!A:E,5,FALSE)</f>
        <v>North America</v>
      </c>
      <c r="H1516" s="27"/>
      <c r="I1516" s="24">
        <v>45316</v>
      </c>
      <c r="J1516" s="5">
        <v>8</v>
      </c>
      <c r="K1516" s="6"/>
      <c r="L1516" s="6"/>
      <c r="M1516" s="4" t="s">
        <v>54</v>
      </c>
      <c r="N1516" s="7" t="s">
        <v>33</v>
      </c>
      <c r="O1516" s="27">
        <v>56</v>
      </c>
      <c r="P1516" s="3">
        <v>2024</v>
      </c>
      <c r="Q1516" s="3">
        <f>VLOOKUP(C1516,layoffs_location!A:F,6,FALSE)</f>
        <v>40.7127281</v>
      </c>
      <c r="R1516" s="3">
        <f>VLOOKUP(C1516,layoffs_location!A:G,7,FALSE)</f>
        <v>-74.006015199999993</v>
      </c>
    </row>
    <row r="1517" spans="1:18" ht="16" x14ac:dyDescent="0.2">
      <c r="A1517" s="3">
        <v>1516</v>
      </c>
      <c r="B1517" s="26" t="s">
        <v>1533</v>
      </c>
      <c r="C1517" s="26" t="s">
        <v>655</v>
      </c>
      <c r="D1517" s="3" t="str">
        <f>VLOOKUP(C1517,layoffs_location!A:B,2,FALSE)</f>
        <v>other</v>
      </c>
      <c r="E1517" s="3" t="str">
        <f>VLOOKUP(C1517,layoffs_location!A:C,3,FALSE)</f>
        <v>non</v>
      </c>
      <c r="F1517" s="3" t="str">
        <f>VLOOKUP(C1517,layoffs_location!A:D,4,FALSE)</f>
        <v>Nigeria</v>
      </c>
      <c r="G1517" s="3" t="str">
        <f>VLOOKUP(C1517,layoffs_location!A:E,5,FALSE)</f>
        <v>Africa</v>
      </c>
      <c r="H1517" s="27"/>
      <c r="I1517" s="24">
        <v>45316</v>
      </c>
      <c r="J1517" s="5">
        <v>100</v>
      </c>
      <c r="K1517" s="6"/>
      <c r="L1517" s="6">
        <v>0</v>
      </c>
      <c r="M1517" s="4" t="s">
        <v>35</v>
      </c>
      <c r="N1517" s="4" t="s">
        <v>22</v>
      </c>
      <c r="O1517" s="27"/>
      <c r="P1517" s="3">
        <v>2024</v>
      </c>
      <c r="Q1517" s="3">
        <f>VLOOKUP(C1517,layoffs_location!A:F,6,FALSE)</f>
        <v>6.4550574999999997</v>
      </c>
      <c r="R1517" s="3">
        <f>VLOOKUP(C1517,layoffs_location!A:G,7,FALSE)</f>
        <v>3.3941794999999999</v>
      </c>
    </row>
    <row r="1518" spans="1:18" ht="16" x14ac:dyDescent="0.2">
      <c r="A1518" s="3">
        <v>1517</v>
      </c>
      <c r="B1518" s="26" t="s">
        <v>1580</v>
      </c>
      <c r="C1518" s="11" t="s">
        <v>392</v>
      </c>
      <c r="D1518" s="3" t="str">
        <f>VLOOKUP(C1518,layoffs_location!A:B,2,FALSE)</f>
        <v>other</v>
      </c>
      <c r="E1518" s="3" t="str">
        <f>VLOOKUP(C1518,layoffs_location!A:C,3,FALSE)</f>
        <v>Minnesota</v>
      </c>
      <c r="F1518" s="3" t="str">
        <f>VLOOKUP(C1518,layoffs_location!A:D,4,FALSE)</f>
        <v>USA</v>
      </c>
      <c r="G1518" s="3" t="str">
        <f>VLOOKUP(C1518,layoffs_location!A:E,5,FALSE)</f>
        <v>North America</v>
      </c>
      <c r="H1518" s="27"/>
      <c r="I1518" s="24">
        <v>45316</v>
      </c>
      <c r="J1518" s="5">
        <v>6</v>
      </c>
      <c r="K1518" s="6"/>
      <c r="L1518" s="6"/>
      <c r="M1518" s="4" t="s">
        <v>60</v>
      </c>
      <c r="N1518" s="4" t="s">
        <v>28</v>
      </c>
      <c r="O1518" s="27">
        <v>332</v>
      </c>
      <c r="P1518" s="3">
        <v>2024</v>
      </c>
      <c r="Q1518" s="3">
        <f>VLOOKUP(C1518,layoffs_location!A:F,6,FALSE)</f>
        <v>44.977299500000001</v>
      </c>
      <c r="R1518" s="3">
        <f>VLOOKUP(C1518,layoffs_location!A:G,7,FALSE)</f>
        <v>-93.265469199999998</v>
      </c>
    </row>
    <row r="1519" spans="1:18" ht="16" x14ac:dyDescent="0.2">
      <c r="A1519" s="3">
        <v>1518</v>
      </c>
      <c r="B1519" s="26" t="s">
        <v>523</v>
      </c>
      <c r="C1519" s="26" t="s">
        <v>4589</v>
      </c>
      <c r="D1519" s="3" t="str">
        <f>VLOOKUP(C1519,layoffs_location!A:B,2,FALSE)</f>
        <v>Cascadia</v>
      </c>
      <c r="E1519" s="3" t="str">
        <f>VLOOKUP(C1519,layoffs_location!A:C,3,FALSE)</f>
        <v>Washington</v>
      </c>
      <c r="F1519" s="3" t="str">
        <f>VLOOKUP(C1519,layoffs_location!A:D,4,FALSE)</f>
        <v>USA</v>
      </c>
      <c r="G1519" s="3" t="str">
        <f>VLOOKUP(C1519,layoffs_location!A:E,5,FALSE)</f>
        <v>Asia</v>
      </c>
      <c r="H1519" s="23">
        <v>1900</v>
      </c>
      <c r="I1519" s="24">
        <v>45316</v>
      </c>
      <c r="J1519" s="5"/>
      <c r="K1519" s="6"/>
      <c r="L1519" s="6"/>
      <c r="M1519" s="4" t="s">
        <v>1400</v>
      </c>
      <c r="N1519" s="4" t="s">
        <v>28</v>
      </c>
      <c r="O1519" s="27"/>
      <c r="P1519" s="3">
        <v>2024</v>
      </c>
      <c r="Q1519" s="3">
        <f>VLOOKUP(C1519,layoffs_location!A:F,6,FALSE)</f>
        <v>47.645404522430098</v>
      </c>
      <c r="R1519" s="3">
        <f>VLOOKUP(C1519,layoffs_location!A:G,7,FALSE)</f>
        <v>-122.13299976733499</v>
      </c>
    </row>
    <row r="1520" spans="1:18" ht="16" x14ac:dyDescent="0.2">
      <c r="A1520" s="3">
        <v>1519</v>
      </c>
      <c r="B1520" s="26" t="s">
        <v>1607</v>
      </c>
      <c r="C1520" s="11" t="s">
        <v>83</v>
      </c>
      <c r="D1520" s="3" t="str">
        <f>VLOOKUP(C1520,layoffs_location!A:B,2,FALSE)</f>
        <v>other</v>
      </c>
      <c r="E1520" s="3" t="str">
        <f>VLOOKUP(C1520,layoffs_location!A:C,3,FALSE)</f>
        <v>Texas</v>
      </c>
      <c r="F1520" s="3" t="str">
        <f>VLOOKUP(C1520,layoffs_location!A:D,4,FALSE)</f>
        <v>USA</v>
      </c>
      <c r="G1520" s="3" t="str">
        <f>VLOOKUP(C1520,layoffs_location!A:E,5,FALSE)</f>
        <v>North America</v>
      </c>
      <c r="H1520" s="23">
        <v>12</v>
      </c>
      <c r="I1520" s="24">
        <v>45316</v>
      </c>
      <c r="J1520" s="5">
        <v>30</v>
      </c>
      <c r="K1520" s="6">
        <v>40</v>
      </c>
      <c r="L1520" s="6">
        <v>28</v>
      </c>
      <c r="M1520" s="4" t="s">
        <v>130</v>
      </c>
      <c r="N1520" s="4" t="s">
        <v>49</v>
      </c>
      <c r="O1520" s="27">
        <v>27</v>
      </c>
      <c r="P1520" s="3">
        <v>2024</v>
      </c>
      <c r="Q1520" s="3">
        <f>VLOOKUP(C1520,layoffs_location!A:F,6,FALSE)</f>
        <v>30.271128600000001</v>
      </c>
      <c r="R1520" s="3">
        <f>VLOOKUP(C1520,layoffs_location!A:G,7,FALSE)</f>
        <v>-97.743699500000005</v>
      </c>
    </row>
    <row r="1521" spans="1:18" ht="16" x14ac:dyDescent="0.2">
      <c r="A1521" s="3">
        <v>1520</v>
      </c>
      <c r="B1521" s="26" t="s">
        <v>515</v>
      </c>
      <c r="C1521" s="26" t="s">
        <v>13</v>
      </c>
      <c r="D1521" s="3" t="str">
        <f>VLOOKUP(C1521,layoffs_location!A:B,2,FALSE)</f>
        <v>other</v>
      </c>
      <c r="E1521" s="3" t="str">
        <f>VLOOKUP(C1521,layoffs_location!A:C,3,FALSE)</f>
        <v>Karnataka</v>
      </c>
      <c r="F1521" s="3" t="str">
        <f>VLOOKUP(C1521,layoffs_location!A:D,4,FALSE)</f>
        <v>India</v>
      </c>
      <c r="G1521" s="3" t="str">
        <f>VLOOKUP(C1521,layoffs_location!A:E,5,FALSE)</f>
        <v>Asia</v>
      </c>
      <c r="H1521" s="23">
        <v>400</v>
      </c>
      <c r="I1521" s="24">
        <v>45316</v>
      </c>
      <c r="J1521" s="5">
        <v>7</v>
      </c>
      <c r="K1521" s="6">
        <v>5714</v>
      </c>
      <c r="L1521" s="6">
        <v>5314</v>
      </c>
      <c r="M1521" s="4" t="s">
        <v>77</v>
      </c>
      <c r="N1521" s="4" t="s">
        <v>22</v>
      </c>
      <c r="O1521" s="27">
        <v>3.6</v>
      </c>
      <c r="P1521" s="3">
        <v>2024</v>
      </c>
      <c r="Q1521" s="3">
        <f>VLOOKUP(C1521,layoffs_location!A:F,6,FALSE)</f>
        <v>12.98815675</v>
      </c>
      <c r="R1521" s="3">
        <f>VLOOKUP(C1521,layoffs_location!A:G,7,FALSE)</f>
        <v>77.622600037959998</v>
      </c>
    </row>
    <row r="1522" spans="1:18" ht="16" x14ac:dyDescent="0.2">
      <c r="A1522" s="3">
        <v>1521</v>
      </c>
      <c r="B1522" s="26" t="s">
        <v>1672</v>
      </c>
      <c r="C1522" s="26" t="s">
        <v>531</v>
      </c>
      <c r="D1522" s="3" t="str">
        <f>VLOOKUP(C1522,layoffs_location!A:B,2,FALSE)</f>
        <v>other</v>
      </c>
      <c r="E1522" s="3" t="str">
        <f>VLOOKUP(C1522,layoffs_location!A:C,3,FALSE)</f>
        <v>Colorado</v>
      </c>
      <c r="F1522" s="3" t="str">
        <f>VLOOKUP(C1522,layoffs_location!A:D,4,FALSE)</f>
        <v>USA</v>
      </c>
      <c r="G1522" s="3" t="str">
        <f>VLOOKUP(C1522,layoffs_location!A:E,5,FALSE)</f>
        <v>North America</v>
      </c>
      <c r="H1522" s="23">
        <v>65</v>
      </c>
      <c r="I1522" s="24">
        <v>45316</v>
      </c>
      <c r="J1522" s="5">
        <v>19</v>
      </c>
      <c r="K1522" s="6">
        <v>342</v>
      </c>
      <c r="L1522" s="6">
        <v>277</v>
      </c>
      <c r="M1522" s="4" t="s">
        <v>90</v>
      </c>
      <c r="N1522" s="4" t="s">
        <v>49</v>
      </c>
      <c r="O1522" s="27">
        <v>299</v>
      </c>
      <c r="P1522" s="3">
        <v>2024</v>
      </c>
      <c r="Q1522" s="3">
        <f>VLOOKUP(C1522,layoffs_location!A:F,6,FALSE)</f>
        <v>40.014985600000003</v>
      </c>
      <c r="R1522" s="3">
        <f>VLOOKUP(C1522,layoffs_location!A:G,7,FALSE)</f>
        <v>-105.270545</v>
      </c>
    </row>
    <row r="1523" spans="1:18" ht="16" x14ac:dyDescent="0.2">
      <c r="A1523" s="3">
        <v>1522</v>
      </c>
      <c r="B1523" s="26" t="s">
        <v>554</v>
      </c>
      <c r="C1523" s="17" t="s">
        <v>1370</v>
      </c>
      <c r="D1523" s="3" t="str">
        <f>VLOOKUP(C1523,layoffs_location!A:B,2,FALSE)</f>
        <v>San Francisco Bay Area</v>
      </c>
      <c r="E1523" s="3" t="str">
        <f>VLOOKUP(C1523,layoffs_location!A:C,3,FALSE)</f>
        <v>California</v>
      </c>
      <c r="F1523" s="3" t="str">
        <f>VLOOKUP(C1523,layoffs_location!A:D,4,FALSE)</f>
        <v>USA</v>
      </c>
      <c r="G1523" s="3" t="str">
        <f>VLOOKUP(C1523,layoffs_location!A:E,5,FALSE)</f>
        <v>North America</v>
      </c>
      <c r="H1523" s="27"/>
      <c r="I1523" s="24">
        <v>45317</v>
      </c>
      <c r="J1523" s="5">
        <v>20</v>
      </c>
      <c r="K1523" s="6"/>
      <c r="L1523" s="6"/>
      <c r="M1523" s="4" t="s">
        <v>90</v>
      </c>
      <c r="N1523" s="4" t="s">
        <v>36</v>
      </c>
      <c r="O1523" s="27">
        <v>2.4</v>
      </c>
      <c r="P1523" s="3">
        <v>2024</v>
      </c>
      <c r="Q1523" s="3">
        <f>VLOOKUP(C1523,layoffs_location!A:F,6,FALSE)</f>
        <v>37.779258800000001</v>
      </c>
      <c r="R1523" s="3">
        <f>VLOOKUP(C1523,layoffs_location!A:G,7,FALSE)</f>
        <v>-122.4193286</v>
      </c>
    </row>
    <row r="1524" spans="1:18" ht="16" x14ac:dyDescent="0.2">
      <c r="A1524" s="3">
        <v>1523</v>
      </c>
      <c r="B1524" s="26" t="s">
        <v>1625</v>
      </c>
      <c r="C1524" s="26" t="s">
        <v>1370</v>
      </c>
      <c r="D1524" s="3" t="str">
        <f>VLOOKUP(C1524,layoffs_location!A:B,2,FALSE)</f>
        <v>San Francisco Bay Area</v>
      </c>
      <c r="E1524" s="3" t="str">
        <f>VLOOKUP(C1524,layoffs_location!A:C,3,FALSE)</f>
        <v>California</v>
      </c>
      <c r="F1524" s="3" t="str">
        <f>VLOOKUP(C1524,layoffs_location!A:D,4,FALSE)</f>
        <v>USA</v>
      </c>
      <c r="G1524" s="3" t="str">
        <f>VLOOKUP(C1524,layoffs_location!A:E,5,FALSE)</f>
        <v>North America</v>
      </c>
      <c r="H1524" s="27"/>
      <c r="I1524" s="24">
        <v>45317</v>
      </c>
      <c r="J1524" s="5"/>
      <c r="K1524" s="6"/>
      <c r="L1524" s="6"/>
      <c r="M1524" s="4" t="s">
        <v>48</v>
      </c>
      <c r="N1524" s="4" t="s">
        <v>108</v>
      </c>
      <c r="O1524" s="27"/>
      <c r="P1524" s="3">
        <v>2024</v>
      </c>
      <c r="Q1524" s="3">
        <f>VLOOKUP(C1524,layoffs_location!A:F,6,FALSE)</f>
        <v>37.779258800000001</v>
      </c>
      <c r="R1524" s="3">
        <f>VLOOKUP(C1524,layoffs_location!A:G,7,FALSE)</f>
        <v>-122.4193286</v>
      </c>
    </row>
    <row r="1525" spans="1:18" ht="16" x14ac:dyDescent="0.2">
      <c r="A1525" s="3">
        <v>1524</v>
      </c>
      <c r="B1525" s="26" t="s">
        <v>1636</v>
      </c>
      <c r="C1525" s="26" t="s">
        <v>1370</v>
      </c>
      <c r="D1525" s="3" t="str">
        <f>VLOOKUP(C1525,layoffs_location!A:B,2,FALSE)</f>
        <v>San Francisco Bay Area</v>
      </c>
      <c r="E1525" s="3" t="str">
        <f>VLOOKUP(C1525,layoffs_location!A:C,3,FALSE)</f>
        <v>California</v>
      </c>
      <c r="F1525" s="3" t="str">
        <f>VLOOKUP(C1525,layoffs_location!A:D,4,FALSE)</f>
        <v>USA</v>
      </c>
      <c r="G1525" s="3" t="str">
        <f>VLOOKUP(C1525,layoffs_location!A:E,5,FALSE)</f>
        <v>North America</v>
      </c>
      <c r="H1525" s="23">
        <v>700</v>
      </c>
      <c r="I1525" s="24">
        <v>45317</v>
      </c>
      <c r="J1525" s="5">
        <v>1</v>
      </c>
      <c r="K1525" s="6">
        <v>70000</v>
      </c>
      <c r="L1525" s="6">
        <v>69300</v>
      </c>
      <c r="M1525" s="4" t="s">
        <v>92</v>
      </c>
      <c r="N1525" s="4" t="s">
        <v>28</v>
      </c>
      <c r="O1525" s="27">
        <v>65</v>
      </c>
      <c r="P1525" s="3">
        <v>2024</v>
      </c>
      <c r="Q1525" s="3">
        <f>VLOOKUP(C1525,layoffs_location!A:F,6,FALSE)</f>
        <v>37.779258800000001</v>
      </c>
      <c r="R1525" s="3">
        <f>VLOOKUP(C1525,layoffs_location!A:G,7,FALSE)</f>
        <v>-122.4193286</v>
      </c>
    </row>
    <row r="1526" spans="1:18" ht="16" x14ac:dyDescent="0.2">
      <c r="A1526" s="3">
        <v>1525</v>
      </c>
      <c r="B1526" s="26" t="s">
        <v>1543</v>
      </c>
      <c r="C1526" s="11" t="s">
        <v>132</v>
      </c>
      <c r="D1526" s="3" t="str">
        <f>VLOOKUP(C1526,layoffs_location!A:B,2,FALSE)</f>
        <v>other</v>
      </c>
      <c r="E1526" s="3" t="str">
        <f>VLOOKUP(C1526,layoffs_location!A:C,3,FALSE)</f>
        <v>Colorado</v>
      </c>
      <c r="F1526" s="3" t="str">
        <f>VLOOKUP(C1526,layoffs_location!A:D,4,FALSE)</f>
        <v>USA</v>
      </c>
      <c r="G1526" s="3" t="str">
        <f>VLOOKUP(C1526,layoffs_location!A:E,5,FALSE)</f>
        <v>North America</v>
      </c>
      <c r="H1526" s="23">
        <v>88</v>
      </c>
      <c r="I1526" s="24">
        <v>45320</v>
      </c>
      <c r="J1526" s="5"/>
      <c r="K1526" s="6"/>
      <c r="L1526" s="6"/>
      <c r="M1526" s="4" t="s">
        <v>21</v>
      </c>
      <c r="N1526" s="4" t="s">
        <v>36</v>
      </c>
      <c r="O1526" s="27">
        <v>733</v>
      </c>
      <c r="P1526" s="3">
        <v>2024</v>
      </c>
      <c r="Q1526" s="3">
        <f>VLOOKUP(C1526,layoffs_location!A:F,6,FALSE)</f>
        <v>39.739236400000003</v>
      </c>
      <c r="R1526" s="3">
        <f>VLOOKUP(C1526,layoffs_location!A:G,7,FALSE)</f>
        <v>-104.98486200000001</v>
      </c>
    </row>
    <row r="1527" spans="1:18" ht="16" x14ac:dyDescent="0.2">
      <c r="A1527" s="3">
        <v>1526</v>
      </c>
      <c r="B1527" s="26" t="s">
        <v>443</v>
      </c>
      <c r="C1527" s="26" t="s">
        <v>71</v>
      </c>
      <c r="D1527" s="3" t="str">
        <f>VLOOKUP(C1527,layoffs_location!A:B,2,FALSE)</f>
        <v>other</v>
      </c>
      <c r="E1527" s="3" t="str">
        <f>VLOOKUP(C1527,layoffs_location!A:C,3,FALSE)</f>
        <v>Massachusetts</v>
      </c>
      <c r="F1527" s="3" t="str">
        <f>VLOOKUP(C1527,layoffs_location!A:D,4,FALSE)</f>
        <v>USA</v>
      </c>
      <c r="G1527" s="3" t="str">
        <f>VLOOKUP(C1527,layoffs_location!A:E,5,FALSE)</f>
        <v>North America</v>
      </c>
      <c r="H1527" s="23">
        <v>350</v>
      </c>
      <c r="I1527" s="24">
        <v>45320</v>
      </c>
      <c r="J1527" s="5">
        <v>31</v>
      </c>
      <c r="K1527" s="6">
        <v>1129</v>
      </c>
      <c r="L1527" s="6">
        <v>779</v>
      </c>
      <c r="M1527" s="4" t="s">
        <v>16</v>
      </c>
      <c r="N1527" s="4" t="s">
        <v>28</v>
      </c>
      <c r="O1527" s="27">
        <v>30</v>
      </c>
      <c r="P1527" s="3">
        <v>2024</v>
      </c>
      <c r="Q1527" s="3">
        <f>VLOOKUP(C1527,layoffs_location!A:F,6,FALSE)</f>
        <v>42.355433400000003</v>
      </c>
      <c r="R1527" s="3">
        <f>VLOOKUP(C1527,layoffs_location!A:G,7,FALSE)</f>
        <v>-71.060511000000005</v>
      </c>
    </row>
    <row r="1528" spans="1:18" ht="16" x14ac:dyDescent="0.2">
      <c r="A1528" s="3">
        <v>1527</v>
      </c>
      <c r="B1528" s="26" t="s">
        <v>1154</v>
      </c>
      <c r="C1528" s="26" t="s">
        <v>179</v>
      </c>
      <c r="D1528" s="3" t="str">
        <f>VLOOKUP(C1528,layoffs_location!A:B,2,FALSE)</f>
        <v>other</v>
      </c>
      <c r="E1528" s="3" t="str">
        <f>VLOOKUP(C1528,layoffs_location!A:C,3,FALSE)</f>
        <v>Ontario</v>
      </c>
      <c r="F1528" s="3" t="str">
        <f>VLOOKUP(C1528,layoffs_location!A:D,4,FALSE)</f>
        <v>Canada</v>
      </c>
      <c r="G1528" s="3" t="str">
        <f>VLOOKUP(C1528,layoffs_location!A:E,5,FALSE)</f>
        <v>North America</v>
      </c>
      <c r="H1528" s="27"/>
      <c r="I1528" s="24">
        <v>45320</v>
      </c>
      <c r="J1528" s="5">
        <v>6</v>
      </c>
      <c r="K1528" s="6"/>
      <c r="L1528" s="6"/>
      <c r="M1528" s="4" t="s">
        <v>92</v>
      </c>
      <c r="N1528" s="17" t="s">
        <v>1696</v>
      </c>
      <c r="O1528" s="27">
        <v>263</v>
      </c>
      <c r="P1528" s="3">
        <v>2024</v>
      </c>
      <c r="Q1528" s="3">
        <f>VLOOKUP(C1528,layoffs_location!A:F,6,FALSE)</f>
        <v>43.6534817</v>
      </c>
      <c r="R1528" s="3">
        <f>VLOOKUP(C1528,layoffs_location!A:G,7,FALSE)</f>
        <v>-79.383934699999998</v>
      </c>
    </row>
    <row r="1529" spans="1:18" ht="16" x14ac:dyDescent="0.2">
      <c r="A1529" s="3">
        <v>1528</v>
      </c>
      <c r="B1529" s="26" t="s">
        <v>1515</v>
      </c>
      <c r="C1529" s="17" t="s">
        <v>1370</v>
      </c>
      <c r="D1529" s="3" t="str">
        <f>VLOOKUP(C1529,layoffs_location!A:B,2,FALSE)</f>
        <v>San Francisco Bay Area</v>
      </c>
      <c r="E1529" s="3" t="str">
        <f>VLOOKUP(C1529,layoffs_location!A:C,3,FALSE)</f>
        <v>California</v>
      </c>
      <c r="F1529" s="3" t="str">
        <f>VLOOKUP(C1529,layoffs_location!A:D,4,FALSE)</f>
        <v>USA</v>
      </c>
      <c r="G1529" s="3" t="str">
        <f>VLOOKUP(C1529,layoffs_location!A:E,5,FALSE)</f>
        <v>North America</v>
      </c>
      <c r="H1529" s="23">
        <v>111</v>
      </c>
      <c r="I1529" s="24">
        <v>45321</v>
      </c>
      <c r="J1529" s="5">
        <v>20</v>
      </c>
      <c r="K1529" s="6">
        <v>555</v>
      </c>
      <c r="L1529" s="6">
        <v>444</v>
      </c>
      <c r="M1529" s="4" t="s">
        <v>27</v>
      </c>
      <c r="N1529" s="4" t="s">
        <v>108</v>
      </c>
      <c r="O1529" s="27">
        <v>523</v>
      </c>
      <c r="P1529" s="3">
        <v>2024</v>
      </c>
      <c r="Q1529" s="3">
        <f>VLOOKUP(C1529,layoffs_location!A:F,6,FALSE)</f>
        <v>37.779258800000001</v>
      </c>
      <c r="R1529" s="3">
        <f>VLOOKUP(C1529,layoffs_location!A:G,7,FALSE)</f>
        <v>-122.4193286</v>
      </c>
    </row>
    <row r="1530" spans="1:18" ht="16" x14ac:dyDescent="0.2">
      <c r="A1530" s="3">
        <v>1529</v>
      </c>
      <c r="B1530" s="26" t="s">
        <v>1520</v>
      </c>
      <c r="C1530" s="17" t="s">
        <v>1370</v>
      </c>
      <c r="D1530" s="3" t="str">
        <f>VLOOKUP(C1530,layoffs_location!A:B,2,FALSE)</f>
        <v>San Francisco Bay Area</v>
      </c>
      <c r="E1530" s="3" t="str">
        <f>VLOOKUP(C1530,layoffs_location!A:C,3,FALSE)</f>
        <v>California</v>
      </c>
      <c r="F1530" s="3" t="str">
        <f>VLOOKUP(C1530,layoffs_location!A:D,4,FALSE)</f>
        <v>USA</v>
      </c>
      <c r="G1530" s="3" t="str">
        <f>VLOOKUP(C1530,layoffs_location!A:E,5,FALSE)</f>
        <v>North America</v>
      </c>
      <c r="H1530" s="23">
        <v>1000</v>
      </c>
      <c r="I1530" s="24">
        <v>45321</v>
      </c>
      <c r="J1530" s="5">
        <v>10</v>
      </c>
      <c r="K1530" s="6">
        <v>10000</v>
      </c>
      <c r="L1530" s="6">
        <v>9000</v>
      </c>
      <c r="M1530" s="4" t="s">
        <v>35</v>
      </c>
      <c r="N1530" s="4" t="s">
        <v>28</v>
      </c>
      <c r="O1530" s="27">
        <v>150</v>
      </c>
      <c r="P1530" s="3">
        <v>2024</v>
      </c>
      <c r="Q1530" s="3">
        <f>VLOOKUP(C1530,layoffs_location!A:F,6,FALSE)</f>
        <v>37.779258800000001</v>
      </c>
      <c r="R1530" s="3">
        <f>VLOOKUP(C1530,layoffs_location!A:G,7,FALSE)</f>
        <v>-122.4193286</v>
      </c>
    </row>
    <row r="1531" spans="1:18" ht="16" x14ac:dyDescent="0.2">
      <c r="A1531" s="3">
        <v>1530</v>
      </c>
      <c r="B1531" s="26" t="s">
        <v>1589</v>
      </c>
      <c r="C1531" s="26" t="s">
        <v>1341</v>
      </c>
      <c r="D1531" s="3" t="str">
        <f>VLOOKUP(C1531,layoffs_location!A:B,2,FALSE)</f>
        <v>other</v>
      </c>
      <c r="E1531" s="3" t="str">
        <f>VLOOKUP(C1531,layoffs_location!A:C,3,FALSE)</f>
        <v>non</v>
      </c>
      <c r="F1531" s="3" t="str">
        <f>VLOOKUP(C1531,layoffs_location!A:D,4,FALSE)</f>
        <v>Czech Republic</v>
      </c>
      <c r="G1531" s="3" t="str">
        <f>VLOOKUP(C1531,layoffs_location!A:E,5,FALSE)</f>
        <v>Europe</v>
      </c>
      <c r="H1531" s="23">
        <v>216</v>
      </c>
      <c r="I1531" s="24">
        <v>45321</v>
      </c>
      <c r="J1531" s="5">
        <v>18</v>
      </c>
      <c r="K1531" s="6">
        <v>1200</v>
      </c>
      <c r="L1531" s="6">
        <v>984</v>
      </c>
      <c r="M1531" s="4" t="s">
        <v>72</v>
      </c>
      <c r="N1531" s="4" t="s">
        <v>22</v>
      </c>
      <c r="O1531" s="27">
        <v>107</v>
      </c>
      <c r="P1531" s="3">
        <v>2024</v>
      </c>
      <c r="Q1531" s="3">
        <f>VLOOKUP(C1531,layoffs_location!A:F,6,FALSE)</f>
        <v>49.192244299999999</v>
      </c>
      <c r="R1531" s="3">
        <f>VLOOKUP(C1531,layoffs_location!A:G,7,FALSE)</f>
        <v>16.611338199999999</v>
      </c>
    </row>
    <row r="1532" spans="1:18" ht="16" x14ac:dyDescent="0.2">
      <c r="A1532" s="3">
        <v>1531</v>
      </c>
      <c r="B1532" s="26" t="s">
        <v>759</v>
      </c>
      <c r="C1532" s="26" t="s">
        <v>39</v>
      </c>
      <c r="D1532" s="3" t="str">
        <f>VLOOKUP(C1532,layoffs_location!A:B,2,FALSE)</f>
        <v>New York</v>
      </c>
      <c r="E1532" s="3" t="str">
        <f>VLOOKUP(C1532,layoffs_location!A:C,3,FALSE)</f>
        <v>New York</v>
      </c>
      <c r="F1532" s="3" t="str">
        <f>VLOOKUP(C1532,layoffs_location!A:D,4,FALSE)</f>
        <v>USA</v>
      </c>
      <c r="G1532" s="3" t="str">
        <f>VLOOKUP(C1532,layoffs_location!A:E,5,FALSE)</f>
        <v>North America</v>
      </c>
      <c r="H1532" s="27"/>
      <c r="I1532" s="24">
        <v>45321</v>
      </c>
      <c r="J1532" s="5"/>
      <c r="K1532" s="6"/>
      <c r="L1532" s="6"/>
      <c r="M1532" s="4" t="s">
        <v>399</v>
      </c>
      <c r="N1532" s="7" t="s">
        <v>63</v>
      </c>
      <c r="O1532" s="27">
        <v>657</v>
      </c>
      <c r="P1532" s="3">
        <v>2024</v>
      </c>
      <c r="Q1532" s="3">
        <f>VLOOKUP(C1532,layoffs_location!A:F,6,FALSE)</f>
        <v>40.7127281</v>
      </c>
      <c r="R1532" s="3">
        <f>VLOOKUP(C1532,layoffs_location!A:G,7,FALSE)</f>
        <v>-74.006015199999993</v>
      </c>
    </row>
    <row r="1533" spans="1:18" ht="16" x14ac:dyDescent="0.2">
      <c r="A1533" s="3">
        <v>1532</v>
      </c>
      <c r="B1533" s="26" t="s">
        <v>479</v>
      </c>
      <c r="C1533" s="26" t="s">
        <v>1694</v>
      </c>
      <c r="D1533" s="3" t="str">
        <f>VLOOKUP(C1533,layoffs_location!A:B,2,FALSE)</f>
        <v>San Francisco Bay Area</v>
      </c>
      <c r="E1533" s="3" t="str">
        <f>VLOOKUP(C1533,layoffs_location!A:C,3,FALSE)</f>
        <v>California</v>
      </c>
      <c r="F1533" s="3" t="str">
        <f>VLOOKUP(C1533,layoffs_location!A:D,4,FALSE)</f>
        <v>USA</v>
      </c>
      <c r="G1533" s="3" t="str">
        <f>VLOOKUP(C1533,layoffs_location!A:E,5,FALSE)</f>
        <v>North America</v>
      </c>
      <c r="H1533" s="23">
        <v>2500</v>
      </c>
      <c r="I1533" s="24">
        <v>45321</v>
      </c>
      <c r="J1533" s="5">
        <v>9</v>
      </c>
      <c r="K1533" s="6">
        <v>27778</v>
      </c>
      <c r="L1533" s="6">
        <v>25278</v>
      </c>
      <c r="M1533" s="4" t="s">
        <v>35</v>
      </c>
      <c r="N1533" s="7" t="s">
        <v>28</v>
      </c>
      <c r="O1533" s="27">
        <v>216</v>
      </c>
      <c r="P1533" s="3">
        <v>2024</v>
      </c>
      <c r="Q1533" s="3">
        <f>VLOOKUP(C1533,layoffs_location!A:F,6,FALSE)</f>
        <v>37.336166300000002</v>
      </c>
      <c r="R1533" s="3">
        <f>VLOOKUP(C1533,layoffs_location!A:G,7,FALSE)</f>
        <v>-121.890591</v>
      </c>
    </row>
    <row r="1534" spans="1:18" ht="16" x14ac:dyDescent="0.2">
      <c r="A1534" s="3">
        <v>1533</v>
      </c>
      <c r="B1534" s="26" t="s">
        <v>1087</v>
      </c>
      <c r="C1534" s="26" t="s">
        <v>168</v>
      </c>
      <c r="D1534" s="3" t="str">
        <f>VLOOKUP(C1534,layoffs_location!A:B,2,FALSE)</f>
        <v>other</v>
      </c>
      <c r="E1534" s="3" t="str">
        <f>VLOOKUP(C1534,layoffs_location!A:C,3,FALSE)</f>
        <v>California</v>
      </c>
      <c r="F1534" s="3" t="str">
        <f>VLOOKUP(C1534,layoffs_location!A:D,4,FALSE)</f>
        <v>USA</v>
      </c>
      <c r="G1534" s="3" t="str">
        <f>VLOOKUP(C1534,layoffs_location!A:E,5,FALSE)</f>
        <v>North America</v>
      </c>
      <c r="H1534" s="27"/>
      <c r="I1534" s="24">
        <v>45321</v>
      </c>
      <c r="J1534" s="5">
        <v>4</v>
      </c>
      <c r="K1534" s="6"/>
      <c r="L1534" s="6"/>
      <c r="M1534" s="4" t="s">
        <v>622</v>
      </c>
      <c r="N1534" s="7" t="s">
        <v>28</v>
      </c>
      <c r="O1534" s="27">
        <v>654</v>
      </c>
      <c r="P1534" s="3">
        <v>2024</v>
      </c>
      <c r="Q1534" s="3">
        <f>VLOOKUP(C1534,layoffs_location!A:F,6,FALSE)</f>
        <v>34.422131899999997</v>
      </c>
      <c r="R1534" s="3">
        <f>VLOOKUP(C1534,layoffs_location!A:G,7,FALSE)</f>
        <v>-119.70266700000001</v>
      </c>
    </row>
    <row r="1535" spans="1:18" ht="16" x14ac:dyDescent="0.2">
      <c r="A1535" s="3">
        <v>1534</v>
      </c>
      <c r="B1535" s="26" t="s">
        <v>1654</v>
      </c>
      <c r="C1535" s="26" t="s">
        <v>1370</v>
      </c>
      <c r="D1535" s="3" t="str">
        <f>VLOOKUP(C1535,layoffs_location!A:B,2,FALSE)</f>
        <v>San Francisco Bay Area</v>
      </c>
      <c r="E1535" s="3" t="str">
        <f>VLOOKUP(C1535,layoffs_location!A:C,3,FALSE)</f>
        <v>California</v>
      </c>
      <c r="F1535" s="3" t="str">
        <f>VLOOKUP(C1535,layoffs_location!A:D,4,FALSE)</f>
        <v>USA</v>
      </c>
      <c r="G1535" s="3" t="str">
        <f>VLOOKUP(C1535,layoffs_location!A:E,5,FALSE)</f>
        <v>North America</v>
      </c>
      <c r="H1535" s="23">
        <v>7</v>
      </c>
      <c r="I1535" s="24">
        <v>45321</v>
      </c>
      <c r="J1535" s="5"/>
      <c r="K1535" s="6"/>
      <c r="L1535" s="6"/>
      <c r="M1535" s="4" t="s">
        <v>54</v>
      </c>
      <c r="N1535" s="4" t="s">
        <v>33</v>
      </c>
      <c r="O1535" s="27"/>
      <c r="P1535" s="3">
        <v>2024</v>
      </c>
      <c r="Q1535" s="3">
        <f>VLOOKUP(C1535,layoffs_location!A:F,6,FALSE)</f>
        <v>37.779258800000001</v>
      </c>
      <c r="R1535" s="3">
        <f>VLOOKUP(C1535,layoffs_location!A:G,7,FALSE)</f>
        <v>-122.4193286</v>
      </c>
    </row>
    <row r="1536" spans="1:18" ht="16" x14ac:dyDescent="0.2">
      <c r="A1536" s="3">
        <v>1535</v>
      </c>
      <c r="B1536" s="26" t="s">
        <v>1674</v>
      </c>
      <c r="C1536" s="26" t="s">
        <v>1352</v>
      </c>
      <c r="D1536" s="3" t="str">
        <f>VLOOKUP(C1536,layoffs_location!A:B,2,FALSE)</f>
        <v>other</v>
      </c>
      <c r="E1536" s="3" t="str">
        <f>VLOOKUP(C1536,layoffs_location!A:C,3,FALSE)</f>
        <v>non</v>
      </c>
      <c r="F1536" s="3" t="str">
        <f>VLOOKUP(C1536,layoffs_location!A:D,4,FALSE)</f>
        <v>Lithuania</v>
      </c>
      <c r="G1536" s="3" t="str">
        <f>VLOOKUP(C1536,layoffs_location!A:E,5,FALSE)</f>
        <v>Europe</v>
      </c>
      <c r="H1536" s="27"/>
      <c r="I1536" s="24">
        <v>45321</v>
      </c>
      <c r="J1536" s="5"/>
      <c r="K1536" s="6"/>
      <c r="L1536" s="6"/>
      <c r="M1536" s="4" t="s">
        <v>35</v>
      </c>
      <c r="N1536" s="4" t="s">
        <v>22</v>
      </c>
      <c r="O1536" s="27"/>
      <c r="P1536" s="3">
        <v>2024</v>
      </c>
      <c r="Q1536" s="3">
        <f>VLOOKUP(C1536,layoffs_location!A:F,6,FALSE)</f>
        <v>54.6870458</v>
      </c>
      <c r="R1536" s="3">
        <f>VLOOKUP(C1536,layoffs_location!A:G,7,FALSE)</f>
        <v>25.2829111</v>
      </c>
    </row>
    <row r="1537" spans="1:18" ht="16" x14ac:dyDescent="0.2">
      <c r="A1537" s="3">
        <v>1536</v>
      </c>
      <c r="B1537" s="26" t="s">
        <v>396</v>
      </c>
      <c r="C1537" s="26" t="s">
        <v>179</v>
      </c>
      <c r="D1537" s="3" t="str">
        <f>VLOOKUP(C1537,layoffs_location!A:B,2,FALSE)</f>
        <v>other</v>
      </c>
      <c r="E1537" s="3" t="str">
        <f>VLOOKUP(C1537,layoffs_location!A:C,3,FALSE)</f>
        <v>Ontario</v>
      </c>
      <c r="F1537" s="3" t="str">
        <f>VLOOKUP(C1537,layoffs_location!A:D,4,FALSE)</f>
        <v>Canada</v>
      </c>
      <c r="G1537" s="3" t="str">
        <f>VLOOKUP(C1537,layoffs_location!A:E,5,FALSE)</f>
        <v>North America</v>
      </c>
      <c r="H1537" s="23">
        <v>20</v>
      </c>
      <c r="I1537" s="24">
        <v>45321</v>
      </c>
      <c r="J1537" s="5">
        <v>10</v>
      </c>
      <c r="K1537" s="6">
        <v>200</v>
      </c>
      <c r="L1537" s="6">
        <v>180</v>
      </c>
      <c r="M1537" s="4" t="s">
        <v>54</v>
      </c>
      <c r="N1537" s="4" t="s">
        <v>33</v>
      </c>
      <c r="O1537" s="27">
        <v>117</v>
      </c>
      <c r="P1537" s="3">
        <v>2024</v>
      </c>
      <c r="Q1537" s="3">
        <f>VLOOKUP(C1537,layoffs_location!A:F,6,FALSE)</f>
        <v>43.6534817</v>
      </c>
      <c r="R1537" s="3">
        <f>VLOOKUP(C1537,layoffs_location!A:G,7,FALSE)</f>
        <v>-79.383934699999998</v>
      </c>
    </row>
    <row r="1538" spans="1:18" ht="16" x14ac:dyDescent="0.2">
      <c r="A1538" s="3">
        <v>1537</v>
      </c>
      <c r="B1538" s="26" t="s">
        <v>1528</v>
      </c>
      <c r="C1538" s="3" t="s">
        <v>1370</v>
      </c>
      <c r="D1538" s="3" t="str">
        <f>VLOOKUP(C1538,layoffs_location!A:B,2,FALSE)</f>
        <v>San Francisco Bay Area</v>
      </c>
      <c r="E1538" s="3" t="str">
        <f>VLOOKUP(C1538,layoffs_location!A:C,3,FALSE)</f>
        <v>California</v>
      </c>
      <c r="F1538" s="3" t="str">
        <f>VLOOKUP(C1538,layoffs_location!A:D,4,FALSE)</f>
        <v>USA</v>
      </c>
      <c r="G1538" s="3" t="str">
        <f>VLOOKUP(C1538,layoffs_location!A:E,5,FALSE)</f>
        <v>North America</v>
      </c>
      <c r="H1538" s="23">
        <v>100</v>
      </c>
      <c r="I1538" s="24">
        <v>45322</v>
      </c>
      <c r="J1538" s="5"/>
      <c r="K1538" s="6"/>
      <c r="L1538" s="6"/>
      <c r="M1538" s="4" t="s">
        <v>48</v>
      </c>
      <c r="N1538" s="4" t="s">
        <v>63</v>
      </c>
      <c r="O1538" s="27">
        <v>315</v>
      </c>
      <c r="P1538" s="3">
        <v>2024</v>
      </c>
      <c r="Q1538" s="3">
        <f>VLOOKUP(C1538,layoffs_location!A:F,6,FALSE)</f>
        <v>37.779258800000001</v>
      </c>
      <c r="R1538" s="3">
        <f>VLOOKUP(C1538,layoffs_location!A:G,7,FALSE)</f>
        <v>-122.4193286</v>
      </c>
    </row>
    <row r="1539" spans="1:18" ht="16" x14ac:dyDescent="0.2">
      <c r="A1539" s="3">
        <v>1538</v>
      </c>
      <c r="B1539" s="26" t="s">
        <v>1574</v>
      </c>
      <c r="C1539" s="26" t="s">
        <v>47</v>
      </c>
      <c r="D1539" s="3" t="str">
        <f>VLOOKUP(C1539,layoffs_location!A:B,2,FALSE)</f>
        <v>other</v>
      </c>
      <c r="E1539" s="3" t="str">
        <f>VLOOKUP(C1539,layoffs_location!A:C,3,FALSE)</f>
        <v>non</v>
      </c>
      <c r="F1539" s="3" t="str">
        <f>VLOOKUP(C1539,layoffs_location!A:D,4,FALSE)</f>
        <v>Israel</v>
      </c>
      <c r="G1539" s="3" t="str">
        <f>VLOOKUP(C1539,layoffs_location!A:E,5,FALSE)</f>
        <v>Asia</v>
      </c>
      <c r="H1539" s="23">
        <v>60</v>
      </c>
      <c r="I1539" s="24">
        <v>45322</v>
      </c>
      <c r="J1539" s="5">
        <v>13</v>
      </c>
      <c r="K1539" s="6">
        <v>462</v>
      </c>
      <c r="L1539" s="6">
        <v>402</v>
      </c>
      <c r="M1539" s="4" t="s">
        <v>32</v>
      </c>
      <c r="N1539" s="4" t="s">
        <v>28</v>
      </c>
      <c r="O1539" s="16">
        <v>547</v>
      </c>
      <c r="P1539" s="21">
        <v>2024</v>
      </c>
      <c r="Q1539" s="3">
        <f>VLOOKUP(C1539,layoffs_location!A:F,6,FALSE)</f>
        <v>32.0852997</v>
      </c>
      <c r="R1539" s="3">
        <f>VLOOKUP(C1539,layoffs_location!A:G,7,FALSE)</f>
        <v>34.781806400000001</v>
      </c>
    </row>
    <row r="1540" spans="1:18" ht="16" x14ac:dyDescent="0.2">
      <c r="A1540" s="3">
        <v>1539</v>
      </c>
      <c r="B1540" s="26" t="s">
        <v>1627</v>
      </c>
      <c r="C1540" s="26" t="s">
        <v>1720</v>
      </c>
      <c r="D1540" s="3" t="str">
        <f>VLOOKUP(C1540,layoffs_location!A:B,2,FALSE)</f>
        <v>San Francisco Bay Area</v>
      </c>
      <c r="E1540" s="3" t="str">
        <f>VLOOKUP(C1540,layoffs_location!A:C,3,FALSE)</f>
        <v>California</v>
      </c>
      <c r="F1540" s="3" t="str">
        <f>VLOOKUP(C1540,layoffs_location!A:D,4,FALSE)</f>
        <v>USA</v>
      </c>
      <c r="G1540" s="3" t="str">
        <f>VLOOKUP(C1540,layoffs_location!A:E,5,FALSE)</f>
        <v>North America</v>
      </c>
      <c r="H1540" s="23">
        <v>280</v>
      </c>
      <c r="I1540" s="24">
        <v>45322</v>
      </c>
      <c r="J1540" s="5">
        <v>6</v>
      </c>
      <c r="K1540" s="6">
        <v>4667</v>
      </c>
      <c r="L1540" s="6">
        <v>4387</v>
      </c>
      <c r="M1540" s="4" t="s">
        <v>139</v>
      </c>
      <c r="N1540" s="4" t="s">
        <v>33</v>
      </c>
      <c r="O1540" s="27">
        <v>885</v>
      </c>
      <c r="P1540" s="3">
        <v>2024</v>
      </c>
      <c r="Q1540" s="3">
        <f>VLOOKUP(C1540,layoffs_location!A:F,6,FALSE)</f>
        <v>37.368830099999997</v>
      </c>
      <c r="R1540" s="3">
        <f>VLOOKUP(C1540,layoffs_location!A:G,7,FALSE)</f>
        <v>-122.036349</v>
      </c>
    </row>
    <row r="1541" spans="1:18" ht="16" x14ac:dyDescent="0.2">
      <c r="A1541" s="3">
        <v>1540</v>
      </c>
      <c r="B1541" s="26" t="s">
        <v>1656</v>
      </c>
      <c r="C1541" s="26" t="s">
        <v>220</v>
      </c>
      <c r="D1541" s="3" t="str">
        <f>VLOOKUP(C1541,layoffs_location!A:B,2,FALSE)</f>
        <v>other</v>
      </c>
      <c r="E1541" s="3" t="str">
        <f>VLOOKUP(C1541,layoffs_location!A:C,3,FALSE)</f>
        <v>Florida</v>
      </c>
      <c r="F1541" s="3" t="str">
        <f>VLOOKUP(C1541,layoffs_location!A:D,4,FALSE)</f>
        <v>USA</v>
      </c>
      <c r="G1541" s="3" t="str">
        <f>VLOOKUP(C1541,layoffs_location!A:E,5,FALSE)</f>
        <v>North America</v>
      </c>
      <c r="H1541" s="27"/>
      <c r="I1541" s="24">
        <v>45322</v>
      </c>
      <c r="J1541" s="5">
        <v>100</v>
      </c>
      <c r="K1541" s="6"/>
      <c r="L1541" s="6">
        <v>0</v>
      </c>
      <c r="M1541" s="4" t="s">
        <v>54</v>
      </c>
      <c r="N1541" s="4" t="s">
        <v>22</v>
      </c>
      <c r="O1541" s="27"/>
      <c r="P1541" s="3">
        <v>2024</v>
      </c>
      <c r="Q1541" s="3">
        <f>VLOOKUP(C1541,layoffs_location!A:F,6,FALSE)</f>
        <v>25.774172799999999</v>
      </c>
      <c r="R1541" s="3">
        <f>VLOOKUP(C1541,layoffs_location!A:G,7,FALSE)</f>
        <v>-80.193619999999996</v>
      </c>
    </row>
    <row r="1542" spans="1:18" ht="16" x14ac:dyDescent="0.2">
      <c r="A1542" s="3">
        <v>1541</v>
      </c>
      <c r="B1542" s="26" t="s">
        <v>1658</v>
      </c>
      <c r="C1542" s="26" t="s">
        <v>39</v>
      </c>
      <c r="D1542" s="3" t="str">
        <f>VLOOKUP(C1542,layoffs_location!A:B,2,FALSE)</f>
        <v>New York</v>
      </c>
      <c r="E1542" s="3" t="str">
        <f>VLOOKUP(C1542,layoffs_location!A:C,3,FALSE)</f>
        <v>New York</v>
      </c>
      <c r="F1542" s="3" t="str">
        <f>VLOOKUP(C1542,layoffs_location!A:D,4,FALSE)</f>
        <v>USA</v>
      </c>
      <c r="G1542" s="3" t="str">
        <f>VLOOKUP(C1542,layoffs_location!A:E,5,FALSE)</f>
        <v>North America</v>
      </c>
      <c r="H1542" s="23">
        <v>95</v>
      </c>
      <c r="I1542" s="24">
        <v>45322</v>
      </c>
      <c r="J1542" s="5"/>
      <c r="K1542" s="6"/>
      <c r="L1542" s="6"/>
      <c r="M1542" s="4" t="s">
        <v>30</v>
      </c>
      <c r="N1542" s="4" t="s">
        <v>33</v>
      </c>
      <c r="O1542" s="27">
        <v>26</v>
      </c>
      <c r="P1542" s="3">
        <v>2024</v>
      </c>
      <c r="Q1542" s="3">
        <f>VLOOKUP(C1542,layoffs_location!A:F,6,FALSE)</f>
        <v>40.7127281</v>
      </c>
      <c r="R1542" s="3">
        <f>VLOOKUP(C1542,layoffs_location!A:G,7,FALSE)</f>
        <v>-74.006015199999993</v>
      </c>
    </row>
    <row r="1543" spans="1:18" ht="16" x14ac:dyDescent="0.2">
      <c r="A1543" s="3">
        <v>1542</v>
      </c>
      <c r="B1543" s="26" t="s">
        <v>1728</v>
      </c>
      <c r="C1543" s="26" t="s">
        <v>321</v>
      </c>
      <c r="D1543" s="3" t="str">
        <f>VLOOKUP(C1543,layoffs_location!A:B,2,FALSE)</f>
        <v>other</v>
      </c>
      <c r="E1543" s="3" t="str">
        <f>VLOOKUP(C1543,layoffs_location!A:C,3,FALSE)</f>
        <v>Queensland</v>
      </c>
      <c r="F1543" s="3" t="str">
        <f>VLOOKUP(C1543,layoffs_location!A:D,4,FALSE)</f>
        <v>Australia</v>
      </c>
      <c r="G1543" s="3" t="str">
        <f>VLOOKUP(C1543,layoffs_location!A:E,5,FALSE)</f>
        <v>Oceana</v>
      </c>
      <c r="H1543" s="23">
        <v>130</v>
      </c>
      <c r="I1543" s="24">
        <v>45322</v>
      </c>
      <c r="J1543" s="5"/>
      <c r="K1543" s="6"/>
      <c r="L1543" s="6"/>
      <c r="M1543" s="4" t="s">
        <v>30</v>
      </c>
      <c r="N1543" s="4" t="s">
        <v>36</v>
      </c>
      <c r="O1543" s="27">
        <v>152</v>
      </c>
      <c r="P1543" s="3">
        <v>2024</v>
      </c>
      <c r="Q1543" s="3">
        <f>VLOOKUP(C1543,layoffs_location!A:F,6,FALSE)</f>
        <v>-27.468968199999999</v>
      </c>
      <c r="R1543" s="3">
        <f>VLOOKUP(C1543,layoffs_location!A:G,7,FALSE)</f>
        <v>153.02349910000001</v>
      </c>
    </row>
    <row r="1544" spans="1:18" ht="16" x14ac:dyDescent="0.2">
      <c r="A1544" s="3">
        <v>1543</v>
      </c>
      <c r="B1544" s="26" t="s">
        <v>1353</v>
      </c>
      <c r="C1544" s="26" t="s">
        <v>1710</v>
      </c>
      <c r="D1544" s="3" t="str">
        <f>VLOOKUP(C1544,layoffs_location!A:B,2,FALSE)</f>
        <v>San Francisco Bay Area</v>
      </c>
      <c r="E1544" s="3" t="str">
        <f>VLOOKUP(C1544,layoffs_location!A:C,3,FALSE)</f>
        <v>California</v>
      </c>
      <c r="F1544" s="3" t="str">
        <f>VLOOKUP(C1544,layoffs_location!A:D,4,FALSE)</f>
        <v>USA</v>
      </c>
      <c r="G1544" s="3" t="str">
        <f>VLOOKUP(C1544,layoffs_location!A:E,5,FALSE)</f>
        <v>North America</v>
      </c>
      <c r="H1544" s="27"/>
      <c r="I1544" s="24">
        <v>45322</v>
      </c>
      <c r="J1544" s="5">
        <v>8</v>
      </c>
      <c r="K1544" s="6"/>
      <c r="L1544" s="6"/>
      <c r="M1544" s="4" t="s">
        <v>35</v>
      </c>
      <c r="N1544" s="4" t="s">
        <v>28</v>
      </c>
      <c r="O1544" s="27">
        <v>647</v>
      </c>
      <c r="P1544" s="3">
        <v>2024</v>
      </c>
      <c r="Q1544" s="3">
        <f>VLOOKUP(C1544,layoffs_location!A:F,6,FALSE)</f>
        <v>37.486323900000002</v>
      </c>
      <c r="R1544" s="3">
        <f>VLOOKUP(C1544,layoffs_location!A:G,7,FALSE)</f>
        <v>-122.232523</v>
      </c>
    </row>
    <row r="1545" spans="1:18" ht="16" x14ac:dyDescent="0.2">
      <c r="A1545" s="3">
        <v>1544</v>
      </c>
      <c r="B1545" s="26" t="s">
        <v>686</v>
      </c>
      <c r="C1545" s="26" t="s">
        <v>74</v>
      </c>
      <c r="D1545" s="3" t="str">
        <f>VLOOKUP(C1545,layoffs_location!A:B,2,FALSE)</f>
        <v>other</v>
      </c>
      <c r="E1545" s="3" t="str">
        <f>VLOOKUP(C1545,layoffs_location!A:C,3,FALSE)</f>
        <v>California</v>
      </c>
      <c r="F1545" s="3" t="str">
        <f>VLOOKUP(C1545,layoffs_location!A:D,4,FALSE)</f>
        <v>USA</v>
      </c>
      <c r="G1545" s="3" t="str">
        <f>VLOOKUP(C1545,layoffs_location!A:E,5,FALSE)</f>
        <v>North America</v>
      </c>
      <c r="H1545" s="23">
        <v>111</v>
      </c>
      <c r="I1545" s="24">
        <v>45323</v>
      </c>
      <c r="J1545" s="5"/>
      <c r="K1545" s="6"/>
      <c r="L1545" s="6"/>
      <c r="M1545" s="4" t="s">
        <v>21</v>
      </c>
      <c r="N1545" s="4" t="s">
        <v>28</v>
      </c>
      <c r="O1545" s="27">
        <v>28</v>
      </c>
      <c r="P1545" s="3">
        <v>2024</v>
      </c>
      <c r="Q1545" s="3">
        <f>VLOOKUP(C1545,layoffs_location!A:F,6,FALSE)</f>
        <v>32.717420199999999</v>
      </c>
      <c r="R1545" s="3">
        <f>VLOOKUP(C1545,layoffs_location!A:G,7,FALSE)</f>
        <v>-117.162772</v>
      </c>
    </row>
    <row r="1546" spans="1:18" ht="16" x14ac:dyDescent="0.2">
      <c r="A1546" s="3">
        <v>1545</v>
      </c>
      <c r="B1546" s="26" t="s">
        <v>1572</v>
      </c>
      <c r="C1546" s="11" t="s">
        <v>71</v>
      </c>
      <c r="D1546" s="3" t="str">
        <f>VLOOKUP(C1546,layoffs_location!A:B,2,FALSE)</f>
        <v>other</v>
      </c>
      <c r="E1546" s="3" t="str">
        <f>VLOOKUP(C1546,layoffs_location!A:C,3,FALSE)</f>
        <v>Massachusetts</v>
      </c>
      <c r="F1546" s="3" t="str">
        <f>VLOOKUP(C1546,layoffs_location!A:D,4,FALSE)</f>
        <v>USA</v>
      </c>
      <c r="G1546" s="3" t="str">
        <f>VLOOKUP(C1546,layoffs_location!A:E,5,FALSE)</f>
        <v>North America</v>
      </c>
      <c r="H1546" s="27"/>
      <c r="I1546" s="24">
        <v>45323</v>
      </c>
      <c r="J1546" s="5"/>
      <c r="K1546" s="6"/>
      <c r="L1546" s="6"/>
      <c r="M1546" s="4" t="s">
        <v>60</v>
      </c>
      <c r="N1546" s="4" t="s">
        <v>63</v>
      </c>
      <c r="O1546" s="27">
        <v>1.2</v>
      </c>
      <c r="P1546" s="3">
        <v>2024</v>
      </c>
      <c r="Q1546" s="3">
        <f>VLOOKUP(C1546,layoffs_location!A:F,6,FALSE)</f>
        <v>42.355433400000003</v>
      </c>
      <c r="R1546" s="3">
        <f>VLOOKUP(C1546,layoffs_location!A:G,7,FALSE)</f>
        <v>-71.060511000000005</v>
      </c>
    </row>
    <row r="1547" spans="1:18" ht="16" x14ac:dyDescent="0.2">
      <c r="A1547" s="3">
        <v>1546</v>
      </c>
      <c r="B1547" s="26" t="s">
        <v>472</v>
      </c>
      <c r="C1547" s="11" t="s">
        <v>1370</v>
      </c>
      <c r="D1547" s="3" t="str">
        <f>VLOOKUP(C1547,layoffs_location!A:B,2,FALSE)</f>
        <v>San Francisco Bay Area</v>
      </c>
      <c r="E1547" s="3" t="str">
        <f>VLOOKUP(C1547,layoffs_location!A:C,3,FALSE)</f>
        <v>California</v>
      </c>
      <c r="F1547" s="3" t="str">
        <f>VLOOKUP(C1547,layoffs_location!A:D,4,FALSE)</f>
        <v>USA</v>
      </c>
      <c r="G1547" s="3" t="str">
        <f>VLOOKUP(C1547,layoffs_location!A:E,5,FALSE)</f>
        <v>North America</v>
      </c>
      <c r="H1547" s="23">
        <v>400</v>
      </c>
      <c r="I1547" s="24">
        <v>45323</v>
      </c>
      <c r="J1547" s="5">
        <v>7</v>
      </c>
      <c r="K1547" s="6">
        <v>5714</v>
      </c>
      <c r="L1547" s="6">
        <v>5314</v>
      </c>
      <c r="M1547" s="4" t="s">
        <v>139</v>
      </c>
      <c r="N1547" s="4" t="s">
        <v>28</v>
      </c>
      <c r="O1547" s="27">
        <v>1.2</v>
      </c>
      <c r="P1547" s="3">
        <v>2024</v>
      </c>
      <c r="Q1547" s="3">
        <f>VLOOKUP(C1547,layoffs_location!A:F,6,FALSE)</f>
        <v>37.779258800000001</v>
      </c>
      <c r="R1547" s="3">
        <f>VLOOKUP(C1547,layoffs_location!A:G,7,FALSE)</f>
        <v>-122.4193286</v>
      </c>
    </row>
    <row r="1548" spans="1:18" ht="16" x14ac:dyDescent="0.2">
      <c r="A1548" s="3">
        <v>1547</v>
      </c>
      <c r="B1548" s="26" t="s">
        <v>424</v>
      </c>
      <c r="C1548" s="26" t="s">
        <v>1340</v>
      </c>
      <c r="D1548" s="3" t="str">
        <f>VLOOKUP(C1548,layoffs_location!A:B,2,FALSE)</f>
        <v>other</v>
      </c>
      <c r="E1548" s="3" t="str">
        <f>VLOOKUP(C1548,layoffs_location!A:C,3,FALSE)</f>
        <v>non</v>
      </c>
      <c r="F1548" s="3" t="str">
        <f>VLOOKUP(C1548,layoffs_location!A:D,4,FALSE)</f>
        <v>Cayman Islands</v>
      </c>
      <c r="G1548" s="3" t="str">
        <f>VLOOKUP(C1548,layoffs_location!A:E,5,FALSE)</f>
        <v>North America</v>
      </c>
      <c r="H1548" s="23">
        <v>60</v>
      </c>
      <c r="I1548" s="24">
        <v>45323</v>
      </c>
      <c r="J1548" s="5">
        <v>19</v>
      </c>
      <c r="K1548" s="6">
        <v>316</v>
      </c>
      <c r="L1548" s="6">
        <v>256</v>
      </c>
      <c r="M1548" s="4" t="s">
        <v>117</v>
      </c>
      <c r="N1548" s="4" t="s">
        <v>22</v>
      </c>
      <c r="O1548" s="27">
        <v>451</v>
      </c>
      <c r="P1548" s="3">
        <v>2024</v>
      </c>
      <c r="Q1548" s="3">
        <f>VLOOKUP(C1548,layoffs_location!A:F,6,FALSE)</f>
        <v>19.703182249999902</v>
      </c>
      <c r="R1548" s="3">
        <f>VLOOKUP(C1548,layoffs_location!A:G,7,FALSE)</f>
        <v>-79.917462724324594</v>
      </c>
    </row>
    <row r="1549" spans="1:18" ht="16" x14ac:dyDescent="0.2">
      <c r="A1549" s="3">
        <v>1548</v>
      </c>
      <c r="B1549" s="26" t="s">
        <v>462</v>
      </c>
      <c r="C1549" s="26" t="s">
        <v>1694</v>
      </c>
      <c r="D1549" s="3" t="str">
        <f>VLOOKUP(C1549,layoffs_location!A:B,2,FALSE)</f>
        <v>San Francisco Bay Area</v>
      </c>
      <c r="E1549" s="3" t="str">
        <f>VLOOKUP(C1549,layoffs_location!A:C,3,FALSE)</f>
        <v>California</v>
      </c>
      <c r="F1549" s="3" t="str">
        <f>VLOOKUP(C1549,layoffs_location!A:D,4,FALSE)</f>
        <v>USA</v>
      </c>
      <c r="G1549" s="3" t="str">
        <f>VLOOKUP(C1549,layoffs_location!A:E,5,FALSE)</f>
        <v>North America</v>
      </c>
      <c r="H1549" s="23">
        <v>150</v>
      </c>
      <c r="I1549" s="24">
        <v>45323</v>
      </c>
      <c r="J1549" s="5">
        <v>2</v>
      </c>
      <c r="K1549" s="6">
        <v>7500</v>
      </c>
      <c r="L1549" s="6">
        <v>7350</v>
      </c>
      <c r="M1549" s="4" t="s">
        <v>60</v>
      </c>
      <c r="N1549" s="4" t="s">
        <v>28</v>
      </c>
      <c r="O1549" s="16">
        <v>276</v>
      </c>
      <c r="P1549" s="21">
        <v>2024</v>
      </c>
      <c r="Q1549" s="3">
        <f>VLOOKUP(C1549,layoffs_location!A:F,6,FALSE)</f>
        <v>37.336166300000002</v>
      </c>
      <c r="R1549" s="3">
        <f>VLOOKUP(C1549,layoffs_location!A:G,7,FALSE)</f>
        <v>-121.890591</v>
      </c>
    </row>
    <row r="1550" spans="1:18" ht="16" x14ac:dyDescent="0.2">
      <c r="A1550" s="3">
        <v>1549</v>
      </c>
      <c r="B1550" s="26" t="s">
        <v>1525</v>
      </c>
      <c r="C1550" s="26" t="s">
        <v>51</v>
      </c>
      <c r="D1550" s="3" t="str">
        <f>VLOOKUP(C1550,layoffs_location!A:B,2,FALSE)</f>
        <v>other</v>
      </c>
      <c r="E1550" s="3" t="str">
        <f>VLOOKUP(C1550,layoffs_location!A:C,3,FALSE)</f>
        <v>non</v>
      </c>
      <c r="F1550" s="3" t="str">
        <f>VLOOKUP(C1550,layoffs_location!A:D,4,FALSE)</f>
        <v>Sweden</v>
      </c>
      <c r="G1550" s="3" t="str">
        <f>VLOOKUP(C1550,layoffs_location!A:E,5,FALSE)</f>
        <v>Europe</v>
      </c>
      <c r="H1550" s="27"/>
      <c r="I1550" s="24">
        <v>45324</v>
      </c>
      <c r="J1550" s="5">
        <v>100</v>
      </c>
      <c r="K1550" s="6"/>
      <c r="L1550" s="6">
        <v>0</v>
      </c>
      <c r="M1550" s="4" t="s">
        <v>32</v>
      </c>
      <c r="N1550" s="4" t="s">
        <v>22</v>
      </c>
      <c r="O1550" s="27">
        <v>74</v>
      </c>
      <c r="P1550" s="3">
        <v>2024</v>
      </c>
      <c r="Q1550" s="3">
        <f>VLOOKUP(C1550,layoffs_location!A:F,6,FALSE)</f>
        <v>59.325117200000001</v>
      </c>
      <c r="R1550" s="3">
        <f>VLOOKUP(C1550,layoffs_location!A:G,7,FALSE)</f>
        <v>18.0710935</v>
      </c>
    </row>
    <row r="1551" spans="1:18" ht="16" x14ac:dyDescent="0.2">
      <c r="A1551" s="3">
        <v>1550</v>
      </c>
      <c r="B1551" s="26" t="s">
        <v>314</v>
      </c>
      <c r="C1551" s="26" t="s">
        <v>74</v>
      </c>
      <c r="D1551" s="3" t="str">
        <f>VLOOKUP(C1551,layoffs_location!A:B,2,FALSE)</f>
        <v>other</v>
      </c>
      <c r="E1551" s="3" t="str">
        <f>VLOOKUP(C1551,layoffs_location!A:C,3,FALSE)</f>
        <v>California</v>
      </c>
      <c r="F1551" s="3" t="str">
        <f>VLOOKUP(C1551,layoffs_location!A:D,4,FALSE)</f>
        <v>USA</v>
      </c>
      <c r="G1551" s="3" t="str">
        <f>VLOOKUP(C1551,layoffs_location!A:E,5,FALSE)</f>
        <v>North America</v>
      </c>
      <c r="H1551" s="23">
        <v>245</v>
      </c>
      <c r="I1551" s="24">
        <v>45324</v>
      </c>
      <c r="J1551" s="5">
        <v>30</v>
      </c>
      <c r="K1551" s="6">
        <v>817</v>
      </c>
      <c r="L1551" s="6">
        <v>572</v>
      </c>
      <c r="M1551" s="4" t="s">
        <v>21</v>
      </c>
      <c r="N1551" s="4" t="s">
        <v>28</v>
      </c>
      <c r="O1551" s="27">
        <v>899</v>
      </c>
      <c r="P1551" s="3">
        <v>2024</v>
      </c>
      <c r="Q1551" s="3">
        <f>VLOOKUP(C1551,layoffs_location!A:F,6,FALSE)</f>
        <v>32.717420199999999</v>
      </c>
      <c r="R1551" s="3">
        <f>VLOOKUP(C1551,layoffs_location!A:G,7,FALSE)</f>
        <v>-117.162772</v>
      </c>
    </row>
    <row r="1552" spans="1:18" ht="16" x14ac:dyDescent="0.2">
      <c r="A1552" s="3">
        <v>1551</v>
      </c>
      <c r="B1552" s="26" t="s">
        <v>1355</v>
      </c>
      <c r="C1552" s="26" t="s">
        <v>1339</v>
      </c>
      <c r="D1552" s="3" t="str">
        <f>VLOOKUP(C1552,layoffs_location!A:B,2,FALSE)</f>
        <v>other</v>
      </c>
      <c r="E1552" s="3" t="str">
        <f>VLOOKUP(C1552,layoffs_location!A:C,3,FALSE)</f>
        <v>England</v>
      </c>
      <c r="F1552" s="3" t="str">
        <f>VLOOKUP(C1552,layoffs_location!A:D,4,FALSE)</f>
        <v>UK</v>
      </c>
      <c r="G1552" s="3" t="str">
        <f>VLOOKUP(C1552,layoffs_location!A:E,5,FALSE)</f>
        <v>Europe</v>
      </c>
      <c r="H1552" s="27"/>
      <c r="I1552" s="24">
        <v>45324</v>
      </c>
      <c r="J1552" s="5">
        <v>100</v>
      </c>
      <c r="K1552" s="6"/>
      <c r="L1552" s="6">
        <v>0</v>
      </c>
      <c r="M1552" s="4" t="s">
        <v>77</v>
      </c>
      <c r="N1552" s="4" t="s">
        <v>22</v>
      </c>
      <c r="O1552" s="27">
        <v>10</v>
      </c>
      <c r="P1552" s="3">
        <v>2024</v>
      </c>
      <c r="Q1552" s="3">
        <f>VLOOKUP(C1552,layoffs_location!A:F,6,FALSE)</f>
        <v>51.069061300000001</v>
      </c>
      <c r="R1552" s="3">
        <f>VLOOKUP(C1552,layoffs_location!A:G,7,FALSE)</f>
        <v>-1.7954133999999999</v>
      </c>
    </row>
    <row r="1553" spans="1:18" ht="16" x14ac:dyDescent="0.2">
      <c r="A1553" s="3">
        <v>1552</v>
      </c>
      <c r="B1553" s="26" t="s">
        <v>178</v>
      </c>
      <c r="C1553" s="26" t="s">
        <v>179</v>
      </c>
      <c r="D1553" s="3" t="str">
        <f>VLOOKUP(C1553,layoffs_location!A:B,2,FALSE)</f>
        <v>other</v>
      </c>
      <c r="E1553" s="3" t="str">
        <f>VLOOKUP(C1553,layoffs_location!A:C,3,FALSE)</f>
        <v>Ontario</v>
      </c>
      <c r="F1553" s="3" t="str">
        <f>VLOOKUP(C1553,layoffs_location!A:D,4,FALSE)</f>
        <v>Canada</v>
      </c>
      <c r="G1553" s="3" t="str">
        <f>VLOOKUP(C1553,layoffs_location!A:E,5,FALSE)</f>
        <v>North America</v>
      </c>
      <c r="H1553" s="23">
        <v>35</v>
      </c>
      <c r="I1553" s="24">
        <v>45324</v>
      </c>
      <c r="J1553" s="5">
        <v>7</v>
      </c>
      <c r="K1553" s="6">
        <v>500</v>
      </c>
      <c r="L1553" s="6">
        <v>465</v>
      </c>
      <c r="M1553" s="4" t="s">
        <v>68</v>
      </c>
      <c r="N1553" s="4" t="s">
        <v>36</v>
      </c>
      <c r="O1553" s="27">
        <v>234</v>
      </c>
      <c r="P1553" s="3">
        <v>2024</v>
      </c>
      <c r="Q1553" s="3">
        <f>VLOOKUP(C1553,layoffs_location!A:F,6,FALSE)</f>
        <v>43.6534817</v>
      </c>
      <c r="R1553" s="3">
        <f>VLOOKUP(C1553,layoffs_location!A:G,7,FALSE)</f>
        <v>-79.383934699999998</v>
      </c>
    </row>
    <row r="1554" spans="1:18" ht="16" x14ac:dyDescent="0.2">
      <c r="A1554" s="3">
        <v>1553</v>
      </c>
      <c r="B1554" s="26" t="s">
        <v>1669</v>
      </c>
      <c r="C1554" s="26" t="s">
        <v>58</v>
      </c>
      <c r="D1554" s="3" t="str">
        <f>VLOOKUP(C1554,layoffs_location!A:B,2,FALSE)</f>
        <v>other</v>
      </c>
      <c r="E1554" s="3" t="str">
        <f>VLOOKUP(C1554,layoffs_location!A:C,3,FALSE)</f>
        <v>England</v>
      </c>
      <c r="F1554" s="3" t="str">
        <f>VLOOKUP(C1554,layoffs_location!A:D,4,FALSE)</f>
        <v>UK</v>
      </c>
      <c r="G1554" s="3" t="str">
        <f>VLOOKUP(C1554,layoffs_location!A:E,5,FALSE)</f>
        <v>Europe</v>
      </c>
      <c r="H1554" s="27"/>
      <c r="I1554" s="24">
        <v>45324</v>
      </c>
      <c r="J1554" s="5">
        <v>100</v>
      </c>
      <c r="K1554" s="6"/>
      <c r="L1554" s="6">
        <v>0</v>
      </c>
      <c r="M1554" s="4" t="s">
        <v>35</v>
      </c>
      <c r="N1554" s="4" t="s">
        <v>22</v>
      </c>
      <c r="O1554" s="27">
        <v>41</v>
      </c>
      <c r="P1554" s="3">
        <v>2024</v>
      </c>
      <c r="Q1554" s="3">
        <f>VLOOKUP(C1554,layoffs_location!A:F,6,FALSE)</f>
        <v>51.489333500000001</v>
      </c>
      <c r="R1554" s="3">
        <f>VLOOKUP(C1554,layoffs_location!A:G,7,FALSE)</f>
        <v>-0.14405508452768701</v>
      </c>
    </row>
    <row r="1555" spans="1:18" ht="16" x14ac:dyDescent="0.2">
      <c r="A1555" s="3">
        <v>1554</v>
      </c>
      <c r="B1555" s="26" t="s">
        <v>1511</v>
      </c>
      <c r="C1555" s="26" t="s">
        <v>362</v>
      </c>
      <c r="D1555" s="3" t="str">
        <f>VLOOKUP(C1555,layoffs_location!A:B,2,FALSE)</f>
        <v>other</v>
      </c>
      <c r="E1555" s="3" t="str">
        <f>VLOOKUP(C1555,layoffs_location!A:C,3,FALSE)</f>
        <v>Pennsylvania</v>
      </c>
      <c r="F1555" s="3" t="str">
        <f>VLOOKUP(C1555,layoffs_location!A:D,4,FALSE)</f>
        <v>USA</v>
      </c>
      <c r="G1555" s="3" t="str">
        <f>VLOOKUP(C1555,layoffs_location!A:E,5,FALSE)</f>
        <v>North America</v>
      </c>
      <c r="H1555" s="27"/>
      <c r="I1555" s="24">
        <v>45327</v>
      </c>
      <c r="J1555" s="5">
        <v>100</v>
      </c>
      <c r="K1555" s="6"/>
      <c r="L1555" s="6">
        <v>0</v>
      </c>
      <c r="M1555" s="4" t="s">
        <v>21</v>
      </c>
      <c r="N1555" s="4" t="s">
        <v>69</v>
      </c>
      <c r="O1555" s="27">
        <v>13</v>
      </c>
      <c r="P1555" s="3">
        <v>2024</v>
      </c>
      <c r="Q1555" s="3">
        <f>VLOOKUP(C1555,layoffs_location!A:F,6,FALSE)</f>
        <v>39.9527237</v>
      </c>
      <c r="R1555" s="3">
        <f>VLOOKUP(C1555,layoffs_location!A:G,7,FALSE)</f>
        <v>-75.163526200000007</v>
      </c>
    </row>
    <row r="1556" spans="1:18" ht="16" x14ac:dyDescent="0.2">
      <c r="A1556" s="3">
        <v>1555</v>
      </c>
      <c r="B1556" s="26" t="s">
        <v>1518</v>
      </c>
      <c r="C1556" s="26" t="s">
        <v>1338</v>
      </c>
      <c r="D1556" s="3" t="str">
        <f>VLOOKUP(C1556,layoffs_location!A:B,2,FALSE)</f>
        <v>other</v>
      </c>
      <c r="E1556" s="3" t="str">
        <f>VLOOKUP(C1556,layoffs_location!A:C,3,FALSE)</f>
        <v>Colorado</v>
      </c>
      <c r="F1556" s="3" t="str">
        <f>VLOOKUP(C1556,layoffs_location!A:D,4,FALSE)</f>
        <v>USA</v>
      </c>
      <c r="G1556" s="3" t="str">
        <f>VLOOKUP(C1556,layoffs_location!A:E,5,FALSE)</f>
        <v>North America</v>
      </c>
      <c r="H1556" s="23">
        <v>80</v>
      </c>
      <c r="I1556" s="24">
        <v>45327</v>
      </c>
      <c r="J1556" s="5"/>
      <c r="K1556" s="6"/>
      <c r="L1556" s="6"/>
      <c r="M1556" s="4" t="s">
        <v>35</v>
      </c>
      <c r="N1556" s="4" t="s">
        <v>49</v>
      </c>
      <c r="O1556" s="27">
        <v>119</v>
      </c>
      <c r="P1556" s="3">
        <v>2024</v>
      </c>
      <c r="Q1556" s="3">
        <f>VLOOKUP(C1556,layoffs_location!A:F,6,FALSE)</f>
        <v>40.587178199999997</v>
      </c>
      <c r="R1556" s="3">
        <f>VLOOKUP(C1556,layoffs_location!A:G,7,FALSE)</f>
        <v>-105.0770113</v>
      </c>
    </row>
    <row r="1557" spans="1:18" ht="16" x14ac:dyDescent="0.2">
      <c r="A1557" s="3">
        <v>1556</v>
      </c>
      <c r="B1557" s="26" t="s">
        <v>1544</v>
      </c>
      <c r="C1557" s="11" t="s">
        <v>71</v>
      </c>
      <c r="D1557" s="3" t="str">
        <f>VLOOKUP(C1557,layoffs_location!A:B,2,FALSE)</f>
        <v>other</v>
      </c>
      <c r="E1557" s="3" t="str">
        <f>VLOOKUP(C1557,layoffs_location!A:C,3,FALSE)</f>
        <v>Massachusetts</v>
      </c>
      <c r="F1557" s="3" t="str">
        <f>VLOOKUP(C1557,layoffs_location!A:D,4,FALSE)</f>
        <v>USA</v>
      </c>
      <c r="G1557" s="3" t="str">
        <f>VLOOKUP(C1557,layoffs_location!A:E,5,FALSE)</f>
        <v>North America</v>
      </c>
      <c r="H1557" s="23">
        <v>168</v>
      </c>
      <c r="I1557" s="24">
        <v>45327</v>
      </c>
      <c r="J1557" s="5">
        <v>100</v>
      </c>
      <c r="K1557" s="6">
        <v>168</v>
      </c>
      <c r="L1557" s="6">
        <v>0</v>
      </c>
      <c r="M1557" s="4" t="s">
        <v>30</v>
      </c>
      <c r="N1557" s="4" t="s">
        <v>33</v>
      </c>
      <c r="O1557" s="27">
        <v>119</v>
      </c>
      <c r="P1557" s="3">
        <v>2024</v>
      </c>
      <c r="Q1557" s="3">
        <f>VLOOKUP(C1557,layoffs_location!A:F,6,FALSE)</f>
        <v>42.355433400000003</v>
      </c>
      <c r="R1557" s="3">
        <f>VLOOKUP(C1557,layoffs_location!A:G,7,FALSE)</f>
        <v>-71.060511000000005</v>
      </c>
    </row>
    <row r="1558" spans="1:18" ht="16" x14ac:dyDescent="0.2">
      <c r="A1558" s="3">
        <v>1557</v>
      </c>
      <c r="B1558" s="26" t="s">
        <v>1570</v>
      </c>
      <c r="C1558" s="26" t="s">
        <v>76</v>
      </c>
      <c r="D1558" s="3" t="str">
        <f>VLOOKUP(C1558,layoffs_location!A:B,2,FALSE)</f>
        <v>other</v>
      </c>
      <c r="E1558" s="3" t="str">
        <f>VLOOKUP(C1558,layoffs_location!A:C,3,FALSE)</f>
        <v>California</v>
      </c>
      <c r="F1558" s="3" t="str">
        <f>VLOOKUP(C1558,layoffs_location!A:D,4,FALSE)</f>
        <v>USA</v>
      </c>
      <c r="G1558" s="3" t="str">
        <f>VLOOKUP(C1558,layoffs_location!A:E,5,FALSE)</f>
        <v>North America</v>
      </c>
      <c r="H1558" s="23">
        <v>40</v>
      </c>
      <c r="I1558" s="24">
        <v>45327</v>
      </c>
      <c r="J1558" s="5">
        <v>3</v>
      </c>
      <c r="K1558" s="6">
        <v>1333</v>
      </c>
      <c r="L1558" s="6">
        <v>1293</v>
      </c>
      <c r="M1558" s="4" t="s">
        <v>92</v>
      </c>
      <c r="N1558" s="17" t="s">
        <v>1696</v>
      </c>
      <c r="O1558" s="27">
        <v>361</v>
      </c>
      <c r="P1558" s="3">
        <v>2024</v>
      </c>
      <c r="Q1558" s="3">
        <f>VLOOKUP(C1558,layoffs_location!A:F,6,FALSE)</f>
        <v>34.053690899999999</v>
      </c>
      <c r="R1558" s="3">
        <f>VLOOKUP(C1558,layoffs_location!A:G,7,FALSE)</f>
        <v>-118.242766</v>
      </c>
    </row>
    <row r="1559" spans="1:18" ht="16" x14ac:dyDescent="0.2">
      <c r="A1559" s="3">
        <v>1558</v>
      </c>
      <c r="B1559" s="26" t="s">
        <v>1601</v>
      </c>
      <c r="C1559" s="26" t="s">
        <v>39</v>
      </c>
      <c r="D1559" s="3" t="str">
        <f>VLOOKUP(C1559,layoffs_location!A:B,2,FALSE)</f>
        <v>New York</v>
      </c>
      <c r="E1559" s="3" t="str">
        <f>VLOOKUP(C1559,layoffs_location!A:C,3,FALSE)</f>
        <v>New York</v>
      </c>
      <c r="F1559" s="3" t="str">
        <f>VLOOKUP(C1559,layoffs_location!A:D,4,FALSE)</f>
        <v>USA</v>
      </c>
      <c r="G1559" s="3" t="str">
        <f>VLOOKUP(C1559,layoffs_location!A:E,5,FALSE)</f>
        <v>North America</v>
      </c>
      <c r="H1559" s="27"/>
      <c r="I1559" s="24">
        <v>45327</v>
      </c>
      <c r="J1559" s="5"/>
      <c r="K1559" s="6"/>
      <c r="L1559" s="6"/>
      <c r="M1559" s="4" t="s">
        <v>16</v>
      </c>
      <c r="N1559" s="4" t="s">
        <v>33</v>
      </c>
      <c r="O1559" s="27">
        <v>18</v>
      </c>
      <c r="P1559" s="3">
        <v>2024</v>
      </c>
      <c r="Q1559" s="3">
        <f>VLOOKUP(C1559,layoffs_location!A:F,6,FALSE)</f>
        <v>40.7127281</v>
      </c>
      <c r="R1559" s="3">
        <f>VLOOKUP(C1559,layoffs_location!A:G,7,FALSE)</f>
        <v>-74.006015199999993</v>
      </c>
    </row>
    <row r="1560" spans="1:18" ht="16" x14ac:dyDescent="0.2">
      <c r="A1560" s="3">
        <v>1559</v>
      </c>
      <c r="B1560" s="26" t="s">
        <v>1606</v>
      </c>
      <c r="C1560" s="26" t="s">
        <v>13</v>
      </c>
      <c r="D1560" s="3" t="str">
        <f>VLOOKUP(C1560,layoffs_location!A:B,2,FALSE)</f>
        <v>other</v>
      </c>
      <c r="E1560" s="3" t="str">
        <f>VLOOKUP(C1560,layoffs_location!A:C,3,FALSE)</f>
        <v>Karnataka</v>
      </c>
      <c r="F1560" s="3" t="str">
        <f>VLOOKUP(C1560,layoffs_location!A:D,4,FALSE)</f>
        <v>India</v>
      </c>
      <c r="G1560" s="3" t="str">
        <f>VLOOKUP(C1560,layoffs_location!A:E,5,FALSE)</f>
        <v>Asia</v>
      </c>
      <c r="H1560" s="27"/>
      <c r="I1560" s="24">
        <v>45327</v>
      </c>
      <c r="J1560" s="5">
        <v>100</v>
      </c>
      <c r="K1560" s="6"/>
      <c r="L1560" s="6">
        <v>0</v>
      </c>
      <c r="M1560" s="4" t="s">
        <v>35</v>
      </c>
      <c r="N1560" s="4" t="s">
        <v>147</v>
      </c>
      <c r="O1560" s="27">
        <v>4</v>
      </c>
      <c r="P1560" s="3">
        <v>2024</v>
      </c>
      <c r="Q1560" s="3">
        <f>VLOOKUP(C1560,layoffs_location!A:F,6,FALSE)</f>
        <v>12.98815675</v>
      </c>
      <c r="R1560" s="3">
        <f>VLOOKUP(C1560,layoffs_location!A:G,7,FALSE)</f>
        <v>77.622600037959998</v>
      </c>
    </row>
    <row r="1561" spans="1:18" ht="16" x14ac:dyDescent="0.2">
      <c r="A1561" s="3">
        <v>1560</v>
      </c>
      <c r="B1561" s="26" t="s">
        <v>88</v>
      </c>
      <c r="C1561" s="26" t="s">
        <v>39</v>
      </c>
      <c r="D1561" s="3" t="str">
        <f>VLOOKUP(C1561,layoffs_location!A:B,2,FALSE)</f>
        <v>New York</v>
      </c>
      <c r="E1561" s="3" t="str">
        <f>VLOOKUP(C1561,layoffs_location!A:C,3,FALSE)</f>
        <v>New York</v>
      </c>
      <c r="F1561" s="3" t="str">
        <f>VLOOKUP(C1561,layoffs_location!A:D,4,FALSE)</f>
        <v>USA</v>
      </c>
      <c r="G1561" s="3" t="str">
        <f>VLOOKUP(C1561,layoffs_location!A:E,5,FALSE)</f>
        <v>North America</v>
      </c>
      <c r="H1561" s="27"/>
      <c r="I1561" s="24">
        <v>45327</v>
      </c>
      <c r="J1561" s="5"/>
      <c r="K1561" s="6"/>
      <c r="L1561" s="6"/>
      <c r="M1561" s="4" t="s">
        <v>21</v>
      </c>
      <c r="N1561" s="4" t="s">
        <v>22</v>
      </c>
      <c r="O1561" s="27">
        <v>218</v>
      </c>
      <c r="P1561" s="3">
        <v>2024</v>
      </c>
      <c r="Q1561" s="3">
        <f>VLOOKUP(C1561,layoffs_location!A:F,6,FALSE)</f>
        <v>40.7127281</v>
      </c>
      <c r="R1561" s="3">
        <f>VLOOKUP(C1561,layoffs_location!A:G,7,FALSE)</f>
        <v>-74.006015199999993</v>
      </c>
    </row>
    <row r="1562" spans="1:18" ht="16" x14ac:dyDescent="0.2">
      <c r="A1562" s="3">
        <v>1561</v>
      </c>
      <c r="B1562" s="26" t="s">
        <v>803</v>
      </c>
      <c r="C1562" s="11" t="s">
        <v>76</v>
      </c>
      <c r="D1562" s="3" t="str">
        <f>VLOOKUP(C1562,layoffs_location!A:B,2,FALSE)</f>
        <v>other</v>
      </c>
      <c r="E1562" s="3" t="str">
        <f>VLOOKUP(C1562,layoffs_location!A:C,3,FALSE)</f>
        <v>California</v>
      </c>
      <c r="F1562" s="3" t="str">
        <f>VLOOKUP(C1562,layoffs_location!A:D,4,FALSE)</f>
        <v>USA</v>
      </c>
      <c r="G1562" s="3" t="str">
        <f>VLOOKUP(C1562,layoffs_location!A:E,5,FALSE)</f>
        <v>North America</v>
      </c>
      <c r="H1562" s="23">
        <v>500</v>
      </c>
      <c r="I1562" s="24">
        <v>45327</v>
      </c>
      <c r="J1562" s="5">
        <v>10</v>
      </c>
      <c r="K1562" s="6">
        <v>5000</v>
      </c>
      <c r="L1562" s="6">
        <v>4500</v>
      </c>
      <c r="M1562" s="4" t="s">
        <v>16</v>
      </c>
      <c r="N1562" s="4" t="s">
        <v>28</v>
      </c>
      <c r="O1562" s="27">
        <v>4.9000000000000004</v>
      </c>
      <c r="P1562" s="3">
        <v>2024</v>
      </c>
      <c r="Q1562" s="3">
        <f>VLOOKUP(C1562,layoffs_location!A:F,6,FALSE)</f>
        <v>34.053690899999999</v>
      </c>
      <c r="R1562" s="3">
        <f>VLOOKUP(C1562,layoffs_location!A:G,7,FALSE)</f>
        <v>-118.242766</v>
      </c>
    </row>
    <row r="1563" spans="1:18" ht="16" x14ac:dyDescent="0.2">
      <c r="A1563" s="3">
        <v>1562</v>
      </c>
      <c r="B1563" s="26" t="s">
        <v>398</v>
      </c>
      <c r="C1563" s="11" t="s">
        <v>76</v>
      </c>
      <c r="D1563" s="3" t="str">
        <f>VLOOKUP(C1563,layoffs_location!A:B,2,FALSE)</f>
        <v>other</v>
      </c>
      <c r="E1563" s="3" t="str">
        <f>VLOOKUP(C1563,layoffs_location!A:C,3,FALSE)</f>
        <v>California</v>
      </c>
      <c r="F1563" s="3" t="str">
        <f>VLOOKUP(C1563,layoffs_location!A:D,4,FALSE)</f>
        <v>USA</v>
      </c>
      <c r="G1563" s="3" t="str">
        <f>VLOOKUP(C1563,layoffs_location!A:E,5,FALSE)</f>
        <v>North America</v>
      </c>
      <c r="H1563" s="27"/>
      <c r="I1563" s="24">
        <v>45327</v>
      </c>
      <c r="J1563" s="5"/>
      <c r="K1563" s="6"/>
      <c r="L1563" s="6"/>
      <c r="M1563" s="4" t="s">
        <v>399</v>
      </c>
      <c r="N1563" s="4" t="s">
        <v>41</v>
      </c>
      <c r="O1563" s="27">
        <v>619</v>
      </c>
      <c r="P1563" s="3">
        <v>2024</v>
      </c>
      <c r="Q1563" s="3">
        <f>VLOOKUP(C1563,layoffs_location!A:F,6,FALSE)</f>
        <v>34.053690899999999</v>
      </c>
      <c r="R1563" s="3">
        <f>VLOOKUP(C1563,layoffs_location!A:G,7,FALSE)</f>
        <v>-118.242766</v>
      </c>
    </row>
    <row r="1564" spans="1:18" ht="16" x14ac:dyDescent="0.2">
      <c r="A1564" s="3">
        <v>1563</v>
      </c>
      <c r="B1564" s="26" t="s">
        <v>376</v>
      </c>
      <c r="C1564" s="26" t="s">
        <v>43</v>
      </c>
      <c r="D1564" s="3" t="str">
        <f>VLOOKUP(C1564,layoffs_location!A:B,2,FALSE)</f>
        <v>Cascadia</v>
      </c>
      <c r="E1564" s="3" t="str">
        <f>VLOOKUP(C1564,layoffs_location!A:C,3,FALSE)</f>
        <v>Washington</v>
      </c>
      <c r="F1564" s="3" t="str">
        <f>VLOOKUP(C1564,layoffs_location!A:D,4,FALSE)</f>
        <v>USA</v>
      </c>
      <c r="G1564" s="3" t="str">
        <f>VLOOKUP(C1564,layoffs_location!A:E,5,FALSE)</f>
        <v>North America</v>
      </c>
      <c r="H1564" s="23">
        <v>400</v>
      </c>
      <c r="I1564" s="24">
        <v>45328</v>
      </c>
      <c r="J1564" s="5"/>
      <c r="K1564" s="6"/>
      <c r="L1564" s="6"/>
      <c r="M1564" s="4" t="s">
        <v>30</v>
      </c>
      <c r="N1564" s="4" t="s">
        <v>28</v>
      </c>
      <c r="O1564" s="27">
        <v>108</v>
      </c>
      <c r="P1564" s="3">
        <v>2024</v>
      </c>
      <c r="Q1564" s="3">
        <f>VLOOKUP(C1564,layoffs_location!A:F,6,FALSE)</f>
        <v>47.603832099999998</v>
      </c>
      <c r="R1564" s="3">
        <f>VLOOKUP(C1564,layoffs_location!A:G,7,FALSE)</f>
        <v>-122.330062</v>
      </c>
    </row>
    <row r="1565" spans="1:18" ht="16" x14ac:dyDescent="0.2">
      <c r="A1565" s="3">
        <v>1564</v>
      </c>
      <c r="B1565" s="26" t="s">
        <v>431</v>
      </c>
      <c r="C1565" s="17" t="s">
        <v>1370</v>
      </c>
      <c r="D1565" s="3" t="str">
        <f>VLOOKUP(C1565,layoffs_location!A:B,2,FALSE)</f>
        <v>San Francisco Bay Area</v>
      </c>
      <c r="E1565" s="3" t="str">
        <f>VLOOKUP(C1565,layoffs_location!A:C,3,FALSE)</f>
        <v>California</v>
      </c>
      <c r="F1565" s="3" t="str">
        <f>VLOOKUP(C1565,layoffs_location!A:D,4,FALSE)</f>
        <v>USA</v>
      </c>
      <c r="G1565" s="3" t="str">
        <f>VLOOKUP(C1565,layoffs_location!A:E,5,FALSE)</f>
        <v>North America</v>
      </c>
      <c r="H1565" s="23">
        <v>440</v>
      </c>
      <c r="I1565" s="24">
        <v>45328</v>
      </c>
      <c r="J1565" s="5">
        <v>6</v>
      </c>
      <c r="K1565" s="6">
        <v>7333</v>
      </c>
      <c r="L1565" s="6">
        <v>6893</v>
      </c>
      <c r="M1565" s="4" t="s">
        <v>92</v>
      </c>
      <c r="N1565" s="4" t="s">
        <v>28</v>
      </c>
      <c r="O1565" s="27">
        <v>536</v>
      </c>
      <c r="P1565" s="3">
        <v>2024</v>
      </c>
      <c r="Q1565" s="3">
        <f>VLOOKUP(C1565,layoffs_location!A:F,6,FALSE)</f>
        <v>37.779258800000001</v>
      </c>
      <c r="R1565" s="3">
        <f>VLOOKUP(C1565,layoffs_location!A:G,7,FALSE)</f>
        <v>-122.4193286</v>
      </c>
    </row>
    <row r="1566" spans="1:18" ht="16" x14ac:dyDescent="0.2">
      <c r="A1566" s="3">
        <v>1565</v>
      </c>
      <c r="B1566" s="26" t="s">
        <v>1559</v>
      </c>
      <c r="C1566" s="26" t="s">
        <v>43</v>
      </c>
      <c r="D1566" s="3" t="str">
        <f>VLOOKUP(C1566,layoffs_location!A:B,2,FALSE)</f>
        <v>Cascadia</v>
      </c>
      <c r="E1566" s="3" t="str">
        <f>VLOOKUP(C1566,layoffs_location!A:C,3,FALSE)</f>
        <v>Washington</v>
      </c>
      <c r="F1566" s="3" t="str">
        <f>VLOOKUP(C1566,layoffs_location!A:D,4,FALSE)</f>
        <v>USA</v>
      </c>
      <c r="G1566" s="3" t="str">
        <f>VLOOKUP(C1566,layoffs_location!A:E,5,FALSE)</f>
        <v>North America</v>
      </c>
      <c r="H1566" s="27"/>
      <c r="I1566" s="24">
        <v>45328</v>
      </c>
      <c r="J1566" s="5"/>
      <c r="K1566" s="6"/>
      <c r="L1566" s="6"/>
      <c r="M1566" s="4" t="s">
        <v>155</v>
      </c>
      <c r="N1566" s="4" t="s">
        <v>36</v>
      </c>
      <c r="O1566" s="27">
        <v>133</v>
      </c>
      <c r="P1566" s="3">
        <v>2024</v>
      </c>
      <c r="Q1566" s="3">
        <f>VLOOKUP(C1566,layoffs_location!A:F,6,FALSE)</f>
        <v>47.603832099999998</v>
      </c>
      <c r="R1566" s="3">
        <f>VLOOKUP(C1566,layoffs_location!A:G,7,FALSE)</f>
        <v>-122.330062</v>
      </c>
    </row>
    <row r="1567" spans="1:18" ht="16" x14ac:dyDescent="0.2">
      <c r="A1567" s="3">
        <v>1566</v>
      </c>
      <c r="B1567" s="26" t="s">
        <v>427</v>
      </c>
      <c r="C1567" s="26" t="s">
        <v>39</v>
      </c>
      <c r="D1567" s="3" t="str">
        <f>VLOOKUP(C1567,layoffs_location!A:B,2,FALSE)</f>
        <v>New York</v>
      </c>
      <c r="E1567" s="3" t="str">
        <f>VLOOKUP(C1567,layoffs_location!A:C,3,FALSE)</f>
        <v>New York</v>
      </c>
      <c r="F1567" s="3" t="str">
        <f>VLOOKUP(C1567,layoffs_location!A:D,4,FALSE)</f>
        <v>USA</v>
      </c>
      <c r="G1567" s="3" t="str">
        <f>VLOOKUP(C1567,layoffs_location!A:E,5,FALSE)</f>
        <v>North America</v>
      </c>
      <c r="H1567" s="23">
        <v>20</v>
      </c>
      <c r="I1567" s="24">
        <v>45329</v>
      </c>
      <c r="J1567" s="5">
        <v>3</v>
      </c>
      <c r="K1567" s="6">
        <v>667</v>
      </c>
      <c r="L1567" s="6">
        <v>647</v>
      </c>
      <c r="M1567" s="4" t="s">
        <v>117</v>
      </c>
      <c r="N1567" s="4" t="s">
        <v>36</v>
      </c>
      <c r="O1567" s="27">
        <v>1</v>
      </c>
      <c r="P1567" s="3">
        <v>2024</v>
      </c>
      <c r="Q1567" s="3">
        <f>VLOOKUP(C1567,layoffs_location!A:F,6,FALSE)</f>
        <v>40.7127281</v>
      </c>
      <c r="R1567" s="3">
        <f>VLOOKUP(C1567,layoffs_location!A:G,7,FALSE)</f>
        <v>-74.006015199999993</v>
      </c>
    </row>
    <row r="1568" spans="1:18" ht="16" x14ac:dyDescent="0.2">
      <c r="A1568" s="3">
        <v>1567</v>
      </c>
      <c r="B1568" s="26" t="s">
        <v>1563</v>
      </c>
      <c r="C1568" s="17" t="s">
        <v>1370</v>
      </c>
      <c r="D1568" s="3" t="str">
        <f>VLOOKUP(C1568,layoffs_location!A:B,2,FALSE)</f>
        <v>San Francisco Bay Area</v>
      </c>
      <c r="E1568" s="3" t="str">
        <f>VLOOKUP(C1568,layoffs_location!A:C,3,FALSE)</f>
        <v>California</v>
      </c>
      <c r="F1568" s="3" t="str">
        <f>VLOOKUP(C1568,layoffs_location!A:D,4,FALSE)</f>
        <v>USA</v>
      </c>
      <c r="G1568" s="3" t="str">
        <f>VLOOKUP(C1568,layoffs_location!A:E,5,FALSE)</f>
        <v>North America</v>
      </c>
      <c r="H1568" s="23">
        <v>230</v>
      </c>
      <c r="I1568" s="24">
        <v>45329</v>
      </c>
      <c r="J1568" s="5"/>
      <c r="K1568" s="6"/>
      <c r="L1568" s="6"/>
      <c r="M1568" s="4" t="s">
        <v>16</v>
      </c>
      <c r="N1568" s="4" t="s">
        <v>22</v>
      </c>
      <c r="O1568" s="27">
        <v>400</v>
      </c>
      <c r="P1568" s="3">
        <v>2024</v>
      </c>
      <c r="Q1568" s="3">
        <f>VLOOKUP(C1568,layoffs_location!A:F,6,FALSE)</f>
        <v>37.779258800000001</v>
      </c>
      <c r="R1568" s="3">
        <f>VLOOKUP(C1568,layoffs_location!A:G,7,FALSE)</f>
        <v>-122.4193286</v>
      </c>
    </row>
    <row r="1569" spans="1:18" ht="16" x14ac:dyDescent="0.2">
      <c r="A1569" s="3">
        <v>1568</v>
      </c>
      <c r="B1569" s="26" t="s">
        <v>1655</v>
      </c>
      <c r="C1569" s="26" t="s">
        <v>269</v>
      </c>
      <c r="D1569" s="3" t="str">
        <f>VLOOKUP(C1569,layoffs_location!A:B,2,FALSE)</f>
        <v>other</v>
      </c>
      <c r="E1569" s="3" t="str">
        <f>VLOOKUP(C1569,layoffs_location!A:C,3,FALSE)</f>
        <v>Maryland</v>
      </c>
      <c r="F1569" s="3" t="str">
        <f>VLOOKUP(C1569,layoffs_location!A:D,4,FALSE)</f>
        <v>USA</v>
      </c>
      <c r="G1569" s="3" t="str">
        <f>VLOOKUP(C1569,layoffs_location!A:E,5,FALSE)</f>
        <v>North America</v>
      </c>
      <c r="H1569" s="27"/>
      <c r="I1569" s="24">
        <v>45329</v>
      </c>
      <c r="J1569" s="5">
        <v>5</v>
      </c>
      <c r="K1569" s="6"/>
      <c r="L1569" s="6"/>
      <c r="M1569" s="4" t="s">
        <v>139</v>
      </c>
      <c r="N1569" s="4" t="s">
        <v>28</v>
      </c>
      <c r="O1569" s="27">
        <v>565</v>
      </c>
      <c r="P1569" s="3">
        <v>2024</v>
      </c>
      <c r="Q1569" s="3">
        <f>VLOOKUP(C1569,layoffs_location!A:F,6,FALSE)</f>
        <v>39.290881599999999</v>
      </c>
      <c r="R1569" s="3">
        <f>VLOOKUP(C1569,layoffs_location!A:G,7,FALSE)</f>
        <v>-76.610759000000002</v>
      </c>
    </row>
    <row r="1570" spans="1:18" ht="16" x14ac:dyDescent="0.2">
      <c r="A1570" s="3">
        <v>1569</v>
      </c>
      <c r="B1570" s="26" t="s">
        <v>1678</v>
      </c>
      <c r="C1570" s="26" t="s">
        <v>1337</v>
      </c>
      <c r="D1570" s="3" t="str">
        <f>VLOOKUP(C1570,layoffs_location!A:B,2,FALSE)</f>
        <v>other</v>
      </c>
      <c r="E1570" s="3" t="str">
        <f>VLOOKUP(C1570,layoffs_location!A:C,3,FALSE)</f>
        <v>non</v>
      </c>
      <c r="F1570" s="3" t="str">
        <f>VLOOKUP(C1570,layoffs_location!A:D,4,FALSE)</f>
        <v>Finland</v>
      </c>
      <c r="G1570" s="3" t="str">
        <f>VLOOKUP(C1570,layoffs_location!A:E,5,FALSE)</f>
        <v>Europe</v>
      </c>
      <c r="H1570" s="27"/>
      <c r="I1570" s="24">
        <v>45329</v>
      </c>
      <c r="J1570" s="5">
        <v>100</v>
      </c>
      <c r="K1570" s="6"/>
      <c r="L1570" s="6">
        <v>0</v>
      </c>
      <c r="M1570" s="4" t="s">
        <v>84</v>
      </c>
      <c r="N1570" s="4" t="s">
        <v>147</v>
      </c>
      <c r="O1570" s="27">
        <v>3</v>
      </c>
      <c r="P1570" s="3">
        <v>2024</v>
      </c>
      <c r="Q1570" s="3">
        <f>VLOOKUP(C1570,layoffs_location!A:F,6,FALSE)</f>
        <v>60.204767199999999</v>
      </c>
      <c r="R1570" s="3">
        <f>VLOOKUP(C1570,layoffs_location!A:G,7,FALSE)</f>
        <v>24.656843500000001</v>
      </c>
    </row>
    <row r="1571" spans="1:18" ht="16" x14ac:dyDescent="0.2">
      <c r="A1571" s="3">
        <v>1570</v>
      </c>
      <c r="B1571" s="26" t="s">
        <v>1296</v>
      </c>
      <c r="C1571" s="17" t="s">
        <v>1370</v>
      </c>
      <c r="D1571" s="3" t="str">
        <f>VLOOKUP(C1571,layoffs_location!A:B,2,FALSE)</f>
        <v>San Francisco Bay Area</v>
      </c>
      <c r="E1571" s="3" t="str">
        <f>VLOOKUP(C1571,layoffs_location!A:C,3,FALSE)</f>
        <v>California</v>
      </c>
      <c r="F1571" s="3" t="str">
        <f>VLOOKUP(C1571,layoffs_location!A:D,4,FALSE)</f>
        <v>USA</v>
      </c>
      <c r="G1571" s="3" t="str">
        <f>VLOOKUP(C1571,layoffs_location!A:E,5,FALSE)</f>
        <v>North America</v>
      </c>
      <c r="H1571" s="27"/>
      <c r="I1571" s="24">
        <v>45330</v>
      </c>
      <c r="J1571" s="5">
        <v>30</v>
      </c>
      <c r="K1571" s="6"/>
      <c r="L1571" s="6"/>
      <c r="M1571" s="4" t="s">
        <v>32</v>
      </c>
      <c r="N1571" s="4" t="s">
        <v>28</v>
      </c>
      <c r="O1571" s="27">
        <v>948</v>
      </c>
      <c r="P1571" s="3">
        <v>2024</v>
      </c>
      <c r="Q1571" s="3">
        <f>VLOOKUP(C1571,layoffs_location!A:F,6,FALSE)</f>
        <v>37.779258800000001</v>
      </c>
      <c r="R1571" s="3">
        <f>VLOOKUP(C1571,layoffs_location!A:G,7,FALSE)</f>
        <v>-122.4193286</v>
      </c>
    </row>
    <row r="1572" spans="1:18" ht="16" x14ac:dyDescent="0.2">
      <c r="A1572" s="3">
        <v>1571</v>
      </c>
      <c r="B1572" s="26" t="s">
        <v>1583</v>
      </c>
      <c r="C1572" s="11" t="s">
        <v>154</v>
      </c>
      <c r="D1572" s="3" t="str">
        <f>VLOOKUP(C1572,layoffs_location!A:B,2,FALSE)</f>
        <v>other</v>
      </c>
      <c r="E1572" s="3" t="str">
        <f>VLOOKUP(C1572,layoffs_location!A:C,3,FALSE)</f>
        <v>Illinois</v>
      </c>
      <c r="F1572" s="3" t="str">
        <f>VLOOKUP(C1572,layoffs_location!A:D,4,FALSE)</f>
        <v>USA</v>
      </c>
      <c r="G1572" s="3" t="str">
        <f>VLOOKUP(C1572,layoffs_location!A:E,5,FALSE)</f>
        <v>North America</v>
      </c>
      <c r="H1572" s="27"/>
      <c r="I1572" s="24">
        <v>45330</v>
      </c>
      <c r="J1572" s="5">
        <v>100</v>
      </c>
      <c r="K1572" s="6"/>
      <c r="L1572" s="6">
        <v>0</v>
      </c>
      <c r="M1572" s="4" t="s">
        <v>72</v>
      </c>
      <c r="N1572" s="4" t="s">
        <v>49</v>
      </c>
      <c r="O1572" s="27">
        <v>31</v>
      </c>
      <c r="P1572" s="3">
        <v>2024</v>
      </c>
      <c r="Q1572" s="3">
        <f>VLOOKUP(C1572,layoffs_location!A:F,6,FALSE)</f>
        <v>41.875561599999997</v>
      </c>
      <c r="R1572" s="3">
        <f>VLOOKUP(C1572,layoffs_location!A:G,7,FALSE)</f>
        <v>-87.6244212</v>
      </c>
    </row>
    <row r="1573" spans="1:18" ht="16" x14ac:dyDescent="0.2">
      <c r="A1573" s="3">
        <v>1572</v>
      </c>
      <c r="B1573" s="26" t="s">
        <v>1616</v>
      </c>
      <c r="C1573" s="26" t="s">
        <v>725</v>
      </c>
      <c r="D1573" s="3" t="str">
        <f>VLOOKUP(C1573,layoffs_location!A:B,2,FALSE)</f>
        <v>other</v>
      </c>
      <c r="E1573" s="3" t="str">
        <f>VLOOKUP(C1573,layoffs_location!A:C,3,FALSE)</f>
        <v>non</v>
      </c>
      <c r="F1573" s="3" t="str">
        <f>VLOOKUP(C1573,layoffs_location!A:D,4,FALSE)</f>
        <v>Norway</v>
      </c>
      <c r="G1573" s="3" t="str">
        <f>VLOOKUP(C1573,layoffs_location!A:E,5,FALSE)</f>
        <v>Europe</v>
      </c>
      <c r="H1573" s="23">
        <v>65</v>
      </c>
      <c r="I1573" s="24">
        <v>45330</v>
      </c>
      <c r="J1573" s="5">
        <v>15</v>
      </c>
      <c r="K1573" s="6">
        <v>433</v>
      </c>
      <c r="L1573" s="6">
        <v>368</v>
      </c>
      <c r="M1573" s="4" t="s">
        <v>27</v>
      </c>
      <c r="N1573" s="4" t="s">
        <v>28</v>
      </c>
      <c r="O1573" s="27">
        <v>247</v>
      </c>
      <c r="P1573" s="3">
        <v>2024</v>
      </c>
      <c r="Q1573" s="3">
        <f>VLOOKUP(C1573,layoffs_location!A:F,6,FALSE)</f>
        <v>59.913330100000003</v>
      </c>
      <c r="R1573" s="3">
        <f>VLOOKUP(C1573,layoffs_location!A:G,7,FALSE)</f>
        <v>10.7389701</v>
      </c>
    </row>
    <row r="1574" spans="1:18" ht="16" x14ac:dyDescent="0.2">
      <c r="A1574" s="3">
        <v>1573</v>
      </c>
      <c r="B1574" s="37" t="s">
        <v>1629</v>
      </c>
      <c r="C1574" s="37" t="s">
        <v>1415</v>
      </c>
      <c r="D1574" s="3" t="str">
        <f>VLOOKUP(C1574,layoffs_location!A:B,2,FALSE)</f>
        <v>San Francisco Bay Area</v>
      </c>
      <c r="E1574" s="3" t="str">
        <f>VLOOKUP(C1574,layoffs_location!A:C,3,FALSE)</f>
        <v>California</v>
      </c>
      <c r="F1574" s="3" t="str">
        <f>VLOOKUP(C1574,layoffs_location!A:D,4,FALSE)</f>
        <v>USA</v>
      </c>
      <c r="G1574" s="3" t="str">
        <f>VLOOKUP(C1574,layoffs_location!A:E,5,FALSE)</f>
        <v>North America</v>
      </c>
      <c r="H1574" s="42">
        <v>275</v>
      </c>
      <c r="I1574" s="43">
        <v>45330</v>
      </c>
      <c r="J1574" s="44"/>
      <c r="K1574" s="6"/>
      <c r="L1574" s="6"/>
      <c r="M1574" s="36" t="s">
        <v>79</v>
      </c>
      <c r="N1574" s="36" t="s">
        <v>28</v>
      </c>
      <c r="O1574" s="45">
        <v>529</v>
      </c>
      <c r="P1574" s="3">
        <v>2024</v>
      </c>
      <c r="Q1574" s="3">
        <f>VLOOKUP(C1574,layoffs_location!A:F,6,FALSE)</f>
        <v>37.354106999999999</v>
      </c>
      <c r="R1574" s="3">
        <f>VLOOKUP(C1574,layoffs_location!A:G,7,FALSE)</f>
        <v>-121.95523799999999</v>
      </c>
    </row>
    <row r="1575" spans="1:18" ht="16" x14ac:dyDescent="0.2">
      <c r="A1575" s="3">
        <v>1574</v>
      </c>
      <c r="B1575" s="11" t="s">
        <v>1519</v>
      </c>
      <c r="C1575" s="11" t="s">
        <v>13</v>
      </c>
      <c r="D1575" s="3" t="str">
        <f>VLOOKUP(C1575,layoffs_location!A:B,2,FALSE)</f>
        <v>other</v>
      </c>
      <c r="E1575" s="3" t="str">
        <f>VLOOKUP(C1575,layoffs_location!A:C,3,FALSE)</f>
        <v>Karnataka</v>
      </c>
      <c r="F1575" s="3" t="str">
        <f>VLOOKUP(C1575,layoffs_location!A:D,4,FALSE)</f>
        <v>India</v>
      </c>
      <c r="G1575" s="3" t="str">
        <f>VLOOKUP(C1575,layoffs_location!A:E,5,FALSE)</f>
        <v>Asia</v>
      </c>
      <c r="H1575" s="12">
        <v>21</v>
      </c>
      <c r="I1575" s="13">
        <v>45331</v>
      </c>
      <c r="J1575" s="14">
        <v>18</v>
      </c>
      <c r="K1575" s="15">
        <v>117</v>
      </c>
      <c r="L1575" s="15">
        <v>96</v>
      </c>
      <c r="M1575" s="7" t="s">
        <v>30</v>
      </c>
      <c r="N1575" s="7" t="s">
        <v>69</v>
      </c>
      <c r="O1575" s="16">
        <v>20</v>
      </c>
      <c r="P1575" s="3">
        <v>2024</v>
      </c>
      <c r="Q1575" s="3">
        <f>VLOOKUP(C1575,layoffs_location!A:F,6,FALSE)</f>
        <v>12.98815675</v>
      </c>
      <c r="R1575" s="3">
        <f>VLOOKUP(C1575,layoffs_location!A:G,7,FALSE)</f>
        <v>77.622600037959998</v>
      </c>
    </row>
    <row r="1576" spans="1:18" ht="16" x14ac:dyDescent="0.2">
      <c r="A1576" s="3">
        <v>1575</v>
      </c>
      <c r="B1576" s="11" t="s">
        <v>1585</v>
      </c>
      <c r="C1576" s="11" t="s">
        <v>74</v>
      </c>
      <c r="D1576" s="3" t="str">
        <f>VLOOKUP(C1576,layoffs_location!A:B,2,FALSE)</f>
        <v>other</v>
      </c>
      <c r="E1576" s="3" t="str">
        <f>VLOOKUP(C1576,layoffs_location!A:C,3,FALSE)</f>
        <v>California</v>
      </c>
      <c r="F1576" s="3" t="str">
        <f>VLOOKUP(C1576,layoffs_location!A:D,4,FALSE)</f>
        <v>USA</v>
      </c>
      <c r="G1576" s="3" t="str">
        <f>VLOOKUP(C1576,layoffs_location!A:E,5,FALSE)</f>
        <v>North America</v>
      </c>
      <c r="H1576" s="16"/>
      <c r="I1576" s="13">
        <v>45331</v>
      </c>
      <c r="J1576" s="14"/>
      <c r="K1576" s="15"/>
      <c r="L1576" s="15"/>
      <c r="M1576" s="7" t="s">
        <v>60</v>
      </c>
      <c r="N1576" s="7" t="s">
        <v>41</v>
      </c>
      <c r="O1576" s="16">
        <v>188</v>
      </c>
      <c r="P1576" s="3">
        <v>2024</v>
      </c>
      <c r="Q1576" s="3">
        <f>VLOOKUP(C1576,layoffs_location!A:F,6,FALSE)</f>
        <v>32.717420199999999</v>
      </c>
      <c r="R1576" s="3">
        <f>VLOOKUP(C1576,layoffs_location!A:G,7,FALSE)</f>
        <v>-117.162772</v>
      </c>
    </row>
    <row r="1577" spans="1:18" ht="16" x14ac:dyDescent="0.2">
      <c r="A1577" s="3">
        <v>1576</v>
      </c>
      <c r="B1577" s="11" t="s">
        <v>1595</v>
      </c>
      <c r="C1577" s="11" t="s">
        <v>13</v>
      </c>
      <c r="D1577" s="3" t="str">
        <f>VLOOKUP(C1577,layoffs_location!A:B,2,FALSE)</f>
        <v>other</v>
      </c>
      <c r="E1577" s="3" t="str">
        <f>VLOOKUP(C1577,layoffs_location!A:C,3,FALSE)</f>
        <v>Karnataka</v>
      </c>
      <c r="F1577" s="3" t="str">
        <f>VLOOKUP(C1577,layoffs_location!A:D,4,FALSE)</f>
        <v>India</v>
      </c>
      <c r="G1577" s="3" t="str">
        <f>VLOOKUP(C1577,layoffs_location!A:E,5,FALSE)</f>
        <v>Asia</v>
      </c>
      <c r="H1577" s="12">
        <v>80</v>
      </c>
      <c r="I1577" s="13">
        <v>45331</v>
      </c>
      <c r="J1577" s="14">
        <v>3</v>
      </c>
      <c r="K1577" s="15">
        <v>2667</v>
      </c>
      <c r="L1577" s="15">
        <v>2587</v>
      </c>
      <c r="M1577" s="7" t="s">
        <v>77</v>
      </c>
      <c r="N1577" s="7" t="s">
        <v>63</v>
      </c>
      <c r="O1577" s="16">
        <v>490</v>
      </c>
      <c r="P1577" s="3">
        <v>2024</v>
      </c>
      <c r="Q1577" s="3">
        <f>VLOOKUP(C1577,layoffs_location!A:F,6,FALSE)</f>
        <v>12.98815675</v>
      </c>
      <c r="R1577" s="3">
        <f>VLOOKUP(C1577,layoffs_location!A:G,7,FALSE)</f>
        <v>77.622600037959998</v>
      </c>
    </row>
    <row r="1578" spans="1:18" ht="16" x14ac:dyDescent="0.2">
      <c r="A1578" s="3">
        <v>1577</v>
      </c>
      <c r="B1578" s="11" t="s">
        <v>401</v>
      </c>
      <c r="C1578" s="11" t="s">
        <v>39</v>
      </c>
      <c r="D1578" s="3" t="str">
        <f>VLOOKUP(C1578,layoffs_location!A:B,2,FALSE)</f>
        <v>New York</v>
      </c>
      <c r="E1578" s="3" t="str">
        <f>VLOOKUP(C1578,layoffs_location!A:C,3,FALSE)</f>
        <v>New York</v>
      </c>
      <c r="F1578" s="3" t="str">
        <f>VLOOKUP(C1578,layoffs_location!A:D,4,FALSE)</f>
        <v>USA</v>
      </c>
      <c r="G1578" s="3" t="str">
        <f>VLOOKUP(C1578,layoffs_location!A:E,5,FALSE)</f>
        <v>North America</v>
      </c>
      <c r="H1578" s="12">
        <v>160</v>
      </c>
      <c r="I1578" s="13">
        <v>45334</v>
      </c>
      <c r="J1578" s="14">
        <v>3</v>
      </c>
      <c r="K1578" s="15">
        <v>5333</v>
      </c>
      <c r="L1578" s="15">
        <v>5173</v>
      </c>
      <c r="M1578" s="7" t="s">
        <v>54</v>
      </c>
      <c r="N1578" s="7" t="s">
        <v>28</v>
      </c>
      <c r="O1578" s="16">
        <v>525</v>
      </c>
      <c r="P1578" s="3">
        <v>2024</v>
      </c>
      <c r="Q1578" s="3">
        <f>VLOOKUP(C1578,layoffs_location!A:F,6,FALSE)</f>
        <v>40.7127281</v>
      </c>
      <c r="R1578" s="3">
        <f>VLOOKUP(C1578,layoffs_location!A:G,7,FALSE)</f>
        <v>-74.006015199999993</v>
      </c>
    </row>
    <row r="1579" spans="1:18" ht="16" x14ac:dyDescent="0.2">
      <c r="A1579" s="3">
        <v>1578</v>
      </c>
      <c r="B1579" s="11" t="s">
        <v>1546</v>
      </c>
      <c r="C1579" s="11" t="s">
        <v>47</v>
      </c>
      <c r="D1579" s="3" t="str">
        <f>VLOOKUP(C1579,layoffs_location!A:B,2,FALSE)</f>
        <v>other</v>
      </c>
      <c r="E1579" s="3" t="str">
        <f>VLOOKUP(C1579,layoffs_location!A:C,3,FALSE)</f>
        <v>non</v>
      </c>
      <c r="F1579" s="3" t="str">
        <f>VLOOKUP(C1579,layoffs_location!A:D,4,FALSE)</f>
        <v>Israel</v>
      </c>
      <c r="G1579" s="3" t="str">
        <f>VLOOKUP(C1579,layoffs_location!A:E,5,FALSE)</f>
        <v>Asia</v>
      </c>
      <c r="H1579" s="16"/>
      <c r="I1579" s="13">
        <v>45335</v>
      </c>
      <c r="J1579" s="14">
        <v>100</v>
      </c>
      <c r="K1579" s="15"/>
      <c r="L1579" s="15">
        <v>0</v>
      </c>
      <c r="M1579" s="7" t="s">
        <v>16</v>
      </c>
      <c r="N1579" s="7" t="s">
        <v>69</v>
      </c>
      <c r="O1579" s="16">
        <v>15</v>
      </c>
      <c r="P1579" s="3">
        <v>2024</v>
      </c>
      <c r="Q1579" s="3">
        <f>VLOOKUP(C1579,layoffs_location!A:F,6,FALSE)</f>
        <v>32.0852997</v>
      </c>
      <c r="R1579" s="3">
        <f>VLOOKUP(C1579,layoffs_location!A:G,7,FALSE)</f>
        <v>34.781806400000001</v>
      </c>
    </row>
    <row r="1580" spans="1:18" ht="16" x14ac:dyDescent="0.2">
      <c r="A1580" s="3">
        <v>1579</v>
      </c>
      <c r="B1580" s="11" t="s">
        <v>1571</v>
      </c>
      <c r="C1580" s="11" t="s">
        <v>43</v>
      </c>
      <c r="D1580" s="3" t="str">
        <f>VLOOKUP(C1580,layoffs_location!A:B,2,FALSE)</f>
        <v>Cascadia</v>
      </c>
      <c r="E1580" s="3" t="str">
        <f>VLOOKUP(C1580,layoffs_location!A:C,3,FALSE)</f>
        <v>Washington</v>
      </c>
      <c r="F1580" s="3" t="str">
        <f>VLOOKUP(C1580,layoffs_location!A:D,4,FALSE)</f>
        <v>USA</v>
      </c>
      <c r="G1580" s="3" t="str">
        <f>VLOOKUP(C1580,layoffs_location!A:E,5,FALSE)</f>
        <v>North America</v>
      </c>
      <c r="H1580" s="12">
        <v>50</v>
      </c>
      <c r="I1580" s="13">
        <v>45335</v>
      </c>
      <c r="J1580" s="14">
        <v>10</v>
      </c>
      <c r="K1580" s="15">
        <v>500</v>
      </c>
      <c r="L1580" s="15">
        <v>450</v>
      </c>
      <c r="M1580" s="7" t="s">
        <v>60</v>
      </c>
      <c r="N1580" s="7" t="s">
        <v>28</v>
      </c>
      <c r="O1580" s="16">
        <v>137</v>
      </c>
      <c r="P1580" s="3">
        <v>2024</v>
      </c>
      <c r="Q1580" s="3">
        <f>VLOOKUP(C1580,layoffs_location!A:F,6,FALSE)</f>
        <v>47.603832099999998</v>
      </c>
      <c r="R1580" s="3">
        <f>VLOOKUP(C1580,layoffs_location!A:G,7,FALSE)</f>
        <v>-122.330062</v>
      </c>
    </row>
    <row r="1581" spans="1:18" ht="16" x14ac:dyDescent="0.2">
      <c r="A1581" s="3">
        <v>1580</v>
      </c>
      <c r="B1581" s="11" t="s">
        <v>1576</v>
      </c>
      <c r="C1581" s="11" t="s">
        <v>1370</v>
      </c>
      <c r="D1581" s="3" t="str">
        <f>VLOOKUP(C1581,layoffs_location!A:B,2,FALSE)</f>
        <v>San Francisco Bay Area</v>
      </c>
      <c r="E1581" s="3" t="str">
        <f>VLOOKUP(C1581,layoffs_location!A:C,3,FALSE)</f>
        <v>California</v>
      </c>
      <c r="F1581" s="3" t="str">
        <f>VLOOKUP(C1581,layoffs_location!A:D,4,FALSE)</f>
        <v>USA</v>
      </c>
      <c r="G1581" s="3" t="str">
        <f>VLOOKUP(C1581,layoffs_location!A:E,5,FALSE)</f>
        <v>North America</v>
      </c>
      <c r="H1581" s="12">
        <v>250</v>
      </c>
      <c r="I1581" s="13">
        <v>45335</v>
      </c>
      <c r="J1581" s="14">
        <v>7</v>
      </c>
      <c r="K1581" s="15">
        <v>3571</v>
      </c>
      <c r="L1581" s="15">
        <v>3321</v>
      </c>
      <c r="M1581" s="7" t="s">
        <v>77</v>
      </c>
      <c r="N1581" s="7" t="s">
        <v>28</v>
      </c>
      <c r="O1581" s="16">
        <v>2.9</v>
      </c>
      <c r="P1581" s="3">
        <v>2024</v>
      </c>
      <c r="Q1581" s="3">
        <f>VLOOKUP(C1581,layoffs_location!A:F,6,FALSE)</f>
        <v>37.779258800000001</v>
      </c>
      <c r="R1581" s="3">
        <f>VLOOKUP(C1581,layoffs_location!A:G,7,FALSE)</f>
        <v>-122.4193286</v>
      </c>
    </row>
    <row r="1582" spans="1:18" ht="16" x14ac:dyDescent="0.2">
      <c r="A1582" s="3">
        <v>1581</v>
      </c>
      <c r="B1582" s="11" t="s">
        <v>1084</v>
      </c>
      <c r="C1582" s="11" t="s">
        <v>1370</v>
      </c>
      <c r="D1582" s="3" t="str">
        <f>VLOOKUP(C1582,layoffs_location!A:B,2,FALSE)</f>
        <v>San Francisco Bay Area</v>
      </c>
      <c r="E1582" s="3" t="str">
        <f>VLOOKUP(C1582,layoffs_location!A:C,3,FALSE)</f>
        <v>California</v>
      </c>
      <c r="F1582" s="3" t="str">
        <f>VLOOKUP(C1582,layoffs_location!A:D,4,FALSE)</f>
        <v>USA</v>
      </c>
      <c r="G1582" s="3" t="str">
        <f>VLOOKUP(C1582,layoffs_location!A:E,5,FALSE)</f>
        <v>North America</v>
      </c>
      <c r="H1582" s="12">
        <v>60</v>
      </c>
      <c r="I1582" s="13">
        <v>45335</v>
      </c>
      <c r="J1582" s="14">
        <v>5</v>
      </c>
      <c r="K1582" s="15">
        <v>1200</v>
      </c>
      <c r="L1582" s="15">
        <v>1140</v>
      </c>
      <c r="M1582" s="7" t="s">
        <v>16</v>
      </c>
      <c r="N1582" s="7" t="s">
        <v>22</v>
      </c>
      <c r="O1582" s="16">
        <v>2</v>
      </c>
      <c r="P1582" s="3">
        <v>2024</v>
      </c>
      <c r="Q1582" s="3">
        <f>VLOOKUP(C1582,layoffs_location!A:F,6,FALSE)</f>
        <v>37.779258800000001</v>
      </c>
      <c r="R1582" s="3">
        <f>VLOOKUP(C1582,layoffs_location!A:G,7,FALSE)</f>
        <v>-122.4193286</v>
      </c>
    </row>
    <row r="1583" spans="1:18" ht="16" x14ac:dyDescent="0.2">
      <c r="A1583" s="3">
        <v>1582</v>
      </c>
      <c r="B1583" s="11" t="s">
        <v>1622</v>
      </c>
      <c r="C1583" s="11" t="s">
        <v>135</v>
      </c>
      <c r="D1583" s="3" t="str">
        <f>VLOOKUP(C1583,layoffs_location!A:B,2,FALSE)</f>
        <v>other</v>
      </c>
      <c r="E1583" s="3" t="str">
        <f>VLOOKUP(C1583,layoffs_location!A:C,3,FALSE)</f>
        <v>Berlin</v>
      </c>
      <c r="F1583" s="3" t="str">
        <f>VLOOKUP(C1583,layoffs_location!A:D,4,FALSE)</f>
        <v>Germany</v>
      </c>
      <c r="G1583" s="3" t="str">
        <f>VLOOKUP(C1583,layoffs_location!A:E,5,FALSE)</f>
        <v>Europe</v>
      </c>
      <c r="H1583" s="16"/>
      <c r="I1583" s="13">
        <v>45335</v>
      </c>
      <c r="J1583" s="14"/>
      <c r="K1583" s="15"/>
      <c r="L1583" s="15"/>
      <c r="M1583" s="7" t="s">
        <v>16</v>
      </c>
      <c r="N1583" s="7" t="s">
        <v>33</v>
      </c>
      <c r="O1583" s="16"/>
      <c r="P1583" s="3">
        <v>2024</v>
      </c>
      <c r="Q1583" s="3">
        <f>VLOOKUP(C1583,layoffs_location!A:F,6,FALSE)</f>
        <v>52.517036500000003</v>
      </c>
      <c r="R1583" s="3">
        <f>VLOOKUP(C1583,layoffs_location!A:G,7,FALSE)</f>
        <v>13.3888599</v>
      </c>
    </row>
    <row r="1584" spans="1:18" ht="16" x14ac:dyDescent="0.2">
      <c r="A1584" s="3">
        <v>1583</v>
      </c>
      <c r="B1584" s="11" t="s">
        <v>1635</v>
      </c>
      <c r="C1584" s="11" t="s">
        <v>39</v>
      </c>
      <c r="D1584" s="3" t="str">
        <f>VLOOKUP(C1584,layoffs_location!A:B,2,FALSE)</f>
        <v>New York</v>
      </c>
      <c r="E1584" s="3" t="str">
        <f>VLOOKUP(C1584,layoffs_location!A:C,3,FALSE)</f>
        <v>New York</v>
      </c>
      <c r="F1584" s="3" t="str">
        <f>VLOOKUP(C1584,layoffs_location!A:D,4,FALSE)</f>
        <v>USA</v>
      </c>
      <c r="G1584" s="3" t="str">
        <f>VLOOKUP(C1584,layoffs_location!A:E,5,FALSE)</f>
        <v>North America</v>
      </c>
      <c r="H1584" s="12">
        <v>40</v>
      </c>
      <c r="I1584" s="13">
        <v>45335</v>
      </c>
      <c r="J1584" s="14">
        <v>6</v>
      </c>
      <c r="K1584" s="15">
        <v>667</v>
      </c>
      <c r="L1584" s="15">
        <v>627</v>
      </c>
      <c r="M1584" s="7" t="s">
        <v>30</v>
      </c>
      <c r="N1584" s="7" t="s">
        <v>28</v>
      </c>
      <c r="O1584" s="16">
        <v>229</v>
      </c>
      <c r="P1584" s="3">
        <v>2024</v>
      </c>
      <c r="Q1584" s="3">
        <f>VLOOKUP(C1584,layoffs_location!A:F,6,FALSE)</f>
        <v>40.7127281</v>
      </c>
      <c r="R1584" s="3">
        <f>VLOOKUP(C1584,layoffs_location!A:G,7,FALSE)</f>
        <v>-74.006015199999993</v>
      </c>
    </row>
    <row r="1585" spans="1:18" ht="16" x14ac:dyDescent="0.2">
      <c r="A1585" s="3">
        <v>1584</v>
      </c>
      <c r="B1585" s="11" t="s">
        <v>1677</v>
      </c>
      <c r="C1585" s="11" t="s">
        <v>47</v>
      </c>
      <c r="D1585" s="3" t="str">
        <f>VLOOKUP(C1585,layoffs_location!A:B,2,FALSE)</f>
        <v>other</v>
      </c>
      <c r="E1585" s="3" t="str">
        <f>VLOOKUP(C1585,layoffs_location!A:C,3,FALSE)</f>
        <v>non</v>
      </c>
      <c r="F1585" s="3" t="str">
        <f>VLOOKUP(C1585,layoffs_location!A:D,4,FALSE)</f>
        <v>Israel</v>
      </c>
      <c r="G1585" s="3" t="str">
        <f>VLOOKUP(C1585,layoffs_location!A:E,5,FALSE)</f>
        <v>Asia</v>
      </c>
      <c r="H1585" s="16"/>
      <c r="I1585" s="13">
        <v>45335</v>
      </c>
      <c r="J1585" s="14">
        <v>100</v>
      </c>
      <c r="K1585" s="15"/>
      <c r="L1585" s="15">
        <v>0</v>
      </c>
      <c r="M1585" s="7" t="s">
        <v>32</v>
      </c>
      <c r="N1585" s="7" t="s">
        <v>22</v>
      </c>
      <c r="O1585" s="16">
        <v>37</v>
      </c>
      <c r="P1585" s="3">
        <v>2024</v>
      </c>
      <c r="Q1585" s="3">
        <f>VLOOKUP(C1585,layoffs_location!A:F,6,FALSE)</f>
        <v>32.0852997</v>
      </c>
      <c r="R1585" s="3">
        <f>VLOOKUP(C1585,layoffs_location!A:G,7,FALSE)</f>
        <v>34.781806400000001</v>
      </c>
    </row>
    <row r="1586" spans="1:18" ht="16" x14ac:dyDescent="0.2">
      <c r="A1586" s="3">
        <v>1585</v>
      </c>
      <c r="B1586" s="11" t="s">
        <v>278</v>
      </c>
      <c r="C1586" s="11" t="s">
        <v>39</v>
      </c>
      <c r="D1586" s="3" t="str">
        <f>VLOOKUP(C1586,layoffs_location!A:B,2,FALSE)</f>
        <v>New York</v>
      </c>
      <c r="E1586" s="3" t="str">
        <f>VLOOKUP(C1586,layoffs_location!A:C,3,FALSE)</f>
        <v>New York</v>
      </c>
      <c r="F1586" s="3" t="str">
        <f>VLOOKUP(C1586,layoffs_location!A:D,4,FALSE)</f>
        <v>USA</v>
      </c>
      <c r="G1586" s="3" t="str">
        <f>VLOOKUP(C1586,layoffs_location!A:E,5,FALSE)</f>
        <v>North America</v>
      </c>
      <c r="H1586" s="16"/>
      <c r="I1586" s="13">
        <v>45336</v>
      </c>
      <c r="J1586" s="14">
        <v>25</v>
      </c>
      <c r="K1586" s="15"/>
      <c r="L1586" s="15"/>
      <c r="M1586" s="7" t="s">
        <v>30</v>
      </c>
      <c r="N1586" s="7" t="s">
        <v>108</v>
      </c>
      <c r="O1586" s="16">
        <v>181</v>
      </c>
      <c r="P1586" s="3">
        <v>2024</v>
      </c>
      <c r="Q1586" s="3">
        <f>VLOOKUP(C1586,layoffs_location!A:F,6,FALSE)</f>
        <v>40.7127281</v>
      </c>
      <c r="R1586" s="3">
        <f>VLOOKUP(C1586,layoffs_location!A:G,7,FALSE)</f>
        <v>-74.006015199999993</v>
      </c>
    </row>
    <row r="1587" spans="1:18" ht="16" x14ac:dyDescent="0.2">
      <c r="A1587" s="3">
        <v>1586</v>
      </c>
      <c r="B1587" s="11" t="s">
        <v>674</v>
      </c>
      <c r="C1587" s="11" t="s">
        <v>1694</v>
      </c>
      <c r="D1587" s="3" t="str">
        <f>VLOOKUP(C1587,layoffs_location!A:B,2,FALSE)</f>
        <v>San Francisco Bay Area</v>
      </c>
      <c r="E1587" s="3" t="str">
        <f>VLOOKUP(C1587,layoffs_location!A:C,3,FALSE)</f>
        <v>California</v>
      </c>
      <c r="F1587" s="3" t="str">
        <f>VLOOKUP(C1587,layoffs_location!A:D,4,FALSE)</f>
        <v>USA</v>
      </c>
      <c r="G1587" s="3" t="str">
        <f>VLOOKUP(C1587,layoffs_location!A:E,5,FALSE)</f>
        <v>North America</v>
      </c>
      <c r="H1587" s="12">
        <v>4250</v>
      </c>
      <c r="I1587" s="13">
        <v>45336</v>
      </c>
      <c r="J1587" s="14">
        <v>5</v>
      </c>
      <c r="K1587" s="15">
        <v>85000</v>
      </c>
      <c r="L1587" s="15">
        <v>80750</v>
      </c>
      <c r="M1587" s="7" t="s">
        <v>239</v>
      </c>
      <c r="N1587" s="7" t="s">
        <v>28</v>
      </c>
      <c r="O1587" s="16">
        <v>2</v>
      </c>
      <c r="P1587" s="3">
        <v>2024</v>
      </c>
      <c r="Q1587" s="3">
        <f>VLOOKUP(C1587,layoffs_location!A:F,6,FALSE)</f>
        <v>37.336166300000002</v>
      </c>
      <c r="R1587" s="3">
        <f>VLOOKUP(C1587,layoffs_location!A:G,7,FALSE)</f>
        <v>-121.890591</v>
      </c>
    </row>
    <row r="1588" spans="1:18" ht="16" x14ac:dyDescent="0.2">
      <c r="A1588" s="3">
        <v>1587</v>
      </c>
      <c r="B1588" s="11" t="s">
        <v>1676</v>
      </c>
      <c r="C1588" s="11" t="s">
        <v>1336</v>
      </c>
      <c r="D1588" s="3" t="str">
        <f>VLOOKUP(C1588,layoffs_location!A:B,2,FALSE)</f>
        <v>other</v>
      </c>
      <c r="E1588" s="3" t="str">
        <f>VLOOKUP(C1588,layoffs_location!A:C,3,FALSE)</f>
        <v>Maharashtra</v>
      </c>
      <c r="F1588" s="3" t="str">
        <f>VLOOKUP(C1588,layoffs_location!A:D,4,FALSE)</f>
        <v>India</v>
      </c>
      <c r="G1588" s="3" t="str">
        <f>VLOOKUP(C1588,layoffs_location!A:E,5,FALSE)</f>
        <v>Asia</v>
      </c>
      <c r="H1588" s="12">
        <v>19</v>
      </c>
      <c r="I1588" s="13">
        <v>45336</v>
      </c>
      <c r="J1588" s="14">
        <v>20</v>
      </c>
      <c r="K1588" s="15">
        <v>95</v>
      </c>
      <c r="L1588" s="15">
        <v>76</v>
      </c>
      <c r="M1588" s="7" t="s">
        <v>35</v>
      </c>
      <c r="N1588" s="7" t="s">
        <v>69</v>
      </c>
      <c r="O1588" s="16">
        <v>16</v>
      </c>
      <c r="P1588" s="3">
        <v>2024</v>
      </c>
      <c r="Q1588" s="3">
        <f>VLOOKUP(C1588,layoffs_location!A:F,6,FALSE)</f>
        <v>20.0112475</v>
      </c>
      <c r="R1588" s="3">
        <f>VLOOKUP(C1588,layoffs_location!A:G,7,FALSE)</f>
        <v>73.790236399999998</v>
      </c>
    </row>
    <row r="1589" spans="1:18" ht="16" x14ac:dyDescent="0.2">
      <c r="A1589" s="3">
        <v>1588</v>
      </c>
      <c r="B1589" s="11" t="s">
        <v>1531</v>
      </c>
      <c r="C1589" s="3" t="s">
        <v>1370</v>
      </c>
      <c r="D1589" s="3" t="str">
        <f>VLOOKUP(C1589,layoffs_location!A:B,2,FALSE)</f>
        <v>San Francisco Bay Area</v>
      </c>
      <c r="E1589" s="3" t="str">
        <f>VLOOKUP(C1589,layoffs_location!A:C,3,FALSE)</f>
        <v>California</v>
      </c>
      <c r="F1589" s="3" t="str">
        <f>VLOOKUP(C1589,layoffs_location!A:D,4,FALSE)</f>
        <v>USA</v>
      </c>
      <c r="G1589" s="3" t="str">
        <f>VLOOKUP(C1589,layoffs_location!A:E,5,FALSE)</f>
        <v>North America</v>
      </c>
      <c r="H1589" s="16"/>
      <c r="I1589" s="13">
        <v>45337</v>
      </c>
      <c r="J1589" s="14">
        <v>100</v>
      </c>
      <c r="K1589" s="15"/>
      <c r="L1589" s="15">
        <v>0</v>
      </c>
      <c r="M1589" s="7" t="s">
        <v>79</v>
      </c>
      <c r="N1589" s="7" t="s">
        <v>147</v>
      </c>
      <c r="O1589" s="16">
        <v>10</v>
      </c>
      <c r="P1589" s="3">
        <v>2024</v>
      </c>
      <c r="Q1589" s="3">
        <f>VLOOKUP(C1589,layoffs_location!A:F,6,FALSE)</f>
        <v>37.779258800000001</v>
      </c>
      <c r="R1589" s="3">
        <f>VLOOKUP(C1589,layoffs_location!A:G,7,FALSE)</f>
        <v>-122.4193286</v>
      </c>
    </row>
    <row r="1590" spans="1:18" ht="16" x14ac:dyDescent="0.2">
      <c r="A1590" s="3">
        <v>1589</v>
      </c>
      <c r="B1590" s="11" t="s">
        <v>1564</v>
      </c>
      <c r="C1590" s="11" t="s">
        <v>39</v>
      </c>
      <c r="D1590" s="3" t="str">
        <f>VLOOKUP(C1590,layoffs_location!A:B,2,FALSE)</f>
        <v>New York</v>
      </c>
      <c r="E1590" s="3" t="str">
        <f>VLOOKUP(C1590,layoffs_location!A:C,3,FALSE)</f>
        <v>New York</v>
      </c>
      <c r="F1590" s="3" t="str">
        <f>VLOOKUP(C1590,layoffs_location!A:D,4,FALSE)</f>
        <v>USA</v>
      </c>
      <c r="G1590" s="3" t="str">
        <f>VLOOKUP(C1590,layoffs_location!A:E,5,FALSE)</f>
        <v>North America</v>
      </c>
      <c r="H1590" s="12">
        <v>20</v>
      </c>
      <c r="I1590" s="13">
        <v>45337</v>
      </c>
      <c r="J1590" s="14">
        <v>10</v>
      </c>
      <c r="K1590" s="15">
        <v>200</v>
      </c>
      <c r="L1590" s="15">
        <v>180</v>
      </c>
      <c r="M1590" s="7" t="s">
        <v>77</v>
      </c>
      <c r="N1590" s="7" t="s">
        <v>49</v>
      </c>
      <c r="O1590" s="16">
        <v>118</v>
      </c>
      <c r="P1590" s="3">
        <v>2024</v>
      </c>
      <c r="Q1590" s="3">
        <f>VLOOKUP(C1590,layoffs_location!A:F,6,FALSE)</f>
        <v>40.7127281</v>
      </c>
      <c r="R1590" s="3">
        <f>VLOOKUP(C1590,layoffs_location!A:G,7,FALSE)</f>
        <v>-74.006015199999993</v>
      </c>
    </row>
    <row r="1591" spans="1:18" ht="16" x14ac:dyDescent="0.2">
      <c r="A1591" s="3">
        <v>1590</v>
      </c>
      <c r="B1591" s="11" t="s">
        <v>1598</v>
      </c>
      <c r="C1591" s="11" t="s">
        <v>1218</v>
      </c>
      <c r="D1591" s="3" t="str">
        <f>VLOOKUP(C1591,layoffs_location!A:B,2,FALSE)</f>
        <v>other</v>
      </c>
      <c r="E1591" s="3" t="str">
        <f>VLOOKUP(C1591,layoffs_location!A:C,3,FALSE)</f>
        <v>Michigan</v>
      </c>
      <c r="F1591" s="3" t="str">
        <f>VLOOKUP(C1591,layoffs_location!A:D,4,FALSE)</f>
        <v>USA</v>
      </c>
      <c r="G1591" s="3" t="str">
        <f>VLOOKUP(C1591,layoffs_location!A:E,5,FALSE)</f>
        <v>North America</v>
      </c>
      <c r="H1591" s="16"/>
      <c r="I1591" s="13">
        <v>45337</v>
      </c>
      <c r="J1591" s="14">
        <v>13</v>
      </c>
      <c r="K1591" s="15"/>
      <c r="L1591" s="15"/>
      <c r="M1591" s="7" t="s">
        <v>32</v>
      </c>
      <c r="N1591" s="7" t="s">
        <v>108</v>
      </c>
      <c r="O1591" s="16">
        <v>303</v>
      </c>
      <c r="P1591" s="3">
        <v>2024</v>
      </c>
      <c r="Q1591" s="3">
        <f>VLOOKUP(C1591,layoffs_location!A:F,6,FALSE)</f>
        <v>42.2813722</v>
      </c>
      <c r="R1591" s="3">
        <f>VLOOKUP(C1591,layoffs_location!A:G,7,FALSE)</f>
        <v>-83.748461599999999</v>
      </c>
    </row>
    <row r="1592" spans="1:18" ht="16" x14ac:dyDescent="0.2">
      <c r="A1592" s="3">
        <v>1591</v>
      </c>
      <c r="B1592" s="11" t="s">
        <v>411</v>
      </c>
      <c r="C1592" s="11" t="s">
        <v>1370</v>
      </c>
      <c r="D1592" s="3" t="str">
        <f>VLOOKUP(C1592,layoffs_location!A:B,2,FALSE)</f>
        <v>San Francisco Bay Area</v>
      </c>
      <c r="E1592" s="3" t="str">
        <f>VLOOKUP(C1592,layoffs_location!A:C,3,FALSE)</f>
        <v>California</v>
      </c>
      <c r="F1592" s="3" t="str">
        <f>VLOOKUP(C1592,layoffs_location!A:D,4,FALSE)</f>
        <v>USA</v>
      </c>
      <c r="G1592" s="3" t="str">
        <f>VLOOKUP(C1592,layoffs_location!A:E,5,FALSE)</f>
        <v>North America</v>
      </c>
      <c r="H1592" s="12">
        <v>106</v>
      </c>
      <c r="I1592" s="13">
        <v>45337</v>
      </c>
      <c r="J1592" s="14">
        <v>17</v>
      </c>
      <c r="K1592" s="15">
        <v>623</v>
      </c>
      <c r="L1592" s="15">
        <v>517</v>
      </c>
      <c r="M1592" s="7" t="s">
        <v>72</v>
      </c>
      <c r="N1592" s="7" t="s">
        <v>28</v>
      </c>
      <c r="O1592" s="16">
        <v>839</v>
      </c>
      <c r="P1592" s="3">
        <v>2024</v>
      </c>
      <c r="Q1592" s="3">
        <f>VLOOKUP(C1592,layoffs_location!A:F,6,FALSE)</f>
        <v>37.779258800000001</v>
      </c>
      <c r="R1592" s="3">
        <f>VLOOKUP(C1592,layoffs_location!A:G,7,FALSE)</f>
        <v>-122.4193286</v>
      </c>
    </row>
    <row r="1593" spans="1:18" ht="16" x14ac:dyDescent="0.2">
      <c r="A1593" s="3">
        <v>1592</v>
      </c>
      <c r="B1593" s="11" t="s">
        <v>1053</v>
      </c>
      <c r="C1593" s="11" t="s">
        <v>51</v>
      </c>
      <c r="D1593" s="3" t="str">
        <f>VLOOKUP(C1593,layoffs_location!A:B,2,FALSE)</f>
        <v>other</v>
      </c>
      <c r="E1593" s="3" t="str">
        <f>VLOOKUP(C1593,layoffs_location!A:C,3,FALSE)</f>
        <v>non</v>
      </c>
      <c r="F1593" s="3" t="str">
        <f>VLOOKUP(C1593,layoffs_location!A:D,4,FALSE)</f>
        <v>Sweden</v>
      </c>
      <c r="G1593" s="3" t="str">
        <f>VLOOKUP(C1593,layoffs_location!A:E,5,FALSE)</f>
        <v>Europe</v>
      </c>
      <c r="H1593" s="12">
        <v>80</v>
      </c>
      <c r="I1593" s="13">
        <v>45337</v>
      </c>
      <c r="J1593" s="14">
        <v>13</v>
      </c>
      <c r="K1593" s="15">
        <v>615</v>
      </c>
      <c r="L1593" s="15">
        <v>535</v>
      </c>
      <c r="M1593" s="7" t="s">
        <v>16</v>
      </c>
      <c r="N1593" s="7" t="s">
        <v>28</v>
      </c>
      <c r="O1593" s="16">
        <v>312</v>
      </c>
      <c r="P1593" s="3">
        <v>2024</v>
      </c>
      <c r="Q1593" s="3">
        <f>VLOOKUP(C1593,layoffs_location!A:F,6,FALSE)</f>
        <v>59.325117200000001</v>
      </c>
      <c r="R1593" s="3">
        <f>VLOOKUP(C1593,layoffs_location!A:G,7,FALSE)</f>
        <v>18.0710935</v>
      </c>
    </row>
    <row r="1594" spans="1:18" ht="16" x14ac:dyDescent="0.2">
      <c r="A1594" s="3">
        <v>1593</v>
      </c>
      <c r="B1594" s="11" t="s">
        <v>1232</v>
      </c>
      <c r="C1594" s="11" t="s">
        <v>71</v>
      </c>
      <c r="D1594" s="3" t="str">
        <f>VLOOKUP(C1594,layoffs_location!A:B,2,FALSE)</f>
        <v>other</v>
      </c>
      <c r="E1594" s="3" t="str">
        <f>VLOOKUP(C1594,layoffs_location!A:C,3,FALSE)</f>
        <v>Massachusetts</v>
      </c>
      <c r="F1594" s="3" t="str">
        <f>VLOOKUP(C1594,layoffs_location!A:D,4,FALSE)</f>
        <v>USA</v>
      </c>
      <c r="G1594" s="3" t="str">
        <f>VLOOKUP(C1594,layoffs_location!A:E,5,FALSE)</f>
        <v>North America</v>
      </c>
      <c r="H1594" s="12">
        <v>550</v>
      </c>
      <c r="I1594" s="13">
        <v>45337</v>
      </c>
      <c r="J1594" s="14">
        <v>10</v>
      </c>
      <c r="K1594" s="15">
        <v>5500</v>
      </c>
      <c r="L1594" s="15">
        <v>4950</v>
      </c>
      <c r="M1594" s="7" t="s">
        <v>77</v>
      </c>
      <c r="N1594" s="7" t="s">
        <v>28</v>
      </c>
      <c r="O1594" s="16">
        <v>962</v>
      </c>
      <c r="P1594" s="3">
        <v>2024</v>
      </c>
      <c r="Q1594" s="3">
        <f>VLOOKUP(C1594,layoffs_location!A:F,6,FALSE)</f>
        <v>42.355433400000003</v>
      </c>
      <c r="R1594" s="3">
        <f>VLOOKUP(C1594,layoffs_location!A:G,7,FALSE)</f>
        <v>-71.060511000000005</v>
      </c>
    </row>
    <row r="1595" spans="1:18" ht="16" x14ac:dyDescent="0.2">
      <c r="A1595" s="3">
        <v>1594</v>
      </c>
      <c r="B1595" s="11" t="s">
        <v>1547</v>
      </c>
      <c r="C1595" s="11" t="s">
        <v>58</v>
      </c>
      <c r="D1595" s="3" t="str">
        <f>VLOOKUP(C1595,layoffs_location!A:B,2,FALSE)</f>
        <v>other</v>
      </c>
      <c r="E1595" s="3" t="str">
        <f>VLOOKUP(C1595,layoffs_location!A:C,3,FALSE)</f>
        <v>England</v>
      </c>
      <c r="F1595" s="3" t="str">
        <f>VLOOKUP(C1595,layoffs_location!A:D,4,FALSE)</f>
        <v>UK</v>
      </c>
      <c r="G1595" s="3" t="str">
        <f>VLOOKUP(C1595,layoffs_location!A:E,5,FALSE)</f>
        <v>Europe</v>
      </c>
      <c r="H1595" s="12">
        <v>2000</v>
      </c>
      <c r="I1595" s="13">
        <v>45338</v>
      </c>
      <c r="J1595" s="14">
        <v>25</v>
      </c>
      <c r="K1595" s="15">
        <v>8000</v>
      </c>
      <c r="L1595" s="15">
        <v>6000</v>
      </c>
      <c r="M1595" s="7" t="s">
        <v>30</v>
      </c>
      <c r="N1595" s="7" t="s">
        <v>33</v>
      </c>
      <c r="O1595" s="16">
        <v>1.7</v>
      </c>
      <c r="P1595" s="3">
        <v>2024</v>
      </c>
      <c r="Q1595" s="3">
        <f>VLOOKUP(C1595,layoffs_location!A:F,6,FALSE)</f>
        <v>51.489333500000001</v>
      </c>
      <c r="R1595" s="3">
        <f>VLOOKUP(C1595,layoffs_location!A:G,7,FALSE)</f>
        <v>-0.14405508452768701</v>
      </c>
    </row>
    <row r="1596" spans="1:18" ht="16" x14ac:dyDescent="0.2">
      <c r="A1596" s="3">
        <v>1595</v>
      </c>
      <c r="B1596" s="11" t="s">
        <v>612</v>
      </c>
      <c r="C1596" s="11" t="s">
        <v>51</v>
      </c>
      <c r="D1596" s="3" t="str">
        <f>VLOOKUP(C1596,layoffs_location!A:B,2,FALSE)</f>
        <v>other</v>
      </c>
      <c r="E1596" s="3" t="str">
        <f>VLOOKUP(C1596,layoffs_location!A:C,3,FALSE)</f>
        <v>non</v>
      </c>
      <c r="F1596" s="3" t="str">
        <f>VLOOKUP(C1596,layoffs_location!A:D,4,FALSE)</f>
        <v>Sweden</v>
      </c>
      <c r="G1596" s="3" t="str">
        <f>VLOOKUP(C1596,layoffs_location!A:E,5,FALSE)</f>
        <v>Europe</v>
      </c>
      <c r="H1596" s="12">
        <v>120</v>
      </c>
      <c r="I1596" s="13">
        <v>45338</v>
      </c>
      <c r="J1596" s="14">
        <v>12</v>
      </c>
      <c r="K1596" s="15">
        <v>1000</v>
      </c>
      <c r="L1596" s="15">
        <v>880</v>
      </c>
      <c r="M1596" s="7" t="s">
        <v>32</v>
      </c>
      <c r="N1596" s="7" t="s">
        <v>108</v>
      </c>
      <c r="O1596" s="16">
        <v>515</v>
      </c>
      <c r="P1596" s="3">
        <v>2024</v>
      </c>
      <c r="Q1596" s="3">
        <f>VLOOKUP(C1596,layoffs_location!A:F,6,FALSE)</f>
        <v>59.325117200000001</v>
      </c>
      <c r="R1596" s="3">
        <f>VLOOKUP(C1596,layoffs_location!A:G,7,FALSE)</f>
        <v>18.0710935</v>
      </c>
    </row>
    <row r="1597" spans="1:18" ht="16" x14ac:dyDescent="0.2">
      <c r="A1597" s="3">
        <v>1596</v>
      </c>
      <c r="B1597" s="11" t="s">
        <v>1508</v>
      </c>
      <c r="C1597" s="11" t="s">
        <v>1333</v>
      </c>
      <c r="D1597" s="3" t="str">
        <f>VLOOKUP(C1597,layoffs_location!A:B,2,FALSE)</f>
        <v>other</v>
      </c>
      <c r="E1597" s="3" t="str">
        <f>VLOOKUP(C1597,layoffs_location!A:C,3,FALSE)</f>
        <v>non</v>
      </c>
      <c r="F1597" s="3" t="str">
        <f>VLOOKUP(C1597,layoffs_location!A:D,4,FALSE)</f>
        <v>Poland</v>
      </c>
      <c r="G1597" s="3" t="str">
        <f>VLOOKUP(C1597,layoffs_location!A:E,5,FALSE)</f>
        <v>Europe</v>
      </c>
      <c r="H1597" s="12">
        <v>250</v>
      </c>
      <c r="I1597" s="13">
        <v>45342</v>
      </c>
      <c r="J1597" s="14"/>
      <c r="K1597" s="15"/>
      <c r="L1597" s="15"/>
      <c r="M1597" s="7" t="s">
        <v>32</v>
      </c>
      <c r="N1597" s="7" t="s">
        <v>28</v>
      </c>
      <c r="O1597" s="16">
        <v>8</v>
      </c>
      <c r="P1597" s="3">
        <v>2024</v>
      </c>
      <c r="Q1597" s="3">
        <f>VLOOKUP(C1597,layoffs_location!A:F,6,FALSE)</f>
        <v>50.046943200000001</v>
      </c>
      <c r="R1597" s="3">
        <f>VLOOKUP(C1597,layoffs_location!A:G,7,FALSE)</f>
        <v>19.997153435836601</v>
      </c>
    </row>
    <row r="1598" spans="1:18" ht="16" x14ac:dyDescent="0.2">
      <c r="A1598" s="3">
        <v>1597</v>
      </c>
      <c r="B1598" s="11" t="s">
        <v>1512</v>
      </c>
      <c r="C1598" s="11" t="s">
        <v>83</v>
      </c>
      <c r="D1598" s="3" t="str">
        <f>VLOOKUP(C1598,layoffs_location!A:B,2,FALSE)</f>
        <v>other</v>
      </c>
      <c r="E1598" s="3" t="str">
        <f>VLOOKUP(C1598,layoffs_location!A:C,3,FALSE)</f>
        <v>Texas</v>
      </c>
      <c r="F1598" s="3" t="str">
        <f>VLOOKUP(C1598,layoffs_location!A:D,4,FALSE)</f>
        <v>USA</v>
      </c>
      <c r="G1598" s="3" t="str">
        <f>VLOOKUP(C1598,layoffs_location!A:E,5,FALSE)</f>
        <v>North America</v>
      </c>
      <c r="H1598" s="16"/>
      <c r="I1598" s="13">
        <v>45342</v>
      </c>
      <c r="J1598" s="14"/>
      <c r="K1598" s="15"/>
      <c r="L1598" s="15"/>
      <c r="M1598" s="7" t="s">
        <v>30</v>
      </c>
      <c r="N1598" s="7" t="s">
        <v>22</v>
      </c>
      <c r="O1598" s="16"/>
      <c r="P1598" s="3">
        <v>2024</v>
      </c>
      <c r="Q1598" s="3">
        <f>VLOOKUP(C1598,layoffs_location!A:F,6,FALSE)</f>
        <v>30.271128600000001</v>
      </c>
      <c r="R1598" s="3">
        <f>VLOOKUP(C1598,layoffs_location!A:G,7,FALSE)</f>
        <v>-97.743699500000005</v>
      </c>
    </row>
    <row r="1599" spans="1:18" ht="16" x14ac:dyDescent="0.2">
      <c r="A1599" s="3">
        <v>1598</v>
      </c>
      <c r="B1599" s="11" t="s">
        <v>1590</v>
      </c>
      <c r="C1599" s="11" t="s">
        <v>1335</v>
      </c>
      <c r="D1599" s="3" t="str">
        <f>VLOOKUP(C1599,layoffs_location!A:B,2,FALSE)</f>
        <v>other</v>
      </c>
      <c r="E1599" s="3" t="str">
        <f>VLOOKUP(C1599,layoffs_location!A:C,3,FALSE)</f>
        <v>England</v>
      </c>
      <c r="F1599" s="3" t="str">
        <f>VLOOKUP(C1599,layoffs_location!A:D,4,FALSE)</f>
        <v>UK</v>
      </c>
      <c r="G1599" s="3" t="str">
        <f>VLOOKUP(C1599,layoffs_location!A:E,5,FALSE)</f>
        <v>Europe</v>
      </c>
      <c r="H1599" s="16"/>
      <c r="I1599" s="13">
        <v>45342</v>
      </c>
      <c r="J1599" s="14">
        <v>30</v>
      </c>
      <c r="K1599" s="15"/>
      <c r="L1599" s="15"/>
      <c r="M1599" s="7" t="s">
        <v>117</v>
      </c>
      <c r="N1599" s="7" t="s">
        <v>33</v>
      </c>
      <c r="O1599" s="16">
        <v>3</v>
      </c>
      <c r="P1599" s="3">
        <v>2024</v>
      </c>
      <c r="Q1599" s="3">
        <f>VLOOKUP(C1599,layoffs_location!A:F,6,FALSE)</f>
        <v>53.479489200000003</v>
      </c>
      <c r="R1599" s="3">
        <f>VLOOKUP(C1599,layoffs_location!A:G,7,FALSE)</f>
        <v>-2.2451148000000001</v>
      </c>
    </row>
    <row r="1600" spans="1:18" ht="16" x14ac:dyDescent="0.2">
      <c r="A1600" s="3">
        <v>1599</v>
      </c>
      <c r="B1600" s="11" t="s">
        <v>1599</v>
      </c>
      <c r="C1600" s="11" t="s">
        <v>531</v>
      </c>
      <c r="D1600" s="3" t="str">
        <f>VLOOKUP(C1600,layoffs_location!A:B,2,FALSE)</f>
        <v>other</v>
      </c>
      <c r="E1600" s="3" t="str">
        <f>VLOOKUP(C1600,layoffs_location!A:C,3,FALSE)</f>
        <v>Colorado</v>
      </c>
      <c r="F1600" s="3" t="str">
        <f>VLOOKUP(C1600,layoffs_location!A:D,4,FALSE)</f>
        <v>USA</v>
      </c>
      <c r="G1600" s="3" t="str">
        <f>VLOOKUP(C1600,layoffs_location!A:E,5,FALSE)</f>
        <v>North America</v>
      </c>
      <c r="H1600" s="16"/>
      <c r="I1600" s="13">
        <v>45342</v>
      </c>
      <c r="J1600" s="14">
        <v>30</v>
      </c>
      <c r="K1600" s="15"/>
      <c r="L1600" s="15"/>
      <c r="M1600" s="7" t="s">
        <v>77</v>
      </c>
      <c r="N1600" s="7" t="s">
        <v>41</v>
      </c>
      <c r="O1600" s="16">
        <v>274</v>
      </c>
      <c r="P1600" s="3">
        <v>2024</v>
      </c>
      <c r="Q1600" s="3">
        <f>VLOOKUP(C1600,layoffs_location!A:F,6,FALSE)</f>
        <v>40.014985600000003</v>
      </c>
      <c r="R1600" s="3">
        <f>VLOOKUP(C1600,layoffs_location!A:G,7,FALSE)</f>
        <v>-105.270545</v>
      </c>
    </row>
    <row r="1601" spans="1:18" ht="16" x14ac:dyDescent="0.2">
      <c r="A1601" s="3">
        <v>1600</v>
      </c>
      <c r="B1601" s="11" t="s">
        <v>1653</v>
      </c>
      <c r="C1601" s="11" t="s">
        <v>58</v>
      </c>
      <c r="D1601" s="3" t="str">
        <f>VLOOKUP(C1601,layoffs_location!A:B,2,FALSE)</f>
        <v>other</v>
      </c>
      <c r="E1601" s="3" t="str">
        <f>VLOOKUP(C1601,layoffs_location!A:C,3,FALSE)</f>
        <v>England</v>
      </c>
      <c r="F1601" s="3" t="str">
        <f>VLOOKUP(C1601,layoffs_location!A:D,4,FALSE)</f>
        <v>UK</v>
      </c>
      <c r="G1601" s="3" t="str">
        <f>VLOOKUP(C1601,layoffs_location!A:E,5,FALSE)</f>
        <v>Europe</v>
      </c>
      <c r="H1601" s="12">
        <v>55</v>
      </c>
      <c r="I1601" s="13">
        <v>45342</v>
      </c>
      <c r="J1601" s="14">
        <v>25</v>
      </c>
      <c r="K1601" s="15">
        <v>220</v>
      </c>
      <c r="L1601" s="15">
        <v>165</v>
      </c>
      <c r="M1601" s="7" t="s">
        <v>30</v>
      </c>
      <c r="N1601" s="7" t="s">
        <v>69</v>
      </c>
      <c r="O1601" s="16">
        <v>5</v>
      </c>
      <c r="P1601" s="3">
        <v>2024</v>
      </c>
      <c r="Q1601" s="3">
        <f>VLOOKUP(C1601,layoffs_location!A:F,6,FALSE)</f>
        <v>51.489333500000001</v>
      </c>
      <c r="R1601" s="3">
        <f>VLOOKUP(C1601,layoffs_location!A:G,7,FALSE)</f>
        <v>-0.14405508452768701</v>
      </c>
    </row>
    <row r="1602" spans="1:18" ht="16" x14ac:dyDescent="0.2">
      <c r="A1602" s="3">
        <v>1601</v>
      </c>
      <c r="B1602" s="11" t="s">
        <v>457</v>
      </c>
      <c r="C1602" s="11" t="s">
        <v>730</v>
      </c>
      <c r="D1602" s="3" t="str">
        <f>VLOOKUP(C1602,layoffs_location!A:B,2,FALSE)</f>
        <v>other</v>
      </c>
      <c r="E1602" s="3" t="str">
        <f>VLOOKUP(C1602,layoffs_location!A:C,3,FALSE)</f>
        <v>Pennsylvania</v>
      </c>
      <c r="F1602" s="3" t="str">
        <f>VLOOKUP(C1602,layoffs_location!A:D,4,FALSE)</f>
        <v>USA</v>
      </c>
      <c r="G1602" s="3" t="str">
        <f>VLOOKUP(C1602,layoffs_location!A:E,5,FALSE)</f>
        <v>North America</v>
      </c>
      <c r="H1602" s="12">
        <v>60</v>
      </c>
      <c r="I1602" s="13">
        <v>45343</v>
      </c>
      <c r="J1602" s="14"/>
      <c r="K1602" s="15"/>
      <c r="L1602" s="15"/>
      <c r="M1602" s="7" t="s">
        <v>35</v>
      </c>
      <c r="N1602" s="7" t="s">
        <v>28</v>
      </c>
      <c r="O1602" s="16">
        <v>1.5</v>
      </c>
      <c r="P1602" s="3">
        <v>2024</v>
      </c>
      <c r="Q1602" s="3">
        <f>VLOOKUP(C1602,layoffs_location!A:F,6,FALSE)</f>
        <v>40.441694099999999</v>
      </c>
      <c r="R1602" s="3">
        <f>VLOOKUP(C1602,layoffs_location!A:G,7,FALSE)</f>
        <v>-79.990086099999999</v>
      </c>
    </row>
    <row r="1603" spans="1:18" ht="16" x14ac:dyDescent="0.2">
      <c r="A1603" s="3">
        <v>1602</v>
      </c>
      <c r="B1603" s="11" t="s">
        <v>330</v>
      </c>
      <c r="C1603" s="11" t="s">
        <v>39</v>
      </c>
      <c r="D1603" s="3" t="str">
        <f>VLOOKUP(C1603,layoffs_location!A:B,2,FALSE)</f>
        <v>New York</v>
      </c>
      <c r="E1603" s="3" t="str">
        <f>VLOOKUP(C1603,layoffs_location!A:C,3,FALSE)</f>
        <v>New York</v>
      </c>
      <c r="F1603" s="3" t="str">
        <f>VLOOKUP(C1603,layoffs_location!A:D,4,FALSE)</f>
        <v>USA</v>
      </c>
      <c r="G1603" s="3" t="str">
        <f>VLOOKUP(C1603,layoffs_location!A:E,5,FALSE)</f>
        <v>North America</v>
      </c>
      <c r="H1603" s="16"/>
      <c r="I1603" s="13">
        <v>45343</v>
      </c>
      <c r="J1603" s="14">
        <v>16</v>
      </c>
      <c r="K1603" s="15"/>
      <c r="L1603" s="15"/>
      <c r="M1603" s="7" t="s">
        <v>54</v>
      </c>
      <c r="N1603" s="7" t="s">
        <v>28</v>
      </c>
      <c r="O1603" s="16">
        <v>696</v>
      </c>
      <c r="P1603" s="3">
        <v>2024</v>
      </c>
      <c r="Q1603" s="3">
        <f>VLOOKUP(C1603,layoffs_location!A:F,6,FALSE)</f>
        <v>40.7127281</v>
      </c>
      <c r="R1603" s="3">
        <f>VLOOKUP(C1603,layoffs_location!A:G,7,FALSE)</f>
        <v>-74.006015199999993</v>
      </c>
    </row>
    <row r="1604" spans="1:18" ht="16" x14ac:dyDescent="0.2">
      <c r="A1604" s="3">
        <v>1603</v>
      </c>
      <c r="B1604" s="11" t="s">
        <v>1549</v>
      </c>
      <c r="C1604" s="11" t="s">
        <v>231</v>
      </c>
      <c r="D1604" s="3" t="str">
        <f>VLOOKUP(C1604,layoffs_location!A:B,2,FALSE)</f>
        <v>other</v>
      </c>
      <c r="E1604" s="3" t="str">
        <f>VLOOKUP(C1604,layoffs_location!A:C,3,FALSE)</f>
        <v>New South Wales</v>
      </c>
      <c r="F1604" s="3" t="str">
        <f>VLOOKUP(C1604,layoffs_location!A:D,4,FALSE)</f>
        <v>Australia</v>
      </c>
      <c r="G1604" s="3" t="str">
        <f>VLOOKUP(C1604,layoffs_location!A:E,5,FALSE)</f>
        <v>Oceana</v>
      </c>
      <c r="H1604" s="12">
        <v>60</v>
      </c>
      <c r="I1604" s="13">
        <v>45343</v>
      </c>
      <c r="J1604" s="14">
        <v>17</v>
      </c>
      <c r="K1604" s="15">
        <v>353</v>
      </c>
      <c r="L1604" s="15">
        <v>292</v>
      </c>
      <c r="M1604" s="7" t="s">
        <v>30</v>
      </c>
      <c r="N1604" s="7" t="s">
        <v>22</v>
      </c>
      <c r="O1604" s="16">
        <v>30</v>
      </c>
      <c r="P1604" s="3">
        <v>2024</v>
      </c>
      <c r="Q1604" s="3">
        <f>VLOOKUP(C1604,layoffs_location!A:F,6,FALSE)</f>
        <v>-33.869843899999999</v>
      </c>
      <c r="R1604" s="3">
        <f>VLOOKUP(C1604,layoffs_location!A:G,7,FALSE)</f>
        <v>151.2082848</v>
      </c>
    </row>
    <row r="1605" spans="1:18" ht="16" x14ac:dyDescent="0.2">
      <c r="A1605" s="3">
        <v>1604</v>
      </c>
      <c r="B1605" s="11" t="s">
        <v>858</v>
      </c>
      <c r="C1605" s="11" t="s">
        <v>65</v>
      </c>
      <c r="D1605" s="3" t="str">
        <f>VLOOKUP(C1605,layoffs_location!A:B,2,FALSE)</f>
        <v>other</v>
      </c>
      <c r="E1605" s="3" t="str">
        <f>VLOOKUP(C1605,layoffs_location!A:C,3,FALSE)</f>
        <v>Michigan</v>
      </c>
      <c r="F1605" s="3" t="str">
        <f>VLOOKUP(C1605,layoffs_location!A:D,4,FALSE)</f>
        <v>USA</v>
      </c>
      <c r="G1605" s="3" t="str">
        <f>VLOOKUP(C1605,layoffs_location!A:E,5,FALSE)</f>
        <v>North America</v>
      </c>
      <c r="H1605" s="16"/>
      <c r="I1605" s="13">
        <v>45343</v>
      </c>
      <c r="J1605" s="14">
        <v>10</v>
      </c>
      <c r="K1605" s="15"/>
      <c r="L1605" s="15"/>
      <c r="M1605" s="7" t="s">
        <v>32</v>
      </c>
      <c r="N1605" s="7" t="s">
        <v>28</v>
      </c>
      <c r="O1605" s="16">
        <v>10.7</v>
      </c>
      <c r="P1605" s="3">
        <v>2024</v>
      </c>
      <c r="Q1605" s="3">
        <f>VLOOKUP(C1605,layoffs_location!A:F,6,FALSE)</f>
        <v>42.331550900000003</v>
      </c>
      <c r="R1605" s="3">
        <f>VLOOKUP(C1605,layoffs_location!A:G,7,FALSE)</f>
        <v>-83.046640300000007</v>
      </c>
    </row>
    <row r="1606" spans="1:18" ht="16" x14ac:dyDescent="0.2">
      <c r="A1606" s="3">
        <v>1605</v>
      </c>
      <c r="B1606" s="11" t="s">
        <v>1673</v>
      </c>
      <c r="C1606" s="11" t="s">
        <v>39</v>
      </c>
      <c r="D1606" s="3" t="str">
        <f>VLOOKUP(C1606,layoffs_location!A:B,2,FALSE)</f>
        <v>New York</v>
      </c>
      <c r="E1606" s="3" t="str">
        <f>VLOOKUP(C1606,layoffs_location!A:C,3,FALSE)</f>
        <v>New York</v>
      </c>
      <c r="F1606" s="3" t="str">
        <f>VLOOKUP(C1606,layoffs_location!A:D,4,FALSE)</f>
        <v>USA</v>
      </c>
      <c r="G1606" s="3" t="str">
        <f>VLOOKUP(C1606,layoffs_location!A:E,5,FALSE)</f>
        <v>North America</v>
      </c>
      <c r="H1606" s="16"/>
      <c r="I1606" s="13">
        <v>45344</v>
      </c>
      <c r="J1606" s="14"/>
      <c r="K1606" s="15"/>
      <c r="L1606" s="15"/>
      <c r="M1606" s="7" t="s">
        <v>54</v>
      </c>
      <c r="N1606" s="7" t="s">
        <v>22</v>
      </c>
      <c r="O1606" s="16">
        <v>1.6</v>
      </c>
      <c r="P1606" s="3">
        <v>2024</v>
      </c>
      <c r="Q1606" s="3">
        <f>VLOOKUP(C1606,layoffs_location!A:F,6,FALSE)</f>
        <v>40.7127281</v>
      </c>
      <c r="R1606" s="3">
        <f>VLOOKUP(C1606,layoffs_location!A:G,7,FALSE)</f>
        <v>-74.006015199999993</v>
      </c>
    </row>
    <row r="1607" spans="1:18" ht="16" x14ac:dyDescent="0.2">
      <c r="A1607" s="3">
        <v>1606</v>
      </c>
      <c r="B1607" s="11" t="s">
        <v>107</v>
      </c>
      <c r="C1607" s="3" t="s">
        <v>1370</v>
      </c>
      <c r="D1607" s="3" t="str">
        <f>VLOOKUP(C1607,layoffs_location!A:B,2,FALSE)</f>
        <v>San Francisco Bay Area</v>
      </c>
      <c r="E1607" s="3" t="str">
        <f>VLOOKUP(C1607,layoffs_location!A:C,3,FALSE)</f>
        <v>California</v>
      </c>
      <c r="F1607" s="3" t="str">
        <f>VLOOKUP(C1607,layoffs_location!A:D,4,FALSE)</f>
        <v>USA</v>
      </c>
      <c r="G1607" s="3" t="str">
        <f>VLOOKUP(C1607,layoffs_location!A:E,5,FALSE)</f>
        <v>North America</v>
      </c>
      <c r="H1607" s="12">
        <v>56</v>
      </c>
      <c r="I1607" s="13">
        <v>45345</v>
      </c>
      <c r="J1607" s="14"/>
      <c r="K1607" s="15"/>
      <c r="L1607" s="15"/>
      <c r="M1607" s="7" t="s">
        <v>21</v>
      </c>
      <c r="N1607" s="7" t="s">
        <v>108</v>
      </c>
      <c r="O1607" s="16">
        <v>522</v>
      </c>
      <c r="P1607" s="3">
        <v>2024</v>
      </c>
      <c r="Q1607" s="3">
        <f>VLOOKUP(C1607,layoffs_location!A:F,6,FALSE)</f>
        <v>37.779258800000001</v>
      </c>
      <c r="R1607" s="3">
        <f>VLOOKUP(C1607,layoffs_location!A:G,7,FALSE)</f>
        <v>-122.4193286</v>
      </c>
    </row>
    <row r="1608" spans="1:18" ht="16" x14ac:dyDescent="0.2">
      <c r="A1608" s="3">
        <v>1607</v>
      </c>
      <c r="B1608" s="11" t="s">
        <v>766</v>
      </c>
      <c r="C1608" s="11" t="s">
        <v>39</v>
      </c>
      <c r="D1608" s="3" t="str">
        <f>VLOOKUP(C1608,layoffs_location!A:B,2,FALSE)</f>
        <v>New York</v>
      </c>
      <c r="E1608" s="3" t="str">
        <f>VLOOKUP(C1608,layoffs_location!A:C,3,FALSE)</f>
        <v>New York</v>
      </c>
      <c r="F1608" s="3" t="str">
        <f>VLOOKUP(C1608,layoffs_location!A:D,4,FALSE)</f>
        <v>USA</v>
      </c>
      <c r="G1608" s="3" t="str">
        <f>VLOOKUP(C1608,layoffs_location!A:E,5,FALSE)</f>
        <v>North America</v>
      </c>
      <c r="H1608" s="12">
        <v>77</v>
      </c>
      <c r="I1608" s="13">
        <v>45345</v>
      </c>
      <c r="J1608" s="14"/>
      <c r="K1608" s="15"/>
      <c r="L1608" s="15"/>
      <c r="M1608" s="7" t="s">
        <v>21</v>
      </c>
      <c r="N1608" s="7" t="s">
        <v>41</v>
      </c>
      <c r="O1608" s="16">
        <v>315</v>
      </c>
      <c r="P1608" s="3">
        <v>2024</v>
      </c>
      <c r="Q1608" s="3">
        <f>VLOOKUP(C1608,layoffs_location!A:F,6,FALSE)</f>
        <v>40.7127281</v>
      </c>
      <c r="R1608" s="3">
        <f>VLOOKUP(C1608,layoffs_location!A:G,7,FALSE)</f>
        <v>-74.006015199999993</v>
      </c>
    </row>
    <row r="1609" spans="1:18" ht="16" x14ac:dyDescent="0.2">
      <c r="A1609" s="3">
        <v>1608</v>
      </c>
      <c r="B1609" s="11" t="s">
        <v>1537</v>
      </c>
      <c r="C1609" s="11" t="s">
        <v>244</v>
      </c>
      <c r="D1609" s="3" t="str">
        <f>VLOOKUP(C1609,layoffs_location!A:B,2,FALSE)</f>
        <v>other</v>
      </c>
      <c r="E1609" s="3" t="str">
        <f>VLOOKUP(C1609,layoffs_location!A:C,3,FALSE)</f>
        <v>non</v>
      </c>
      <c r="F1609" s="3" t="str">
        <f>VLOOKUP(C1609,layoffs_location!A:D,4,FALSE)</f>
        <v>Singapore</v>
      </c>
      <c r="G1609" s="3" t="str">
        <f>VLOOKUP(C1609,layoffs_location!A:E,5,FALSE)</f>
        <v>Asia</v>
      </c>
      <c r="H1609" s="16"/>
      <c r="I1609" s="13">
        <v>45348</v>
      </c>
      <c r="J1609" s="14"/>
      <c r="K1609" s="15"/>
      <c r="L1609" s="15"/>
      <c r="M1609" s="7" t="s">
        <v>30</v>
      </c>
      <c r="N1609" s="7" t="s">
        <v>22</v>
      </c>
      <c r="O1609" s="16"/>
      <c r="P1609" s="3">
        <v>2024</v>
      </c>
      <c r="Q1609" s="3">
        <f>VLOOKUP(C1609,layoffs_location!A:F,6,FALSE)</f>
        <v>1.2899175000000001</v>
      </c>
      <c r="R1609" s="3">
        <f>VLOOKUP(C1609,layoffs_location!A:G,7,FALSE)</f>
        <v>103.8519072</v>
      </c>
    </row>
    <row r="1610" spans="1:18" ht="16" x14ac:dyDescent="0.2">
      <c r="A1610" s="3">
        <v>1609</v>
      </c>
      <c r="B1610" s="11" t="s">
        <v>1413</v>
      </c>
      <c r="C1610" s="11" t="s">
        <v>43</v>
      </c>
      <c r="D1610" s="3" t="str">
        <f>VLOOKUP(C1610,layoffs_location!A:B,2,FALSE)</f>
        <v>Cascadia</v>
      </c>
      <c r="E1610" s="3" t="str">
        <f>VLOOKUP(C1610,layoffs_location!A:C,3,FALSE)</f>
        <v>Washington</v>
      </c>
      <c r="F1610" s="3" t="str">
        <f>VLOOKUP(C1610,layoffs_location!A:D,4,FALSE)</f>
        <v>USA</v>
      </c>
      <c r="G1610" s="3" t="str">
        <f>VLOOKUP(C1610,layoffs_location!A:E,5,FALSE)</f>
        <v>North America</v>
      </c>
      <c r="H1610" s="12">
        <v>1500</v>
      </c>
      <c r="I1610" s="13">
        <v>45348</v>
      </c>
      <c r="J1610" s="14">
        <v>8</v>
      </c>
      <c r="K1610" s="15">
        <v>18750</v>
      </c>
      <c r="L1610" s="15">
        <v>17250</v>
      </c>
      <c r="M1610" s="7" t="s">
        <v>72</v>
      </c>
      <c r="N1610" s="7" t="s">
        <v>28</v>
      </c>
      <c r="O1610" s="16">
        <v>3.3</v>
      </c>
      <c r="P1610" s="3">
        <v>2024</v>
      </c>
      <c r="Q1610" s="3">
        <f>VLOOKUP(C1610,layoffs_location!A:F,6,FALSE)</f>
        <v>47.603832099999998</v>
      </c>
      <c r="R1610" s="3">
        <f>VLOOKUP(C1610,layoffs_location!A:G,7,FALSE)</f>
        <v>-122.330062</v>
      </c>
    </row>
    <row r="1611" spans="1:18" ht="16" x14ac:dyDescent="0.2">
      <c r="A1611" s="3">
        <v>1610</v>
      </c>
      <c r="B1611" s="11" t="s">
        <v>221</v>
      </c>
      <c r="C1611" s="11" t="s">
        <v>222</v>
      </c>
      <c r="D1611" s="3" t="str">
        <f>VLOOKUP(C1611,layoffs_location!A:B,2,FALSE)</f>
        <v>other</v>
      </c>
      <c r="E1611" s="3" t="str">
        <f>VLOOKUP(C1611,layoffs_location!A:C,3,FALSE)</f>
        <v>Tamil Nadu</v>
      </c>
      <c r="F1611" s="3" t="str">
        <f>VLOOKUP(C1611,layoffs_location!A:D,4,FALSE)</f>
        <v>India</v>
      </c>
      <c r="G1611" s="3" t="str">
        <f>VLOOKUP(C1611,layoffs_location!A:E,5,FALSE)</f>
        <v>Asia</v>
      </c>
      <c r="H1611" s="12">
        <v>70</v>
      </c>
      <c r="I1611" s="13">
        <v>45348</v>
      </c>
      <c r="J1611" s="14"/>
      <c r="K1611" s="15"/>
      <c r="L1611" s="15"/>
      <c r="M1611" s="7" t="s">
        <v>77</v>
      </c>
      <c r="N1611" s="7" t="s">
        <v>22</v>
      </c>
      <c r="O1611" s="16">
        <v>363</v>
      </c>
      <c r="P1611" s="3">
        <v>2024</v>
      </c>
      <c r="Q1611" s="3">
        <f>VLOOKUP(C1611,layoffs_location!A:F,6,FALSE)</f>
        <v>13.0836939</v>
      </c>
      <c r="R1611" s="3">
        <f>VLOOKUP(C1611,layoffs_location!A:G,7,FALSE)</f>
        <v>80.270185999999995</v>
      </c>
    </row>
    <row r="1612" spans="1:18" ht="16" x14ac:dyDescent="0.2">
      <c r="A1612" s="3">
        <v>1611</v>
      </c>
      <c r="B1612" s="11" t="s">
        <v>1368</v>
      </c>
      <c r="C1612" s="11" t="s">
        <v>1708</v>
      </c>
      <c r="D1612" s="3" t="str">
        <f>VLOOKUP(C1612,layoffs_location!A:B,2,FALSE)</f>
        <v>San Francisco Bay Area</v>
      </c>
      <c r="E1612" s="3" t="str">
        <f>VLOOKUP(C1612,layoffs_location!A:C,3,FALSE)</f>
        <v>California</v>
      </c>
      <c r="F1612" s="3" t="str">
        <f>VLOOKUP(C1612,layoffs_location!A:D,4,FALSE)</f>
        <v>USA</v>
      </c>
      <c r="G1612" s="3" t="str">
        <f>VLOOKUP(C1612,layoffs_location!A:E,5,FALSE)</f>
        <v>North America</v>
      </c>
      <c r="H1612" s="16"/>
      <c r="I1612" s="13">
        <v>45349</v>
      </c>
      <c r="J1612" s="14"/>
      <c r="K1612" s="15"/>
      <c r="L1612" s="15"/>
      <c r="M1612" s="7" t="s">
        <v>32</v>
      </c>
      <c r="N1612" s="7" t="s">
        <v>28</v>
      </c>
      <c r="O1612" s="16">
        <v>1.2</v>
      </c>
      <c r="P1612" s="3">
        <v>2024</v>
      </c>
      <c r="Q1612" s="3">
        <f>VLOOKUP(C1612,layoffs_location!A:F,6,FALSE)</f>
        <v>37.322893399999998</v>
      </c>
      <c r="R1612" s="3">
        <f>VLOOKUP(C1612,layoffs_location!A:G,7,FALSE)</f>
        <v>-122.0322895</v>
      </c>
    </row>
    <row r="1613" spans="1:18" ht="16" x14ac:dyDescent="0.2">
      <c r="A1613" s="3">
        <v>1612</v>
      </c>
      <c r="B1613" s="11" t="s">
        <v>1522</v>
      </c>
      <c r="C1613" s="11" t="s">
        <v>83</v>
      </c>
      <c r="D1613" s="3" t="str">
        <f>VLOOKUP(C1613,layoffs_location!A:B,2,FALSE)</f>
        <v>other</v>
      </c>
      <c r="E1613" s="3" t="str">
        <f>VLOOKUP(C1613,layoffs_location!A:C,3,FALSE)</f>
        <v>Texas</v>
      </c>
      <c r="F1613" s="3" t="str">
        <f>VLOOKUP(C1613,layoffs_location!A:D,4,FALSE)</f>
        <v>USA</v>
      </c>
      <c r="G1613" s="3" t="str">
        <f>VLOOKUP(C1613,layoffs_location!A:E,5,FALSE)</f>
        <v>North America</v>
      </c>
      <c r="H1613" s="12">
        <v>350</v>
      </c>
      <c r="I1613" s="13">
        <v>45349</v>
      </c>
      <c r="J1613" s="14">
        <v>30</v>
      </c>
      <c r="K1613" s="15">
        <v>1167</v>
      </c>
      <c r="L1613" s="15">
        <v>817</v>
      </c>
      <c r="M1613" s="7" t="s">
        <v>16</v>
      </c>
      <c r="N1613" s="7" t="s">
        <v>28</v>
      </c>
      <c r="O1613" s="16">
        <v>313</v>
      </c>
      <c r="P1613" s="3">
        <v>2024</v>
      </c>
      <c r="Q1613" s="3">
        <f>VLOOKUP(C1613,layoffs_location!A:F,6,FALSE)</f>
        <v>30.271128600000001</v>
      </c>
      <c r="R1613" s="3">
        <f>VLOOKUP(C1613,layoffs_location!A:G,7,FALSE)</f>
        <v>-97.743699500000005</v>
      </c>
    </row>
    <row r="1614" spans="1:18" ht="16" x14ac:dyDescent="0.2">
      <c r="A1614" s="3">
        <v>1613</v>
      </c>
      <c r="B1614" s="11" t="s">
        <v>1628</v>
      </c>
      <c r="C1614" s="11" t="s">
        <v>244</v>
      </c>
      <c r="D1614" s="3" t="str">
        <f>VLOOKUP(C1614,layoffs_location!A:B,2,FALSE)</f>
        <v>other</v>
      </c>
      <c r="E1614" s="3" t="str">
        <f>VLOOKUP(C1614,layoffs_location!A:C,3,FALSE)</f>
        <v>non</v>
      </c>
      <c r="F1614" s="3" t="str">
        <f>VLOOKUP(C1614,layoffs_location!A:D,4,FALSE)</f>
        <v>Singapore</v>
      </c>
      <c r="G1614" s="3" t="str">
        <f>VLOOKUP(C1614,layoffs_location!A:E,5,FALSE)</f>
        <v>Asia</v>
      </c>
      <c r="H1614" s="12">
        <v>79</v>
      </c>
      <c r="I1614" s="13">
        <v>45349</v>
      </c>
      <c r="J1614" s="14"/>
      <c r="K1614" s="15"/>
      <c r="L1614" s="15"/>
      <c r="M1614" s="7" t="s">
        <v>137</v>
      </c>
      <c r="N1614" s="7" t="s">
        <v>28</v>
      </c>
      <c r="O1614" s="16">
        <v>676</v>
      </c>
      <c r="P1614" s="3">
        <v>2024</v>
      </c>
      <c r="Q1614" s="3">
        <f>VLOOKUP(C1614,layoffs_location!A:F,6,FALSE)</f>
        <v>1.2899175000000001</v>
      </c>
      <c r="R1614" s="3">
        <f>VLOOKUP(C1614,layoffs_location!A:G,7,FALSE)</f>
        <v>103.8519072</v>
      </c>
    </row>
    <row r="1615" spans="1:18" ht="16" x14ac:dyDescent="0.2">
      <c r="A1615" s="3">
        <v>1614</v>
      </c>
      <c r="B1615" s="11" t="s">
        <v>1647</v>
      </c>
      <c r="C1615" s="11" t="s">
        <v>1713</v>
      </c>
      <c r="D1615" s="3" t="str">
        <f>VLOOKUP(C1615,layoffs_location!A:B,2,FALSE)</f>
        <v>San Francisco Bay Area</v>
      </c>
      <c r="E1615" s="3" t="str">
        <f>VLOOKUP(C1615,layoffs_location!A:C,3,FALSE)</f>
        <v>California</v>
      </c>
      <c r="F1615" s="3" t="str">
        <f>VLOOKUP(C1615,layoffs_location!A:D,4,FALSE)</f>
        <v>USA</v>
      </c>
      <c r="G1615" s="3" t="str">
        <f>VLOOKUP(C1615,layoffs_location!A:E,5,FALSE)</f>
        <v>North America</v>
      </c>
      <c r="H1615" s="12">
        <v>900</v>
      </c>
      <c r="I1615" s="13">
        <v>45349</v>
      </c>
      <c r="J1615" s="14">
        <v>8</v>
      </c>
      <c r="K1615" s="15">
        <v>11250</v>
      </c>
      <c r="L1615" s="15">
        <v>10350</v>
      </c>
      <c r="M1615" s="7" t="s">
        <v>16</v>
      </c>
      <c r="N1615" s="3" t="s">
        <v>1697</v>
      </c>
      <c r="O1615" s="16"/>
      <c r="P1615" s="3">
        <v>2024</v>
      </c>
      <c r="Q1615" s="3">
        <f>VLOOKUP(C1615,layoffs_location!A:F,6,FALSE)</f>
        <v>37.496904000000001</v>
      </c>
      <c r="R1615" s="3">
        <f>VLOOKUP(C1615,layoffs_location!A:G,7,FALSE)</f>
        <v>-122.33305729999999</v>
      </c>
    </row>
    <row r="1616" spans="1:18" ht="16" x14ac:dyDescent="0.2">
      <c r="A1616" s="3">
        <v>1615</v>
      </c>
      <c r="B1616" s="11" t="s">
        <v>363</v>
      </c>
      <c r="C1616" s="11" t="s">
        <v>1710</v>
      </c>
      <c r="D1616" s="3" t="str">
        <f>VLOOKUP(C1616,layoffs_location!A:B,2,FALSE)</f>
        <v>San Francisco Bay Area</v>
      </c>
      <c r="E1616" s="3" t="str">
        <f>VLOOKUP(C1616,layoffs_location!A:C,3,FALSE)</f>
        <v>California</v>
      </c>
      <c r="F1616" s="3" t="str">
        <f>VLOOKUP(C1616,layoffs_location!A:D,4,FALSE)</f>
        <v>USA</v>
      </c>
      <c r="G1616" s="3" t="str">
        <f>VLOOKUP(C1616,layoffs_location!A:E,5,FALSE)</f>
        <v>North America</v>
      </c>
      <c r="H1616" s="12">
        <v>670</v>
      </c>
      <c r="I1616" s="13">
        <v>45350</v>
      </c>
      <c r="J1616" s="14">
        <v>5</v>
      </c>
      <c r="K1616" s="15">
        <v>13400</v>
      </c>
      <c r="L1616" s="15">
        <v>12730</v>
      </c>
      <c r="M1616" s="7" t="s">
        <v>16</v>
      </c>
      <c r="N1616" s="7" t="s">
        <v>28</v>
      </c>
      <c r="O1616" s="16">
        <v>2</v>
      </c>
      <c r="P1616" s="3">
        <v>2024</v>
      </c>
      <c r="Q1616" s="3">
        <f>VLOOKUP(C1616,layoffs_location!A:F,6,FALSE)</f>
        <v>37.486323900000002</v>
      </c>
      <c r="R1616" s="3">
        <f>VLOOKUP(C1616,layoffs_location!A:G,7,FALSE)</f>
        <v>-122.232523</v>
      </c>
    </row>
    <row r="1617" spans="1:18" ht="16" x14ac:dyDescent="0.2">
      <c r="A1617" s="3">
        <v>1616</v>
      </c>
      <c r="B1617" s="11" t="s">
        <v>1472</v>
      </c>
      <c r="C1617" s="11" t="s">
        <v>71</v>
      </c>
      <c r="D1617" s="3" t="str">
        <f>VLOOKUP(C1617,layoffs_location!A:B,2,FALSE)</f>
        <v>other</v>
      </c>
      <c r="E1617" s="3" t="str">
        <f>VLOOKUP(C1617,layoffs_location!A:C,3,FALSE)</f>
        <v>Massachusetts</v>
      </c>
      <c r="F1617" s="3" t="str">
        <f>VLOOKUP(C1617,layoffs_location!A:D,4,FALSE)</f>
        <v>USA</v>
      </c>
      <c r="G1617" s="3" t="str">
        <f>VLOOKUP(C1617,layoffs_location!A:E,5,FALSE)</f>
        <v>North America</v>
      </c>
      <c r="H1617" s="16"/>
      <c r="I1617" s="13">
        <v>45350</v>
      </c>
      <c r="J1617" s="14">
        <v>5</v>
      </c>
      <c r="K1617" s="15"/>
      <c r="L1617" s="15"/>
      <c r="M1617" s="7" t="s">
        <v>32</v>
      </c>
      <c r="N1617" s="7" t="s">
        <v>22</v>
      </c>
      <c r="O1617" s="16"/>
      <c r="P1617" s="3">
        <v>2024</v>
      </c>
      <c r="Q1617" s="3">
        <f>VLOOKUP(C1617,layoffs_location!A:F,6,FALSE)</f>
        <v>42.355433400000003</v>
      </c>
      <c r="R1617" s="3">
        <f>VLOOKUP(C1617,layoffs_location!A:G,7,FALSE)</f>
        <v>-71.060511000000005</v>
      </c>
    </row>
    <row r="1618" spans="1:18" ht="16" x14ac:dyDescent="0.2">
      <c r="A1618" s="3">
        <v>1617</v>
      </c>
      <c r="B1618" s="11" t="s">
        <v>1664</v>
      </c>
      <c r="C1618" s="11" t="s">
        <v>1370</v>
      </c>
      <c r="D1618" s="3" t="str">
        <f>VLOOKUP(C1618,layoffs_location!A:B,2,FALSE)</f>
        <v>San Francisco Bay Area</v>
      </c>
      <c r="E1618" s="3" t="str">
        <f>VLOOKUP(C1618,layoffs_location!A:C,3,FALSE)</f>
        <v>California</v>
      </c>
      <c r="F1618" s="3" t="str">
        <f>VLOOKUP(C1618,layoffs_location!A:D,4,FALSE)</f>
        <v>USA</v>
      </c>
      <c r="G1618" s="3" t="str">
        <f>VLOOKUP(C1618,layoffs_location!A:E,5,FALSE)</f>
        <v>North America</v>
      </c>
      <c r="H1618" s="12">
        <v>40</v>
      </c>
      <c r="I1618" s="13">
        <v>45350</v>
      </c>
      <c r="J1618" s="14">
        <v>40</v>
      </c>
      <c r="K1618" s="15">
        <v>100</v>
      </c>
      <c r="L1618" s="15">
        <v>60</v>
      </c>
      <c r="M1618" s="7" t="s">
        <v>35</v>
      </c>
      <c r="N1618" s="7" t="s">
        <v>41</v>
      </c>
      <c r="O1618" s="16">
        <v>71</v>
      </c>
      <c r="P1618" s="3">
        <v>2024</v>
      </c>
      <c r="Q1618" s="3">
        <f>VLOOKUP(C1618,layoffs_location!A:F,6,FALSE)</f>
        <v>37.779258800000001</v>
      </c>
      <c r="R1618" s="3">
        <f>VLOOKUP(C1618,layoffs_location!A:G,7,FALSE)</f>
        <v>-122.4193286</v>
      </c>
    </row>
    <row r="1619" spans="1:18" ht="16" x14ac:dyDescent="0.2">
      <c r="A1619" s="3">
        <v>1618</v>
      </c>
      <c r="B1619" s="11" t="s">
        <v>504</v>
      </c>
      <c r="C1619" s="11" t="s">
        <v>145</v>
      </c>
      <c r="D1619" s="3" t="str">
        <f>VLOOKUP(C1619,layoffs_location!A:B,2,FALSE)</f>
        <v>Cascadia</v>
      </c>
      <c r="E1619" s="3" t="str">
        <f>VLOOKUP(C1619,layoffs_location!A:C,3,FALSE)</f>
        <v>Oregon</v>
      </c>
      <c r="F1619" s="3" t="str">
        <f>VLOOKUP(C1619,layoffs_location!A:D,4,FALSE)</f>
        <v>USA</v>
      </c>
      <c r="G1619" s="3" t="str">
        <f>VLOOKUP(C1619,layoffs_location!A:E,5,FALSE)</f>
        <v>North America</v>
      </c>
      <c r="H1619" s="12">
        <v>320</v>
      </c>
      <c r="I1619" s="13">
        <v>45350</v>
      </c>
      <c r="J1619" s="14">
        <v>5</v>
      </c>
      <c r="K1619" s="15">
        <v>6400</v>
      </c>
      <c r="L1619" s="15">
        <v>6080</v>
      </c>
      <c r="M1619" s="7" t="s">
        <v>72</v>
      </c>
      <c r="N1619" s="7" t="s">
        <v>28</v>
      </c>
      <c r="O1619" s="16">
        <v>834</v>
      </c>
      <c r="P1619" s="3">
        <v>2024</v>
      </c>
      <c r="Q1619" s="3">
        <f>VLOOKUP(C1619,layoffs_location!A:F,6,FALSE)</f>
        <v>45.520247099999999</v>
      </c>
      <c r="R1619" s="3">
        <f>VLOOKUP(C1619,layoffs_location!A:G,7,FALSE)</f>
        <v>-122.674194</v>
      </c>
    </row>
    <row r="1620" spans="1:18" ht="16" x14ac:dyDescent="0.2">
      <c r="A1620" s="3">
        <v>1619</v>
      </c>
      <c r="B1620" s="11" t="s">
        <v>1471</v>
      </c>
      <c r="C1620" s="11" t="s">
        <v>76</v>
      </c>
      <c r="D1620" s="3" t="str">
        <f>VLOOKUP(C1620,layoffs_location!A:B,2,FALSE)</f>
        <v>other</v>
      </c>
      <c r="E1620" s="3" t="str">
        <f>VLOOKUP(C1620,layoffs_location!A:C,3,FALSE)</f>
        <v>California</v>
      </c>
      <c r="F1620" s="3" t="str">
        <f>VLOOKUP(C1620,layoffs_location!A:D,4,FALSE)</f>
        <v>USA</v>
      </c>
      <c r="G1620" s="3" t="str">
        <f>VLOOKUP(C1620,layoffs_location!A:E,5,FALSE)</f>
        <v>North America</v>
      </c>
      <c r="H1620" s="16"/>
      <c r="I1620" s="13">
        <v>45351</v>
      </c>
      <c r="J1620" s="14">
        <v>15</v>
      </c>
      <c r="K1620" s="15"/>
      <c r="L1620" s="15"/>
      <c r="M1620" s="7" t="s">
        <v>32</v>
      </c>
      <c r="N1620" s="7" t="s">
        <v>28</v>
      </c>
      <c r="O1620" s="16">
        <v>1.7</v>
      </c>
      <c r="P1620" s="3">
        <v>2024</v>
      </c>
      <c r="Q1620" s="3">
        <f>VLOOKUP(C1620,layoffs_location!A:F,6,FALSE)</f>
        <v>34.053690899999999</v>
      </c>
      <c r="R1620" s="3">
        <f>VLOOKUP(C1620,layoffs_location!A:G,7,FALSE)</f>
        <v>-118.242766</v>
      </c>
    </row>
    <row r="1621" spans="1:18" ht="16" x14ac:dyDescent="0.2">
      <c r="A1621" s="3">
        <v>1620</v>
      </c>
      <c r="B1621" s="11" t="s">
        <v>1587</v>
      </c>
      <c r="C1621" s="11" t="s">
        <v>1352</v>
      </c>
      <c r="D1621" s="3" t="str">
        <f>VLOOKUP(C1621,layoffs_location!A:B,2,FALSE)</f>
        <v>other</v>
      </c>
      <c r="E1621" s="3" t="str">
        <f>VLOOKUP(C1621,layoffs_location!A:C,3,FALSE)</f>
        <v>non</v>
      </c>
      <c r="F1621" s="3" t="str">
        <f>VLOOKUP(C1621,layoffs_location!A:D,4,FALSE)</f>
        <v>Lithuania</v>
      </c>
      <c r="G1621" s="3" t="str">
        <f>VLOOKUP(C1621,layoffs_location!A:E,5,FALSE)</f>
        <v>Europe</v>
      </c>
      <c r="H1621" s="16"/>
      <c r="I1621" s="13">
        <v>45351</v>
      </c>
      <c r="J1621" s="14">
        <v>14</v>
      </c>
      <c r="K1621" s="15"/>
      <c r="L1621" s="15"/>
      <c r="M1621" s="7" t="s">
        <v>35</v>
      </c>
      <c r="N1621" s="7" t="s">
        <v>69</v>
      </c>
      <c r="O1621" s="16">
        <v>79</v>
      </c>
      <c r="P1621" s="3">
        <v>2024</v>
      </c>
      <c r="Q1621" s="3">
        <f>VLOOKUP(C1621,layoffs_location!A:F,6,FALSE)</f>
        <v>54.6870458</v>
      </c>
      <c r="R1621" s="3">
        <f>VLOOKUP(C1621,layoffs_location!A:G,7,FALSE)</f>
        <v>25.2829111</v>
      </c>
    </row>
    <row r="1622" spans="1:18" ht="16" x14ac:dyDescent="0.2">
      <c r="A1622" s="3">
        <v>1621</v>
      </c>
      <c r="B1622" s="11" t="s">
        <v>1564</v>
      </c>
      <c r="C1622" s="11" t="s">
        <v>39</v>
      </c>
      <c r="D1622" s="3" t="str">
        <f>VLOOKUP(C1622,layoffs_location!A:B,2,FALSE)</f>
        <v>New York</v>
      </c>
      <c r="E1622" s="3" t="str">
        <f>VLOOKUP(C1622,layoffs_location!A:C,3,FALSE)</f>
        <v>New York</v>
      </c>
      <c r="F1622" s="3" t="str">
        <f>VLOOKUP(C1622,layoffs_location!A:D,4,FALSE)</f>
        <v>USA</v>
      </c>
      <c r="G1622" s="3" t="str">
        <f>VLOOKUP(C1622,layoffs_location!A:E,5,FALSE)</f>
        <v>North America</v>
      </c>
      <c r="H1622" s="12">
        <v>90</v>
      </c>
      <c r="I1622" s="13">
        <v>45352</v>
      </c>
      <c r="J1622" s="14">
        <v>60</v>
      </c>
      <c r="K1622" s="15">
        <v>150</v>
      </c>
      <c r="L1622" s="15">
        <v>60</v>
      </c>
      <c r="M1622" s="7" t="s">
        <v>77</v>
      </c>
      <c r="N1622" s="7" t="s">
        <v>49</v>
      </c>
      <c r="O1622" s="16">
        <v>118</v>
      </c>
      <c r="P1622" s="3">
        <v>2024</v>
      </c>
      <c r="Q1622" s="3">
        <f>VLOOKUP(C1622,layoffs_location!A:F,6,FALSE)</f>
        <v>40.7127281</v>
      </c>
      <c r="R1622" s="3">
        <f>VLOOKUP(C1622,layoffs_location!A:G,7,FALSE)</f>
        <v>-74.006015199999993</v>
      </c>
    </row>
    <row r="1623" spans="1:18" ht="16" x14ac:dyDescent="0.2">
      <c r="A1623" s="3">
        <v>1622</v>
      </c>
      <c r="B1623" s="11" t="s">
        <v>397</v>
      </c>
      <c r="C1623" s="11" t="s">
        <v>182</v>
      </c>
      <c r="D1623" s="3" t="str">
        <f>VLOOKUP(C1623,layoffs_location!A:B,2,FALSE)</f>
        <v>other</v>
      </c>
      <c r="E1623" s="3" t="str">
        <f>VLOOKUP(C1623,layoffs_location!A:C,3,FALSE)</f>
        <v>Haryana</v>
      </c>
      <c r="F1623" s="3" t="str">
        <f>VLOOKUP(C1623,layoffs_location!A:D,4,FALSE)</f>
        <v>India</v>
      </c>
      <c r="G1623" s="3" t="str">
        <f>VLOOKUP(C1623,layoffs_location!A:E,5,FALSE)</f>
        <v>Asia</v>
      </c>
      <c r="H1623" s="12">
        <v>120</v>
      </c>
      <c r="I1623" s="13">
        <v>45352</v>
      </c>
      <c r="J1623" s="14">
        <v>7</v>
      </c>
      <c r="K1623" s="15">
        <v>1714</v>
      </c>
      <c r="L1623" s="15">
        <v>1594</v>
      </c>
      <c r="M1623" s="7" t="s">
        <v>21</v>
      </c>
      <c r="N1623" s="7" t="s">
        <v>36</v>
      </c>
      <c r="O1623" s="16">
        <v>177</v>
      </c>
      <c r="P1623" s="3">
        <v>2024</v>
      </c>
      <c r="Q1623" s="3">
        <f>VLOOKUP(C1623,layoffs_location!A:F,6,FALSE)</f>
        <v>28.4646148</v>
      </c>
      <c r="R1623" s="3">
        <f>VLOOKUP(C1623,layoffs_location!A:G,7,FALSE)</f>
        <v>77.029919399999997</v>
      </c>
    </row>
    <row r="1624" spans="1:18" ht="16" x14ac:dyDescent="0.2">
      <c r="A1624" s="3">
        <v>1623</v>
      </c>
      <c r="B1624" s="11" t="s">
        <v>1626</v>
      </c>
      <c r="C1624" s="11" t="s">
        <v>1713</v>
      </c>
      <c r="D1624" s="3" t="str">
        <f>VLOOKUP(C1624,layoffs_location!A:B,2,FALSE)</f>
        <v>San Francisco Bay Area</v>
      </c>
      <c r="E1624" s="3" t="str">
        <f>VLOOKUP(C1624,layoffs_location!A:C,3,FALSE)</f>
        <v>California</v>
      </c>
      <c r="F1624" s="3" t="str">
        <f>VLOOKUP(C1624,layoffs_location!A:D,4,FALSE)</f>
        <v>USA</v>
      </c>
      <c r="G1624" s="3" t="str">
        <f>VLOOKUP(C1624,layoffs_location!A:E,5,FALSE)</f>
        <v>North America</v>
      </c>
      <c r="H1624" s="12">
        <v>150</v>
      </c>
      <c r="I1624" s="13">
        <v>45352</v>
      </c>
      <c r="J1624" s="14">
        <v>100</v>
      </c>
      <c r="K1624" s="15">
        <v>150</v>
      </c>
      <c r="L1624" s="15">
        <v>0</v>
      </c>
      <c r="M1624" s="7" t="s">
        <v>21</v>
      </c>
      <c r="N1624" s="7" t="s">
        <v>22</v>
      </c>
      <c r="O1624" s="16"/>
      <c r="P1624" s="3">
        <v>2024</v>
      </c>
      <c r="Q1624" s="3">
        <f>VLOOKUP(C1624,layoffs_location!A:F,6,FALSE)</f>
        <v>37.496904000000001</v>
      </c>
      <c r="R1624" s="3">
        <f>VLOOKUP(C1624,layoffs_location!A:G,7,FALSE)</f>
        <v>-122.33305729999999</v>
      </c>
    </row>
    <row r="1625" spans="1:18" ht="16" x14ac:dyDescent="0.2">
      <c r="A1625" s="3">
        <v>1624</v>
      </c>
      <c r="B1625" s="11" t="s">
        <v>1661</v>
      </c>
      <c r="C1625" s="11" t="s">
        <v>244</v>
      </c>
      <c r="D1625" s="3" t="str">
        <f>VLOOKUP(C1625,layoffs_location!A:B,2,FALSE)</f>
        <v>other</v>
      </c>
      <c r="E1625" s="3" t="str">
        <f>VLOOKUP(C1625,layoffs_location!A:C,3,FALSE)</f>
        <v>non</v>
      </c>
      <c r="F1625" s="3" t="str">
        <f>VLOOKUP(C1625,layoffs_location!A:D,4,FALSE)</f>
        <v>Singapore</v>
      </c>
      <c r="G1625" s="3" t="str">
        <f>VLOOKUP(C1625,layoffs_location!A:E,5,FALSE)</f>
        <v>Asia</v>
      </c>
      <c r="H1625" s="16"/>
      <c r="I1625" s="13">
        <v>45352</v>
      </c>
      <c r="J1625" s="14"/>
      <c r="K1625" s="15"/>
      <c r="L1625" s="15"/>
      <c r="M1625" s="7" t="s">
        <v>35</v>
      </c>
      <c r="N1625" s="7" t="s">
        <v>49</v>
      </c>
      <c r="O1625" s="16">
        <v>175</v>
      </c>
      <c r="P1625" s="3">
        <v>2024</v>
      </c>
      <c r="Q1625" s="3">
        <f>VLOOKUP(C1625,layoffs_location!A:F,6,FALSE)</f>
        <v>1.2899175000000001</v>
      </c>
      <c r="R1625" s="3">
        <f>VLOOKUP(C1625,layoffs_location!A:G,7,FALSE)</f>
        <v>103.8519072</v>
      </c>
    </row>
    <row r="1626" spans="1:18" ht="16" x14ac:dyDescent="0.2">
      <c r="A1626" s="3">
        <v>1625</v>
      </c>
      <c r="B1626" s="11" t="s">
        <v>263</v>
      </c>
      <c r="C1626" s="11" t="s">
        <v>264</v>
      </c>
      <c r="D1626" s="3" t="str">
        <f>VLOOKUP(C1626,layoffs_location!A:B,2,FALSE)</f>
        <v>other</v>
      </c>
      <c r="E1626" s="3" t="str">
        <f>VLOOKUP(C1626,layoffs_location!A:C,3,FALSE)</f>
        <v>Arizona</v>
      </c>
      <c r="F1626" s="3" t="str">
        <f>VLOOKUP(C1626,layoffs_location!A:D,4,FALSE)</f>
        <v>USA</v>
      </c>
      <c r="G1626" s="3" t="str">
        <f>VLOOKUP(C1626,layoffs_location!A:E,5,FALSE)</f>
        <v>North America</v>
      </c>
      <c r="H1626" s="12">
        <v>80</v>
      </c>
      <c r="I1626" s="13">
        <v>45355</v>
      </c>
      <c r="J1626" s="14">
        <v>10</v>
      </c>
      <c r="K1626" s="15">
        <v>800</v>
      </c>
      <c r="L1626" s="15">
        <v>720</v>
      </c>
      <c r="M1626" s="7" t="s">
        <v>239</v>
      </c>
      <c r="N1626" s="7" t="s">
        <v>28</v>
      </c>
      <c r="O1626" s="16">
        <v>462</v>
      </c>
      <c r="P1626" s="3">
        <v>2024</v>
      </c>
      <c r="Q1626" s="3">
        <f>VLOOKUP(C1626,layoffs_location!A:F,6,FALSE)</f>
        <v>33.448436700000002</v>
      </c>
      <c r="R1626" s="3">
        <f>VLOOKUP(C1626,layoffs_location!A:G,7,FALSE)</f>
        <v>-112.074141</v>
      </c>
    </row>
    <row r="1627" spans="1:18" ht="16" x14ac:dyDescent="0.2">
      <c r="A1627" s="3">
        <v>1626</v>
      </c>
      <c r="B1627" s="11" t="s">
        <v>1602</v>
      </c>
      <c r="C1627" s="11" t="s">
        <v>39</v>
      </c>
      <c r="D1627" s="3" t="str">
        <f>VLOOKUP(C1627,layoffs_location!A:B,2,FALSE)</f>
        <v>New York</v>
      </c>
      <c r="E1627" s="3" t="str">
        <f>VLOOKUP(C1627,layoffs_location!A:C,3,FALSE)</f>
        <v>New York</v>
      </c>
      <c r="F1627" s="3" t="str">
        <f>VLOOKUP(C1627,layoffs_location!A:D,4,FALSE)</f>
        <v>USA</v>
      </c>
      <c r="G1627" s="3" t="str">
        <f>VLOOKUP(C1627,layoffs_location!A:E,5,FALSE)</f>
        <v>North America</v>
      </c>
      <c r="H1627" s="12">
        <v>40</v>
      </c>
      <c r="I1627" s="13">
        <v>45355</v>
      </c>
      <c r="J1627" s="14">
        <v>7</v>
      </c>
      <c r="K1627" s="15">
        <v>571</v>
      </c>
      <c r="L1627" s="15">
        <v>531</v>
      </c>
      <c r="M1627" s="7" t="s">
        <v>35</v>
      </c>
      <c r="N1627" s="7" t="s">
        <v>108</v>
      </c>
      <c r="O1627" s="16">
        <v>504</v>
      </c>
      <c r="P1627" s="3">
        <v>2024</v>
      </c>
      <c r="Q1627" s="3">
        <f>VLOOKUP(C1627,layoffs_location!A:F,6,FALSE)</f>
        <v>40.7127281</v>
      </c>
      <c r="R1627" s="3">
        <f>VLOOKUP(C1627,layoffs_location!A:G,7,FALSE)</f>
        <v>-74.006015199999993</v>
      </c>
    </row>
    <row r="1628" spans="1:18" ht="16" x14ac:dyDescent="0.2">
      <c r="A1628" s="3">
        <v>1627</v>
      </c>
      <c r="B1628" s="11" t="s">
        <v>64</v>
      </c>
      <c r="C1628" s="11" t="s">
        <v>65</v>
      </c>
      <c r="D1628" s="3" t="str">
        <f>VLOOKUP(C1628,layoffs_location!A:B,2,FALSE)</f>
        <v>other</v>
      </c>
      <c r="E1628" s="3" t="str">
        <f>VLOOKUP(C1628,layoffs_location!A:C,3,FALSE)</f>
        <v>Michigan</v>
      </c>
      <c r="F1628" s="3" t="str">
        <f>VLOOKUP(C1628,layoffs_location!A:D,4,FALSE)</f>
        <v>USA</v>
      </c>
      <c r="G1628" s="3" t="str">
        <f>VLOOKUP(C1628,layoffs_location!A:E,5,FALSE)</f>
        <v>North America</v>
      </c>
      <c r="H1628" s="12">
        <v>40</v>
      </c>
      <c r="I1628" s="13">
        <v>45355</v>
      </c>
      <c r="J1628" s="14">
        <v>13</v>
      </c>
      <c r="K1628" s="15">
        <v>308</v>
      </c>
      <c r="L1628" s="15">
        <v>268</v>
      </c>
      <c r="M1628" s="7" t="s">
        <v>32</v>
      </c>
      <c r="N1628" s="7" t="s">
        <v>49</v>
      </c>
      <c r="O1628" s="16">
        <v>390</v>
      </c>
      <c r="P1628" s="3">
        <v>2024</v>
      </c>
      <c r="Q1628" s="3">
        <f>VLOOKUP(C1628,layoffs_location!A:F,6,FALSE)</f>
        <v>42.331550900000003</v>
      </c>
      <c r="R1628" s="3">
        <f>VLOOKUP(C1628,layoffs_location!A:G,7,FALSE)</f>
        <v>-83.046640300000007</v>
      </c>
    </row>
    <row r="1629" spans="1:18" ht="16" x14ac:dyDescent="0.2">
      <c r="A1629" s="3">
        <v>1628</v>
      </c>
      <c r="B1629" s="11" t="s">
        <v>1555</v>
      </c>
      <c r="C1629" s="11" t="s">
        <v>71</v>
      </c>
      <c r="D1629" s="3" t="str">
        <f>VLOOKUP(C1629,layoffs_location!A:B,2,FALSE)</f>
        <v>other</v>
      </c>
      <c r="E1629" s="3" t="str">
        <f>VLOOKUP(C1629,layoffs_location!A:C,3,FALSE)</f>
        <v>Massachusetts</v>
      </c>
      <c r="F1629" s="3" t="str">
        <f>VLOOKUP(C1629,layoffs_location!A:D,4,FALSE)</f>
        <v>USA</v>
      </c>
      <c r="G1629" s="3" t="str">
        <f>VLOOKUP(C1629,layoffs_location!A:E,5,FALSE)</f>
        <v>North America</v>
      </c>
      <c r="H1629" s="16"/>
      <c r="I1629" s="13">
        <v>45356</v>
      </c>
      <c r="J1629" s="14"/>
      <c r="K1629" s="15"/>
      <c r="L1629" s="15"/>
      <c r="M1629" s="7" t="s">
        <v>27</v>
      </c>
      <c r="N1629" s="7" t="s">
        <v>22</v>
      </c>
      <c r="O1629" s="16">
        <v>966</v>
      </c>
      <c r="P1629" s="3">
        <v>2024</v>
      </c>
      <c r="Q1629" s="3">
        <f>VLOOKUP(C1629,layoffs_location!A:F,6,FALSE)</f>
        <v>42.355433400000003</v>
      </c>
      <c r="R1629" s="3">
        <f>VLOOKUP(C1629,layoffs_location!A:G,7,FALSE)</f>
        <v>-71.060511000000005</v>
      </c>
    </row>
    <row r="1630" spans="1:18" ht="16" x14ac:dyDescent="0.2">
      <c r="A1630" s="3">
        <v>1629</v>
      </c>
      <c r="B1630" s="11" t="s">
        <v>1604</v>
      </c>
      <c r="C1630" s="11" t="s">
        <v>99</v>
      </c>
      <c r="D1630" s="3" t="str">
        <f>VLOOKUP(C1630,layoffs_location!A:B,2,FALSE)</f>
        <v>other</v>
      </c>
      <c r="E1630" s="3" t="str">
        <f>VLOOKUP(C1630,layoffs_location!A:C,3,FALSE)</f>
        <v>non</v>
      </c>
      <c r="F1630" s="3" t="str">
        <f>VLOOKUP(C1630,layoffs_location!A:D,4,FALSE)</f>
        <v>Netherlands</v>
      </c>
      <c r="G1630" s="3" t="str">
        <f>VLOOKUP(C1630,layoffs_location!A:E,5,FALSE)</f>
        <v>Europe</v>
      </c>
      <c r="H1630" s="12">
        <v>90</v>
      </c>
      <c r="I1630" s="13">
        <v>45356</v>
      </c>
      <c r="J1630" s="14">
        <v>20</v>
      </c>
      <c r="K1630" s="15">
        <v>450</v>
      </c>
      <c r="L1630" s="15">
        <v>360</v>
      </c>
      <c r="M1630" s="7" t="s">
        <v>60</v>
      </c>
      <c r="N1630" s="7" t="s">
        <v>41</v>
      </c>
      <c r="O1630" s="16">
        <v>1.1000000000000001</v>
      </c>
      <c r="P1630" s="3">
        <v>2024</v>
      </c>
      <c r="Q1630" s="3">
        <f>VLOOKUP(C1630,layoffs_location!A:F,6,FALSE)</f>
        <v>52.373079599999997</v>
      </c>
      <c r="R1630" s="3">
        <f>VLOOKUP(C1630,layoffs_location!A:G,7,FALSE)</f>
        <v>4.8924534</v>
      </c>
    </row>
    <row r="1631" spans="1:18" ht="16" x14ac:dyDescent="0.2">
      <c r="A1631" s="3">
        <v>1630</v>
      </c>
      <c r="B1631" s="11" t="s">
        <v>203</v>
      </c>
      <c r="C1631" s="11" t="s">
        <v>39</v>
      </c>
      <c r="D1631" s="3" t="str">
        <f>VLOOKUP(C1631,layoffs_location!A:B,2,FALSE)</f>
        <v>New York</v>
      </c>
      <c r="E1631" s="3" t="str">
        <f>VLOOKUP(C1631,layoffs_location!A:C,3,FALSE)</f>
        <v>New York</v>
      </c>
      <c r="F1631" s="3" t="str">
        <f>VLOOKUP(C1631,layoffs_location!A:D,4,FALSE)</f>
        <v>USA</v>
      </c>
      <c r="G1631" s="3" t="str">
        <f>VLOOKUP(C1631,layoffs_location!A:E,5,FALSE)</f>
        <v>North America</v>
      </c>
      <c r="H1631" s="16"/>
      <c r="I1631" s="13">
        <v>45356</v>
      </c>
      <c r="J1631" s="14"/>
      <c r="K1631" s="15"/>
      <c r="L1631" s="15"/>
      <c r="M1631" s="7" t="s">
        <v>79</v>
      </c>
      <c r="N1631" s="7" t="s">
        <v>36</v>
      </c>
      <c r="O1631" s="16">
        <v>569</v>
      </c>
      <c r="P1631" s="3">
        <v>2024</v>
      </c>
      <c r="Q1631" s="3">
        <f>VLOOKUP(C1631,layoffs_location!A:F,6,FALSE)</f>
        <v>40.7127281</v>
      </c>
      <c r="R1631" s="3">
        <f>VLOOKUP(C1631,layoffs_location!A:G,7,FALSE)</f>
        <v>-74.006015199999993</v>
      </c>
    </row>
    <row r="1632" spans="1:18" ht="16" x14ac:dyDescent="0.2">
      <c r="A1632" s="3">
        <v>1631</v>
      </c>
      <c r="B1632" s="11" t="s">
        <v>385</v>
      </c>
      <c r="C1632" s="11" t="s">
        <v>1443</v>
      </c>
      <c r="D1632" s="3" t="str">
        <f>VLOOKUP(C1632,layoffs_location!A:B,2,FALSE)</f>
        <v>San Francisco Bay Area</v>
      </c>
      <c r="E1632" s="3" t="str">
        <f>VLOOKUP(C1632,layoffs_location!A:C,3,FALSE)</f>
        <v>California</v>
      </c>
      <c r="F1632" s="3" t="str">
        <f>VLOOKUP(C1632,layoffs_location!A:D,4,FALSE)</f>
        <v>USA</v>
      </c>
      <c r="G1632" s="3" t="str">
        <f>VLOOKUP(C1632,layoffs_location!A:E,5,FALSE)</f>
        <v>North America</v>
      </c>
      <c r="H1632" s="16"/>
      <c r="I1632" s="13">
        <v>45357</v>
      </c>
      <c r="J1632" s="14"/>
      <c r="K1632" s="15"/>
      <c r="L1632" s="15"/>
      <c r="M1632" s="7" t="s">
        <v>16</v>
      </c>
      <c r="N1632" s="7" t="s">
        <v>28</v>
      </c>
      <c r="O1632" s="16">
        <v>26</v>
      </c>
      <c r="P1632" s="3">
        <v>2024</v>
      </c>
      <c r="Q1632" s="3">
        <f>VLOOKUP(C1632,layoffs_location!A:F,6,FALSE)</f>
        <v>37.451967099999997</v>
      </c>
      <c r="R1632" s="3">
        <f>VLOOKUP(C1632,layoffs_location!A:G,7,FALSE)</f>
        <v>-122.177992</v>
      </c>
    </row>
    <row r="1633" spans="1:18" ht="16" x14ac:dyDescent="0.2">
      <c r="A1633" s="3">
        <v>1632</v>
      </c>
      <c r="B1633" s="11" t="s">
        <v>1620</v>
      </c>
      <c r="C1633" s="11" t="s">
        <v>1370</v>
      </c>
      <c r="D1633" s="3" t="str">
        <f>VLOOKUP(C1633,layoffs_location!A:B,2,FALSE)</f>
        <v>San Francisco Bay Area</v>
      </c>
      <c r="E1633" s="3" t="str">
        <f>VLOOKUP(C1633,layoffs_location!A:C,3,FALSE)</f>
        <v>California</v>
      </c>
      <c r="F1633" s="3" t="str">
        <f>VLOOKUP(C1633,layoffs_location!A:D,4,FALSE)</f>
        <v>USA</v>
      </c>
      <c r="G1633" s="3" t="str">
        <f>VLOOKUP(C1633,layoffs_location!A:E,5,FALSE)</f>
        <v>North America</v>
      </c>
      <c r="H1633" s="16"/>
      <c r="I1633" s="13">
        <v>45357</v>
      </c>
      <c r="J1633" s="14"/>
      <c r="K1633" s="15"/>
      <c r="L1633" s="15"/>
      <c r="M1633" s="7" t="s">
        <v>79</v>
      </c>
      <c r="N1633" s="7" t="s">
        <v>41</v>
      </c>
      <c r="O1633" s="16">
        <v>105</v>
      </c>
      <c r="P1633" s="3">
        <v>2024</v>
      </c>
      <c r="Q1633" s="3">
        <f>VLOOKUP(C1633,layoffs_location!A:F,6,FALSE)</f>
        <v>37.779258800000001</v>
      </c>
      <c r="R1633" s="3">
        <f>VLOOKUP(C1633,layoffs_location!A:G,7,FALSE)</f>
        <v>-122.4193286</v>
      </c>
    </row>
    <row r="1634" spans="1:18" ht="16" x14ac:dyDescent="0.2">
      <c r="A1634" s="3">
        <v>1633</v>
      </c>
      <c r="B1634" s="11" t="s">
        <v>1648</v>
      </c>
      <c r="C1634" s="11" t="s">
        <v>39</v>
      </c>
      <c r="D1634" s="3" t="str">
        <f>VLOOKUP(C1634,layoffs_location!A:B,2,FALSE)</f>
        <v>New York</v>
      </c>
      <c r="E1634" s="3" t="str">
        <f>VLOOKUP(C1634,layoffs_location!A:C,3,FALSE)</f>
        <v>New York</v>
      </c>
      <c r="F1634" s="3" t="str">
        <f>VLOOKUP(C1634,layoffs_location!A:D,4,FALSE)</f>
        <v>USA</v>
      </c>
      <c r="G1634" s="3" t="str">
        <f>VLOOKUP(C1634,layoffs_location!A:E,5,FALSE)</f>
        <v>North America</v>
      </c>
      <c r="H1634" s="12">
        <v>22</v>
      </c>
      <c r="I1634" s="13">
        <v>45357</v>
      </c>
      <c r="J1634" s="14">
        <v>13</v>
      </c>
      <c r="K1634" s="15">
        <v>169</v>
      </c>
      <c r="L1634" s="15">
        <v>147</v>
      </c>
      <c r="M1634" s="7" t="s">
        <v>117</v>
      </c>
      <c r="N1634" s="7" t="s">
        <v>49</v>
      </c>
      <c r="O1634" s="16">
        <v>739</v>
      </c>
      <c r="P1634" s="3">
        <v>2024</v>
      </c>
      <c r="Q1634" s="3">
        <f>VLOOKUP(C1634,layoffs_location!A:F,6,FALSE)</f>
        <v>40.7127281</v>
      </c>
      <c r="R1634" s="3">
        <f>VLOOKUP(C1634,layoffs_location!A:G,7,FALSE)</f>
        <v>-74.006015199999993</v>
      </c>
    </row>
    <row r="1635" spans="1:18" ht="16" x14ac:dyDescent="0.2">
      <c r="A1635" s="3">
        <v>1634</v>
      </c>
      <c r="B1635" s="11" t="s">
        <v>1662</v>
      </c>
      <c r="C1635" s="11" t="s">
        <v>1710</v>
      </c>
      <c r="D1635" s="3" t="str">
        <f>VLOOKUP(C1635,layoffs_location!A:B,2,FALSE)</f>
        <v>San Francisco Bay Area</v>
      </c>
      <c r="E1635" s="3" t="str">
        <f>VLOOKUP(C1635,layoffs_location!A:C,3,FALSE)</f>
        <v>California</v>
      </c>
      <c r="F1635" s="3" t="str">
        <f>VLOOKUP(C1635,layoffs_location!A:D,4,FALSE)</f>
        <v>USA</v>
      </c>
      <c r="G1635" s="3" t="str">
        <f>VLOOKUP(C1635,layoffs_location!A:E,5,FALSE)</f>
        <v>North America</v>
      </c>
      <c r="H1635" s="16"/>
      <c r="I1635" s="13">
        <v>45358</v>
      </c>
      <c r="J1635" s="14"/>
      <c r="K1635" s="15"/>
      <c r="L1635" s="15"/>
      <c r="M1635" s="7" t="s">
        <v>274</v>
      </c>
      <c r="N1635" s="7" t="s">
        <v>33</v>
      </c>
      <c r="O1635" s="16">
        <v>147</v>
      </c>
      <c r="P1635" s="3">
        <v>2024</v>
      </c>
      <c r="Q1635" s="3">
        <f>VLOOKUP(C1635,layoffs_location!A:F,6,FALSE)</f>
        <v>37.486323900000002</v>
      </c>
      <c r="R1635" s="3">
        <f>VLOOKUP(C1635,layoffs_location!A:G,7,FALSE)</f>
        <v>-122.232523</v>
      </c>
    </row>
    <row r="1636" spans="1:18" ht="16" x14ac:dyDescent="0.2">
      <c r="A1636" s="3">
        <v>1635</v>
      </c>
      <c r="B1636" s="11" t="s">
        <v>1668</v>
      </c>
      <c r="C1636" s="11" t="s">
        <v>1726</v>
      </c>
      <c r="D1636" s="3" t="str">
        <f>VLOOKUP(C1636,layoffs_location!A:B,2,FALSE)</f>
        <v>San Francisco Bay Area</v>
      </c>
      <c r="E1636" s="3" t="str">
        <f>VLOOKUP(C1636,layoffs_location!A:C,3,FALSE)</f>
        <v>California</v>
      </c>
      <c r="F1636" s="3" t="str">
        <f>VLOOKUP(C1636,layoffs_location!A:D,4,FALSE)</f>
        <v>USA</v>
      </c>
      <c r="G1636" s="3" t="str">
        <f>VLOOKUP(C1636,layoffs_location!A:E,5,FALSE)</f>
        <v>North America</v>
      </c>
      <c r="H1636" s="12">
        <v>15</v>
      </c>
      <c r="I1636" s="13">
        <v>45358</v>
      </c>
      <c r="J1636" s="14">
        <v>2</v>
      </c>
      <c r="K1636" s="15">
        <v>750</v>
      </c>
      <c r="L1636" s="15">
        <v>735</v>
      </c>
      <c r="M1636" s="7" t="s">
        <v>68</v>
      </c>
      <c r="N1636" s="7" t="s">
        <v>33</v>
      </c>
      <c r="O1636" s="16"/>
      <c r="P1636" s="3">
        <v>2024</v>
      </c>
      <c r="Q1636" s="3">
        <f>VLOOKUP(C1636,layoffs_location!A:F,6,FALSE)</f>
        <v>37.804455699999998</v>
      </c>
      <c r="R1636" s="3">
        <f>VLOOKUP(C1636,layoffs_location!A:G,7,FALSE)</f>
        <v>-122.271356</v>
      </c>
    </row>
    <row r="1637" spans="1:18" ht="16" x14ac:dyDescent="0.2">
      <c r="A1637" s="3">
        <v>1636</v>
      </c>
      <c r="B1637" s="11" t="s">
        <v>1575</v>
      </c>
      <c r="C1637" s="11" t="s">
        <v>1370</v>
      </c>
      <c r="D1637" s="3" t="str">
        <f>VLOOKUP(C1637,layoffs_location!A:B,2,FALSE)</f>
        <v>San Francisco Bay Area</v>
      </c>
      <c r="E1637" s="3" t="str">
        <f>VLOOKUP(C1637,layoffs_location!A:C,3,FALSE)</f>
        <v>California</v>
      </c>
      <c r="F1637" s="3" t="str">
        <f>VLOOKUP(C1637,layoffs_location!A:D,4,FALSE)</f>
        <v>USA</v>
      </c>
      <c r="G1637" s="3" t="str">
        <f>VLOOKUP(C1637,layoffs_location!A:E,5,FALSE)</f>
        <v>North America</v>
      </c>
      <c r="H1637" s="16"/>
      <c r="I1637" s="13">
        <v>45359</v>
      </c>
      <c r="J1637" s="14">
        <v>40</v>
      </c>
      <c r="K1637" s="15"/>
      <c r="L1637" s="15"/>
      <c r="M1637" s="7" t="s">
        <v>35</v>
      </c>
      <c r="N1637" s="7" t="s">
        <v>49</v>
      </c>
      <c r="O1637" s="16">
        <v>39</v>
      </c>
      <c r="P1637" s="3">
        <v>2024</v>
      </c>
      <c r="Q1637" s="3">
        <f>VLOOKUP(C1637,layoffs_location!A:F,6,FALSE)</f>
        <v>37.779258800000001</v>
      </c>
      <c r="R1637" s="3">
        <f>VLOOKUP(C1637,layoffs_location!A:G,7,FALSE)</f>
        <v>-122.4193286</v>
      </c>
    </row>
    <row r="1638" spans="1:18" ht="16" x14ac:dyDescent="0.2">
      <c r="A1638" s="3">
        <v>1637</v>
      </c>
      <c r="B1638" s="11" t="s">
        <v>1610</v>
      </c>
      <c r="C1638" s="11" t="s">
        <v>730</v>
      </c>
      <c r="D1638" s="3" t="str">
        <f>VLOOKUP(C1638,layoffs_location!A:B,2,FALSE)</f>
        <v>other</v>
      </c>
      <c r="E1638" s="3" t="str">
        <f>VLOOKUP(C1638,layoffs_location!A:C,3,FALSE)</f>
        <v>Pennsylvania</v>
      </c>
      <c r="F1638" s="3" t="str">
        <f>VLOOKUP(C1638,layoffs_location!A:D,4,FALSE)</f>
        <v>USA</v>
      </c>
      <c r="G1638" s="3" t="str">
        <f>VLOOKUP(C1638,layoffs_location!A:E,5,FALSE)</f>
        <v>North America</v>
      </c>
      <c r="H1638" s="12">
        <v>24</v>
      </c>
      <c r="I1638" s="13">
        <v>45359</v>
      </c>
      <c r="J1638" s="14">
        <v>7</v>
      </c>
      <c r="K1638" s="15">
        <v>343</v>
      </c>
      <c r="L1638" s="15">
        <v>319</v>
      </c>
      <c r="M1638" s="7" t="s">
        <v>68</v>
      </c>
      <c r="N1638" s="7" t="s">
        <v>41</v>
      </c>
      <c r="O1638" s="16">
        <v>44</v>
      </c>
      <c r="P1638" s="3">
        <v>2024</v>
      </c>
      <c r="Q1638" s="3">
        <f>VLOOKUP(C1638,layoffs_location!A:F,6,FALSE)</f>
        <v>40.441694099999999</v>
      </c>
      <c r="R1638" s="3">
        <f>VLOOKUP(C1638,layoffs_location!A:G,7,FALSE)</f>
        <v>-79.990086099999999</v>
      </c>
    </row>
    <row r="1639" spans="1:18" ht="16" x14ac:dyDescent="0.2">
      <c r="A1639" s="3">
        <v>1638</v>
      </c>
      <c r="B1639" s="11" t="s">
        <v>1539</v>
      </c>
      <c r="C1639" s="11" t="s">
        <v>39</v>
      </c>
      <c r="D1639" s="3" t="str">
        <f>VLOOKUP(C1639,layoffs_location!A:B,2,FALSE)</f>
        <v>New York</v>
      </c>
      <c r="E1639" s="3" t="str">
        <f>VLOOKUP(C1639,layoffs_location!A:C,3,FALSE)</f>
        <v>New York</v>
      </c>
      <c r="F1639" s="3" t="str">
        <f>VLOOKUP(C1639,layoffs_location!A:D,4,FALSE)</f>
        <v>USA</v>
      </c>
      <c r="G1639" s="3" t="str">
        <f>VLOOKUP(C1639,layoffs_location!A:E,5,FALSE)</f>
        <v>North America</v>
      </c>
      <c r="H1639" s="12">
        <v>11</v>
      </c>
      <c r="I1639" s="13">
        <v>45362</v>
      </c>
      <c r="J1639" s="14">
        <v>100</v>
      </c>
      <c r="K1639" s="15">
        <v>11</v>
      </c>
      <c r="L1639" s="15">
        <v>0</v>
      </c>
      <c r="M1639" s="7" t="s">
        <v>54</v>
      </c>
      <c r="N1639" s="7" t="s">
        <v>33</v>
      </c>
      <c r="O1639" s="16"/>
      <c r="P1639" s="3">
        <v>2024</v>
      </c>
      <c r="Q1639" s="3">
        <f>VLOOKUP(C1639,layoffs_location!A:F,6,FALSE)</f>
        <v>40.7127281</v>
      </c>
      <c r="R1639" s="3">
        <f>VLOOKUP(C1639,layoffs_location!A:G,7,FALSE)</f>
        <v>-74.006015199999993</v>
      </c>
    </row>
    <row r="1640" spans="1:18" ht="16" x14ac:dyDescent="0.2">
      <c r="A1640" s="3">
        <v>1639</v>
      </c>
      <c r="B1640" s="11" t="s">
        <v>1569</v>
      </c>
      <c r="C1640" s="11" t="s">
        <v>39</v>
      </c>
      <c r="D1640" s="3" t="str">
        <f>VLOOKUP(C1640,layoffs_location!A:B,2,FALSE)</f>
        <v>New York</v>
      </c>
      <c r="E1640" s="3" t="str">
        <f>VLOOKUP(C1640,layoffs_location!A:C,3,FALSE)</f>
        <v>New York</v>
      </c>
      <c r="F1640" s="3" t="str">
        <f>VLOOKUP(C1640,layoffs_location!A:D,4,FALSE)</f>
        <v>USA</v>
      </c>
      <c r="G1640" s="3" t="str">
        <f>VLOOKUP(C1640,layoffs_location!A:E,5,FALSE)</f>
        <v>North America</v>
      </c>
      <c r="H1640" s="16"/>
      <c r="I1640" s="13">
        <v>45363</v>
      </c>
      <c r="J1640" s="14"/>
      <c r="K1640" s="15"/>
      <c r="L1640" s="15"/>
      <c r="M1640" s="7" t="s">
        <v>87</v>
      </c>
      <c r="N1640" s="7" t="s">
        <v>28</v>
      </c>
      <c r="O1640" s="16"/>
      <c r="P1640" s="3">
        <v>2024</v>
      </c>
      <c r="Q1640" s="3">
        <f>VLOOKUP(C1640,layoffs_location!A:F,6,FALSE)</f>
        <v>40.7127281</v>
      </c>
      <c r="R1640" s="3">
        <f>VLOOKUP(C1640,layoffs_location!A:G,7,FALSE)</f>
        <v>-74.006015199999993</v>
      </c>
    </row>
    <row r="1641" spans="1:18" ht="16" x14ac:dyDescent="0.2">
      <c r="A1641" s="3">
        <v>1640</v>
      </c>
      <c r="B1641" s="11" t="s">
        <v>1619</v>
      </c>
      <c r="C1641" s="11" t="s">
        <v>1370</v>
      </c>
      <c r="D1641" s="3" t="str">
        <f>VLOOKUP(C1641,layoffs_location!A:B,2,FALSE)</f>
        <v>San Francisco Bay Area</v>
      </c>
      <c r="E1641" s="3" t="str">
        <f>VLOOKUP(C1641,layoffs_location!A:C,3,FALSE)</f>
        <v>California</v>
      </c>
      <c r="F1641" s="3" t="str">
        <f>VLOOKUP(C1641,layoffs_location!A:D,4,FALSE)</f>
        <v>USA</v>
      </c>
      <c r="G1641" s="3" t="str">
        <f>VLOOKUP(C1641,layoffs_location!A:E,5,FALSE)</f>
        <v>North America</v>
      </c>
      <c r="H1641" s="12">
        <v>100</v>
      </c>
      <c r="I1641" s="13">
        <v>45363</v>
      </c>
      <c r="J1641" s="14">
        <v>100</v>
      </c>
      <c r="K1641" s="15">
        <v>100</v>
      </c>
      <c r="L1641" s="15">
        <v>0</v>
      </c>
      <c r="M1641" s="7" t="s">
        <v>32</v>
      </c>
      <c r="N1641" s="7" t="s">
        <v>22</v>
      </c>
      <c r="O1641" s="16">
        <v>86</v>
      </c>
      <c r="P1641" s="3">
        <v>2024</v>
      </c>
      <c r="Q1641" s="3">
        <f>VLOOKUP(C1641,layoffs_location!A:F,6,FALSE)</f>
        <v>37.779258800000001</v>
      </c>
      <c r="R1641" s="3">
        <f>VLOOKUP(C1641,layoffs_location!A:G,7,FALSE)</f>
        <v>-122.4193286</v>
      </c>
    </row>
    <row r="1642" spans="1:18" ht="16" x14ac:dyDescent="0.2">
      <c r="A1642" s="3">
        <v>1641</v>
      </c>
      <c r="B1642" s="11" t="s">
        <v>287</v>
      </c>
      <c r="C1642" s="11" t="s">
        <v>39</v>
      </c>
      <c r="D1642" s="3" t="str">
        <f>VLOOKUP(C1642,layoffs_location!A:B,2,FALSE)</f>
        <v>New York</v>
      </c>
      <c r="E1642" s="3" t="str">
        <f>VLOOKUP(C1642,layoffs_location!A:C,3,FALSE)</f>
        <v>New York</v>
      </c>
      <c r="F1642" s="3" t="str">
        <f>VLOOKUP(C1642,layoffs_location!A:D,4,FALSE)</f>
        <v>USA</v>
      </c>
      <c r="G1642" s="3" t="str">
        <f>VLOOKUP(C1642,layoffs_location!A:E,5,FALSE)</f>
        <v>North America</v>
      </c>
      <c r="H1642" s="12">
        <v>80</v>
      </c>
      <c r="I1642" s="13">
        <v>45364</v>
      </c>
      <c r="J1642" s="14">
        <v>25</v>
      </c>
      <c r="K1642" s="15">
        <v>320</v>
      </c>
      <c r="L1642" s="15">
        <v>240</v>
      </c>
      <c r="M1642" s="7" t="s">
        <v>35</v>
      </c>
      <c r="N1642" s="7" t="s">
        <v>22</v>
      </c>
      <c r="O1642" s="16">
        <v>480</v>
      </c>
      <c r="P1642" s="3">
        <v>2024</v>
      </c>
      <c r="Q1642" s="3">
        <f>VLOOKUP(C1642,layoffs_location!A:F,6,FALSE)</f>
        <v>40.7127281</v>
      </c>
      <c r="R1642" s="3">
        <f>VLOOKUP(C1642,layoffs_location!A:G,7,FALSE)</f>
        <v>-74.006015199999993</v>
      </c>
    </row>
    <row r="1643" spans="1:18" ht="16" x14ac:dyDescent="0.2">
      <c r="A1643" s="3">
        <v>1642</v>
      </c>
      <c r="B1643" s="11" t="s">
        <v>355</v>
      </c>
      <c r="C1643" s="11" t="s">
        <v>43</v>
      </c>
      <c r="D1643" s="3" t="str">
        <f>VLOOKUP(C1643,layoffs_location!A:B,2,FALSE)</f>
        <v>Cascadia</v>
      </c>
      <c r="E1643" s="3" t="str">
        <f>VLOOKUP(C1643,layoffs_location!A:C,3,FALSE)</f>
        <v>Washington</v>
      </c>
      <c r="F1643" s="3" t="str">
        <f>VLOOKUP(C1643,layoffs_location!A:D,4,FALSE)</f>
        <v>USA</v>
      </c>
      <c r="G1643" s="3" t="str">
        <f>VLOOKUP(C1643,layoffs_location!A:E,5,FALSE)</f>
        <v>North America</v>
      </c>
      <c r="H1643" s="12">
        <v>14</v>
      </c>
      <c r="I1643" s="13">
        <v>45365</v>
      </c>
      <c r="J1643" s="14">
        <v>16</v>
      </c>
      <c r="K1643" s="15">
        <v>88</v>
      </c>
      <c r="L1643" s="15">
        <v>74</v>
      </c>
      <c r="M1643" s="7" t="s">
        <v>84</v>
      </c>
      <c r="N1643" s="7" t="s">
        <v>22</v>
      </c>
      <c r="O1643" s="16">
        <v>42</v>
      </c>
      <c r="P1643" s="3">
        <v>2024</v>
      </c>
      <c r="Q1643" s="3">
        <f>VLOOKUP(C1643,layoffs_location!A:F,6,FALSE)</f>
        <v>47.603832099999998</v>
      </c>
      <c r="R1643" s="3">
        <f>VLOOKUP(C1643,layoffs_location!A:G,7,FALSE)</f>
        <v>-122.330062</v>
      </c>
    </row>
    <row r="1644" spans="1:18" ht="16" x14ac:dyDescent="0.2">
      <c r="A1644" s="3">
        <v>1643</v>
      </c>
      <c r="B1644" s="11" t="s">
        <v>1521</v>
      </c>
      <c r="C1644" s="11" t="s">
        <v>74</v>
      </c>
      <c r="D1644" s="3" t="str">
        <f>VLOOKUP(C1644,layoffs_location!A:B,2,FALSE)</f>
        <v>other</v>
      </c>
      <c r="E1644" s="3" t="str">
        <f>VLOOKUP(C1644,layoffs_location!A:C,3,FALSE)</f>
        <v>California</v>
      </c>
      <c r="F1644" s="3" t="str">
        <f>VLOOKUP(C1644,layoffs_location!A:D,4,FALSE)</f>
        <v>USA</v>
      </c>
      <c r="G1644" s="3" t="str">
        <f>VLOOKUP(C1644,layoffs_location!A:E,5,FALSE)</f>
        <v>North America</v>
      </c>
      <c r="H1644" s="16"/>
      <c r="I1644" s="13">
        <v>45366</v>
      </c>
      <c r="J1644" s="14">
        <v>100</v>
      </c>
      <c r="K1644" s="15"/>
      <c r="L1644" s="15">
        <v>0</v>
      </c>
      <c r="M1644" s="7" t="s">
        <v>84</v>
      </c>
      <c r="N1644" s="7" t="s">
        <v>69</v>
      </c>
      <c r="O1644" s="16">
        <v>16</v>
      </c>
      <c r="P1644" s="3">
        <v>2024</v>
      </c>
      <c r="Q1644" s="3">
        <f>VLOOKUP(C1644,layoffs_location!A:F,6,FALSE)</f>
        <v>32.717420199999999</v>
      </c>
      <c r="R1644" s="3">
        <f>VLOOKUP(C1644,layoffs_location!A:G,7,FALSE)</f>
        <v>-117.162772</v>
      </c>
    </row>
    <row r="1645" spans="1:18" ht="16" x14ac:dyDescent="0.2">
      <c r="A1645" s="3">
        <v>1644</v>
      </c>
      <c r="B1645" s="11" t="s">
        <v>40</v>
      </c>
      <c r="C1645" s="3" t="s">
        <v>1370</v>
      </c>
      <c r="D1645" s="3" t="str">
        <f>VLOOKUP(C1645,layoffs_location!A:B,2,FALSE)</f>
        <v>San Francisco Bay Area</v>
      </c>
      <c r="E1645" s="3" t="str">
        <f>VLOOKUP(C1645,layoffs_location!A:C,3,FALSE)</f>
        <v>California</v>
      </c>
      <c r="F1645" s="3" t="str">
        <f>VLOOKUP(C1645,layoffs_location!A:D,4,FALSE)</f>
        <v>USA</v>
      </c>
      <c r="G1645" s="3" t="str">
        <f>VLOOKUP(C1645,layoffs_location!A:E,5,FALSE)</f>
        <v>North America</v>
      </c>
      <c r="H1645" s="12">
        <v>20</v>
      </c>
      <c r="I1645" s="13">
        <v>45366</v>
      </c>
      <c r="J1645" s="14"/>
      <c r="K1645" s="15"/>
      <c r="L1645" s="15"/>
      <c r="M1645" s="7" t="s">
        <v>35</v>
      </c>
      <c r="N1645" s="7" t="s">
        <v>41</v>
      </c>
      <c r="O1645" s="16">
        <v>302</v>
      </c>
      <c r="P1645" s="3">
        <v>2024</v>
      </c>
      <c r="Q1645" s="3">
        <f>VLOOKUP(C1645,layoffs_location!A:F,6,FALSE)</f>
        <v>37.779258800000001</v>
      </c>
      <c r="R1645" s="3">
        <f>VLOOKUP(C1645,layoffs_location!A:G,7,FALSE)</f>
        <v>-122.4193286</v>
      </c>
    </row>
    <row r="1646" spans="1:18" ht="16" x14ac:dyDescent="0.2">
      <c r="A1646" s="3">
        <v>1645</v>
      </c>
      <c r="B1646" s="11" t="s">
        <v>346</v>
      </c>
      <c r="C1646" s="11" t="s">
        <v>74</v>
      </c>
      <c r="D1646" s="3" t="str">
        <f>VLOOKUP(C1646,layoffs_location!A:B,2,FALSE)</f>
        <v>other</v>
      </c>
      <c r="E1646" s="3" t="str">
        <f>VLOOKUP(C1646,layoffs_location!A:C,3,FALSE)</f>
        <v>California</v>
      </c>
      <c r="F1646" s="3" t="str">
        <f>VLOOKUP(C1646,layoffs_location!A:D,4,FALSE)</f>
        <v>USA</v>
      </c>
      <c r="G1646" s="3" t="str">
        <f>VLOOKUP(C1646,layoffs_location!A:E,5,FALSE)</f>
        <v>North America</v>
      </c>
      <c r="H1646" s="12">
        <v>54</v>
      </c>
      <c r="I1646" s="13">
        <v>45367</v>
      </c>
      <c r="J1646" s="14"/>
      <c r="K1646" s="15"/>
      <c r="L1646" s="15"/>
      <c r="M1646" s="7" t="s">
        <v>90</v>
      </c>
      <c r="N1646" s="7" t="s">
        <v>108</v>
      </c>
      <c r="O1646" s="16">
        <v>399</v>
      </c>
      <c r="P1646" s="3">
        <v>2024</v>
      </c>
      <c r="Q1646" s="3">
        <f>VLOOKUP(C1646,layoffs_location!A:F,6,FALSE)</f>
        <v>32.717420199999999</v>
      </c>
      <c r="R1646" s="3">
        <f>VLOOKUP(C1646,layoffs_location!A:G,7,FALSE)</f>
        <v>-117.162772</v>
      </c>
    </row>
    <row r="1647" spans="1:18" ht="16" x14ac:dyDescent="0.2">
      <c r="A1647" s="3">
        <v>1646</v>
      </c>
      <c r="B1647" s="11" t="s">
        <v>1597</v>
      </c>
      <c r="C1647" s="11" t="s">
        <v>1331</v>
      </c>
      <c r="D1647" s="3" t="str">
        <f>VLOOKUP(C1647,layoffs_location!A:B,2,FALSE)</f>
        <v>other</v>
      </c>
      <c r="E1647" s="3" t="str">
        <f>VLOOKUP(C1647,layoffs_location!A:C,3,FALSE)</f>
        <v>non</v>
      </c>
      <c r="F1647" s="3" t="str">
        <f>VLOOKUP(C1647,layoffs_location!A:D,4,FALSE)</f>
        <v>China</v>
      </c>
      <c r="G1647" s="3" t="str">
        <f>VLOOKUP(C1647,layoffs_location!A:E,5,FALSE)</f>
        <v>Asia</v>
      </c>
      <c r="H1647" s="16"/>
      <c r="I1647" s="13">
        <v>45369</v>
      </c>
      <c r="J1647" s="14">
        <v>5</v>
      </c>
      <c r="K1647" s="15"/>
      <c r="L1647" s="15"/>
      <c r="M1647" s="7" t="s">
        <v>27</v>
      </c>
      <c r="N1647" s="7" t="s">
        <v>22</v>
      </c>
      <c r="O1647" s="16"/>
      <c r="P1647" s="3">
        <v>2024</v>
      </c>
      <c r="Q1647" s="3">
        <f>VLOOKUP(C1647,layoffs_location!A:F,6,FALSE)</f>
        <v>34.261004</v>
      </c>
      <c r="R1647" s="3">
        <f>VLOOKUP(C1647,layoffs_location!A:G,7,FALSE)</f>
        <v>108.94233629999999</v>
      </c>
    </row>
    <row r="1648" spans="1:18" ht="16" x14ac:dyDescent="0.2">
      <c r="A1648" s="3">
        <v>1647</v>
      </c>
      <c r="B1648" s="11" t="s">
        <v>281</v>
      </c>
      <c r="C1648" s="11" t="s">
        <v>13</v>
      </c>
      <c r="D1648" s="3" t="str">
        <f>VLOOKUP(C1648,layoffs_location!A:B,2,FALSE)</f>
        <v>other</v>
      </c>
      <c r="E1648" s="3" t="str">
        <f>VLOOKUP(C1648,layoffs_location!A:C,3,FALSE)</f>
        <v>Karnataka</v>
      </c>
      <c r="F1648" s="3" t="str">
        <f>VLOOKUP(C1648,layoffs_location!A:D,4,FALSE)</f>
        <v>India</v>
      </c>
      <c r="G1648" s="3" t="str">
        <f>VLOOKUP(C1648,layoffs_location!A:E,5,FALSE)</f>
        <v>Asia</v>
      </c>
      <c r="H1648" s="16"/>
      <c r="I1648" s="13">
        <v>45370</v>
      </c>
      <c r="J1648" s="14">
        <v>20</v>
      </c>
      <c r="K1648" s="15"/>
      <c r="L1648" s="15"/>
      <c r="M1648" s="7" t="s">
        <v>130</v>
      </c>
      <c r="N1648" s="7" t="s">
        <v>49</v>
      </c>
      <c r="O1648" s="16">
        <v>50</v>
      </c>
      <c r="P1648" s="3">
        <v>2024</v>
      </c>
      <c r="Q1648" s="3">
        <f>VLOOKUP(C1648,layoffs_location!A:F,6,FALSE)</f>
        <v>12.98815675</v>
      </c>
      <c r="R1648" s="3">
        <f>VLOOKUP(C1648,layoffs_location!A:G,7,FALSE)</f>
        <v>77.622600037959998</v>
      </c>
    </row>
    <row r="1649" spans="1:18" ht="16" x14ac:dyDescent="0.2">
      <c r="A1649" s="3">
        <v>1648</v>
      </c>
      <c r="B1649" s="11" t="s">
        <v>1613</v>
      </c>
      <c r="C1649" s="11" t="s">
        <v>1330</v>
      </c>
      <c r="D1649" s="3" t="str">
        <f>VLOOKUP(C1649,layoffs_location!A:B,2,FALSE)</f>
        <v>other</v>
      </c>
      <c r="E1649" s="3" t="str">
        <f>VLOOKUP(C1649,layoffs_location!A:C,3,FALSE)</f>
        <v>non</v>
      </c>
      <c r="F1649" s="3" t="str">
        <f>VLOOKUP(C1649,layoffs_location!A:D,4,FALSE)</f>
        <v>Israel</v>
      </c>
      <c r="G1649" s="3" t="str">
        <f>VLOOKUP(C1649,layoffs_location!A:E,5,FALSE)</f>
        <v>Asia</v>
      </c>
      <c r="H1649" s="12">
        <v>100</v>
      </c>
      <c r="I1649" s="13">
        <v>45370</v>
      </c>
      <c r="J1649" s="14"/>
      <c r="K1649" s="15"/>
      <c r="L1649" s="15"/>
      <c r="M1649" s="7" t="s">
        <v>155</v>
      </c>
      <c r="N1649" s="7" t="s">
        <v>33</v>
      </c>
      <c r="O1649" s="16"/>
      <c r="P1649" s="3">
        <v>2024</v>
      </c>
      <c r="Q1649" s="3">
        <f>VLOOKUP(C1649,layoffs_location!A:F,6,FALSE)</f>
        <v>31.876886299999999</v>
      </c>
      <c r="R1649" s="3">
        <f>VLOOKUP(C1649,layoffs_location!A:G,7,FALSE)</f>
        <v>34.7382974</v>
      </c>
    </row>
    <row r="1650" spans="1:18" ht="16" x14ac:dyDescent="0.2">
      <c r="A1650" s="3">
        <v>1649</v>
      </c>
      <c r="B1650" s="11" t="s">
        <v>1639</v>
      </c>
      <c r="C1650" s="11" t="s">
        <v>244</v>
      </c>
      <c r="D1650" s="3" t="str">
        <f>VLOOKUP(C1650,layoffs_location!A:B,2,FALSE)</f>
        <v>other</v>
      </c>
      <c r="E1650" s="3" t="str">
        <f>VLOOKUP(C1650,layoffs_location!A:C,3,FALSE)</f>
        <v>non</v>
      </c>
      <c r="F1650" s="3" t="str">
        <f>VLOOKUP(C1650,layoffs_location!A:D,4,FALSE)</f>
        <v>Singapore</v>
      </c>
      <c r="G1650" s="3" t="str">
        <f>VLOOKUP(C1650,layoffs_location!A:E,5,FALSE)</f>
        <v>Asia</v>
      </c>
      <c r="H1650" s="12">
        <v>195</v>
      </c>
      <c r="I1650" s="13">
        <v>45370</v>
      </c>
      <c r="J1650" s="14">
        <v>24</v>
      </c>
      <c r="K1650" s="15">
        <v>813</v>
      </c>
      <c r="L1650" s="15">
        <v>618</v>
      </c>
      <c r="M1650" s="7" t="s">
        <v>30</v>
      </c>
      <c r="N1650" s="7" t="s">
        <v>63</v>
      </c>
      <c r="O1650" s="16">
        <v>355</v>
      </c>
      <c r="P1650" s="3">
        <v>2024</v>
      </c>
      <c r="Q1650" s="3">
        <f>VLOOKUP(C1650,layoffs_location!A:F,6,FALSE)</f>
        <v>1.2899175000000001</v>
      </c>
      <c r="R1650" s="3">
        <f>VLOOKUP(C1650,layoffs_location!A:G,7,FALSE)</f>
        <v>103.8519072</v>
      </c>
    </row>
    <row r="1651" spans="1:18" ht="16" x14ac:dyDescent="0.2">
      <c r="A1651" s="3">
        <v>1650</v>
      </c>
      <c r="B1651" s="11" t="s">
        <v>736</v>
      </c>
      <c r="C1651" s="11" t="s">
        <v>71</v>
      </c>
      <c r="D1651" s="3" t="str">
        <f>VLOOKUP(C1651,layoffs_location!A:B,2,FALSE)</f>
        <v>other</v>
      </c>
      <c r="E1651" s="3" t="str">
        <f>VLOOKUP(C1651,layoffs_location!A:C,3,FALSE)</f>
        <v>Massachusetts</v>
      </c>
      <c r="F1651" s="3" t="str">
        <f>VLOOKUP(C1651,layoffs_location!A:D,4,FALSE)</f>
        <v>USA</v>
      </c>
      <c r="G1651" s="3" t="str">
        <f>VLOOKUP(C1651,layoffs_location!A:E,5,FALSE)</f>
        <v>North America</v>
      </c>
      <c r="H1651" s="16"/>
      <c r="I1651" s="13">
        <v>45371</v>
      </c>
      <c r="J1651" s="14"/>
      <c r="K1651" s="15"/>
      <c r="L1651" s="15"/>
      <c r="M1651" s="7" t="s">
        <v>139</v>
      </c>
      <c r="N1651" s="7" t="s">
        <v>63</v>
      </c>
      <c r="O1651" s="16">
        <v>750</v>
      </c>
      <c r="P1651" s="3">
        <v>2024</v>
      </c>
      <c r="Q1651" s="3">
        <f>VLOOKUP(C1651,layoffs_location!A:F,6,FALSE)</f>
        <v>42.355433400000003</v>
      </c>
      <c r="R1651" s="3">
        <f>VLOOKUP(C1651,layoffs_location!A:G,7,FALSE)</f>
        <v>-71.060511000000005</v>
      </c>
    </row>
    <row r="1652" spans="1:18" ht="16" x14ac:dyDescent="0.2">
      <c r="A1652" s="3">
        <v>1651</v>
      </c>
      <c r="B1652" s="11" t="s">
        <v>1351</v>
      </c>
      <c r="C1652" s="3" t="s">
        <v>1370</v>
      </c>
      <c r="D1652" s="3" t="str">
        <f>VLOOKUP(C1652,layoffs_location!A:B,2,FALSE)</f>
        <v>San Francisco Bay Area</v>
      </c>
      <c r="E1652" s="3" t="str">
        <f>VLOOKUP(C1652,layoffs_location!A:C,3,FALSE)</f>
        <v>California</v>
      </c>
      <c r="F1652" s="3" t="str">
        <f>VLOOKUP(C1652,layoffs_location!A:D,4,FALSE)</f>
        <v>USA</v>
      </c>
      <c r="G1652" s="3" t="str">
        <f>VLOOKUP(C1652,layoffs_location!A:E,5,FALSE)</f>
        <v>North America</v>
      </c>
      <c r="H1652" s="16"/>
      <c r="I1652" s="13">
        <v>45373</v>
      </c>
      <c r="J1652" s="14"/>
      <c r="K1652" s="15"/>
      <c r="L1652" s="15"/>
      <c r="M1652" s="7" t="s">
        <v>21</v>
      </c>
      <c r="N1652" s="3" t="s">
        <v>1697</v>
      </c>
      <c r="O1652" s="16">
        <v>3.5</v>
      </c>
      <c r="P1652" s="3">
        <v>2024</v>
      </c>
      <c r="Q1652" s="3">
        <f>VLOOKUP(C1652,layoffs_location!A:F,6,FALSE)</f>
        <v>37.779258800000001</v>
      </c>
      <c r="R1652" s="3">
        <f>VLOOKUP(C1652,layoffs_location!A:G,7,FALSE)</f>
        <v>-122.4193286</v>
      </c>
    </row>
    <row r="1653" spans="1:18" ht="16" x14ac:dyDescent="0.2">
      <c r="A1653" s="3">
        <v>1652</v>
      </c>
      <c r="B1653" s="11" t="s">
        <v>1540</v>
      </c>
      <c r="C1653" s="11" t="s">
        <v>83</v>
      </c>
      <c r="D1653" s="3" t="str">
        <f>VLOOKUP(C1653,layoffs_location!A:B,2,FALSE)</f>
        <v>other</v>
      </c>
      <c r="E1653" s="3" t="str">
        <f>VLOOKUP(C1653,layoffs_location!A:C,3,FALSE)</f>
        <v>Texas</v>
      </c>
      <c r="F1653" s="3" t="str">
        <f>VLOOKUP(C1653,layoffs_location!A:D,4,FALSE)</f>
        <v>USA</v>
      </c>
      <c r="G1653" s="3" t="str">
        <f>VLOOKUP(C1653,layoffs_location!A:E,5,FALSE)</f>
        <v>North America</v>
      </c>
      <c r="H1653" s="12">
        <v>6000</v>
      </c>
      <c r="I1653" s="13">
        <v>45376</v>
      </c>
      <c r="J1653" s="14">
        <v>5</v>
      </c>
      <c r="K1653" s="15">
        <v>120000</v>
      </c>
      <c r="L1653" s="15">
        <v>114000</v>
      </c>
      <c r="M1653" s="7" t="s">
        <v>87</v>
      </c>
      <c r="N1653" s="7" t="s">
        <v>28</v>
      </c>
      <c r="O1653" s="16"/>
      <c r="P1653" s="3">
        <v>2024</v>
      </c>
      <c r="Q1653" s="3">
        <f>VLOOKUP(C1653,layoffs_location!A:F,6,FALSE)</f>
        <v>30.271128600000001</v>
      </c>
      <c r="R1653" s="3">
        <f>VLOOKUP(C1653,layoffs_location!A:G,7,FALSE)</f>
        <v>-97.743699500000005</v>
      </c>
    </row>
    <row r="1654" spans="1:18" ht="16" x14ac:dyDescent="0.2">
      <c r="A1654" s="3">
        <v>1653</v>
      </c>
      <c r="B1654" s="11" t="s">
        <v>1652</v>
      </c>
      <c r="C1654" s="11" t="s">
        <v>1473</v>
      </c>
      <c r="D1654" s="3" t="str">
        <f>VLOOKUP(C1654,layoffs_location!A:B,2,FALSE)</f>
        <v>San Francisco Bay Area</v>
      </c>
      <c r="E1654" s="3" t="str">
        <f>VLOOKUP(C1654,layoffs_location!A:C,3,FALSE)</f>
        <v>California</v>
      </c>
      <c r="F1654" s="3" t="str">
        <f>VLOOKUP(C1654,layoffs_location!A:D,4,FALSE)</f>
        <v>USA</v>
      </c>
      <c r="G1654" s="3" t="str">
        <f>VLOOKUP(C1654,layoffs_location!A:E,5,FALSE)</f>
        <v>North America</v>
      </c>
      <c r="H1654" s="12">
        <v>17</v>
      </c>
      <c r="I1654" s="13">
        <v>45377</v>
      </c>
      <c r="J1654" s="14">
        <v>15</v>
      </c>
      <c r="K1654" s="15">
        <v>113</v>
      </c>
      <c r="L1654" s="15">
        <v>96</v>
      </c>
      <c r="M1654" s="7" t="s">
        <v>35</v>
      </c>
      <c r="N1654" s="7" t="s">
        <v>69</v>
      </c>
      <c r="O1654" s="16">
        <v>79</v>
      </c>
      <c r="P1654" s="3">
        <v>2024</v>
      </c>
      <c r="Q1654" s="3">
        <f>VLOOKUP(C1654,layoffs_location!A:F,6,FALSE)</f>
        <v>37.4443293</v>
      </c>
      <c r="R1654" s="3">
        <f>VLOOKUP(C1654,layoffs_location!A:G,7,FALSE)</f>
        <v>-122.1598465</v>
      </c>
    </row>
    <row r="1655" spans="1:18" ht="16" x14ac:dyDescent="0.2">
      <c r="A1655" s="3">
        <v>1654</v>
      </c>
      <c r="B1655" s="11" t="s">
        <v>594</v>
      </c>
      <c r="C1655" s="11" t="s">
        <v>76</v>
      </c>
      <c r="D1655" s="3" t="str">
        <f>VLOOKUP(C1655,layoffs_location!A:B,2,FALSE)</f>
        <v>other</v>
      </c>
      <c r="E1655" s="3" t="str">
        <f>VLOOKUP(C1655,layoffs_location!A:C,3,FALSE)</f>
        <v>California</v>
      </c>
      <c r="F1655" s="3" t="str">
        <f>VLOOKUP(C1655,layoffs_location!A:D,4,FALSE)</f>
        <v>USA</v>
      </c>
      <c r="G1655" s="3" t="str">
        <f>VLOOKUP(C1655,layoffs_location!A:E,5,FALSE)</f>
        <v>North America</v>
      </c>
      <c r="H1655" s="12">
        <v>60</v>
      </c>
      <c r="I1655" s="13">
        <v>45379</v>
      </c>
      <c r="J1655" s="14">
        <v>20</v>
      </c>
      <c r="K1655" s="15">
        <v>300</v>
      </c>
      <c r="L1655" s="15">
        <v>240</v>
      </c>
      <c r="M1655" s="7" t="s">
        <v>77</v>
      </c>
      <c r="N1655" s="7" t="s">
        <v>41</v>
      </c>
      <c r="O1655" s="16">
        <v>64</v>
      </c>
      <c r="P1655" s="7">
        <v>2024</v>
      </c>
      <c r="Q1655" s="3">
        <f>VLOOKUP(C1655,layoffs_location!A:F,6,FALSE)</f>
        <v>34.053690899999999</v>
      </c>
      <c r="R1655" s="3">
        <f>VLOOKUP(C1655,layoffs_location!A:G,7,FALSE)</f>
        <v>-118.242766</v>
      </c>
    </row>
    <row r="1656" spans="1:18" ht="16" x14ac:dyDescent="0.2">
      <c r="A1656" s="3">
        <v>1655</v>
      </c>
      <c r="B1656" s="3" t="s">
        <v>1371</v>
      </c>
      <c r="C1656" s="3" t="s">
        <v>47</v>
      </c>
      <c r="D1656" s="3" t="str">
        <f>VLOOKUP(C1656,layoffs_location!A:B,2,FALSE)</f>
        <v>other</v>
      </c>
      <c r="E1656" s="3" t="str">
        <f>VLOOKUP(C1656,layoffs_location!A:C,3,FALSE)</f>
        <v>non</v>
      </c>
      <c r="F1656" s="3" t="str">
        <f>VLOOKUP(C1656,layoffs_location!A:D,4,FALSE)</f>
        <v>Israel</v>
      </c>
      <c r="G1656" s="3" t="str">
        <f>VLOOKUP(C1656,layoffs_location!A:E,5,FALSE)</f>
        <v>Asia</v>
      </c>
      <c r="H1656" s="3">
        <v>20</v>
      </c>
      <c r="I1656" s="8">
        <v>45383</v>
      </c>
      <c r="J1656" s="9">
        <v>44</v>
      </c>
      <c r="K1656" s="10">
        <f>SUM((H1656*100)/Table13[[#This Row],[Percentage]])</f>
        <v>45.454545454545453</v>
      </c>
      <c r="L1656" s="10">
        <f>SUM(Table13[[#This Row],[Company_Size_before_Layoffs]]-Table13[[#This Row],[Laid_Off]])</f>
        <v>25.454545454545453</v>
      </c>
      <c r="M1656" s="3" t="s">
        <v>139</v>
      </c>
      <c r="N1656" s="7" t="s">
        <v>1494</v>
      </c>
      <c r="O1656" s="16">
        <v>52</v>
      </c>
      <c r="P1656" s="3">
        <v>2024</v>
      </c>
      <c r="Q1656" s="3">
        <f>VLOOKUP(C1656,layoffs_location!A:F,6,FALSE)</f>
        <v>32.0852997</v>
      </c>
      <c r="R1656" s="3">
        <f>VLOOKUP(C1656,layoffs_location!A:G,7,FALSE)</f>
        <v>34.781806400000001</v>
      </c>
    </row>
    <row r="1657" spans="1:18" ht="16" x14ac:dyDescent="0.2">
      <c r="A1657" s="3">
        <v>1656</v>
      </c>
      <c r="B1657" s="7" t="s">
        <v>1615</v>
      </c>
      <c r="C1657" s="11" t="s">
        <v>1370</v>
      </c>
      <c r="D1657" s="3" t="str">
        <f>VLOOKUP(C1657,layoffs_location!A:B,2,FALSE)</f>
        <v>San Francisco Bay Area</v>
      </c>
      <c r="E1657" s="3" t="str">
        <f>VLOOKUP(C1657,layoffs_location!A:C,3,FALSE)</f>
        <v>California</v>
      </c>
      <c r="F1657" s="3" t="str">
        <f>VLOOKUP(C1657,layoffs_location!A:D,4,FALSE)</f>
        <v>USA</v>
      </c>
      <c r="G1657" s="3" t="str">
        <f>VLOOKUP(C1657,layoffs_location!A:E,5,FALSE)</f>
        <v>North America</v>
      </c>
      <c r="H1657" s="12">
        <v>67</v>
      </c>
      <c r="I1657" s="13">
        <v>45383</v>
      </c>
      <c r="J1657" s="14"/>
      <c r="K1657" s="28"/>
      <c r="L1657" s="28"/>
      <c r="M1657" s="7" t="s">
        <v>1892</v>
      </c>
      <c r="N1657" s="7" t="s">
        <v>1493</v>
      </c>
      <c r="O1657" s="16">
        <v>109</v>
      </c>
      <c r="P1657" s="7">
        <v>2024</v>
      </c>
      <c r="Q1657" s="3">
        <f>VLOOKUP(C1657,layoffs_location!A:F,6,FALSE)</f>
        <v>37.779258800000001</v>
      </c>
      <c r="R1657" s="3">
        <f>VLOOKUP(C1657,layoffs_location!A:G,7,FALSE)</f>
        <v>-122.4193286</v>
      </c>
    </row>
    <row r="1658" spans="1:18" ht="16" x14ac:dyDescent="0.2">
      <c r="A1658" s="3">
        <v>1657</v>
      </c>
      <c r="B1658" s="7" t="s">
        <v>1630</v>
      </c>
      <c r="C1658" s="7" t="s">
        <v>39</v>
      </c>
      <c r="D1658" s="3" t="str">
        <f>VLOOKUP(C1658,layoffs_location!A:B,2,FALSE)</f>
        <v>New York</v>
      </c>
      <c r="E1658" s="3" t="str">
        <f>VLOOKUP(C1658,layoffs_location!A:C,3,FALSE)</f>
        <v>New York</v>
      </c>
      <c r="F1658" s="3" t="str">
        <f>VLOOKUP(C1658,layoffs_location!A:D,4,FALSE)</f>
        <v>USA</v>
      </c>
      <c r="G1658" s="3" t="str">
        <f>VLOOKUP(C1658,layoffs_location!A:E,5,FALSE)</f>
        <v>North America</v>
      </c>
      <c r="H1658" s="7"/>
      <c r="I1658" s="13">
        <v>45383</v>
      </c>
      <c r="J1658" s="30">
        <v>100</v>
      </c>
      <c r="K1658" s="28"/>
      <c r="L1658" s="28">
        <f>SUM(Table13[[#This Row],[Company_Size_before_Layoffs]]-Table13[[#This Row],[Laid_Off]])</f>
        <v>0</v>
      </c>
      <c r="M1658" s="7" t="s">
        <v>1893</v>
      </c>
      <c r="N1658" s="7" t="s">
        <v>1498</v>
      </c>
      <c r="O1658" s="16">
        <v>5</v>
      </c>
      <c r="P1658" s="7">
        <v>2024</v>
      </c>
      <c r="Q1658" s="3">
        <f>VLOOKUP(C1658,layoffs_location!A:F,6,FALSE)</f>
        <v>40.7127281</v>
      </c>
      <c r="R1658" s="3">
        <f>VLOOKUP(C1658,layoffs_location!A:G,7,FALSE)</f>
        <v>-74.006015199999993</v>
      </c>
    </row>
    <row r="1659" spans="1:18" ht="16" x14ac:dyDescent="0.2">
      <c r="A1659" s="3">
        <v>1658</v>
      </c>
      <c r="B1659" s="7" t="s">
        <v>1634</v>
      </c>
      <c r="C1659" s="7" t="s">
        <v>39</v>
      </c>
      <c r="D1659" s="3" t="str">
        <f>VLOOKUP(C1659,layoffs_location!A:B,2,FALSE)</f>
        <v>New York</v>
      </c>
      <c r="E1659" s="3" t="str">
        <f>VLOOKUP(C1659,layoffs_location!A:C,3,FALSE)</f>
        <v>New York</v>
      </c>
      <c r="F1659" s="3" t="str">
        <f>VLOOKUP(C1659,layoffs_location!A:D,4,FALSE)</f>
        <v>USA</v>
      </c>
      <c r="G1659" s="3" t="str">
        <f>VLOOKUP(C1659,layoffs_location!A:E,5,FALSE)</f>
        <v>North America</v>
      </c>
      <c r="H1659" s="7"/>
      <c r="I1659" s="13">
        <v>45383</v>
      </c>
      <c r="J1659" s="30">
        <v>100</v>
      </c>
      <c r="K1659" s="28"/>
      <c r="L1659" s="28">
        <f>SUM(Table13[[#This Row],[Company_Size_before_Layoffs]]-Table13[[#This Row],[Laid_Off]])</f>
        <v>0</v>
      </c>
      <c r="M1659" s="7" t="s">
        <v>1894</v>
      </c>
      <c r="N1659" s="7" t="s">
        <v>1492</v>
      </c>
      <c r="O1659" s="16">
        <v>230</v>
      </c>
      <c r="P1659" s="7">
        <v>2024</v>
      </c>
      <c r="Q1659" s="3">
        <f>VLOOKUP(C1659,layoffs_location!A:F,6,FALSE)</f>
        <v>40.7127281</v>
      </c>
      <c r="R1659" s="3">
        <f>VLOOKUP(C1659,layoffs_location!A:G,7,FALSE)</f>
        <v>-74.006015199999993</v>
      </c>
    </row>
    <row r="1660" spans="1:18" x14ac:dyDescent="0.2">
      <c r="A1660" s="3">
        <v>1659</v>
      </c>
      <c r="B1660" s="3" t="s">
        <v>1411</v>
      </c>
      <c r="C1660" s="3" t="s">
        <v>115</v>
      </c>
      <c r="D1660" s="3" t="str">
        <f>VLOOKUP(C1660,layoffs_location!A:B,2,FALSE)</f>
        <v>other</v>
      </c>
      <c r="E1660" s="3" t="str">
        <f>VLOOKUP(C1660,layoffs_location!A:C,3,FALSE)</f>
        <v>Quebec</v>
      </c>
      <c r="F1660" s="3" t="str">
        <f>VLOOKUP(C1660,layoffs_location!A:D,4,FALSE)</f>
        <v>Canada</v>
      </c>
      <c r="G1660" s="3" t="str">
        <f>VLOOKUP(C1660,layoffs_location!A:E,5,FALSE)</f>
        <v>North America</v>
      </c>
      <c r="H1660" s="3">
        <v>400</v>
      </c>
      <c r="I1660" s="8">
        <v>45384</v>
      </c>
      <c r="J1660" s="9"/>
      <c r="K1660" s="10"/>
      <c r="L1660" s="10"/>
      <c r="M1660" s="3" t="s">
        <v>1412</v>
      </c>
      <c r="N1660" s="3" t="s">
        <v>22</v>
      </c>
      <c r="P1660" s="3">
        <v>2024</v>
      </c>
      <c r="Q1660" s="3">
        <f>VLOOKUP(C1660,layoffs_location!A:F,6,FALSE)</f>
        <v>45.5031824</v>
      </c>
      <c r="R1660" s="3">
        <f>VLOOKUP(C1660,layoffs_location!A:G,7,FALSE)</f>
        <v>-73.569806499999999</v>
      </c>
    </row>
    <row r="1661" spans="1:18" ht="16" x14ac:dyDescent="0.2">
      <c r="A1661" s="3">
        <v>1660</v>
      </c>
      <c r="B1661" s="7" t="s">
        <v>757</v>
      </c>
      <c r="C1661" s="7" t="s">
        <v>13</v>
      </c>
      <c r="D1661" s="3" t="str">
        <f>VLOOKUP(C1661,layoffs_location!A:B,2,FALSE)</f>
        <v>other</v>
      </c>
      <c r="E1661" s="3" t="str">
        <f>VLOOKUP(C1661,layoffs_location!A:C,3,FALSE)</f>
        <v>Karnataka</v>
      </c>
      <c r="F1661" s="3" t="str">
        <f>VLOOKUP(C1661,layoffs_location!A:D,4,FALSE)</f>
        <v>India</v>
      </c>
      <c r="G1661" s="3" t="str">
        <f>VLOOKUP(C1661,layoffs_location!A:E,5,FALSE)</f>
        <v>Asia</v>
      </c>
      <c r="H1661" s="12">
        <v>500</v>
      </c>
      <c r="I1661" s="13">
        <v>45384</v>
      </c>
      <c r="J1661" s="30">
        <v>3</v>
      </c>
      <c r="K1661" s="28">
        <f>SUM((Table13[[#This Row],[Laid_Off]]*100)/Table13[[#This Row],[Percentage]])</f>
        <v>16666.666666666668</v>
      </c>
      <c r="L1661" s="28">
        <f>SUM(Table13[[#This Row],[Company_Size_before_Layoffs]]-Table13[[#This Row],[Laid_Off]])</f>
        <v>16166.666666666668</v>
      </c>
      <c r="M1661" s="7" t="s">
        <v>1895</v>
      </c>
      <c r="N1661" s="3" t="s">
        <v>1696</v>
      </c>
      <c r="O1661" s="16"/>
      <c r="P1661" s="7">
        <v>2024</v>
      </c>
      <c r="Q1661" s="3">
        <f>VLOOKUP(C1661,layoffs_location!A:F,6,FALSE)</f>
        <v>12.98815675</v>
      </c>
      <c r="R1661" s="3">
        <f>VLOOKUP(C1661,layoffs_location!A:G,7,FALSE)</f>
        <v>77.622600037959998</v>
      </c>
    </row>
    <row r="1662" spans="1:18" ht="16" x14ac:dyDescent="0.2">
      <c r="A1662" s="3">
        <v>1661</v>
      </c>
      <c r="B1662" s="3" t="s">
        <v>1378</v>
      </c>
      <c r="C1662" s="3" t="s">
        <v>406</v>
      </c>
      <c r="D1662" s="3" t="str">
        <f>VLOOKUP(C1662,layoffs_location!A:B,2,FALSE)</f>
        <v>other</v>
      </c>
      <c r="E1662" s="3" t="str">
        <f>VLOOKUP(C1662,layoffs_location!A:C,3,FALSE)</f>
        <v>Maharashtra</v>
      </c>
      <c r="F1662" s="3" t="str">
        <f>VLOOKUP(C1662,layoffs_location!A:D,4,FALSE)</f>
        <v>India</v>
      </c>
      <c r="G1662" s="3" t="str">
        <f>VLOOKUP(C1662,layoffs_location!A:E,5,FALSE)</f>
        <v>Asia</v>
      </c>
      <c r="I1662" s="8">
        <v>45384</v>
      </c>
      <c r="J1662" s="9"/>
      <c r="K1662" s="10"/>
      <c r="L1662" s="10"/>
      <c r="M1662" s="3" t="s">
        <v>1377</v>
      </c>
      <c r="N1662" s="7" t="s">
        <v>1492</v>
      </c>
      <c r="O1662" s="16">
        <v>104</v>
      </c>
      <c r="P1662" s="7">
        <v>2024</v>
      </c>
      <c r="Q1662" s="3">
        <f>VLOOKUP(C1662,layoffs_location!A:F,6,FALSE)</f>
        <v>18.521428</v>
      </c>
      <c r="R1662" s="3">
        <f>VLOOKUP(C1662,layoffs_location!A:G,7,FALSE)</f>
        <v>73.854454099999998</v>
      </c>
    </row>
    <row r="1663" spans="1:18" ht="16" x14ac:dyDescent="0.2">
      <c r="A1663" s="3">
        <v>1662</v>
      </c>
      <c r="B1663" s="7" t="s">
        <v>1657</v>
      </c>
      <c r="C1663" s="7" t="s">
        <v>655</v>
      </c>
      <c r="D1663" s="3" t="str">
        <f>VLOOKUP(C1663,layoffs_location!A:B,2,FALSE)</f>
        <v>other</v>
      </c>
      <c r="E1663" s="3" t="str">
        <f>VLOOKUP(C1663,layoffs_location!A:C,3,FALSE)</f>
        <v>non</v>
      </c>
      <c r="F1663" s="3" t="str">
        <f>VLOOKUP(C1663,layoffs_location!A:D,4,FALSE)</f>
        <v>Nigeria</v>
      </c>
      <c r="G1663" s="3" t="str">
        <f>VLOOKUP(C1663,layoffs_location!A:E,5,FALSE)</f>
        <v>Africa</v>
      </c>
      <c r="H1663" s="7"/>
      <c r="I1663" s="13">
        <v>45384</v>
      </c>
      <c r="J1663" s="30">
        <v>100</v>
      </c>
      <c r="K1663" s="28"/>
      <c r="L1663" s="28">
        <f>SUM(Table13[[#This Row],[Company_Size_before_Layoffs]]-Table13[[#This Row],[Laid_Off]])</f>
        <v>0</v>
      </c>
      <c r="M1663" s="7" t="s">
        <v>1893</v>
      </c>
      <c r="N1663" s="7" t="s">
        <v>1498</v>
      </c>
      <c r="O1663" s="16">
        <v>2</v>
      </c>
      <c r="P1663" s="7">
        <v>2024</v>
      </c>
      <c r="Q1663" s="3">
        <f>VLOOKUP(C1663,layoffs_location!A:F,6,FALSE)</f>
        <v>6.4550574999999997</v>
      </c>
      <c r="R1663" s="3">
        <f>VLOOKUP(C1663,layoffs_location!A:G,7,FALSE)</f>
        <v>3.3941794999999999</v>
      </c>
    </row>
    <row r="1664" spans="1:18" x14ac:dyDescent="0.2">
      <c r="A1664" s="3">
        <v>1663</v>
      </c>
      <c r="B1664" s="3" t="s">
        <v>798</v>
      </c>
      <c r="C1664" s="3" t="s">
        <v>145</v>
      </c>
      <c r="D1664" s="3" t="str">
        <f>VLOOKUP(C1664,layoffs_location!A:B,2,FALSE)</f>
        <v>Cascadia</v>
      </c>
      <c r="E1664" s="3" t="str">
        <f>VLOOKUP(C1664,layoffs_location!A:C,3,FALSE)</f>
        <v>Oregon</v>
      </c>
      <c r="F1664" s="3" t="str">
        <f>VLOOKUP(C1664,layoffs_location!A:D,4,FALSE)</f>
        <v>USA</v>
      </c>
      <c r="G1664" s="3" t="str">
        <f>VLOOKUP(C1664,layoffs_location!A:E,5,FALSE)</f>
        <v>North America</v>
      </c>
      <c r="I1664" s="8">
        <v>45384</v>
      </c>
      <c r="J1664" s="9">
        <v>100</v>
      </c>
      <c r="K1664" s="28"/>
      <c r="L1664" s="28">
        <f>SUM(Table13[[#This Row],[Company_Size_before_Layoffs]]-Table13[[#This Row],[Laid_Off]])</f>
        <v>0</v>
      </c>
      <c r="M1664" s="3" t="s">
        <v>21</v>
      </c>
      <c r="N1664" s="3" t="s">
        <v>49</v>
      </c>
      <c r="O1664" s="34">
        <v>43</v>
      </c>
      <c r="P1664" s="3">
        <v>2024</v>
      </c>
      <c r="Q1664" s="3">
        <f>VLOOKUP(C1664,layoffs_location!A:F,6,FALSE)</f>
        <v>45.520247099999999</v>
      </c>
      <c r="R1664" s="3">
        <f>VLOOKUP(C1664,layoffs_location!A:G,7,FALSE)</f>
        <v>-122.674194</v>
      </c>
    </row>
    <row r="1665" spans="1:18" x14ac:dyDescent="0.2">
      <c r="A1665" s="3">
        <v>1664</v>
      </c>
      <c r="B1665" s="3" t="s">
        <v>2081</v>
      </c>
      <c r="C1665" s="3" t="s">
        <v>97</v>
      </c>
      <c r="D1665" s="3" t="str">
        <f>VLOOKUP(C1665,layoffs_location!A:B,2,FALSE)</f>
        <v>other</v>
      </c>
      <c r="E1665" s="3" t="str">
        <f>VLOOKUP(C1665,layoffs_location!A:C,3,FALSE)</f>
        <v>non</v>
      </c>
      <c r="F1665" s="3" t="str">
        <f>VLOOKUP(C1665,layoffs_location!A:D,4,FALSE)</f>
        <v>France</v>
      </c>
      <c r="G1665" s="3" t="str">
        <f>VLOOKUP(C1665,layoffs_location!A:E,5,FALSE)</f>
        <v>Europe</v>
      </c>
      <c r="I1665" s="8">
        <v>45384</v>
      </c>
      <c r="J1665" s="9">
        <v>100</v>
      </c>
      <c r="K1665" s="28"/>
      <c r="L1665" s="28">
        <f>SUM(Table13[[#This Row],[Company_Size_before_Layoffs]]-Table13[[#This Row],[Laid_Off]])</f>
        <v>0</v>
      </c>
      <c r="M1665" s="3" t="s">
        <v>77</v>
      </c>
      <c r="N1665" s="3" t="s">
        <v>33</v>
      </c>
      <c r="O1665" s="34">
        <v>7</v>
      </c>
      <c r="P1665" s="3">
        <v>2024</v>
      </c>
      <c r="Q1665" s="3">
        <f>VLOOKUP(C1665,layoffs_location!A:F,6,FALSE)</f>
        <v>48.858889699999999</v>
      </c>
      <c r="R1665" s="3">
        <f>VLOOKUP(C1665,layoffs_location!A:G,7,FALSE)</f>
        <v>2.32004102172007</v>
      </c>
    </row>
    <row r="1666" spans="1:18" x14ac:dyDescent="0.2">
      <c r="A1666" s="3">
        <v>1665</v>
      </c>
      <c r="B1666" s="3" t="s">
        <v>376</v>
      </c>
      <c r="C1666" s="3" t="s">
        <v>43</v>
      </c>
      <c r="D1666" s="3" t="str">
        <f>VLOOKUP(C1666,layoffs_location!A:B,2,FALSE)</f>
        <v>Cascadia</v>
      </c>
      <c r="E1666" s="3" t="str">
        <f>VLOOKUP(C1666,layoffs_location!A:C,3,FALSE)</f>
        <v>Washington</v>
      </c>
      <c r="F1666" s="3" t="str">
        <f>VLOOKUP(C1666,layoffs_location!A:D,4,FALSE)</f>
        <v>USA</v>
      </c>
      <c r="G1666" s="3" t="str">
        <f>VLOOKUP(C1666,layoffs_location!A:E,5,FALSE)</f>
        <v>North America</v>
      </c>
      <c r="I1666" s="8">
        <v>45385</v>
      </c>
      <c r="J1666" s="9"/>
      <c r="K1666" s="10"/>
      <c r="L1666" s="10"/>
      <c r="M1666" s="3" t="s">
        <v>1702</v>
      </c>
      <c r="N1666" s="3" t="s">
        <v>22</v>
      </c>
      <c r="P1666" s="3">
        <v>2024</v>
      </c>
      <c r="Q1666" s="3">
        <f>VLOOKUP(C1666,layoffs_location!A:F,6,FALSE)</f>
        <v>47.603832099999998</v>
      </c>
      <c r="R1666" s="3">
        <f>VLOOKUP(C1666,layoffs_location!A:G,7,FALSE)</f>
        <v>-122.330062</v>
      </c>
    </row>
    <row r="1667" spans="1:18" x14ac:dyDescent="0.2">
      <c r="A1667" s="3">
        <v>1666</v>
      </c>
      <c r="B1667" s="3" t="s">
        <v>1384</v>
      </c>
      <c r="C1667" s="3" t="s">
        <v>13</v>
      </c>
      <c r="D1667" s="3" t="str">
        <f>VLOOKUP(C1667,layoffs_location!A:B,2,FALSE)</f>
        <v>other</v>
      </c>
      <c r="E1667" s="3" t="str">
        <f>VLOOKUP(C1667,layoffs_location!A:C,3,FALSE)</f>
        <v>Karnataka</v>
      </c>
      <c r="F1667" s="3" t="str">
        <f>VLOOKUP(C1667,layoffs_location!A:D,4,FALSE)</f>
        <v>India</v>
      </c>
      <c r="G1667" s="3" t="str">
        <f>VLOOKUP(C1667,layoffs_location!A:E,5,FALSE)</f>
        <v>Asia</v>
      </c>
      <c r="I1667" s="8">
        <v>45385</v>
      </c>
      <c r="J1667" s="9"/>
      <c r="K1667" s="10"/>
      <c r="L1667" s="10"/>
      <c r="M1667" s="3" t="s">
        <v>1702</v>
      </c>
      <c r="N1667" s="3" t="s">
        <v>22</v>
      </c>
      <c r="P1667" s="3">
        <v>2024</v>
      </c>
      <c r="Q1667" s="3">
        <f>VLOOKUP(C1667,layoffs_location!A:F,6,FALSE)</f>
        <v>12.98815675</v>
      </c>
      <c r="R1667" s="3">
        <f>VLOOKUP(C1667,layoffs_location!A:G,7,FALSE)</f>
        <v>77.622600037959998</v>
      </c>
    </row>
    <row r="1668" spans="1:18" ht="16" x14ac:dyDescent="0.2">
      <c r="A1668" s="3">
        <v>1667</v>
      </c>
      <c r="B1668" s="3" t="s">
        <v>1409</v>
      </c>
      <c r="C1668" s="3" t="s">
        <v>220</v>
      </c>
      <c r="D1668" s="3" t="str">
        <f>VLOOKUP(C1668,layoffs_location!A:B,2,FALSE)</f>
        <v>other</v>
      </c>
      <c r="E1668" s="3" t="str">
        <f>VLOOKUP(C1668,layoffs_location!A:C,3,FALSE)</f>
        <v>Florida</v>
      </c>
      <c r="F1668" s="3" t="str">
        <f>VLOOKUP(C1668,layoffs_location!A:D,4,FALSE)</f>
        <v>USA</v>
      </c>
      <c r="G1668" s="3" t="str">
        <f>VLOOKUP(C1668,layoffs_location!A:E,5,FALSE)</f>
        <v>North America</v>
      </c>
      <c r="H1668" s="3">
        <v>150</v>
      </c>
      <c r="I1668" s="8">
        <v>45385</v>
      </c>
      <c r="J1668" s="9"/>
      <c r="K1668" s="10"/>
      <c r="L1668" s="10"/>
      <c r="M1668" s="3" t="s">
        <v>1400</v>
      </c>
      <c r="N1668" s="7" t="s">
        <v>1499</v>
      </c>
      <c r="O1668" s="16">
        <v>547</v>
      </c>
      <c r="P1668" s="7">
        <v>2024</v>
      </c>
      <c r="Q1668" s="3">
        <f>VLOOKUP(C1668,layoffs_location!A:F,6,FALSE)</f>
        <v>25.774172799999999</v>
      </c>
      <c r="R1668" s="3">
        <f>VLOOKUP(C1668,layoffs_location!A:G,7,FALSE)</f>
        <v>-80.193619999999996</v>
      </c>
    </row>
    <row r="1669" spans="1:18" ht="16" x14ac:dyDescent="0.2">
      <c r="A1669" s="3">
        <v>1668</v>
      </c>
      <c r="B1669" s="3" t="s">
        <v>1395</v>
      </c>
      <c r="C1669" s="3" t="s">
        <v>115</v>
      </c>
      <c r="D1669" s="3" t="str">
        <f>VLOOKUP(C1669,layoffs_location!A:B,2,FALSE)</f>
        <v>other</v>
      </c>
      <c r="E1669" s="3" t="str">
        <f>VLOOKUP(C1669,layoffs_location!A:C,3,FALSE)</f>
        <v>Quebec</v>
      </c>
      <c r="F1669" s="3" t="str">
        <f>VLOOKUP(C1669,layoffs_location!A:D,4,FALSE)</f>
        <v>Canada</v>
      </c>
      <c r="G1669" s="3" t="str">
        <f>VLOOKUP(C1669,layoffs_location!A:E,5,FALSE)</f>
        <v>North America</v>
      </c>
      <c r="H1669" s="3">
        <v>280</v>
      </c>
      <c r="I1669" s="8">
        <v>45385</v>
      </c>
      <c r="J1669" s="9">
        <v>10</v>
      </c>
      <c r="K1669" s="10">
        <f>SUM((H1669*100)/Table13[[#This Row],[Percentage]])</f>
        <v>2800</v>
      </c>
      <c r="L1669" s="10">
        <f>SUM(Table13[[#This Row],[Company_Size_before_Layoffs]]-Table13[[#This Row],[Laid_Off]])</f>
        <v>2520</v>
      </c>
      <c r="M1669" s="3" t="s">
        <v>30</v>
      </c>
      <c r="N1669" s="7" t="s">
        <v>1491</v>
      </c>
      <c r="O1669" s="16">
        <v>1200</v>
      </c>
      <c r="P1669" s="7">
        <v>2024</v>
      </c>
      <c r="Q1669" s="3">
        <f>VLOOKUP(C1669,layoffs_location!A:F,6,FALSE)</f>
        <v>45.5031824</v>
      </c>
      <c r="R1669" s="3">
        <f>VLOOKUP(C1669,layoffs_location!A:G,7,FALSE)</f>
        <v>-73.569806499999999</v>
      </c>
    </row>
    <row r="1670" spans="1:18" ht="16" x14ac:dyDescent="0.2">
      <c r="A1670" s="3">
        <v>1669</v>
      </c>
      <c r="B1670" s="7" t="s">
        <v>238</v>
      </c>
      <c r="C1670" s="11" t="s">
        <v>1370</v>
      </c>
      <c r="D1670" s="3" t="str">
        <f>VLOOKUP(C1670,layoffs_location!A:B,2,FALSE)</f>
        <v>San Francisco Bay Area</v>
      </c>
      <c r="E1670" s="3" t="str">
        <f>VLOOKUP(C1670,layoffs_location!A:C,3,FALSE)</f>
        <v>California</v>
      </c>
      <c r="F1670" s="3" t="str">
        <f>VLOOKUP(C1670,layoffs_location!A:D,4,FALSE)</f>
        <v>USA</v>
      </c>
      <c r="G1670" s="3" t="str">
        <f>VLOOKUP(C1670,layoffs_location!A:E,5,FALSE)</f>
        <v>North America</v>
      </c>
      <c r="H1670" s="7"/>
      <c r="I1670" s="13">
        <v>45385</v>
      </c>
      <c r="J1670" s="14"/>
      <c r="K1670" s="28"/>
      <c r="L1670" s="28"/>
      <c r="M1670" s="7" t="s">
        <v>239</v>
      </c>
      <c r="N1670" s="7" t="s">
        <v>1490</v>
      </c>
      <c r="O1670" s="16">
        <v>214</v>
      </c>
      <c r="P1670" s="7">
        <v>2024</v>
      </c>
      <c r="Q1670" s="3">
        <f>VLOOKUP(C1670,layoffs_location!A:F,6,FALSE)</f>
        <v>37.779258800000001</v>
      </c>
      <c r="R1670" s="3">
        <f>VLOOKUP(C1670,layoffs_location!A:G,7,FALSE)</f>
        <v>-122.4193286</v>
      </c>
    </row>
    <row r="1671" spans="1:18" ht="16" x14ac:dyDescent="0.2">
      <c r="A1671" s="3">
        <v>1670</v>
      </c>
      <c r="B1671" s="7" t="s">
        <v>1675</v>
      </c>
      <c r="C1671" s="3" t="s">
        <v>1370</v>
      </c>
      <c r="D1671" s="3" t="str">
        <f>VLOOKUP(C1671,layoffs_location!A:B,2,FALSE)</f>
        <v>San Francisco Bay Area</v>
      </c>
      <c r="E1671" s="3" t="str">
        <f>VLOOKUP(C1671,layoffs_location!A:C,3,FALSE)</f>
        <v>California</v>
      </c>
      <c r="F1671" s="3" t="str">
        <f>VLOOKUP(C1671,layoffs_location!A:D,4,FALSE)</f>
        <v>USA</v>
      </c>
      <c r="G1671" s="3" t="str">
        <f>VLOOKUP(C1671,layoffs_location!A:E,5,FALSE)</f>
        <v>North America</v>
      </c>
      <c r="H1671" s="12">
        <v>13</v>
      </c>
      <c r="I1671" s="13">
        <v>45385</v>
      </c>
      <c r="J1671" s="14"/>
      <c r="K1671" s="28"/>
      <c r="L1671" s="28"/>
      <c r="M1671" s="7" t="s">
        <v>1892</v>
      </c>
      <c r="N1671" s="29" t="s">
        <v>33</v>
      </c>
      <c r="O1671" s="16"/>
      <c r="P1671" s="7">
        <v>2024</v>
      </c>
      <c r="Q1671" s="3">
        <f>VLOOKUP(C1671,layoffs_location!A:F,6,FALSE)</f>
        <v>37.779258800000001</v>
      </c>
      <c r="R1671" s="3">
        <f>VLOOKUP(C1671,layoffs_location!A:G,7,FALSE)</f>
        <v>-122.4193286</v>
      </c>
    </row>
    <row r="1672" spans="1:18" ht="16" x14ac:dyDescent="0.2">
      <c r="A1672" s="3">
        <v>1671</v>
      </c>
      <c r="B1672" s="7" t="s">
        <v>1682</v>
      </c>
      <c r="C1672" s="7" t="s">
        <v>1724</v>
      </c>
      <c r="D1672" s="3" t="str">
        <f>VLOOKUP(C1672,layoffs_location!A:B,2,FALSE)</f>
        <v>San Francisco Bay Area</v>
      </c>
      <c r="E1672" s="3" t="str">
        <f>VLOOKUP(C1672,layoffs_location!A:C,3,FALSE)</f>
        <v>California</v>
      </c>
      <c r="F1672" s="3" t="str">
        <f>VLOOKUP(C1672,layoffs_location!A:D,4,FALSE)</f>
        <v>USA</v>
      </c>
      <c r="G1672" s="3" t="str">
        <f>VLOOKUP(C1672,layoffs_location!A:E,5,FALSE)</f>
        <v>North America</v>
      </c>
      <c r="H1672" s="7"/>
      <c r="I1672" s="13">
        <v>45385</v>
      </c>
      <c r="J1672" s="30">
        <v>100</v>
      </c>
      <c r="K1672" s="28"/>
      <c r="L1672" s="28">
        <f>SUM(Table13[[#This Row],[Company_Size_before_Layoffs]]-Table13[[#This Row],[Laid_Off]])</f>
        <v>0</v>
      </c>
      <c r="M1672" s="7" t="s">
        <v>1896</v>
      </c>
      <c r="N1672" s="7" t="s">
        <v>1490</v>
      </c>
      <c r="O1672" s="16">
        <v>24</v>
      </c>
      <c r="P1672" s="7">
        <v>2024</v>
      </c>
      <c r="Q1672" s="3">
        <f>VLOOKUP(C1672,layoffs_location!A:F,6,FALSE)</f>
        <v>37.504936000000001</v>
      </c>
      <c r="R1672" s="3">
        <f>VLOOKUP(C1672,layoffs_location!A:G,7,FALSE)</f>
        <v>-122.26182300000001</v>
      </c>
    </row>
    <row r="1673" spans="1:18" ht="16" x14ac:dyDescent="0.2">
      <c r="A1673" s="3">
        <v>1672</v>
      </c>
      <c r="B1673" s="7" t="s">
        <v>1504</v>
      </c>
      <c r="C1673" s="7" t="s">
        <v>145</v>
      </c>
      <c r="D1673" s="3" t="str">
        <f>VLOOKUP(C1673,layoffs_location!A:B,2,FALSE)</f>
        <v>Cascadia</v>
      </c>
      <c r="E1673" s="3" t="str">
        <f>VLOOKUP(C1673,layoffs_location!A:C,3,FALSE)</f>
        <v>Oregon</v>
      </c>
      <c r="F1673" s="3" t="str">
        <f>VLOOKUP(C1673,layoffs_location!A:D,4,FALSE)</f>
        <v>USA</v>
      </c>
      <c r="G1673" s="3" t="str">
        <f>VLOOKUP(C1673,layoffs_location!A:E,5,FALSE)</f>
        <v>North America</v>
      </c>
      <c r="H1673" s="7"/>
      <c r="I1673" s="13">
        <v>45386</v>
      </c>
      <c r="J1673" s="14"/>
      <c r="K1673" s="28"/>
      <c r="L1673" s="28"/>
      <c r="M1673" s="7" t="s">
        <v>1897</v>
      </c>
      <c r="N1673" s="7" t="s">
        <v>1492</v>
      </c>
      <c r="O1673" s="16"/>
      <c r="P1673" s="7">
        <v>2024</v>
      </c>
      <c r="Q1673" s="3">
        <f>VLOOKUP(C1673,layoffs_location!A:F,6,FALSE)</f>
        <v>45.520247099999999</v>
      </c>
      <c r="R1673" s="3">
        <f>VLOOKUP(C1673,layoffs_location!A:G,7,FALSE)</f>
        <v>-122.674194</v>
      </c>
    </row>
    <row r="1674" spans="1:18" x14ac:dyDescent="0.2">
      <c r="A1674" s="3">
        <v>1673</v>
      </c>
      <c r="B1674" s="3" t="s">
        <v>1368</v>
      </c>
      <c r="C1674" s="3" t="s">
        <v>1708</v>
      </c>
      <c r="D1674" s="3" t="str">
        <f>VLOOKUP(C1674,layoffs_location!A:B,2,FALSE)</f>
        <v>San Francisco Bay Area</v>
      </c>
      <c r="E1674" s="3" t="str">
        <f>VLOOKUP(C1674,layoffs_location!A:C,3,FALSE)</f>
        <v>California</v>
      </c>
      <c r="F1674" s="3" t="str">
        <f>VLOOKUP(C1674,layoffs_location!A:D,4,FALSE)</f>
        <v>USA</v>
      </c>
      <c r="G1674" s="3" t="str">
        <f>VLOOKUP(C1674,layoffs_location!A:E,5,FALSE)</f>
        <v>North America</v>
      </c>
      <c r="H1674" s="3">
        <v>614</v>
      </c>
      <c r="I1674" s="8">
        <v>45387</v>
      </c>
      <c r="J1674" s="9"/>
      <c r="K1674" s="10"/>
      <c r="L1674" s="10"/>
      <c r="M1674" s="3" t="s">
        <v>87</v>
      </c>
      <c r="N1674" s="3" t="s">
        <v>22</v>
      </c>
      <c r="P1674" s="3">
        <v>2024</v>
      </c>
      <c r="Q1674" s="3">
        <f>VLOOKUP(C1674,layoffs_location!A:F,6,FALSE)</f>
        <v>37.322893399999998</v>
      </c>
      <c r="R1674" s="3">
        <f>VLOOKUP(C1674,layoffs_location!A:G,7,FALSE)</f>
        <v>-122.0322895</v>
      </c>
    </row>
    <row r="1675" spans="1:18" ht="16" x14ac:dyDescent="0.2">
      <c r="A1675" s="3">
        <v>1674</v>
      </c>
      <c r="B1675" s="3" t="s">
        <v>1407</v>
      </c>
      <c r="C1675" s="3" t="s">
        <v>1408</v>
      </c>
      <c r="D1675" s="3" t="str">
        <f>VLOOKUP(C1675,layoffs_location!A:B,2,FALSE)</f>
        <v>San Francisco Bay Area</v>
      </c>
      <c r="E1675" s="3" t="str">
        <f>VLOOKUP(C1675,layoffs_location!A:C,3,FALSE)</f>
        <v>California</v>
      </c>
      <c r="F1675" s="3" t="str">
        <f>VLOOKUP(C1675,layoffs_location!A:D,4,FALSE)</f>
        <v>USA</v>
      </c>
      <c r="G1675" s="3" t="str">
        <f>VLOOKUP(C1675,layoffs_location!A:E,5,FALSE)</f>
        <v>North America</v>
      </c>
      <c r="H1675" s="3">
        <v>100</v>
      </c>
      <c r="I1675" s="8">
        <v>45387</v>
      </c>
      <c r="J1675" s="9">
        <v>100</v>
      </c>
      <c r="K1675" s="10">
        <f>SUM((H1675*100)/Table13[[#This Row],[Percentage]])</f>
        <v>100</v>
      </c>
      <c r="L1675" s="10">
        <f>SUM(Table13[[#This Row],[Company_Size_before_Layoffs]]-Table13[[#This Row],[Laid_Off]])</f>
        <v>0</v>
      </c>
      <c r="M1675" s="3" t="s">
        <v>32</v>
      </c>
      <c r="N1675" s="7" t="s">
        <v>1497</v>
      </c>
      <c r="O1675" s="16">
        <v>247</v>
      </c>
      <c r="P1675" s="7">
        <v>2024</v>
      </c>
      <c r="Q1675" s="3">
        <f>VLOOKUP(C1675,layoffs_location!A:F,6,FALSE)</f>
        <v>37.3893889</v>
      </c>
      <c r="R1675" s="3">
        <f>VLOOKUP(C1675,layoffs_location!A:G,7,FALSE)</f>
        <v>-122.0832101</v>
      </c>
    </row>
    <row r="1676" spans="1:18" x14ac:dyDescent="0.2">
      <c r="A1676" s="3">
        <v>1675</v>
      </c>
      <c r="B1676" s="3" t="s">
        <v>1406</v>
      </c>
      <c r="C1676" s="3" t="s">
        <v>13</v>
      </c>
      <c r="D1676" s="3" t="str">
        <f>VLOOKUP(C1676,layoffs_location!A:B,2,FALSE)</f>
        <v>other</v>
      </c>
      <c r="E1676" s="3" t="str">
        <f>VLOOKUP(C1676,layoffs_location!A:C,3,FALSE)</f>
        <v>Karnataka</v>
      </c>
      <c r="F1676" s="3" t="str">
        <f>VLOOKUP(C1676,layoffs_location!A:D,4,FALSE)</f>
        <v>India</v>
      </c>
      <c r="G1676" s="3" t="str">
        <f>VLOOKUP(C1676,layoffs_location!A:E,5,FALSE)</f>
        <v>Asia</v>
      </c>
      <c r="H1676" s="3">
        <v>70</v>
      </c>
      <c r="I1676" s="8">
        <v>45388</v>
      </c>
      <c r="J1676" s="9">
        <v>40</v>
      </c>
      <c r="K1676" s="10">
        <f>SUM((H1676*100)/Table13[[#This Row],[Percentage]])</f>
        <v>175</v>
      </c>
      <c r="L1676" s="10">
        <f>SUM(Table13[[#This Row],[Company_Size_before_Layoffs]]-Table13[[#This Row],[Laid_Off]])</f>
        <v>105</v>
      </c>
      <c r="M1676" s="3" t="s">
        <v>1400</v>
      </c>
      <c r="N1676" s="3" t="s">
        <v>22</v>
      </c>
      <c r="P1676" s="3">
        <v>2024</v>
      </c>
      <c r="Q1676" s="3">
        <f>VLOOKUP(C1676,layoffs_location!A:F,6,FALSE)</f>
        <v>12.98815675</v>
      </c>
      <c r="R1676" s="3">
        <f>VLOOKUP(C1676,layoffs_location!A:G,7,FALSE)</f>
        <v>77.622600037959998</v>
      </c>
    </row>
    <row r="1677" spans="1:18" x14ac:dyDescent="0.2">
      <c r="A1677" s="3">
        <v>1676</v>
      </c>
      <c r="B1677" s="3" t="s">
        <v>1386</v>
      </c>
      <c r="C1677" s="3" t="s">
        <v>39</v>
      </c>
      <c r="D1677" s="3" t="str">
        <f>VLOOKUP(C1677,layoffs_location!A:B,2,FALSE)</f>
        <v>New York</v>
      </c>
      <c r="E1677" s="3" t="str">
        <f>VLOOKUP(C1677,layoffs_location!A:C,3,FALSE)</f>
        <v>New York</v>
      </c>
      <c r="F1677" s="3" t="str">
        <f>VLOOKUP(C1677,layoffs_location!A:D,4,FALSE)</f>
        <v>USA</v>
      </c>
      <c r="G1677" s="3" t="str">
        <f>VLOOKUP(C1677,layoffs_location!A:E,5,FALSE)</f>
        <v>North America</v>
      </c>
      <c r="H1677" s="3">
        <v>800</v>
      </c>
      <c r="I1677" s="8">
        <v>45388</v>
      </c>
      <c r="J1677" s="9">
        <v>2</v>
      </c>
      <c r="K1677" s="10">
        <f>SUM((H1677*100)/Table13[[#This Row],[Percentage]])</f>
        <v>40000</v>
      </c>
      <c r="L1677" s="10">
        <f>SUM(Table13[[#This Row],[Company_Size_before_Layoffs]]-Table13[[#This Row],[Laid_Off]])</f>
        <v>39200</v>
      </c>
      <c r="M1677" s="3" t="s">
        <v>1702</v>
      </c>
      <c r="N1677" s="3" t="s">
        <v>22</v>
      </c>
      <c r="P1677" s="3">
        <v>2024</v>
      </c>
      <c r="Q1677" s="3">
        <f>VLOOKUP(C1677,layoffs_location!A:F,6,FALSE)</f>
        <v>40.7127281</v>
      </c>
      <c r="R1677" s="3">
        <f>VLOOKUP(C1677,layoffs_location!A:G,7,FALSE)</f>
        <v>-74.006015199999993</v>
      </c>
    </row>
    <row r="1678" spans="1:18" ht="16" x14ac:dyDescent="0.2">
      <c r="A1678" s="3">
        <v>1677</v>
      </c>
      <c r="B1678" s="7" t="s">
        <v>1551</v>
      </c>
      <c r="C1678" s="7" t="s">
        <v>271</v>
      </c>
      <c r="D1678" s="3" t="str">
        <f>VLOOKUP(C1678,layoffs_location!A:B,2,FALSE)</f>
        <v>Cascadia</v>
      </c>
      <c r="E1678" s="3" t="str">
        <f>VLOOKUP(C1678,layoffs_location!A:C,3,FALSE)</f>
        <v>British Columbia</v>
      </c>
      <c r="F1678" s="3" t="str">
        <f>VLOOKUP(C1678,layoffs_location!A:D,4,FALSE)</f>
        <v>Canada</v>
      </c>
      <c r="G1678" s="3" t="str">
        <f>VLOOKUP(C1678,layoffs_location!A:E,5,FALSE)</f>
        <v>North America</v>
      </c>
      <c r="H1678" s="7"/>
      <c r="I1678" s="13">
        <v>45389</v>
      </c>
      <c r="J1678" s="30">
        <v>100</v>
      </c>
      <c r="K1678" s="28"/>
      <c r="L1678" s="28">
        <f>SUM(Table13[[#This Row],[Company_Size_before_Layoffs]]-Table13[[#This Row],[Laid_Off]])</f>
        <v>0</v>
      </c>
      <c r="M1678" s="7" t="s">
        <v>1897</v>
      </c>
      <c r="N1678" s="7" t="s">
        <v>1499</v>
      </c>
      <c r="O1678" s="16"/>
      <c r="P1678" s="7">
        <v>2024</v>
      </c>
      <c r="Q1678" s="3">
        <f>VLOOKUP(C1678,layoffs_location!A:F,6,FALSE)</f>
        <v>49.260872399999997</v>
      </c>
      <c r="R1678" s="3">
        <f>VLOOKUP(C1678,layoffs_location!A:G,7,FALSE)</f>
        <v>-123.113952</v>
      </c>
    </row>
    <row r="1679" spans="1:18" ht="16" x14ac:dyDescent="0.2">
      <c r="A1679" s="3">
        <v>1678</v>
      </c>
      <c r="B1679" s="7" t="s">
        <v>1450</v>
      </c>
      <c r="C1679" s="7" t="s">
        <v>76</v>
      </c>
      <c r="D1679" s="3" t="str">
        <f>VLOOKUP(C1679,layoffs_location!A:B,2,FALSE)</f>
        <v>other</v>
      </c>
      <c r="E1679" s="3" t="str">
        <f>VLOOKUP(C1679,layoffs_location!A:C,3,FALSE)</f>
        <v>California</v>
      </c>
      <c r="F1679" s="3" t="str">
        <f>VLOOKUP(C1679,layoffs_location!A:D,4,FALSE)</f>
        <v>USA</v>
      </c>
      <c r="G1679" s="3" t="str">
        <f>VLOOKUP(C1679,layoffs_location!A:E,5,FALSE)</f>
        <v>North America</v>
      </c>
      <c r="H1679" s="12">
        <v>49</v>
      </c>
      <c r="I1679" s="13">
        <v>45390</v>
      </c>
      <c r="J1679" s="30">
        <v>35</v>
      </c>
      <c r="K1679" s="28">
        <f>SUM((Table13[[#This Row],[Laid_Off]]*100)/Table13[[#This Row],[Percentage]])</f>
        <v>140</v>
      </c>
      <c r="L1679" s="28">
        <f>SUM(Table13[[#This Row],[Company_Size_before_Layoffs]]-Table13[[#This Row],[Laid_Off]])</f>
        <v>91</v>
      </c>
      <c r="M1679" s="7" t="s">
        <v>1460</v>
      </c>
      <c r="N1679" s="7" t="s">
        <v>1492</v>
      </c>
      <c r="O1679" s="16">
        <v>49</v>
      </c>
      <c r="P1679" s="7">
        <v>2024</v>
      </c>
      <c r="Q1679" s="3">
        <f>VLOOKUP(C1679,layoffs_location!A:F,6,FALSE)</f>
        <v>34.053690899999999</v>
      </c>
      <c r="R1679" s="3">
        <f>VLOOKUP(C1679,layoffs_location!A:G,7,FALSE)</f>
        <v>-118.242766</v>
      </c>
    </row>
    <row r="1680" spans="1:18" ht="16" x14ac:dyDescent="0.2">
      <c r="A1680" s="3">
        <v>1679</v>
      </c>
      <c r="B1680" s="7" t="s">
        <v>1666</v>
      </c>
      <c r="C1680" s="7" t="s">
        <v>715</v>
      </c>
      <c r="D1680" s="3" t="str">
        <f>VLOOKUP(C1680,layoffs_location!A:B,2,FALSE)</f>
        <v>other</v>
      </c>
      <c r="E1680" s="3" t="str">
        <f>VLOOKUP(C1680,layoffs_location!A:C,3,FALSE)</f>
        <v>non</v>
      </c>
      <c r="F1680" s="3" t="str">
        <f>VLOOKUP(C1680,layoffs_location!A:D,4,FALSE)</f>
        <v>Denmark</v>
      </c>
      <c r="G1680" s="3" t="str">
        <f>VLOOKUP(C1680,layoffs_location!A:E,5,FALSE)</f>
        <v>Europe</v>
      </c>
      <c r="H1680" s="12">
        <v>79</v>
      </c>
      <c r="I1680" s="13">
        <v>45390</v>
      </c>
      <c r="J1680" s="30">
        <v>100</v>
      </c>
      <c r="K1680" s="28">
        <f>SUM((Table13[[#This Row],[Laid_Off]]*100)/Table13[[#This Row],[Percentage]])</f>
        <v>79</v>
      </c>
      <c r="L1680" s="28">
        <f>SUM(Table13[[#This Row],[Company_Size_before_Layoffs]]-Table13[[#This Row],[Laid_Off]])</f>
        <v>0</v>
      </c>
      <c r="M1680" s="7" t="s">
        <v>1898</v>
      </c>
      <c r="N1680" s="7" t="s">
        <v>1490</v>
      </c>
      <c r="O1680" s="16"/>
      <c r="P1680" s="7">
        <v>2024</v>
      </c>
      <c r="Q1680" s="3">
        <f>VLOOKUP(C1680,layoffs_location!A:F,6,FALSE)</f>
        <v>55.686724300000002</v>
      </c>
      <c r="R1680" s="3">
        <f>VLOOKUP(C1680,layoffs_location!A:G,7,FALSE)</f>
        <v>12.570072400000001</v>
      </c>
    </row>
    <row r="1681" spans="1:18" ht="16" x14ac:dyDescent="0.2">
      <c r="A1681" s="3">
        <v>1680</v>
      </c>
      <c r="B1681" s="7" t="s">
        <v>1089</v>
      </c>
      <c r="C1681" s="3" t="s">
        <v>1370</v>
      </c>
      <c r="D1681" s="3" t="str">
        <f>VLOOKUP(C1681,layoffs_location!A:B,2,FALSE)</f>
        <v>San Francisco Bay Area</v>
      </c>
      <c r="E1681" s="3" t="str">
        <f>VLOOKUP(C1681,layoffs_location!A:C,3,FALSE)</f>
        <v>California</v>
      </c>
      <c r="F1681" s="3" t="str">
        <f>VLOOKUP(C1681,layoffs_location!A:D,4,FALSE)</f>
        <v>USA</v>
      </c>
      <c r="G1681" s="3" t="str">
        <f>VLOOKUP(C1681,layoffs_location!A:E,5,FALSE)</f>
        <v>North America</v>
      </c>
      <c r="H1681" s="12">
        <v>382</v>
      </c>
      <c r="I1681" s="13">
        <v>45391</v>
      </c>
      <c r="J1681" s="30">
        <v>32</v>
      </c>
      <c r="K1681" s="28">
        <f>SUM((Table13[[#This Row],[Laid_Off]]*100)/Table13[[#This Row],[Percentage]])</f>
        <v>1193.75</v>
      </c>
      <c r="L1681" s="28">
        <f>SUM(Table13[[#This Row],[Company_Size_before_Layoffs]]-Table13[[#This Row],[Laid_Off]])</f>
        <v>811.75</v>
      </c>
      <c r="M1681" s="7" t="s">
        <v>1899</v>
      </c>
      <c r="N1681" s="29" t="s">
        <v>108</v>
      </c>
      <c r="O1681" s="16"/>
      <c r="P1681" s="7">
        <v>2024</v>
      </c>
      <c r="Q1681" s="3">
        <f>VLOOKUP(C1681,layoffs_location!A:F,6,FALSE)</f>
        <v>37.779258800000001</v>
      </c>
      <c r="R1681" s="3">
        <f>VLOOKUP(C1681,layoffs_location!A:G,7,FALSE)</f>
        <v>-122.4193286</v>
      </c>
    </row>
    <row r="1682" spans="1:18" ht="16" x14ac:dyDescent="0.2">
      <c r="A1682" s="3">
        <v>1681</v>
      </c>
      <c r="B1682" s="7" t="s">
        <v>1578</v>
      </c>
      <c r="C1682" s="7" t="s">
        <v>1415</v>
      </c>
      <c r="D1682" s="3" t="str">
        <f>VLOOKUP(C1682,layoffs_location!A:B,2,FALSE)</f>
        <v>San Francisco Bay Area</v>
      </c>
      <c r="E1682" s="3" t="str">
        <f>VLOOKUP(C1682,layoffs_location!A:C,3,FALSE)</f>
        <v>California</v>
      </c>
      <c r="F1682" s="3" t="str">
        <f>VLOOKUP(C1682,layoffs_location!A:D,4,FALSE)</f>
        <v>USA</v>
      </c>
      <c r="G1682" s="3" t="str">
        <f>VLOOKUP(C1682,layoffs_location!A:E,5,FALSE)</f>
        <v>North America</v>
      </c>
      <c r="H1682" s="12">
        <v>62</v>
      </c>
      <c r="I1682" s="13">
        <v>45391</v>
      </c>
      <c r="J1682" s="14"/>
      <c r="K1682" s="28"/>
      <c r="L1682" s="28"/>
      <c r="M1682" s="3" t="s">
        <v>1441</v>
      </c>
      <c r="N1682" s="7" t="s">
        <v>28</v>
      </c>
      <c r="O1682" s="16">
        <v>12</v>
      </c>
      <c r="P1682" s="3">
        <v>2024</v>
      </c>
      <c r="Q1682" s="3">
        <f>VLOOKUP(C1682,layoffs_location!A:F,6,FALSE)</f>
        <v>37.354106999999999</v>
      </c>
      <c r="R1682" s="3">
        <f>VLOOKUP(C1682,layoffs_location!A:G,7,FALSE)</f>
        <v>-121.95523799999999</v>
      </c>
    </row>
    <row r="1683" spans="1:18" ht="16" x14ac:dyDescent="0.2">
      <c r="A1683" s="3">
        <v>1682</v>
      </c>
      <c r="B1683" s="7" t="s">
        <v>291</v>
      </c>
      <c r="C1683" s="7" t="s">
        <v>292</v>
      </c>
      <c r="D1683" s="3" t="str">
        <f>VLOOKUP(C1683,layoffs_location!A:B,2,FALSE)</f>
        <v>other</v>
      </c>
      <c r="E1683" s="3" t="str">
        <f>VLOOKUP(C1683,layoffs_location!A:C,3,FALSE)</f>
        <v>non</v>
      </c>
      <c r="F1683" s="3" t="str">
        <f>VLOOKUP(C1683,layoffs_location!A:D,4,FALSE)</f>
        <v>Chile</v>
      </c>
      <c r="G1683" s="3" t="str">
        <f>VLOOKUP(C1683,layoffs_location!A:E,5,FALSE)</f>
        <v>South America</v>
      </c>
      <c r="H1683" s="12">
        <v>200</v>
      </c>
      <c r="I1683" s="13">
        <v>45392</v>
      </c>
      <c r="J1683" s="14"/>
      <c r="K1683" s="28"/>
      <c r="L1683" s="28"/>
      <c r="M1683" s="7" t="s">
        <v>1896</v>
      </c>
      <c r="N1683" s="29" t="s">
        <v>33</v>
      </c>
      <c r="O1683" s="16">
        <v>32</v>
      </c>
      <c r="P1683" s="7">
        <v>2024</v>
      </c>
      <c r="Q1683" s="3">
        <f>VLOOKUP(C1683,layoffs_location!A:F,6,FALSE)</f>
        <v>-33.437775600000002</v>
      </c>
      <c r="R1683" s="3">
        <f>VLOOKUP(C1683,layoffs_location!A:G,7,FALSE)</f>
        <v>-70.650450199999995</v>
      </c>
    </row>
    <row r="1684" spans="1:18" ht="16" x14ac:dyDescent="0.2">
      <c r="A1684" s="3">
        <v>1683</v>
      </c>
      <c r="B1684" s="3" t="s">
        <v>1372</v>
      </c>
      <c r="C1684" s="3" t="s">
        <v>13</v>
      </c>
      <c r="D1684" s="3" t="str">
        <f>VLOOKUP(C1684,layoffs_location!A:B,2,FALSE)</f>
        <v>other</v>
      </c>
      <c r="E1684" s="3" t="str">
        <f>VLOOKUP(C1684,layoffs_location!A:C,3,FALSE)</f>
        <v>Karnataka</v>
      </c>
      <c r="F1684" s="3" t="str">
        <f>VLOOKUP(C1684,layoffs_location!A:D,4,FALSE)</f>
        <v>India</v>
      </c>
      <c r="G1684" s="3" t="str">
        <f>VLOOKUP(C1684,layoffs_location!A:E,5,FALSE)</f>
        <v>Asia</v>
      </c>
      <c r="H1684" s="3">
        <v>150</v>
      </c>
      <c r="I1684" s="8">
        <v>45392</v>
      </c>
      <c r="J1684" s="9"/>
      <c r="K1684" s="10"/>
      <c r="L1684" s="10"/>
      <c r="M1684" s="3" t="s">
        <v>68</v>
      </c>
      <c r="N1684" s="7" t="s">
        <v>1492</v>
      </c>
      <c r="O1684" s="16">
        <v>55</v>
      </c>
      <c r="P1684" s="7">
        <v>2024</v>
      </c>
      <c r="Q1684" s="3">
        <f>VLOOKUP(C1684,layoffs_location!A:F,6,FALSE)</f>
        <v>12.98815675</v>
      </c>
      <c r="R1684" s="3">
        <f>VLOOKUP(C1684,layoffs_location!A:G,7,FALSE)</f>
        <v>77.622600037959998</v>
      </c>
    </row>
    <row r="1685" spans="1:18" ht="16" x14ac:dyDescent="0.2">
      <c r="A1685" s="3">
        <v>1684</v>
      </c>
      <c r="B1685" s="7" t="s">
        <v>888</v>
      </c>
      <c r="C1685" s="7" t="s">
        <v>39</v>
      </c>
      <c r="D1685" s="3" t="str">
        <f>VLOOKUP(C1685,layoffs_location!A:B,2,FALSE)</f>
        <v>New York</v>
      </c>
      <c r="E1685" s="3" t="str">
        <f>VLOOKUP(C1685,layoffs_location!A:C,3,FALSE)</f>
        <v>New York</v>
      </c>
      <c r="F1685" s="3" t="str">
        <f>VLOOKUP(C1685,layoffs_location!A:D,4,FALSE)</f>
        <v>USA</v>
      </c>
      <c r="G1685" s="3" t="str">
        <f>VLOOKUP(C1685,layoffs_location!A:E,5,FALSE)</f>
        <v>North America</v>
      </c>
      <c r="H1685" s="12">
        <v>30</v>
      </c>
      <c r="I1685" s="13">
        <v>45393</v>
      </c>
      <c r="J1685" s="30">
        <v>15</v>
      </c>
      <c r="K1685" s="28">
        <f>SUM((Table13[[#This Row],[Laid_Off]]*100)/Table13[[#This Row],[Percentage]])</f>
        <v>200</v>
      </c>
      <c r="L1685" s="28">
        <f>SUM(Table13[[#This Row],[Company_Size_before_Layoffs]]-Table13[[#This Row],[Laid_Off]])</f>
        <v>170</v>
      </c>
      <c r="M1685" s="7" t="s">
        <v>1900</v>
      </c>
      <c r="N1685" s="7" t="s">
        <v>1493</v>
      </c>
      <c r="O1685" s="16">
        <v>336</v>
      </c>
      <c r="P1685" s="7">
        <v>2024</v>
      </c>
      <c r="Q1685" s="3">
        <f>VLOOKUP(C1685,layoffs_location!A:F,6,FALSE)</f>
        <v>40.7127281</v>
      </c>
      <c r="R1685" s="3">
        <f>VLOOKUP(C1685,layoffs_location!A:G,7,FALSE)</f>
        <v>-74.006015199999993</v>
      </c>
    </row>
    <row r="1686" spans="1:18" ht="16" x14ac:dyDescent="0.2">
      <c r="A1686" s="3">
        <v>1685</v>
      </c>
      <c r="B1686" s="3" t="s">
        <v>1383</v>
      </c>
      <c r="C1686" s="3" t="s">
        <v>1370</v>
      </c>
      <c r="D1686" s="3" t="str">
        <f>VLOOKUP(C1686,layoffs_location!A:B,2,FALSE)</f>
        <v>San Francisco Bay Area</v>
      </c>
      <c r="E1686" s="3" t="str">
        <f>VLOOKUP(C1686,layoffs_location!A:C,3,FALSE)</f>
        <v>California</v>
      </c>
      <c r="F1686" s="3" t="str">
        <f>VLOOKUP(C1686,layoffs_location!A:D,4,FALSE)</f>
        <v>USA</v>
      </c>
      <c r="G1686" s="3" t="str">
        <f>VLOOKUP(C1686,layoffs_location!A:E,5,FALSE)</f>
        <v>North America</v>
      </c>
      <c r="I1686" s="8">
        <v>45393</v>
      </c>
      <c r="J1686" s="9">
        <v>10</v>
      </c>
      <c r="K1686" s="10"/>
      <c r="L1686" s="10"/>
      <c r="M1686" s="3" t="s">
        <v>21</v>
      </c>
      <c r="N1686" s="7" t="s">
        <v>1497</v>
      </c>
      <c r="O1686" s="16">
        <v>826</v>
      </c>
      <c r="P1686" s="3">
        <v>2024</v>
      </c>
      <c r="Q1686" s="3">
        <f>VLOOKUP(C1686,layoffs_location!A:F,6,FALSE)</f>
        <v>37.779258800000001</v>
      </c>
      <c r="R1686" s="3">
        <f>VLOOKUP(C1686,layoffs_location!A:G,7,FALSE)</f>
        <v>-122.4193286</v>
      </c>
    </row>
    <row r="1687" spans="1:18" ht="16" x14ac:dyDescent="0.2">
      <c r="A1687" s="3">
        <v>1686</v>
      </c>
      <c r="B1687" s="3" t="s">
        <v>1382</v>
      </c>
      <c r="C1687" s="3" t="s">
        <v>58</v>
      </c>
      <c r="D1687" s="3" t="str">
        <f>VLOOKUP(C1687,layoffs_location!A:B,2,FALSE)</f>
        <v>other</v>
      </c>
      <c r="E1687" s="3" t="str">
        <f>VLOOKUP(C1687,layoffs_location!A:C,3,FALSE)</f>
        <v>England</v>
      </c>
      <c r="F1687" s="3" t="str">
        <f>VLOOKUP(C1687,layoffs_location!A:D,4,FALSE)</f>
        <v>UK</v>
      </c>
      <c r="G1687" s="3" t="str">
        <f>VLOOKUP(C1687,layoffs_location!A:E,5,FALSE)</f>
        <v>Europe</v>
      </c>
      <c r="I1687" s="8">
        <v>45393</v>
      </c>
      <c r="J1687" s="9">
        <v>20</v>
      </c>
      <c r="K1687" s="10"/>
      <c r="L1687" s="10"/>
      <c r="M1687" s="3" t="s">
        <v>21</v>
      </c>
      <c r="N1687" s="7" t="s">
        <v>1492</v>
      </c>
      <c r="O1687" s="16">
        <v>89</v>
      </c>
      <c r="P1687" s="7">
        <v>2024</v>
      </c>
      <c r="Q1687" s="3">
        <f>VLOOKUP(C1687,layoffs_location!A:F,6,FALSE)</f>
        <v>51.489333500000001</v>
      </c>
      <c r="R1687" s="3">
        <f>VLOOKUP(C1687,layoffs_location!A:G,7,FALSE)</f>
        <v>-0.14405508452768701</v>
      </c>
    </row>
    <row r="1688" spans="1:18" x14ac:dyDescent="0.2">
      <c r="A1688" s="3">
        <v>1687</v>
      </c>
      <c r="B1688" s="3" t="s">
        <v>1387</v>
      </c>
      <c r="C1688" s="3" t="s">
        <v>97</v>
      </c>
      <c r="D1688" s="3" t="str">
        <f>VLOOKUP(C1688,layoffs_location!A:B,2,FALSE)</f>
        <v>other</v>
      </c>
      <c r="E1688" s="3" t="str">
        <f>VLOOKUP(C1688,layoffs_location!A:C,3,FALSE)</f>
        <v>non</v>
      </c>
      <c r="F1688" s="3" t="str">
        <f>VLOOKUP(C1688,layoffs_location!A:D,4,FALSE)</f>
        <v>France</v>
      </c>
      <c r="G1688" s="3" t="str">
        <f>VLOOKUP(C1688,layoffs_location!A:E,5,FALSE)</f>
        <v>Europe</v>
      </c>
      <c r="H1688" s="3">
        <v>140</v>
      </c>
      <c r="I1688" s="8">
        <v>45394</v>
      </c>
      <c r="J1688" s="9">
        <v>4</v>
      </c>
      <c r="K1688" s="10">
        <f>SUM((H1688*100)/Table13[[#This Row],[Percentage]])</f>
        <v>3500</v>
      </c>
      <c r="L1688" s="10">
        <f>SUM(Table13[[#This Row],[Company_Size_before_Layoffs]]-Table13[[#This Row],[Laid_Off]])</f>
        <v>3360</v>
      </c>
      <c r="M1688" s="3" t="s">
        <v>130</v>
      </c>
      <c r="N1688" s="3" t="s">
        <v>22</v>
      </c>
      <c r="P1688" s="3">
        <v>2024</v>
      </c>
      <c r="Q1688" s="3">
        <f>VLOOKUP(C1688,layoffs_location!A:F,6,FALSE)</f>
        <v>48.858889699999999</v>
      </c>
      <c r="R1688" s="3">
        <f>VLOOKUP(C1688,layoffs_location!A:G,7,FALSE)</f>
        <v>2.32004102172007</v>
      </c>
    </row>
    <row r="1689" spans="1:18" ht="16" x14ac:dyDescent="0.2">
      <c r="A1689" s="3">
        <v>1688</v>
      </c>
      <c r="B1689" s="7" t="s">
        <v>1387</v>
      </c>
      <c r="C1689" s="7" t="s">
        <v>97</v>
      </c>
      <c r="D1689" s="3" t="str">
        <f>VLOOKUP(C1689,layoffs_location!A:B,2,FALSE)</f>
        <v>other</v>
      </c>
      <c r="E1689" s="3" t="str">
        <f>VLOOKUP(C1689,layoffs_location!A:C,3,FALSE)</f>
        <v>non</v>
      </c>
      <c r="F1689" s="3" t="str">
        <f>VLOOKUP(C1689,layoffs_location!A:D,4,FALSE)</f>
        <v>France</v>
      </c>
      <c r="G1689" s="3" t="str">
        <f>VLOOKUP(C1689,layoffs_location!A:E,5,FALSE)</f>
        <v>Europe</v>
      </c>
      <c r="H1689" s="12">
        <v>140</v>
      </c>
      <c r="I1689" s="13">
        <v>45394</v>
      </c>
      <c r="J1689" s="30">
        <v>4</v>
      </c>
      <c r="K1689" s="28">
        <f>SUM((Table13[[#This Row],[Laid_Off]]*100)/Table13[[#This Row],[Percentage]])</f>
        <v>3500</v>
      </c>
      <c r="L1689" s="28">
        <f>SUM(Table13[[#This Row],[Company_Size_before_Layoffs]]-Table13[[#This Row],[Laid_Off]])</f>
        <v>3360</v>
      </c>
      <c r="M1689" s="7" t="s">
        <v>1901</v>
      </c>
      <c r="N1689" s="29" t="s">
        <v>28</v>
      </c>
      <c r="O1689" s="16">
        <v>61</v>
      </c>
      <c r="P1689" s="7">
        <v>2024</v>
      </c>
      <c r="Q1689" s="3">
        <f>VLOOKUP(C1689,layoffs_location!A:F,6,FALSE)</f>
        <v>48.858889699999999</v>
      </c>
      <c r="R1689" s="3">
        <f>VLOOKUP(C1689,layoffs_location!A:G,7,FALSE)</f>
        <v>2.32004102172007</v>
      </c>
    </row>
    <row r="1690" spans="1:18" ht="16" x14ac:dyDescent="0.2">
      <c r="A1690" s="3">
        <v>1689</v>
      </c>
      <c r="B1690" s="7" t="s">
        <v>486</v>
      </c>
      <c r="C1690" s="7" t="s">
        <v>487</v>
      </c>
      <c r="D1690" s="3" t="str">
        <f>VLOOKUP(C1690,layoffs_location!A:B,2,FALSE)</f>
        <v>other</v>
      </c>
      <c r="E1690" s="3" t="str">
        <f>VLOOKUP(C1690,layoffs_location!A:C,3,FALSE)</f>
        <v>Catalonia</v>
      </c>
      <c r="F1690" s="3" t="str">
        <f>VLOOKUP(C1690,layoffs_location!A:D,4,FALSE)</f>
        <v>Spain</v>
      </c>
      <c r="G1690" s="3" t="str">
        <f>VLOOKUP(C1690,layoffs_location!A:E,5,FALSE)</f>
        <v>Europe</v>
      </c>
      <c r="H1690" s="12">
        <v>25</v>
      </c>
      <c r="I1690" s="13">
        <v>45394</v>
      </c>
      <c r="J1690" s="14"/>
      <c r="K1690" s="28"/>
      <c r="L1690" s="28"/>
      <c r="M1690" s="7" t="s">
        <v>1896</v>
      </c>
      <c r="N1690" s="7" t="s">
        <v>1490</v>
      </c>
      <c r="O1690" s="16">
        <v>1200</v>
      </c>
      <c r="P1690" s="7">
        <v>2024</v>
      </c>
      <c r="Q1690" s="3">
        <f>VLOOKUP(C1690,layoffs_location!A:F,6,FALSE)</f>
        <v>41.382893899999999</v>
      </c>
      <c r="R1690" s="3">
        <f>VLOOKUP(C1690,layoffs_location!A:G,7,FALSE)</f>
        <v>2.1774322000000002</v>
      </c>
    </row>
    <row r="1691" spans="1:18" x14ac:dyDescent="0.2">
      <c r="A1691" s="3">
        <v>1690</v>
      </c>
      <c r="B1691" s="3" t="s">
        <v>1375</v>
      </c>
      <c r="C1691" s="3" t="s">
        <v>217</v>
      </c>
      <c r="D1691" s="3" t="str">
        <f>VLOOKUP(C1691,layoffs_location!A:B,2,FALSE)</f>
        <v>other</v>
      </c>
      <c r="E1691" s="3" t="str">
        <f>VLOOKUP(C1691,layoffs_location!A:C,3,FALSE)</f>
        <v>non</v>
      </c>
      <c r="F1691" s="3" t="str">
        <f>VLOOKUP(C1691,layoffs_location!A:D,4,FALSE)</f>
        <v>Ireland</v>
      </c>
      <c r="G1691" s="3" t="str">
        <f>VLOOKUP(C1691,layoffs_location!A:E,5,FALSE)</f>
        <v>Europe</v>
      </c>
      <c r="H1691" s="3">
        <v>250</v>
      </c>
      <c r="I1691" s="8">
        <v>45395</v>
      </c>
      <c r="J1691" s="9"/>
      <c r="K1691" s="10"/>
      <c r="L1691" s="10"/>
      <c r="M1691" s="3" t="s">
        <v>1374</v>
      </c>
      <c r="N1691" s="3" t="s">
        <v>33</v>
      </c>
      <c r="P1691" s="3">
        <v>2024</v>
      </c>
      <c r="Q1691" s="3">
        <f>VLOOKUP(C1691,layoffs_location!A:F,6,FALSE)</f>
        <v>53.349379499999998</v>
      </c>
      <c r="R1691" s="3">
        <f>VLOOKUP(C1691,layoffs_location!A:G,7,FALSE)</f>
        <v>-6.2605592999999997</v>
      </c>
    </row>
    <row r="1692" spans="1:18" x14ac:dyDescent="0.2">
      <c r="A1692" s="3">
        <v>1691</v>
      </c>
      <c r="B1692" s="3" t="s">
        <v>1359</v>
      </c>
      <c r="C1692" s="3" t="s">
        <v>39</v>
      </c>
      <c r="D1692" s="3" t="str">
        <f>VLOOKUP(C1692,layoffs_location!A:B,2,FALSE)</f>
        <v>New York</v>
      </c>
      <c r="E1692" s="3" t="str">
        <f>VLOOKUP(C1692,layoffs_location!A:C,3,FALSE)</f>
        <v>New York</v>
      </c>
      <c r="F1692" s="3" t="str">
        <f>VLOOKUP(C1692,layoffs_location!A:D,4,FALSE)</f>
        <v>USA</v>
      </c>
      <c r="G1692" s="3" t="str">
        <f>VLOOKUP(C1692,layoffs_location!A:E,5,FALSE)</f>
        <v>North America</v>
      </c>
      <c r="H1692" s="3">
        <v>360</v>
      </c>
      <c r="I1692" s="8">
        <v>45397</v>
      </c>
      <c r="J1692" s="9">
        <v>3</v>
      </c>
      <c r="K1692" s="10">
        <f>SUM((H1692*100)/Table13[[#This Row],[Percentage]])</f>
        <v>12000</v>
      </c>
      <c r="L1692" s="10">
        <f>SUM(Table13[[#This Row],[Company_Size_before_Layoffs]]-Table13[[#This Row],[Laid_Off]])</f>
        <v>11640</v>
      </c>
      <c r="M1692" s="3" t="s">
        <v>1361</v>
      </c>
      <c r="N1692" s="3" t="s">
        <v>22</v>
      </c>
      <c r="P1692" s="3">
        <v>2024</v>
      </c>
      <c r="Q1692" s="3">
        <f>VLOOKUP(C1692,layoffs_location!A:F,6,FALSE)</f>
        <v>40.7127281</v>
      </c>
      <c r="R1692" s="3">
        <f>VLOOKUP(C1692,layoffs_location!A:G,7,FALSE)</f>
        <v>-74.006015199999993</v>
      </c>
    </row>
    <row r="1693" spans="1:18" x14ac:dyDescent="0.2">
      <c r="A1693" s="3">
        <v>1692</v>
      </c>
      <c r="B1693" s="17" t="s">
        <v>1388</v>
      </c>
      <c r="C1693" s="17" t="s">
        <v>83</v>
      </c>
      <c r="D1693" s="3" t="str">
        <f>VLOOKUP(C1693,layoffs_location!A:B,2,FALSE)</f>
        <v>other</v>
      </c>
      <c r="E1693" s="3" t="str">
        <f>VLOOKUP(C1693,layoffs_location!A:C,3,FALSE)</f>
        <v>Texas</v>
      </c>
      <c r="F1693" s="3" t="str">
        <f>VLOOKUP(C1693,layoffs_location!A:D,4,FALSE)</f>
        <v>USA</v>
      </c>
      <c r="G1693" s="3" t="str">
        <f>VLOOKUP(C1693,layoffs_location!A:E,5,FALSE)</f>
        <v>North America</v>
      </c>
      <c r="H1693" s="17">
        <v>14000</v>
      </c>
      <c r="I1693" s="18">
        <v>45397</v>
      </c>
      <c r="J1693" s="19">
        <v>10</v>
      </c>
      <c r="K1693" s="20">
        <f>SUM((H1693*100)/Table13[[#This Row],[Percentage]])</f>
        <v>140000</v>
      </c>
      <c r="L1693" s="20">
        <f>SUM(Table13[[#This Row],[Company_Size_before_Layoffs]]-Table13[[#This Row],[Laid_Off]])</f>
        <v>126000</v>
      </c>
      <c r="M1693" s="17" t="s">
        <v>1389</v>
      </c>
      <c r="N1693" s="17" t="s">
        <v>22</v>
      </c>
      <c r="O1693" s="35"/>
      <c r="P1693" s="3">
        <v>2024</v>
      </c>
      <c r="Q1693" s="3">
        <f>VLOOKUP(C1693,layoffs_location!A:F,6,FALSE)</f>
        <v>30.271128600000001</v>
      </c>
      <c r="R1693" s="3">
        <f>VLOOKUP(C1693,layoffs_location!A:G,7,FALSE)</f>
        <v>-97.743699500000005</v>
      </c>
    </row>
    <row r="1694" spans="1:18" x14ac:dyDescent="0.2">
      <c r="A1694" s="3">
        <v>1693</v>
      </c>
      <c r="B1694" s="17" t="s">
        <v>1366</v>
      </c>
      <c r="C1694" s="17" t="s">
        <v>1367</v>
      </c>
      <c r="D1694" s="3" t="str">
        <f>VLOOKUP(C1694,layoffs_location!A:B,2,FALSE)</f>
        <v>other</v>
      </c>
      <c r="E1694" s="3" t="str">
        <f>VLOOKUP(C1694,layoffs_location!A:C,3,FALSE)</f>
        <v>England</v>
      </c>
      <c r="F1694" s="3" t="str">
        <f>VLOOKUP(C1694,layoffs_location!A:D,4,FALSE)</f>
        <v>UK</v>
      </c>
      <c r="G1694" s="3" t="str">
        <f>VLOOKUP(C1694,layoffs_location!A:E,5,FALSE)</f>
        <v>Europe</v>
      </c>
      <c r="H1694" s="17">
        <v>40</v>
      </c>
      <c r="I1694" s="18">
        <v>45398</v>
      </c>
      <c r="J1694" s="19">
        <v>10</v>
      </c>
      <c r="K1694" s="20">
        <f>SUM((H1694*100)/Table13[[#This Row],[Percentage]])</f>
        <v>400</v>
      </c>
      <c r="L1694" s="20">
        <f>SUM(Table13[[#This Row],[Company_Size_before_Layoffs]]-Table13[[#This Row],[Laid_Off]])</f>
        <v>360</v>
      </c>
      <c r="M1694" s="17" t="s">
        <v>1460</v>
      </c>
      <c r="N1694" s="17" t="s">
        <v>22</v>
      </c>
      <c r="O1694" s="35"/>
      <c r="P1694" s="3">
        <v>2024</v>
      </c>
      <c r="Q1694" s="3">
        <f>VLOOKUP(C1694,layoffs_location!A:F,6,FALSE)</f>
        <v>52.291339399999998</v>
      </c>
      <c r="R1694" s="3">
        <f>VLOOKUP(C1694,layoffs_location!A:G,7,FALSE)</f>
        <v>-1.5364040000000001</v>
      </c>
    </row>
    <row r="1695" spans="1:18" ht="16" x14ac:dyDescent="0.2">
      <c r="A1695" s="3">
        <v>1694</v>
      </c>
      <c r="B1695" s="17" t="s">
        <v>1373</v>
      </c>
      <c r="C1695" s="17" t="s">
        <v>39</v>
      </c>
      <c r="D1695" s="3" t="str">
        <f>VLOOKUP(C1695,layoffs_location!A:B,2,FALSE)</f>
        <v>New York</v>
      </c>
      <c r="E1695" s="3" t="str">
        <f>VLOOKUP(C1695,layoffs_location!A:C,3,FALSE)</f>
        <v>New York</v>
      </c>
      <c r="F1695" s="3" t="str">
        <f>VLOOKUP(C1695,layoffs_location!A:D,4,FALSE)</f>
        <v>USA</v>
      </c>
      <c r="G1695" s="3" t="str">
        <f>VLOOKUP(C1695,layoffs_location!A:E,5,FALSE)</f>
        <v>North America</v>
      </c>
      <c r="H1695" s="17">
        <v>600</v>
      </c>
      <c r="I1695" s="18">
        <v>45398</v>
      </c>
      <c r="J1695" s="19">
        <v>5</v>
      </c>
      <c r="K1695" s="20">
        <f>SUM((H1695*100)/Table13[[#This Row],[Percentage]])</f>
        <v>12000</v>
      </c>
      <c r="L1695" s="20">
        <f>SUM(Table13[[#This Row],[Company_Size_before_Layoffs]]-Table13[[#This Row],[Laid_Off]])</f>
        <v>11400</v>
      </c>
      <c r="M1695" s="17" t="s">
        <v>1374</v>
      </c>
      <c r="N1695" s="4" t="s">
        <v>1491</v>
      </c>
      <c r="O1695" s="27">
        <v>4100</v>
      </c>
      <c r="P1695" s="3">
        <v>2024</v>
      </c>
      <c r="Q1695" s="3">
        <f>VLOOKUP(C1695,layoffs_location!A:F,6,FALSE)</f>
        <v>40.7127281</v>
      </c>
      <c r="R1695" s="3">
        <f>VLOOKUP(C1695,layoffs_location!A:G,7,FALSE)</f>
        <v>-74.006015199999993</v>
      </c>
    </row>
    <row r="1696" spans="1:18" ht="16" x14ac:dyDescent="0.2">
      <c r="A1696" s="3">
        <v>1695</v>
      </c>
      <c r="B1696" s="17" t="s">
        <v>1379</v>
      </c>
      <c r="C1696" s="26" t="s">
        <v>1370</v>
      </c>
      <c r="D1696" s="3" t="str">
        <f>VLOOKUP(C1696,layoffs_location!A:B,2,FALSE)</f>
        <v>San Francisco Bay Area</v>
      </c>
      <c r="E1696" s="3" t="str">
        <f>VLOOKUP(C1696,layoffs_location!A:C,3,FALSE)</f>
        <v>California</v>
      </c>
      <c r="F1696" s="3" t="str">
        <f>VLOOKUP(C1696,layoffs_location!A:D,4,FALSE)</f>
        <v>USA</v>
      </c>
      <c r="G1696" s="3" t="str">
        <f>VLOOKUP(C1696,layoffs_location!A:E,5,FALSE)</f>
        <v>North America</v>
      </c>
      <c r="H1696" s="17">
        <v>12</v>
      </c>
      <c r="I1696" s="18">
        <v>45398</v>
      </c>
      <c r="J1696" s="19">
        <v>20</v>
      </c>
      <c r="K1696" s="20">
        <f>SUM((H1696*100)/Table13[[#This Row],[Percentage]])</f>
        <v>60</v>
      </c>
      <c r="L1696" s="20">
        <f>SUM(Table13[[#This Row],[Company_Size_before_Layoffs]]-Table13[[#This Row],[Laid_Off]])</f>
        <v>48</v>
      </c>
      <c r="M1696" s="17" t="s">
        <v>62</v>
      </c>
      <c r="N1696" s="4" t="s">
        <v>1492</v>
      </c>
      <c r="O1696" s="27">
        <v>75</v>
      </c>
      <c r="P1696" s="3">
        <v>2024</v>
      </c>
      <c r="Q1696" s="3">
        <f>VLOOKUP(C1696,layoffs_location!A:F,6,FALSE)</f>
        <v>37.779258800000001</v>
      </c>
      <c r="R1696" s="3">
        <f>VLOOKUP(C1696,layoffs_location!A:G,7,FALSE)</f>
        <v>-122.4193286</v>
      </c>
    </row>
    <row r="1697" spans="1:18" ht="16" x14ac:dyDescent="0.2">
      <c r="A1697" s="3">
        <v>1696</v>
      </c>
      <c r="B1697" s="4" t="s">
        <v>1379</v>
      </c>
      <c r="C1697" s="26" t="s">
        <v>1370</v>
      </c>
      <c r="D1697" s="3" t="str">
        <f>VLOOKUP(C1697,layoffs_location!A:B,2,FALSE)</f>
        <v>San Francisco Bay Area</v>
      </c>
      <c r="E1697" s="3" t="str">
        <f>VLOOKUP(C1697,layoffs_location!A:C,3,FALSE)</f>
        <v>California</v>
      </c>
      <c r="F1697" s="3" t="str">
        <f>VLOOKUP(C1697,layoffs_location!A:D,4,FALSE)</f>
        <v>USA</v>
      </c>
      <c r="G1697" s="3" t="str">
        <f>VLOOKUP(C1697,layoffs_location!A:E,5,FALSE)</f>
        <v>North America</v>
      </c>
      <c r="H1697" s="23">
        <v>12</v>
      </c>
      <c r="I1697" s="24">
        <v>45398</v>
      </c>
      <c r="J1697" s="31">
        <v>25</v>
      </c>
      <c r="K1697" s="25">
        <f>SUM((Table13[[#This Row],[Laid_Off]]*100)/Table13[[#This Row],[Percentage]])</f>
        <v>48</v>
      </c>
      <c r="L1697" s="25">
        <f>SUM(Table13[[#This Row],[Company_Size_before_Layoffs]]-Table13[[#This Row],[Laid_Off]])</f>
        <v>36</v>
      </c>
      <c r="M1697" s="4" t="s">
        <v>1902</v>
      </c>
      <c r="N1697" s="4" t="s">
        <v>1492</v>
      </c>
      <c r="O1697" s="27">
        <v>75</v>
      </c>
      <c r="P1697" s="7">
        <v>2024</v>
      </c>
      <c r="Q1697" s="3">
        <f>VLOOKUP(C1697,layoffs_location!A:F,6,FALSE)</f>
        <v>37.779258800000001</v>
      </c>
      <c r="R1697" s="3">
        <f>VLOOKUP(C1697,layoffs_location!A:G,7,FALSE)</f>
        <v>-122.4193286</v>
      </c>
    </row>
    <row r="1698" spans="1:18" x14ac:dyDescent="0.2">
      <c r="A1698" s="3">
        <v>1697</v>
      </c>
      <c r="B1698" s="17" t="s">
        <v>1403</v>
      </c>
      <c r="C1698" s="17" t="s">
        <v>1404</v>
      </c>
      <c r="D1698" s="3" t="str">
        <f>VLOOKUP(C1698,layoffs_location!A:B,2,FALSE)</f>
        <v>other</v>
      </c>
      <c r="E1698" s="3" t="str">
        <f>VLOOKUP(C1698,layoffs_location!A:C,3,FALSE)</f>
        <v>Florida</v>
      </c>
      <c r="F1698" s="3" t="str">
        <f>VLOOKUP(C1698,layoffs_location!A:D,4,FALSE)</f>
        <v>USA</v>
      </c>
      <c r="G1698" s="3" t="str">
        <f>VLOOKUP(C1698,layoffs_location!A:E,5,FALSE)</f>
        <v>North America</v>
      </c>
      <c r="H1698" s="17">
        <v>80</v>
      </c>
      <c r="I1698" s="18">
        <v>45399</v>
      </c>
      <c r="J1698" s="19"/>
      <c r="K1698" s="20"/>
      <c r="L1698" s="20"/>
      <c r="M1698" s="17" t="s">
        <v>1400</v>
      </c>
      <c r="N1698" s="17" t="s">
        <v>22</v>
      </c>
      <c r="O1698" s="35"/>
      <c r="P1698" s="3">
        <v>2024</v>
      </c>
      <c r="Q1698" s="3">
        <f>VLOOKUP(C1698,layoffs_location!A:F,6,FALSE)</f>
        <v>27.9477595</v>
      </c>
      <c r="R1698" s="3">
        <f>VLOOKUP(C1698,layoffs_location!A:G,7,FALSE)</f>
        <v>-82.458444</v>
      </c>
    </row>
    <row r="1699" spans="1:18" x14ac:dyDescent="0.2">
      <c r="A1699" s="3">
        <v>1698</v>
      </c>
      <c r="B1699" s="17" t="s">
        <v>1405</v>
      </c>
      <c r="C1699" s="17" t="s">
        <v>1370</v>
      </c>
      <c r="D1699" s="3" t="str">
        <f>VLOOKUP(C1699,layoffs_location!A:B,2,FALSE)</f>
        <v>San Francisco Bay Area</v>
      </c>
      <c r="E1699" s="3" t="str">
        <f>VLOOKUP(C1699,layoffs_location!A:C,3,FALSE)</f>
        <v>California</v>
      </c>
      <c r="F1699" s="3" t="str">
        <f>VLOOKUP(C1699,layoffs_location!A:D,4,FALSE)</f>
        <v>USA</v>
      </c>
      <c r="G1699" s="3" t="str">
        <f>VLOOKUP(C1699,layoffs_location!A:E,5,FALSE)</f>
        <v>North America</v>
      </c>
      <c r="H1699" s="17">
        <v>44</v>
      </c>
      <c r="I1699" s="18">
        <v>45399</v>
      </c>
      <c r="J1699" s="19">
        <v>11</v>
      </c>
      <c r="K1699" s="20">
        <f>SUM((H1699*100)/Table13[[#This Row],[Percentage]])</f>
        <v>400</v>
      </c>
      <c r="L1699" s="20">
        <f>SUM(Table13[[#This Row],[Company_Size_before_Layoffs]]-Table13[[#This Row],[Laid_Off]])</f>
        <v>356</v>
      </c>
      <c r="M1699" s="17" t="s">
        <v>1400</v>
      </c>
      <c r="N1699" s="17" t="s">
        <v>22</v>
      </c>
      <c r="O1699" s="35"/>
      <c r="P1699" s="3">
        <v>2024</v>
      </c>
      <c r="Q1699" s="3">
        <f>VLOOKUP(C1699,layoffs_location!A:F,6,FALSE)</f>
        <v>37.779258800000001</v>
      </c>
      <c r="R1699" s="3">
        <f>VLOOKUP(C1699,layoffs_location!A:G,7,FALSE)</f>
        <v>-122.4193286</v>
      </c>
    </row>
    <row r="1700" spans="1:18" ht="16" x14ac:dyDescent="0.2">
      <c r="A1700" s="3">
        <v>1699</v>
      </c>
      <c r="B1700" s="17" t="s">
        <v>513</v>
      </c>
      <c r="C1700" s="17" t="s">
        <v>1408</v>
      </c>
      <c r="D1700" s="3" t="str">
        <f>VLOOKUP(C1700,layoffs_location!A:B,2,FALSE)</f>
        <v>San Francisco Bay Area</v>
      </c>
      <c r="E1700" s="3" t="str">
        <f>VLOOKUP(C1700,layoffs_location!A:C,3,FALSE)</f>
        <v>California</v>
      </c>
      <c r="F1700" s="3" t="str">
        <f>VLOOKUP(C1700,layoffs_location!A:D,4,FALSE)</f>
        <v>USA</v>
      </c>
      <c r="G1700" s="3" t="str">
        <f>VLOOKUP(C1700,layoffs_location!A:E,5,FALSE)</f>
        <v>North America</v>
      </c>
      <c r="H1700" s="17"/>
      <c r="I1700" s="18">
        <v>45399</v>
      </c>
      <c r="J1700" s="19"/>
      <c r="K1700" s="20"/>
      <c r="L1700" s="20"/>
      <c r="M1700" s="17" t="s">
        <v>16</v>
      </c>
      <c r="N1700" s="4" t="s">
        <v>28</v>
      </c>
      <c r="O1700" s="27">
        <v>26</v>
      </c>
      <c r="P1700" s="3">
        <v>2024</v>
      </c>
      <c r="Q1700" s="3">
        <f>VLOOKUP(C1700,layoffs_location!A:F,6,FALSE)</f>
        <v>37.3893889</v>
      </c>
      <c r="R1700" s="3">
        <f>VLOOKUP(C1700,layoffs_location!A:G,7,FALSE)</f>
        <v>-122.0832101</v>
      </c>
    </row>
    <row r="1701" spans="1:18" x14ac:dyDescent="0.2">
      <c r="A1701" s="3">
        <v>1700</v>
      </c>
      <c r="B1701" s="17" t="s">
        <v>858</v>
      </c>
      <c r="C1701" s="17" t="s">
        <v>65</v>
      </c>
      <c r="D1701" s="3" t="str">
        <f>VLOOKUP(C1701,layoffs_location!A:B,2,FALSE)</f>
        <v>other</v>
      </c>
      <c r="E1701" s="3" t="str">
        <f>VLOOKUP(C1701,layoffs_location!A:C,3,FALSE)</f>
        <v>Michigan</v>
      </c>
      <c r="F1701" s="3" t="str">
        <f>VLOOKUP(C1701,layoffs_location!A:D,4,FALSE)</f>
        <v>USA</v>
      </c>
      <c r="G1701" s="3" t="str">
        <f>VLOOKUP(C1701,layoffs_location!A:E,5,FALSE)</f>
        <v>North America</v>
      </c>
      <c r="H1701" s="17"/>
      <c r="I1701" s="18">
        <v>45399</v>
      </c>
      <c r="J1701" s="19">
        <v>1</v>
      </c>
      <c r="K1701" s="20"/>
      <c r="L1701" s="20">
        <f>SUM(Table13[[#This Row],[Company_Size_before_Layoffs]]-Table13[[#This Row],[Laid_Off]])</f>
        <v>0</v>
      </c>
      <c r="M1701" s="17" t="s">
        <v>32</v>
      </c>
      <c r="N1701" s="17" t="s">
        <v>28</v>
      </c>
      <c r="O1701" s="35">
        <v>10700</v>
      </c>
      <c r="P1701" s="3">
        <v>2024</v>
      </c>
      <c r="Q1701" s="3">
        <f>VLOOKUP(C1701,layoffs_location!A:F,6,FALSE)</f>
        <v>42.331550900000003</v>
      </c>
      <c r="R1701" s="3">
        <f>VLOOKUP(C1701,layoffs_location!A:G,7,FALSE)</f>
        <v>-83.046640300000007</v>
      </c>
    </row>
    <row r="1702" spans="1:18" x14ac:dyDescent="0.2">
      <c r="A1702" s="3">
        <v>1701</v>
      </c>
      <c r="B1702" s="17" t="s">
        <v>1358</v>
      </c>
      <c r="C1702" s="17" t="s">
        <v>547</v>
      </c>
      <c r="D1702" s="3" t="str">
        <f>VLOOKUP(C1702,layoffs_location!A:B,2,FALSE)</f>
        <v>Tokyo</v>
      </c>
      <c r="E1702" s="3" t="str">
        <f>VLOOKUP(C1702,layoffs_location!A:C,3,FALSE)</f>
        <v>Tokyo</v>
      </c>
      <c r="F1702" s="3" t="str">
        <f>VLOOKUP(C1702,layoffs_location!A:D,4,FALSE)</f>
        <v>Japan</v>
      </c>
      <c r="G1702" s="3" t="str">
        <f>VLOOKUP(C1702,layoffs_location!A:E,5,FALSE)</f>
        <v>Asia</v>
      </c>
      <c r="H1702" s="17">
        <v>5000</v>
      </c>
      <c r="I1702" s="18">
        <v>45399</v>
      </c>
      <c r="J1702" s="19">
        <v>10</v>
      </c>
      <c r="K1702" s="20">
        <f>SUM((H1702*100)/Table13[[#This Row],[Percentage]])</f>
        <v>50000</v>
      </c>
      <c r="L1702" s="20">
        <f>SUM(Table13[[#This Row],[Company_Size_before_Layoffs]]-Table13[[#This Row],[Laid_Off]])</f>
        <v>45000</v>
      </c>
      <c r="M1702" s="17" t="s">
        <v>1693</v>
      </c>
      <c r="N1702" s="17" t="s">
        <v>28</v>
      </c>
      <c r="O1702" s="35">
        <v>574</v>
      </c>
      <c r="P1702" s="3">
        <v>2024</v>
      </c>
      <c r="Q1702" s="3">
        <f>VLOOKUP(C1702,layoffs_location!A:F,6,FALSE)</f>
        <v>35.682193599999998</v>
      </c>
      <c r="R1702" s="3">
        <f>VLOOKUP(C1702,layoffs_location!A:G,7,FALSE)</f>
        <v>139.76222100000001</v>
      </c>
    </row>
    <row r="1703" spans="1:18" x14ac:dyDescent="0.2">
      <c r="A1703" s="3">
        <v>1702</v>
      </c>
      <c r="B1703" s="17" t="s">
        <v>1385</v>
      </c>
      <c r="C1703" s="17" t="s">
        <v>748</v>
      </c>
      <c r="D1703" s="3" t="str">
        <f>VLOOKUP(C1703,layoffs_location!A:B,2,FALSE)</f>
        <v>other</v>
      </c>
      <c r="E1703" s="3" t="str">
        <f>VLOOKUP(C1703,layoffs_location!A:C,3,FALSE)</f>
        <v>Delhi</v>
      </c>
      <c r="F1703" s="3" t="str">
        <f>VLOOKUP(C1703,layoffs_location!A:D,4,FALSE)</f>
        <v>India</v>
      </c>
      <c r="G1703" s="3" t="str">
        <f>VLOOKUP(C1703,layoffs_location!A:E,5,FALSE)</f>
        <v>Asia</v>
      </c>
      <c r="H1703" s="17">
        <v>150</v>
      </c>
      <c r="I1703" s="18">
        <v>45400</v>
      </c>
      <c r="J1703" s="19">
        <v>15</v>
      </c>
      <c r="K1703" s="20">
        <f>SUM((H1703*100)/Table13[[#This Row],[Percentage]])</f>
        <v>1000</v>
      </c>
      <c r="L1703" s="20">
        <f>SUM(Table13[[#This Row],[Company_Size_before_Layoffs]]-Table13[[#This Row],[Laid_Off]])</f>
        <v>850</v>
      </c>
      <c r="M1703" s="17" t="s">
        <v>1702</v>
      </c>
      <c r="N1703" s="17" t="s">
        <v>22</v>
      </c>
      <c r="O1703" s="35"/>
      <c r="P1703" s="3">
        <v>2024</v>
      </c>
      <c r="Q1703" s="3">
        <f>VLOOKUP(C1703,layoffs_location!A:F,6,FALSE)</f>
        <v>28.613895400000001</v>
      </c>
      <c r="R1703" s="3">
        <f>VLOOKUP(C1703,layoffs_location!A:G,7,FALSE)</f>
        <v>77.209005700000006</v>
      </c>
    </row>
    <row r="1704" spans="1:18" ht="16" x14ac:dyDescent="0.2">
      <c r="A1704" s="3">
        <v>1703</v>
      </c>
      <c r="B1704" s="17" t="s">
        <v>1362</v>
      </c>
      <c r="C1704" s="17" t="s">
        <v>1363</v>
      </c>
      <c r="D1704" s="3" t="str">
        <f>VLOOKUP(C1704,layoffs_location!A:B,2,FALSE)</f>
        <v>other</v>
      </c>
      <c r="E1704" s="3" t="str">
        <f>VLOOKUP(C1704,layoffs_location!A:C,3,FALSE)</f>
        <v>Colorado</v>
      </c>
      <c r="F1704" s="3" t="str">
        <f>VLOOKUP(C1704,layoffs_location!A:D,4,FALSE)</f>
        <v>USA</v>
      </c>
      <c r="G1704" s="3" t="str">
        <f>VLOOKUP(C1704,layoffs_location!A:E,5,FALSE)</f>
        <v>North America</v>
      </c>
      <c r="H1704" s="17"/>
      <c r="I1704" s="18">
        <v>45400</v>
      </c>
      <c r="J1704" s="19">
        <v>5</v>
      </c>
      <c r="K1704" s="20"/>
      <c r="L1704" s="20"/>
      <c r="M1704" s="17" t="s">
        <v>1702</v>
      </c>
      <c r="N1704" s="4" t="s">
        <v>1499</v>
      </c>
      <c r="O1704" s="27">
        <v>400</v>
      </c>
      <c r="P1704" s="7">
        <v>2024</v>
      </c>
      <c r="Q1704" s="3">
        <f>VLOOKUP(C1704,layoffs_location!A:F,6,FALSE)</f>
        <v>39.617210100000001</v>
      </c>
      <c r="R1704" s="3">
        <f>VLOOKUP(C1704,layoffs_location!A:G,7,FALSE)</f>
        <v>-104.95081399999999</v>
      </c>
    </row>
    <row r="1705" spans="1:18" ht="16" x14ac:dyDescent="0.2">
      <c r="A1705" s="3">
        <v>1704</v>
      </c>
      <c r="B1705" s="4" t="s">
        <v>1269</v>
      </c>
      <c r="C1705" s="4" t="s">
        <v>1489</v>
      </c>
      <c r="D1705" s="3" t="str">
        <f>VLOOKUP(C1705,layoffs_location!A:B,2,FALSE)</f>
        <v>other</v>
      </c>
      <c r="E1705" s="3" t="str">
        <f>VLOOKUP(C1705,layoffs_location!A:C,3,FALSE)</f>
        <v>non</v>
      </c>
      <c r="F1705" s="3" t="str">
        <f>VLOOKUP(C1705,layoffs_location!A:D,4,FALSE)</f>
        <v>Belgium</v>
      </c>
      <c r="G1705" s="3" t="str">
        <f>VLOOKUP(C1705,layoffs_location!A:E,5,FALSE)</f>
        <v>Europe</v>
      </c>
      <c r="H1705" s="23">
        <v>50</v>
      </c>
      <c r="I1705" s="24">
        <v>45400</v>
      </c>
      <c r="J1705" s="31">
        <v>10</v>
      </c>
      <c r="K1705" s="25">
        <f>SUM((Table13[[#This Row],[Laid_Off]]*100)/Table13[[#This Row],[Percentage]])</f>
        <v>500</v>
      </c>
      <c r="L1705" s="25">
        <f>SUM(Table13[[#This Row],[Company_Size_before_Layoffs]]-Table13[[#This Row],[Laid_Off]])</f>
        <v>450</v>
      </c>
      <c r="M1705" s="4" t="s">
        <v>1901</v>
      </c>
      <c r="N1705" s="4" t="s">
        <v>1495</v>
      </c>
      <c r="O1705" s="27">
        <v>159</v>
      </c>
      <c r="P1705" s="7">
        <v>2024</v>
      </c>
      <c r="Q1705" s="3">
        <f>VLOOKUP(C1705,layoffs_location!A:F,6,FALSE)</f>
        <v>51.053828600000003</v>
      </c>
      <c r="R1705" s="3">
        <f>VLOOKUP(C1705,layoffs_location!A:G,7,FALSE)</f>
        <v>3.7250120999999998</v>
      </c>
    </row>
    <row r="1706" spans="1:18" ht="16" x14ac:dyDescent="0.2">
      <c r="A1706" s="3">
        <v>1705</v>
      </c>
      <c r="B1706" s="17" t="s">
        <v>1356</v>
      </c>
      <c r="C1706" s="3" t="s">
        <v>58</v>
      </c>
      <c r="D1706" s="3" t="str">
        <f>VLOOKUP(C1706,layoffs_location!A:B,2,FALSE)</f>
        <v>other</v>
      </c>
      <c r="E1706" s="3" t="str">
        <f>VLOOKUP(C1706,layoffs_location!A:C,3,FALSE)</f>
        <v>England</v>
      </c>
      <c r="F1706" s="3" t="str">
        <f>VLOOKUP(C1706,layoffs_location!A:D,4,FALSE)</f>
        <v>UK</v>
      </c>
      <c r="G1706" s="3" t="str">
        <f>VLOOKUP(C1706,layoffs_location!A:E,5,FALSE)</f>
        <v>Europe</v>
      </c>
      <c r="H1706" s="17">
        <v>20</v>
      </c>
      <c r="I1706" s="18">
        <v>45400</v>
      </c>
      <c r="J1706" s="19">
        <v>10</v>
      </c>
      <c r="K1706" s="20">
        <f>SUM((H1706*100)/Table13[[#This Row],[Percentage]])</f>
        <v>200</v>
      </c>
      <c r="L1706" s="20">
        <f>SUM(Table13[[#This Row],[Company_Size_before_Layoffs]]-Table13[[#This Row],[Laid_Off]])</f>
        <v>180</v>
      </c>
      <c r="M1706" s="17" t="s">
        <v>62</v>
      </c>
      <c r="N1706" s="7" t="s">
        <v>1499</v>
      </c>
      <c r="O1706" s="27">
        <v>174</v>
      </c>
      <c r="P1706" s="3">
        <v>2024</v>
      </c>
      <c r="Q1706" s="3">
        <f>VLOOKUP(C1706,layoffs_location!A:F,6,FALSE)</f>
        <v>51.489333500000001</v>
      </c>
      <c r="R1706" s="3">
        <f>VLOOKUP(C1706,layoffs_location!A:G,7,FALSE)</f>
        <v>-0.14405508452768701</v>
      </c>
    </row>
    <row r="1707" spans="1:18" ht="16" x14ac:dyDescent="0.2">
      <c r="A1707" s="3">
        <v>1706</v>
      </c>
      <c r="B1707" s="4" t="s">
        <v>1692</v>
      </c>
      <c r="C1707" s="7" t="s">
        <v>748</v>
      </c>
      <c r="D1707" s="3" t="str">
        <f>VLOOKUP(C1707,layoffs_location!A:B,2,FALSE)</f>
        <v>other</v>
      </c>
      <c r="E1707" s="3" t="str">
        <f>VLOOKUP(C1707,layoffs_location!A:C,3,FALSE)</f>
        <v>Delhi</v>
      </c>
      <c r="F1707" s="3" t="str">
        <f>VLOOKUP(C1707,layoffs_location!A:D,4,FALSE)</f>
        <v>India</v>
      </c>
      <c r="G1707" s="3" t="str">
        <f>VLOOKUP(C1707,layoffs_location!A:E,5,FALSE)</f>
        <v>Asia</v>
      </c>
      <c r="H1707" s="23">
        <v>150</v>
      </c>
      <c r="I1707" s="24">
        <v>45400</v>
      </c>
      <c r="J1707" s="31">
        <v>15</v>
      </c>
      <c r="K1707" s="25">
        <f>SUM((Table13[[#This Row],[Laid_Off]]*100)/Table13[[#This Row],[Percentage]])</f>
        <v>1000</v>
      </c>
      <c r="L1707" s="25">
        <f>SUM(Table13[[#This Row],[Company_Size_before_Layoffs]]-Table13[[#This Row],[Laid_Off]])</f>
        <v>850</v>
      </c>
      <c r="M1707" s="4" t="s">
        <v>1898</v>
      </c>
      <c r="N1707" s="4" t="s">
        <v>1499</v>
      </c>
      <c r="O1707" s="27">
        <v>180</v>
      </c>
      <c r="P1707" s="7">
        <v>2024</v>
      </c>
      <c r="Q1707" s="3">
        <f>VLOOKUP(C1707,layoffs_location!A:F,6,FALSE)</f>
        <v>28.613895400000001</v>
      </c>
      <c r="R1707" s="3">
        <f>VLOOKUP(C1707,layoffs_location!A:G,7,FALSE)</f>
        <v>77.209005700000006</v>
      </c>
    </row>
    <row r="1708" spans="1:18" ht="16" x14ac:dyDescent="0.2">
      <c r="A1708" s="3">
        <v>1707</v>
      </c>
      <c r="B1708" s="4" t="s">
        <v>771</v>
      </c>
      <c r="C1708" s="4" t="s">
        <v>113</v>
      </c>
      <c r="D1708" s="3" t="str">
        <f>VLOOKUP(C1708,layoffs_location!A:B,2,FALSE)</f>
        <v>other</v>
      </c>
      <c r="E1708" s="3" t="str">
        <f>VLOOKUP(C1708,layoffs_location!A:C,3,FALSE)</f>
        <v>Utah</v>
      </c>
      <c r="F1708" s="3" t="str">
        <f>VLOOKUP(C1708,layoffs_location!A:D,4,FALSE)</f>
        <v>USA</v>
      </c>
      <c r="G1708" s="3" t="str">
        <f>VLOOKUP(C1708,layoffs_location!A:E,5,FALSE)</f>
        <v>North America</v>
      </c>
      <c r="H1708" s="4"/>
      <c r="I1708" s="24">
        <v>45401</v>
      </c>
      <c r="J1708" s="5"/>
      <c r="K1708" s="25"/>
      <c r="L1708" s="25"/>
      <c r="M1708" s="4" t="s">
        <v>1894</v>
      </c>
      <c r="N1708" s="4" t="s">
        <v>1492</v>
      </c>
      <c r="O1708" s="27">
        <v>35</v>
      </c>
      <c r="P1708" s="7">
        <v>2024</v>
      </c>
      <c r="Q1708" s="3">
        <f>VLOOKUP(C1708,layoffs_location!A:F,6,FALSE)</f>
        <v>40.759619800000003</v>
      </c>
      <c r="R1708" s="3">
        <f>VLOOKUP(C1708,layoffs_location!A:G,7,FALSE)</f>
        <v>-111.886797</v>
      </c>
    </row>
    <row r="1709" spans="1:18" ht="16" x14ac:dyDescent="0.2">
      <c r="A1709" s="3">
        <v>1708</v>
      </c>
      <c r="B1709" s="4" t="s">
        <v>1617</v>
      </c>
      <c r="C1709" s="4" t="s">
        <v>71</v>
      </c>
      <c r="D1709" s="3" t="str">
        <f>VLOOKUP(C1709,layoffs_location!A:B,2,FALSE)</f>
        <v>other</v>
      </c>
      <c r="E1709" s="3" t="str">
        <f>VLOOKUP(C1709,layoffs_location!A:C,3,FALSE)</f>
        <v>Massachusetts</v>
      </c>
      <c r="F1709" s="3" t="str">
        <f>VLOOKUP(C1709,layoffs_location!A:D,4,FALSE)</f>
        <v>USA</v>
      </c>
      <c r="G1709" s="3" t="str">
        <f>VLOOKUP(C1709,layoffs_location!A:E,5,FALSE)</f>
        <v>North America</v>
      </c>
      <c r="H1709" s="23">
        <v>150</v>
      </c>
      <c r="I1709" s="24">
        <v>45401</v>
      </c>
      <c r="J1709" s="31">
        <v>8</v>
      </c>
      <c r="K1709" s="25">
        <f>SUM((Table13[[#This Row],[Laid_Off]]*100)/Table13[[#This Row],[Percentage]])</f>
        <v>1875</v>
      </c>
      <c r="L1709" s="25">
        <f>SUM(Table13[[#This Row],[Company_Size_before_Layoffs]]-Table13[[#This Row],[Laid_Off]])</f>
        <v>1725</v>
      </c>
      <c r="M1709" s="4" t="s">
        <v>1903</v>
      </c>
      <c r="N1709" s="4" t="s">
        <v>1496</v>
      </c>
      <c r="O1709" s="27">
        <v>802</v>
      </c>
      <c r="P1709" s="7">
        <v>2024</v>
      </c>
      <c r="Q1709" s="3">
        <f>VLOOKUP(C1709,layoffs_location!A:F,6,FALSE)</f>
        <v>42.355433400000003</v>
      </c>
      <c r="R1709" s="3">
        <f>VLOOKUP(C1709,layoffs_location!A:G,7,FALSE)</f>
        <v>-71.060511000000005</v>
      </c>
    </row>
    <row r="1710" spans="1:18" x14ac:dyDescent="0.2">
      <c r="A1710" s="3">
        <v>1709</v>
      </c>
      <c r="B1710" s="17" t="s">
        <v>1396</v>
      </c>
      <c r="C1710" s="17" t="s">
        <v>39</v>
      </c>
      <c r="D1710" s="3" t="str">
        <f>VLOOKUP(C1710,layoffs_location!A:B,2,FALSE)</f>
        <v>New York</v>
      </c>
      <c r="E1710" s="3" t="str">
        <f>VLOOKUP(C1710,layoffs_location!A:C,3,FALSE)</f>
        <v>New York</v>
      </c>
      <c r="F1710" s="3" t="str">
        <f>VLOOKUP(C1710,layoffs_location!A:D,4,FALSE)</f>
        <v>USA</v>
      </c>
      <c r="G1710" s="3" t="str">
        <f>VLOOKUP(C1710,layoffs_location!A:E,5,FALSE)</f>
        <v>North America</v>
      </c>
      <c r="H1710" s="17"/>
      <c r="I1710" s="18">
        <v>45401</v>
      </c>
      <c r="J1710" s="19">
        <v>100</v>
      </c>
      <c r="K1710" s="20"/>
      <c r="L1710" s="20">
        <f>SUM(Table13[[#This Row],[Company_Size_before_Layoffs]]-Table13[[#This Row],[Laid_Off]])</f>
        <v>0</v>
      </c>
      <c r="M1710" s="17" t="s">
        <v>1397</v>
      </c>
      <c r="N1710" s="17" t="s">
        <v>22</v>
      </c>
      <c r="O1710" s="35"/>
      <c r="P1710" s="3">
        <v>2024</v>
      </c>
      <c r="Q1710" s="3">
        <f>VLOOKUP(C1710,layoffs_location!A:F,6,FALSE)</f>
        <v>40.7127281</v>
      </c>
      <c r="R1710" s="3">
        <f>VLOOKUP(C1710,layoffs_location!A:G,7,FALSE)</f>
        <v>-74.006015199999993</v>
      </c>
    </row>
    <row r="1711" spans="1:18" ht="16" x14ac:dyDescent="0.2">
      <c r="A1711" s="3">
        <v>1710</v>
      </c>
      <c r="B1711" s="4" t="s">
        <v>1503</v>
      </c>
      <c r="C1711" s="4" t="s">
        <v>43</v>
      </c>
      <c r="D1711" s="3" t="str">
        <f>VLOOKUP(C1711,layoffs_location!A:B,2,FALSE)</f>
        <v>Cascadia</v>
      </c>
      <c r="E1711" s="3" t="str">
        <f>VLOOKUP(C1711,layoffs_location!A:C,3,FALSE)</f>
        <v>Washington</v>
      </c>
      <c r="F1711" s="3" t="str">
        <f>VLOOKUP(C1711,layoffs_location!A:D,4,FALSE)</f>
        <v>USA</v>
      </c>
      <c r="G1711" s="3" t="str">
        <f>VLOOKUP(C1711,layoffs_location!A:E,5,FALSE)</f>
        <v>North America</v>
      </c>
      <c r="H1711" s="4"/>
      <c r="I1711" s="24">
        <v>45405</v>
      </c>
      <c r="J1711" s="5"/>
      <c r="K1711" s="25"/>
      <c r="L1711" s="25"/>
      <c r="M1711" s="4" t="s">
        <v>1892</v>
      </c>
      <c r="N1711" s="4" t="s">
        <v>1490</v>
      </c>
      <c r="O1711" s="27"/>
      <c r="P1711" s="7">
        <v>2024</v>
      </c>
      <c r="Q1711" s="3">
        <f>VLOOKUP(C1711,layoffs_location!A:F,6,FALSE)</f>
        <v>47.603832099999998</v>
      </c>
      <c r="R1711" s="3">
        <f>VLOOKUP(C1711,layoffs_location!A:G,7,FALSE)</f>
        <v>-122.330062</v>
      </c>
    </row>
    <row r="1712" spans="1:18" x14ac:dyDescent="0.2">
      <c r="A1712" s="3">
        <v>1711</v>
      </c>
      <c r="B1712" s="17" t="s">
        <v>1413</v>
      </c>
      <c r="C1712" s="17" t="s">
        <v>83</v>
      </c>
      <c r="D1712" s="3" t="str">
        <f>VLOOKUP(C1712,layoffs_location!A:B,2,FALSE)</f>
        <v>other</v>
      </c>
      <c r="E1712" s="3" t="str">
        <f>VLOOKUP(C1712,layoffs_location!A:C,3,FALSE)</f>
        <v>Texas</v>
      </c>
      <c r="F1712" s="3" t="str">
        <f>VLOOKUP(C1712,layoffs_location!A:D,4,FALSE)</f>
        <v>USA</v>
      </c>
      <c r="G1712" s="3" t="str">
        <f>VLOOKUP(C1712,layoffs_location!A:E,5,FALSE)</f>
        <v>North America</v>
      </c>
      <c r="H1712" s="17">
        <v>84</v>
      </c>
      <c r="I1712" s="18">
        <v>45406</v>
      </c>
      <c r="J1712" s="19"/>
      <c r="K1712" s="20"/>
      <c r="L1712" s="20"/>
      <c r="M1712" s="17" t="s">
        <v>72</v>
      </c>
      <c r="N1712" s="17" t="s">
        <v>28</v>
      </c>
      <c r="O1712" s="27">
        <v>3.3</v>
      </c>
      <c r="P1712" s="3">
        <v>2024</v>
      </c>
      <c r="Q1712" s="3">
        <f>VLOOKUP(C1712,layoffs_location!A:F,6,FALSE)</f>
        <v>30.271128600000001</v>
      </c>
      <c r="R1712" s="3">
        <f>VLOOKUP(C1712,layoffs_location!A:G,7,FALSE)</f>
        <v>-97.743699500000005</v>
      </c>
    </row>
    <row r="1713" spans="1:18" x14ac:dyDescent="0.2">
      <c r="A1713" s="3">
        <v>1712</v>
      </c>
      <c r="B1713" s="17" t="s">
        <v>1381</v>
      </c>
      <c r="C1713" s="40" t="s">
        <v>1370</v>
      </c>
      <c r="D1713" s="3" t="str">
        <f>VLOOKUP(C1713,layoffs_location!A:B,2,FALSE)</f>
        <v>San Francisco Bay Area</v>
      </c>
      <c r="E1713" s="3" t="str">
        <f>VLOOKUP(C1713,layoffs_location!A:C,3,FALSE)</f>
        <v>California</v>
      </c>
      <c r="F1713" s="3" t="str">
        <f>VLOOKUP(C1713,layoffs_location!A:D,4,FALSE)</f>
        <v>USA</v>
      </c>
      <c r="G1713" s="3" t="str">
        <f>VLOOKUP(C1713,layoffs_location!A:E,5,FALSE)</f>
        <v>North America</v>
      </c>
      <c r="H1713" s="17">
        <v>100</v>
      </c>
      <c r="I1713" s="18">
        <v>45406</v>
      </c>
      <c r="J1713" s="19">
        <v>20</v>
      </c>
      <c r="K1713" s="20">
        <f>SUM((H1713*100)/Table13[[#This Row],[Percentage]])</f>
        <v>500</v>
      </c>
      <c r="L1713" s="20">
        <f>SUM(Table13[[#This Row],[Company_Size_before_Layoffs]]-Table13[[#This Row],[Laid_Off]])</f>
        <v>400</v>
      </c>
      <c r="M1713" s="17" t="s">
        <v>21</v>
      </c>
      <c r="N1713" s="17" t="s">
        <v>22</v>
      </c>
      <c r="O1713" s="35"/>
      <c r="P1713" s="3">
        <v>2024</v>
      </c>
      <c r="Q1713" s="3">
        <f>VLOOKUP(C1713,layoffs_location!A:F,6,FALSE)</f>
        <v>37.779258800000001</v>
      </c>
      <c r="R1713" s="3">
        <f>VLOOKUP(C1713,layoffs_location!A:G,7,FALSE)</f>
        <v>-122.4193286</v>
      </c>
    </row>
    <row r="1714" spans="1:18" x14ac:dyDescent="0.2">
      <c r="A1714" s="3">
        <v>1713</v>
      </c>
      <c r="B1714" s="17" t="s">
        <v>1393</v>
      </c>
      <c r="C1714" s="17" t="s">
        <v>1394</v>
      </c>
      <c r="D1714" s="3" t="str">
        <f>VLOOKUP(C1714,layoffs_location!A:B,2,FALSE)</f>
        <v>other</v>
      </c>
      <c r="E1714" s="3" t="str">
        <f>VLOOKUP(C1714,layoffs_location!A:C,3,FALSE)</f>
        <v>non</v>
      </c>
      <c r="F1714" s="3" t="str">
        <f>VLOOKUP(C1714,layoffs_location!A:D,4,FALSE)</f>
        <v>Czech Republic</v>
      </c>
      <c r="G1714" s="3" t="str">
        <f>VLOOKUP(C1714,layoffs_location!A:E,5,FALSE)</f>
        <v>Europe</v>
      </c>
      <c r="H1714" s="17">
        <v>100</v>
      </c>
      <c r="I1714" s="18">
        <v>45406</v>
      </c>
      <c r="J1714" s="19">
        <v>16</v>
      </c>
      <c r="K1714" s="20">
        <f>SUM((H1714*100)/Table13[[#This Row],[Percentage]])</f>
        <v>625</v>
      </c>
      <c r="L1714" s="20">
        <f>SUM(Table13[[#This Row],[Company_Size_before_Layoffs]]-Table13[[#This Row],[Laid_Off]])</f>
        <v>525</v>
      </c>
      <c r="M1714" s="17" t="s">
        <v>30</v>
      </c>
      <c r="N1714" s="17" t="s">
        <v>33</v>
      </c>
      <c r="O1714" s="35"/>
      <c r="P1714" s="3">
        <v>2024</v>
      </c>
      <c r="Q1714" s="3">
        <f>VLOOKUP(C1714,layoffs_location!A:F,6,FALSE)</f>
        <v>50.087465399999999</v>
      </c>
      <c r="R1714" s="3">
        <f>VLOOKUP(C1714,layoffs_location!A:G,7,FALSE)</f>
        <v>14.421253500000001</v>
      </c>
    </row>
    <row r="1715" spans="1:18" x14ac:dyDescent="0.2">
      <c r="A1715" s="3">
        <v>1714</v>
      </c>
      <c r="B1715" s="17" t="s">
        <v>1392</v>
      </c>
      <c r="C1715" s="17" t="s">
        <v>76</v>
      </c>
      <c r="D1715" s="3" t="str">
        <f>VLOOKUP(C1715,layoffs_location!A:B,2,FALSE)</f>
        <v>other</v>
      </c>
      <c r="E1715" s="3" t="str">
        <f>VLOOKUP(C1715,layoffs_location!A:C,3,FALSE)</f>
        <v>California</v>
      </c>
      <c r="F1715" s="3" t="str">
        <f>VLOOKUP(C1715,layoffs_location!A:D,4,FALSE)</f>
        <v>USA</v>
      </c>
      <c r="G1715" s="3" t="str">
        <f>VLOOKUP(C1715,layoffs_location!A:E,5,FALSE)</f>
        <v>North America</v>
      </c>
      <c r="H1715" s="17">
        <v>1000</v>
      </c>
      <c r="I1715" s="18">
        <v>45406</v>
      </c>
      <c r="J1715" s="19"/>
      <c r="K1715" s="20"/>
      <c r="L1715" s="20"/>
      <c r="M1715" s="17" t="s">
        <v>1441</v>
      </c>
      <c r="N1715" s="17" t="s">
        <v>22</v>
      </c>
      <c r="O1715" s="35"/>
      <c r="P1715" s="3">
        <v>2024</v>
      </c>
      <c r="Q1715" s="3">
        <f>VLOOKUP(C1715,layoffs_location!A:F,6,FALSE)</f>
        <v>34.053690899999999</v>
      </c>
      <c r="R1715" s="3">
        <f>VLOOKUP(C1715,layoffs_location!A:G,7,FALSE)</f>
        <v>-118.242766</v>
      </c>
    </row>
    <row r="1716" spans="1:18" x14ac:dyDescent="0.2">
      <c r="A1716" s="3">
        <v>1715</v>
      </c>
      <c r="B1716" s="17" t="s">
        <v>1388</v>
      </c>
      <c r="C1716" s="17" t="s">
        <v>1473</v>
      </c>
      <c r="D1716" s="3" t="str">
        <f>VLOOKUP(C1716,layoffs_location!A:B,2,FALSE)</f>
        <v>San Francisco Bay Area</v>
      </c>
      <c r="E1716" s="3" t="str">
        <f>VLOOKUP(C1716,layoffs_location!A:C,3,FALSE)</f>
        <v>California</v>
      </c>
      <c r="F1716" s="3" t="str">
        <f>VLOOKUP(C1716,layoffs_location!A:D,4,FALSE)</f>
        <v>USA</v>
      </c>
      <c r="G1716" s="3" t="str">
        <f>VLOOKUP(C1716,layoffs_location!A:E,5,FALSE)</f>
        <v>North America</v>
      </c>
      <c r="H1716" s="17">
        <v>6020</v>
      </c>
      <c r="I1716" s="18">
        <v>45406</v>
      </c>
      <c r="J1716" s="19"/>
      <c r="K1716" s="20"/>
      <c r="L1716" s="20"/>
      <c r="M1716" s="17" t="s">
        <v>1389</v>
      </c>
      <c r="N1716" s="17" t="s">
        <v>22</v>
      </c>
      <c r="O1716" s="35"/>
      <c r="P1716" s="3">
        <v>2024</v>
      </c>
      <c r="Q1716" s="3">
        <f>VLOOKUP(C1716,layoffs_location!A:F,6,FALSE)</f>
        <v>37.4443293</v>
      </c>
      <c r="R1716" s="3">
        <f>VLOOKUP(C1716,layoffs_location!A:G,7,FALSE)</f>
        <v>-122.1598465</v>
      </c>
    </row>
    <row r="1717" spans="1:18" x14ac:dyDescent="0.2">
      <c r="A1717" s="3">
        <v>1716</v>
      </c>
      <c r="B1717" s="17" t="s">
        <v>636</v>
      </c>
      <c r="C1717" s="17" t="s">
        <v>637</v>
      </c>
      <c r="D1717" s="3" t="str">
        <f>VLOOKUP(C1717,layoffs_location!A:B,2,FALSE)</f>
        <v>other</v>
      </c>
      <c r="E1717" s="3" t="str">
        <f>VLOOKUP(C1717,layoffs_location!A:C,3,FALSE)</f>
        <v>California</v>
      </c>
      <c r="F1717" s="3" t="str">
        <f>VLOOKUP(C1717,layoffs_location!A:D,4,FALSE)</f>
        <v>USA</v>
      </c>
      <c r="G1717" s="3" t="str">
        <f>VLOOKUP(C1717,layoffs_location!A:E,5,FALSE)</f>
        <v>North America</v>
      </c>
      <c r="H1717" s="17"/>
      <c r="I1717" s="18">
        <v>45407</v>
      </c>
      <c r="J1717" s="19"/>
      <c r="K1717" s="20"/>
      <c r="L1717" s="20"/>
      <c r="M1717" s="17" t="s">
        <v>130</v>
      </c>
      <c r="N1717" s="17" t="s">
        <v>49</v>
      </c>
      <c r="O1717" s="35">
        <v>145</v>
      </c>
      <c r="P1717" s="3">
        <v>2024</v>
      </c>
      <c r="Q1717" s="3">
        <f>VLOOKUP(C1717,layoffs_location!A:F,6,FALSE)</f>
        <v>38.581060600000001</v>
      </c>
      <c r="R1717" s="3">
        <f>VLOOKUP(C1717,layoffs_location!A:G,7,FALSE)</f>
        <v>-121.49389499999999</v>
      </c>
    </row>
    <row r="1718" spans="1:18" x14ac:dyDescent="0.2">
      <c r="A1718" s="3">
        <v>1717</v>
      </c>
      <c r="B1718" s="17" t="s">
        <v>1401</v>
      </c>
      <c r="C1718" s="17" t="s">
        <v>1402</v>
      </c>
      <c r="D1718" s="3" t="str">
        <f>VLOOKUP(C1718,layoffs_location!A:B,2,FALSE)</f>
        <v>other</v>
      </c>
      <c r="E1718" s="3" t="str">
        <f>VLOOKUP(C1718,layoffs_location!A:C,3,FALSE)</f>
        <v>Michigan</v>
      </c>
      <c r="F1718" s="3" t="str">
        <f>VLOOKUP(C1718,layoffs_location!A:D,4,FALSE)</f>
        <v>USA</v>
      </c>
      <c r="G1718" s="3" t="str">
        <f>VLOOKUP(C1718,layoffs_location!A:E,5,FALSE)</f>
        <v>North America</v>
      </c>
      <c r="H1718" s="17">
        <v>70</v>
      </c>
      <c r="I1718" s="18">
        <v>45408</v>
      </c>
      <c r="J1718" s="19"/>
      <c r="K1718" s="20"/>
      <c r="L1718" s="20"/>
      <c r="M1718" s="17" t="s">
        <v>1400</v>
      </c>
      <c r="N1718" s="17" t="s">
        <v>22</v>
      </c>
      <c r="O1718" s="35"/>
      <c r="P1718" s="7">
        <v>2024</v>
      </c>
      <c r="Q1718" s="3">
        <f>VLOOKUP(C1718,layoffs_location!A:F,6,FALSE)</f>
        <v>38.513580500000003</v>
      </c>
      <c r="R1718" s="3">
        <f>VLOOKUP(C1718,layoffs_location!A:G,7,FALSE)</f>
        <v>-89.984162699999999</v>
      </c>
    </row>
    <row r="1719" spans="1:18" x14ac:dyDescent="0.2">
      <c r="A1719" s="3">
        <v>1718</v>
      </c>
      <c r="B1719" s="17" t="s">
        <v>1390</v>
      </c>
      <c r="C1719" s="17" t="s">
        <v>1391</v>
      </c>
      <c r="D1719" s="3" t="str">
        <f>VLOOKUP(C1719,layoffs_location!A:B,2,FALSE)</f>
        <v>other</v>
      </c>
      <c r="E1719" s="3" t="str">
        <f>VLOOKUP(C1719,layoffs_location!A:C,3,FALSE)</f>
        <v>North Carolina</v>
      </c>
      <c r="F1719" s="3" t="str">
        <f>VLOOKUP(C1719,layoffs_location!A:D,4,FALSE)</f>
        <v>USA</v>
      </c>
      <c r="G1719" s="3" t="str">
        <f>VLOOKUP(C1719,layoffs_location!A:E,5,FALSE)</f>
        <v>North America</v>
      </c>
      <c r="H1719" s="17">
        <v>50</v>
      </c>
      <c r="I1719" s="18">
        <v>45408</v>
      </c>
      <c r="J1719" s="19"/>
      <c r="K1719" s="20"/>
      <c r="L1719" s="20"/>
      <c r="M1719" s="17" t="s">
        <v>1441</v>
      </c>
      <c r="N1719" s="17" t="s">
        <v>22</v>
      </c>
      <c r="O1719" s="35"/>
      <c r="P1719" s="3">
        <v>2024</v>
      </c>
      <c r="Q1719" s="3">
        <f>VLOOKUP(C1719,layoffs_location!A:F,6,FALSE)</f>
        <v>35.996653000000002</v>
      </c>
      <c r="R1719" s="3">
        <f>VLOOKUP(C1719,layoffs_location!A:G,7,FALSE)</f>
        <v>-78.901805300000007</v>
      </c>
    </row>
    <row r="1720" spans="1:18" ht="16" x14ac:dyDescent="0.2">
      <c r="A1720" s="3">
        <v>1719</v>
      </c>
      <c r="B1720" s="17" t="s">
        <v>1410</v>
      </c>
      <c r="C1720" s="3" t="s">
        <v>132</v>
      </c>
      <c r="D1720" s="3" t="str">
        <f>VLOOKUP(C1720,layoffs_location!A:B,2,FALSE)</f>
        <v>other</v>
      </c>
      <c r="E1720" s="3" t="str">
        <f>VLOOKUP(C1720,layoffs_location!A:C,3,FALSE)</f>
        <v>Colorado</v>
      </c>
      <c r="F1720" s="3" t="str">
        <f>VLOOKUP(C1720,layoffs_location!A:D,4,FALSE)</f>
        <v>USA</v>
      </c>
      <c r="G1720" s="3" t="str">
        <f>VLOOKUP(C1720,layoffs_location!A:E,5,FALSE)</f>
        <v>North America</v>
      </c>
      <c r="H1720" s="17">
        <v>30</v>
      </c>
      <c r="I1720" s="18">
        <v>45408</v>
      </c>
      <c r="J1720" s="19">
        <v>25</v>
      </c>
      <c r="K1720" s="20">
        <f>SUM((H1720*100)/Table13[[#This Row],[Percentage]])</f>
        <v>120</v>
      </c>
      <c r="L1720" s="20">
        <f>SUM(Table13[[#This Row],[Company_Size_before_Layoffs]]-Table13[[#This Row],[Laid_Off]])</f>
        <v>90</v>
      </c>
      <c r="M1720" s="17" t="s">
        <v>192</v>
      </c>
      <c r="N1720" s="4" t="s">
        <v>1492</v>
      </c>
      <c r="O1720" s="27">
        <v>158</v>
      </c>
      <c r="P1720" s="7">
        <v>2024</v>
      </c>
      <c r="Q1720" s="3">
        <f>VLOOKUP(C1720,layoffs_location!A:F,6,FALSE)</f>
        <v>39.739236400000003</v>
      </c>
      <c r="R1720" s="3">
        <f>VLOOKUP(C1720,layoffs_location!A:G,7,FALSE)</f>
        <v>-104.98486200000001</v>
      </c>
    </row>
    <row r="1721" spans="1:18" x14ac:dyDescent="0.2">
      <c r="A1721" s="3">
        <v>1720</v>
      </c>
      <c r="B1721" s="17" t="s">
        <v>1398</v>
      </c>
      <c r="C1721" s="17" t="s">
        <v>1399</v>
      </c>
      <c r="D1721" s="3" t="str">
        <f>VLOOKUP(C1721,layoffs_location!A:B,2,FALSE)</f>
        <v>other</v>
      </c>
      <c r="E1721" s="3" t="str">
        <f>VLOOKUP(C1721,layoffs_location!A:C,3,FALSE)</f>
        <v>Florida</v>
      </c>
      <c r="F1721" s="3" t="str">
        <f>VLOOKUP(C1721,layoffs_location!A:D,4,FALSE)</f>
        <v>USA</v>
      </c>
      <c r="G1721" s="3" t="str">
        <f>VLOOKUP(C1721,layoffs_location!A:E,5,FALSE)</f>
        <v>North America</v>
      </c>
      <c r="H1721" s="17"/>
      <c r="I1721" s="18">
        <v>45408</v>
      </c>
      <c r="J1721" s="19"/>
      <c r="K1721" s="20"/>
      <c r="L1721" s="20"/>
      <c r="M1721" s="17" t="s">
        <v>1400</v>
      </c>
      <c r="N1721" s="17" t="s">
        <v>22</v>
      </c>
      <c r="O1721" s="35"/>
      <c r="P1721" s="3">
        <v>2024</v>
      </c>
      <c r="Q1721" s="3">
        <f>VLOOKUP(C1721,layoffs_location!A:F,6,FALSE)</f>
        <v>25.733110499999999</v>
      </c>
      <c r="R1721" s="3">
        <f>VLOOKUP(C1721,layoffs_location!A:G,7,FALSE)</f>
        <v>-80.258510700000002</v>
      </c>
    </row>
    <row r="1722" spans="1:18" ht="16" x14ac:dyDescent="0.2">
      <c r="A1722" s="3">
        <v>1721</v>
      </c>
      <c r="B1722" s="17" t="s">
        <v>1380</v>
      </c>
      <c r="C1722" s="17" t="s">
        <v>13</v>
      </c>
      <c r="D1722" s="3" t="str">
        <f>VLOOKUP(C1722,layoffs_location!A:B,2,FALSE)</f>
        <v>other</v>
      </c>
      <c r="E1722" s="3" t="str">
        <f>VLOOKUP(C1722,layoffs_location!A:C,3,FALSE)</f>
        <v>Karnataka</v>
      </c>
      <c r="F1722" s="3" t="str">
        <f>VLOOKUP(C1722,layoffs_location!A:D,4,FALSE)</f>
        <v>India</v>
      </c>
      <c r="G1722" s="3" t="str">
        <f>VLOOKUP(C1722,layoffs_location!A:E,5,FALSE)</f>
        <v>Asia</v>
      </c>
      <c r="H1722" s="17">
        <v>150</v>
      </c>
      <c r="I1722" s="18">
        <v>45409</v>
      </c>
      <c r="J1722" s="19">
        <v>27</v>
      </c>
      <c r="K1722" s="20">
        <f>SUM((H1722*100)/Table13[[#This Row],[Percentage]])</f>
        <v>555.55555555555554</v>
      </c>
      <c r="L1722" s="20">
        <f>SUM(Table13[[#This Row],[Company_Size_before_Layoffs]]-Table13[[#This Row],[Laid_Off]])</f>
        <v>405.55555555555554</v>
      </c>
      <c r="M1722" s="17" t="s">
        <v>21</v>
      </c>
      <c r="N1722" s="4" t="s">
        <v>1495</v>
      </c>
      <c r="O1722" s="27">
        <v>130</v>
      </c>
      <c r="P1722" s="7">
        <v>2024</v>
      </c>
      <c r="Q1722" s="3">
        <f>VLOOKUP(C1722,layoffs_location!A:F,6,FALSE)</f>
        <v>12.98815675</v>
      </c>
      <c r="R1722" s="3">
        <f>VLOOKUP(C1722,layoffs_location!A:G,7,FALSE)</f>
        <v>77.622600037959998</v>
      </c>
    </row>
    <row r="1723" spans="1:18" ht="16" x14ac:dyDescent="0.2">
      <c r="A1723" s="3">
        <v>1722</v>
      </c>
      <c r="B1723" s="4" t="s">
        <v>1532</v>
      </c>
      <c r="C1723" s="4" t="s">
        <v>76</v>
      </c>
      <c r="D1723" s="3" t="str">
        <f>VLOOKUP(C1723,layoffs_location!A:B,2,FALSE)</f>
        <v>other</v>
      </c>
      <c r="E1723" s="3" t="str">
        <f>VLOOKUP(C1723,layoffs_location!A:C,3,FALSE)</f>
        <v>California</v>
      </c>
      <c r="F1723" s="3" t="str">
        <f>VLOOKUP(C1723,layoffs_location!A:D,4,FALSE)</f>
        <v>USA</v>
      </c>
      <c r="G1723" s="3" t="str">
        <f>VLOOKUP(C1723,layoffs_location!A:E,5,FALSE)</f>
        <v>North America</v>
      </c>
      <c r="H1723" s="4"/>
      <c r="I1723" s="24">
        <v>45411</v>
      </c>
      <c r="J1723" s="31">
        <v>100</v>
      </c>
      <c r="K1723" s="25"/>
      <c r="L1723" s="25">
        <f>SUM(Table13[[#This Row],[Company_Size_before_Layoffs]]-Table13[[#This Row],[Laid_Off]])</f>
        <v>0</v>
      </c>
      <c r="M1723" s="4" t="s">
        <v>1893</v>
      </c>
      <c r="N1723" s="32" t="s">
        <v>147</v>
      </c>
      <c r="O1723" s="27">
        <v>6</v>
      </c>
      <c r="P1723" s="7">
        <v>2024</v>
      </c>
      <c r="Q1723" s="3">
        <f>VLOOKUP(C1723,layoffs_location!A:F,6,FALSE)</f>
        <v>34.053690899999999</v>
      </c>
      <c r="R1723" s="3">
        <f>VLOOKUP(C1723,layoffs_location!A:G,7,FALSE)</f>
        <v>-118.242766</v>
      </c>
    </row>
    <row r="1724" spans="1:18" x14ac:dyDescent="0.2">
      <c r="A1724" s="3">
        <v>1723</v>
      </c>
      <c r="B1724" s="17" t="s">
        <v>162</v>
      </c>
      <c r="C1724" s="3" t="s">
        <v>58</v>
      </c>
      <c r="D1724" s="3" t="str">
        <f>VLOOKUP(C1724,layoffs_location!A:B,2,FALSE)</f>
        <v>other</v>
      </c>
      <c r="E1724" s="3" t="str">
        <f>VLOOKUP(C1724,layoffs_location!A:C,3,FALSE)</f>
        <v>England</v>
      </c>
      <c r="F1724" s="3" t="str">
        <f>VLOOKUP(C1724,layoffs_location!A:D,4,FALSE)</f>
        <v>UK</v>
      </c>
      <c r="G1724" s="3" t="str">
        <f>VLOOKUP(C1724,layoffs_location!A:E,5,FALSE)</f>
        <v>Europe</v>
      </c>
      <c r="H1724" s="17">
        <v>3300</v>
      </c>
      <c r="I1724" s="18">
        <v>45411</v>
      </c>
      <c r="J1724" s="19"/>
      <c r="K1724" s="20"/>
      <c r="L1724" s="20"/>
      <c r="M1724" s="17" t="s">
        <v>77</v>
      </c>
      <c r="N1724" s="17" t="s">
        <v>22</v>
      </c>
      <c r="O1724" s="35"/>
      <c r="P1724" s="3">
        <v>2024</v>
      </c>
      <c r="Q1724" s="3">
        <f>VLOOKUP(C1724,layoffs_location!A:F,6,FALSE)</f>
        <v>51.489333500000001</v>
      </c>
      <c r="R1724" s="3">
        <f>VLOOKUP(C1724,layoffs_location!A:G,7,FALSE)</f>
        <v>-0.14405508452768701</v>
      </c>
    </row>
    <row r="1725" spans="1:18" ht="16" x14ac:dyDescent="0.2">
      <c r="A1725" s="3">
        <v>1724</v>
      </c>
      <c r="B1725" s="4" t="s">
        <v>1611</v>
      </c>
      <c r="C1725" s="4" t="s">
        <v>244</v>
      </c>
      <c r="D1725" s="3" t="str">
        <f>VLOOKUP(C1725,layoffs_location!A:B,2,FALSE)</f>
        <v>other</v>
      </c>
      <c r="E1725" s="3" t="str">
        <f>VLOOKUP(C1725,layoffs_location!A:C,3,FALSE)</f>
        <v>non</v>
      </c>
      <c r="F1725" s="3" t="str">
        <f>VLOOKUP(C1725,layoffs_location!A:D,4,FALSE)</f>
        <v>Singapore</v>
      </c>
      <c r="G1725" s="3" t="str">
        <f>VLOOKUP(C1725,layoffs_location!A:E,5,FALSE)</f>
        <v>Asia</v>
      </c>
      <c r="H1725" s="23">
        <v>21</v>
      </c>
      <c r="I1725" s="24">
        <v>45411</v>
      </c>
      <c r="J1725" s="31">
        <v>10</v>
      </c>
      <c r="K1725" s="25">
        <f>SUM((Table13[[#This Row],[Laid_Off]]*100)/Table13[[#This Row],[Percentage]])</f>
        <v>210</v>
      </c>
      <c r="L1725" s="25">
        <f>SUM(Table13[[#This Row],[Company_Size_before_Layoffs]]-Table13[[#This Row],[Laid_Off]])</f>
        <v>189</v>
      </c>
      <c r="M1725" s="4" t="s">
        <v>32</v>
      </c>
      <c r="N1725" s="4" t="s">
        <v>1497</v>
      </c>
      <c r="O1725" s="27">
        <v>974</v>
      </c>
      <c r="P1725" s="7">
        <v>2024</v>
      </c>
      <c r="Q1725" s="3">
        <f>VLOOKUP(C1725,layoffs_location!A:F,6,FALSE)</f>
        <v>1.2899175000000001</v>
      </c>
      <c r="R1725" s="3">
        <f>VLOOKUP(C1725,layoffs_location!A:G,7,FALSE)</f>
        <v>103.8519072</v>
      </c>
    </row>
    <row r="1726" spans="1:18" x14ac:dyDescent="0.2">
      <c r="A1726" s="3">
        <v>1725</v>
      </c>
      <c r="B1726" s="17" t="s">
        <v>1122</v>
      </c>
      <c r="C1726" s="17" t="s">
        <v>13</v>
      </c>
      <c r="D1726" s="3" t="str">
        <f>VLOOKUP(C1726,layoffs_location!A:B,2,FALSE)</f>
        <v>other</v>
      </c>
      <c r="E1726" s="3" t="str">
        <f>VLOOKUP(C1726,layoffs_location!A:C,3,FALSE)</f>
        <v>Karnataka</v>
      </c>
      <c r="F1726" s="3" t="str">
        <f>VLOOKUP(C1726,layoffs_location!A:D,4,FALSE)</f>
        <v>India</v>
      </c>
      <c r="G1726" s="3" t="str">
        <f>VLOOKUP(C1726,layoffs_location!A:E,5,FALSE)</f>
        <v>Asia</v>
      </c>
      <c r="H1726" s="17">
        <v>180</v>
      </c>
      <c r="I1726" s="18">
        <v>45411</v>
      </c>
      <c r="J1726" s="19">
        <v>10</v>
      </c>
      <c r="K1726" s="20">
        <f>SUM((H1726*100)/Table13[[#This Row],[Percentage]])</f>
        <v>1800</v>
      </c>
      <c r="L1726" s="20">
        <f>SUM(Table13[[#This Row],[Company_Size_before_Layoffs]]-Table13[[#This Row],[Laid_Off]])</f>
        <v>1620</v>
      </c>
      <c r="M1726" s="17" t="s">
        <v>32</v>
      </c>
      <c r="N1726" s="17" t="s">
        <v>652</v>
      </c>
      <c r="O1726" s="35">
        <v>3800</v>
      </c>
      <c r="P1726" s="3">
        <v>2024</v>
      </c>
      <c r="Q1726" s="3">
        <f>VLOOKUP(C1726,layoffs_location!A:F,6,FALSE)</f>
        <v>12.98815675</v>
      </c>
      <c r="R1726" s="3">
        <f>VLOOKUP(C1726,layoffs_location!A:G,7,FALSE)</f>
        <v>77.622600037959998</v>
      </c>
    </row>
    <row r="1727" spans="1:18" ht="16" x14ac:dyDescent="0.2">
      <c r="A1727" s="3">
        <v>1726</v>
      </c>
      <c r="B1727" s="4" t="s">
        <v>1505</v>
      </c>
      <c r="C1727" s="4" t="s">
        <v>71</v>
      </c>
      <c r="D1727" s="3" t="str">
        <f>VLOOKUP(C1727,layoffs_location!A:B,2,FALSE)</f>
        <v>other</v>
      </c>
      <c r="E1727" s="3" t="str">
        <f>VLOOKUP(C1727,layoffs_location!A:C,3,FALSE)</f>
        <v>Massachusetts</v>
      </c>
      <c r="F1727" s="3" t="str">
        <f>VLOOKUP(C1727,layoffs_location!A:D,4,FALSE)</f>
        <v>USA</v>
      </c>
      <c r="G1727" s="3" t="str">
        <f>VLOOKUP(C1727,layoffs_location!A:E,5,FALSE)</f>
        <v>North America</v>
      </c>
      <c r="H1727" s="4"/>
      <c r="I1727" s="24">
        <v>45412</v>
      </c>
      <c r="J1727" s="31">
        <v>46</v>
      </c>
      <c r="K1727" s="25"/>
      <c r="L1727" s="25"/>
      <c r="M1727" s="4" t="s">
        <v>1892</v>
      </c>
      <c r="N1727" s="32" t="s">
        <v>28</v>
      </c>
      <c r="O1727" s="27"/>
      <c r="P1727" s="7">
        <v>2024</v>
      </c>
      <c r="Q1727" s="3">
        <f>VLOOKUP(C1727,layoffs_location!A:F,6,FALSE)</f>
        <v>42.355433400000003</v>
      </c>
      <c r="R1727" s="3">
        <f>VLOOKUP(C1727,layoffs_location!A:G,7,FALSE)</f>
        <v>-71.060511000000005</v>
      </c>
    </row>
    <row r="1728" spans="1:18" ht="16" x14ac:dyDescent="0.2">
      <c r="A1728" s="3">
        <v>1727</v>
      </c>
      <c r="B1728" s="17" t="s">
        <v>513</v>
      </c>
      <c r="C1728" s="3" t="s">
        <v>1408</v>
      </c>
      <c r="D1728" s="3" t="str">
        <f>VLOOKUP(C1728,layoffs_location!A:B,2,FALSE)</f>
        <v>San Francisco Bay Area</v>
      </c>
      <c r="E1728" s="3" t="str">
        <f>VLOOKUP(C1728,layoffs_location!A:C,3,FALSE)</f>
        <v>California</v>
      </c>
      <c r="F1728" s="3" t="str">
        <f>VLOOKUP(C1728,layoffs_location!A:D,4,FALSE)</f>
        <v>USA</v>
      </c>
      <c r="G1728" s="3" t="str">
        <f>VLOOKUP(C1728,layoffs_location!A:E,5,FALSE)</f>
        <v>North America</v>
      </c>
      <c r="H1728" s="17"/>
      <c r="I1728" s="18">
        <v>45412</v>
      </c>
      <c r="J1728" s="19"/>
      <c r="K1728" s="20"/>
      <c r="L1728" s="20"/>
      <c r="M1728" s="17" t="s">
        <v>16</v>
      </c>
      <c r="N1728" s="4" t="s">
        <v>28</v>
      </c>
      <c r="O1728" s="16">
        <v>26</v>
      </c>
      <c r="P1728" s="3">
        <v>2024</v>
      </c>
      <c r="Q1728" s="3">
        <f>VLOOKUP(C1728,layoffs_location!A:F,6,FALSE)</f>
        <v>37.3893889</v>
      </c>
      <c r="R1728" s="3">
        <f>VLOOKUP(C1728,layoffs_location!A:G,7,FALSE)</f>
        <v>-122.0832101</v>
      </c>
    </row>
    <row r="1729" spans="1:18" x14ac:dyDescent="0.2">
      <c r="A1729" s="3">
        <v>1728</v>
      </c>
      <c r="B1729" s="17" t="s">
        <v>1364</v>
      </c>
      <c r="C1729" s="17" t="s">
        <v>1365</v>
      </c>
      <c r="D1729" s="3" t="str">
        <f>VLOOKUP(C1729,layoffs_location!A:B,2,FALSE)</f>
        <v>other</v>
      </c>
      <c r="E1729" s="3" t="str">
        <f>VLOOKUP(C1729,layoffs_location!A:C,3,FALSE)</f>
        <v>non</v>
      </c>
      <c r="F1729" s="3" t="str">
        <f>VLOOKUP(C1729,layoffs_location!A:D,4,FALSE)</f>
        <v>Netherlands</v>
      </c>
      <c r="G1729" s="3" t="str">
        <f>VLOOKUP(C1729,layoffs_location!A:E,5,FALSE)</f>
        <v>Europe</v>
      </c>
      <c r="H1729" s="17"/>
      <c r="I1729" s="18">
        <v>45412</v>
      </c>
      <c r="J1729" s="19">
        <v>100</v>
      </c>
      <c r="K1729" s="20"/>
      <c r="L1729" s="20">
        <f>SUM(Table13[[#This Row],[Company_Size_before_Layoffs]]-Table13[[#This Row],[Laid_Off]])</f>
        <v>0</v>
      </c>
      <c r="M1729" s="17" t="s">
        <v>1460</v>
      </c>
      <c r="N1729" s="17" t="s">
        <v>22</v>
      </c>
      <c r="O1729" s="35"/>
      <c r="P1729" s="3">
        <v>2024</v>
      </c>
      <c r="Q1729" s="3">
        <f>VLOOKUP(C1729,layoffs_location!A:F,6,FALSE)</f>
        <v>52.305554000000001</v>
      </c>
      <c r="R1729" s="3">
        <f>VLOOKUP(C1729,layoffs_location!A:G,7,FALSE)</f>
        <v>4.6926644</v>
      </c>
    </row>
    <row r="1730" spans="1:18" ht="16" x14ac:dyDescent="0.2">
      <c r="A1730" s="3">
        <v>1729</v>
      </c>
      <c r="B1730" s="17" t="s">
        <v>1376</v>
      </c>
      <c r="C1730" s="17" t="s">
        <v>58</v>
      </c>
      <c r="D1730" s="3" t="str">
        <f>VLOOKUP(C1730,layoffs_location!A:B,2,FALSE)</f>
        <v>other</v>
      </c>
      <c r="E1730" s="3" t="str">
        <f>VLOOKUP(C1730,layoffs_location!A:C,3,FALSE)</f>
        <v>England</v>
      </c>
      <c r="F1730" s="3" t="str">
        <f>VLOOKUP(C1730,layoffs_location!A:D,4,FALSE)</f>
        <v>UK</v>
      </c>
      <c r="G1730" s="3" t="str">
        <f>VLOOKUP(C1730,layoffs_location!A:E,5,FALSE)</f>
        <v>Europe</v>
      </c>
      <c r="H1730" s="17">
        <v>50</v>
      </c>
      <c r="I1730" s="18">
        <v>45412</v>
      </c>
      <c r="J1730" s="19">
        <v>50</v>
      </c>
      <c r="K1730" s="20">
        <f>SUM((H1730*100)/Table13[[#This Row],[Percentage]])</f>
        <v>100</v>
      </c>
      <c r="L1730" s="20">
        <f>SUM(Table13[[#This Row],[Company_Size_before_Layoffs]]-Table13[[#This Row],[Laid_Off]])</f>
        <v>50</v>
      </c>
      <c r="M1730" s="17" t="s">
        <v>1377</v>
      </c>
      <c r="N1730" s="4" t="s">
        <v>1492</v>
      </c>
      <c r="O1730" s="27">
        <v>30</v>
      </c>
      <c r="P1730" s="7">
        <v>2024</v>
      </c>
      <c r="Q1730" s="3">
        <f>VLOOKUP(C1730,layoffs_location!A:F,6,FALSE)</f>
        <v>51.489333500000001</v>
      </c>
      <c r="R1730" s="3">
        <f>VLOOKUP(C1730,layoffs_location!A:G,7,FALSE)</f>
        <v>-0.14405508452768701</v>
      </c>
    </row>
    <row r="1731" spans="1:18" x14ac:dyDescent="0.2">
      <c r="A1731" s="3">
        <v>1730</v>
      </c>
      <c r="B1731" s="17" t="s">
        <v>1388</v>
      </c>
      <c r="C1731" s="17" t="s">
        <v>83</v>
      </c>
      <c r="D1731" s="3" t="str">
        <f>VLOOKUP(C1731,layoffs_location!A:B,2,FALSE)</f>
        <v>other</v>
      </c>
      <c r="E1731" s="3" t="str">
        <f>VLOOKUP(C1731,layoffs_location!A:C,3,FALSE)</f>
        <v>Texas</v>
      </c>
      <c r="F1731" s="3" t="str">
        <f>VLOOKUP(C1731,layoffs_location!A:D,4,FALSE)</f>
        <v>USA</v>
      </c>
      <c r="G1731" s="3" t="str">
        <f>VLOOKUP(C1731,layoffs_location!A:E,5,FALSE)</f>
        <v>North America</v>
      </c>
      <c r="H1731" s="17">
        <v>500</v>
      </c>
      <c r="I1731" s="18">
        <v>45412</v>
      </c>
      <c r="J1731" s="19"/>
      <c r="K1731" s="20"/>
      <c r="L1731" s="20"/>
      <c r="M1731" s="17" t="s">
        <v>32</v>
      </c>
      <c r="N1731" s="17" t="s">
        <v>22</v>
      </c>
      <c r="O1731" s="35"/>
      <c r="P1731" s="3">
        <v>2024</v>
      </c>
      <c r="Q1731" s="3">
        <f>VLOOKUP(C1731,layoffs_location!A:F,6,FALSE)</f>
        <v>30.271128600000001</v>
      </c>
      <c r="R1731" s="3">
        <f>VLOOKUP(C1731,layoffs_location!A:G,7,FALSE)</f>
        <v>-97.743699500000005</v>
      </c>
    </row>
    <row r="1732" spans="1:18" x14ac:dyDescent="0.2">
      <c r="A1732" s="3">
        <v>1731</v>
      </c>
      <c r="B1732" s="17" t="s">
        <v>1464</v>
      </c>
      <c r="C1732" s="17" t="s">
        <v>43</v>
      </c>
      <c r="D1732" s="3" t="str">
        <f>VLOOKUP(C1732,layoffs_location!A:B,2,FALSE)</f>
        <v>Cascadia</v>
      </c>
      <c r="E1732" s="3" t="str">
        <f>VLOOKUP(C1732,layoffs_location!A:C,3,FALSE)</f>
        <v>Washington</v>
      </c>
      <c r="F1732" s="3" t="str">
        <f>VLOOKUP(C1732,layoffs_location!A:D,4,FALSE)</f>
        <v>USA</v>
      </c>
      <c r="G1732" s="3" t="str">
        <f>VLOOKUP(C1732,layoffs_location!A:E,5,FALSE)</f>
        <v>North America</v>
      </c>
      <c r="H1732" s="17">
        <v>112</v>
      </c>
      <c r="I1732" s="18">
        <v>45413</v>
      </c>
      <c r="J1732" s="19">
        <v>100</v>
      </c>
      <c r="K1732" s="20">
        <f>SUM((H1732*100)/Table13[[#This Row],[Percentage]])</f>
        <v>112</v>
      </c>
      <c r="L1732" s="20">
        <f>SUM(Table13[[#This Row],[Company_Size_before_Layoffs]]-Table13[[#This Row],[Laid_Off]])</f>
        <v>0</v>
      </c>
      <c r="M1732" s="17" t="s">
        <v>1465</v>
      </c>
      <c r="N1732" s="17" t="s">
        <v>22</v>
      </c>
      <c r="O1732" s="35"/>
      <c r="P1732" s="3">
        <v>2024</v>
      </c>
      <c r="Q1732" s="3">
        <f>VLOOKUP(C1732,layoffs_location!A:F,6,FALSE)</f>
        <v>47.603832099999998</v>
      </c>
      <c r="R1732" s="3">
        <f>VLOOKUP(C1732,layoffs_location!A:G,7,FALSE)</f>
        <v>-122.330062</v>
      </c>
    </row>
    <row r="1733" spans="1:18" ht="16" x14ac:dyDescent="0.2">
      <c r="A1733" s="3">
        <v>1732</v>
      </c>
      <c r="B1733" s="4" t="s">
        <v>513</v>
      </c>
      <c r="C1733" s="17" t="s">
        <v>1408</v>
      </c>
      <c r="D1733" s="3" t="str">
        <f>VLOOKUP(C1733,layoffs_location!A:B,2,FALSE)</f>
        <v>San Francisco Bay Area</v>
      </c>
      <c r="E1733" s="3" t="str">
        <f>VLOOKUP(C1733,layoffs_location!A:C,3,FALSE)</f>
        <v>California</v>
      </c>
      <c r="F1733" s="3" t="str">
        <f>VLOOKUP(C1733,layoffs_location!A:D,4,FALSE)</f>
        <v>USA</v>
      </c>
      <c r="G1733" s="3" t="str">
        <f>VLOOKUP(C1733,layoffs_location!A:E,5,FALSE)</f>
        <v>North America</v>
      </c>
      <c r="H1733" s="23">
        <v>200</v>
      </c>
      <c r="I1733" s="24">
        <v>45413</v>
      </c>
      <c r="J1733" s="5"/>
      <c r="K1733" s="25"/>
      <c r="L1733" s="25"/>
      <c r="M1733" s="4" t="s">
        <v>1904</v>
      </c>
      <c r="N1733" s="4" t="s">
        <v>1491</v>
      </c>
      <c r="O1733" s="27">
        <v>26</v>
      </c>
      <c r="P1733" s="7">
        <v>2024</v>
      </c>
      <c r="Q1733" s="3">
        <f>VLOOKUP(C1733,layoffs_location!A:F,6,FALSE)</f>
        <v>37.3893889</v>
      </c>
      <c r="R1733" s="3">
        <f>VLOOKUP(C1733,layoffs_location!A:G,7,FALSE)</f>
        <v>-122.0832101</v>
      </c>
    </row>
    <row r="1734" spans="1:18" ht="16" x14ac:dyDescent="0.2">
      <c r="A1734" s="3">
        <v>1733</v>
      </c>
      <c r="B1734" s="17" t="s">
        <v>1466</v>
      </c>
      <c r="C1734" s="3" t="s">
        <v>1467</v>
      </c>
      <c r="D1734" s="3" t="str">
        <f>VLOOKUP(C1734,layoffs_location!A:B,2,FALSE)</f>
        <v>other</v>
      </c>
      <c r="E1734" s="3" t="str">
        <f>VLOOKUP(C1734,layoffs_location!A:C,3,FALSE)</f>
        <v>Connecticut</v>
      </c>
      <c r="F1734" s="3" t="str">
        <f>VLOOKUP(C1734,layoffs_location!A:D,4,FALSE)</f>
        <v>USA</v>
      </c>
      <c r="G1734" s="3" t="str">
        <f>VLOOKUP(C1734,layoffs_location!A:E,5,FALSE)</f>
        <v>North America</v>
      </c>
      <c r="H1734" s="17"/>
      <c r="I1734" s="18">
        <v>45413</v>
      </c>
      <c r="J1734" s="19">
        <v>100</v>
      </c>
      <c r="K1734" s="20"/>
      <c r="L1734" s="20">
        <f>SUM(Table13[[#This Row],[Company_Size_before_Layoffs]]-Table13[[#This Row],[Laid_Off]])</f>
        <v>0</v>
      </c>
      <c r="M1734" s="17" t="s">
        <v>1465</v>
      </c>
      <c r="N1734" s="4" t="s">
        <v>1492</v>
      </c>
      <c r="O1734" s="27">
        <v>38</v>
      </c>
      <c r="P1734" s="7">
        <v>2024</v>
      </c>
      <c r="Q1734" s="3">
        <f>VLOOKUP(C1734,layoffs_location!A:F,6,FALSE)</f>
        <v>41.764581999999997</v>
      </c>
      <c r="R1734" s="3">
        <f>VLOOKUP(C1734,layoffs_location!A:G,7,FALSE)</f>
        <v>-72.690854700000003</v>
      </c>
    </row>
    <row r="1735" spans="1:18" ht="16" x14ac:dyDescent="0.2">
      <c r="A1735" s="3">
        <v>1734</v>
      </c>
      <c r="B1735" s="4" t="s">
        <v>1524</v>
      </c>
      <c r="C1735" s="7" t="s">
        <v>357</v>
      </c>
      <c r="D1735" s="3" t="str">
        <f>VLOOKUP(C1735,layoffs_location!A:B,2,FALSE)</f>
        <v>other</v>
      </c>
      <c r="E1735" s="3" t="str">
        <f>VLOOKUP(C1735,layoffs_location!A:C,3,FALSE)</f>
        <v>Community of Madrid</v>
      </c>
      <c r="F1735" s="3" t="str">
        <f>VLOOKUP(C1735,layoffs_location!A:D,4,FALSE)</f>
        <v>Spain</v>
      </c>
      <c r="G1735" s="3" t="str">
        <f>VLOOKUP(C1735,layoffs_location!A:E,5,FALSE)</f>
        <v>Europe</v>
      </c>
      <c r="H1735" s="23">
        <v>29</v>
      </c>
      <c r="I1735" s="24">
        <v>45414</v>
      </c>
      <c r="J1735" s="5"/>
      <c r="K1735" s="25"/>
      <c r="L1735" s="25"/>
      <c r="M1735" s="4" t="s">
        <v>32</v>
      </c>
      <c r="N1735" s="32" t="s">
        <v>22</v>
      </c>
      <c r="O1735" s="27"/>
      <c r="P1735" s="7">
        <v>2024</v>
      </c>
      <c r="Q1735" s="3">
        <f>VLOOKUP(C1735,layoffs_location!A:F,6,FALSE)</f>
        <v>40.416704699999997</v>
      </c>
      <c r="R1735" s="3">
        <f>VLOOKUP(C1735,layoffs_location!A:G,7,FALSE)</f>
        <v>-3.7035825</v>
      </c>
    </row>
    <row r="1736" spans="1:18" ht="16" x14ac:dyDescent="0.2">
      <c r="A1736" s="3">
        <v>1735</v>
      </c>
      <c r="B1736" s="17" t="s">
        <v>513</v>
      </c>
      <c r="C1736" s="3" t="s">
        <v>1408</v>
      </c>
      <c r="D1736" s="3" t="str">
        <f>VLOOKUP(C1736,layoffs_location!A:B,2,FALSE)</f>
        <v>San Francisco Bay Area</v>
      </c>
      <c r="E1736" s="3" t="str">
        <f>VLOOKUP(C1736,layoffs_location!A:C,3,FALSE)</f>
        <v>California</v>
      </c>
      <c r="F1736" s="3" t="str">
        <f>VLOOKUP(C1736,layoffs_location!A:D,4,FALSE)</f>
        <v>USA</v>
      </c>
      <c r="G1736" s="3" t="str">
        <f>VLOOKUP(C1736,layoffs_location!A:E,5,FALSE)</f>
        <v>North America</v>
      </c>
      <c r="H1736" s="17">
        <v>200</v>
      </c>
      <c r="I1736" s="18">
        <v>45414</v>
      </c>
      <c r="J1736" s="19"/>
      <c r="K1736" s="20"/>
      <c r="L1736" s="20"/>
      <c r="M1736" s="17" t="s">
        <v>16</v>
      </c>
      <c r="N1736" s="4" t="s">
        <v>28</v>
      </c>
      <c r="O1736" s="27">
        <v>26</v>
      </c>
      <c r="P1736" s="3">
        <v>2024</v>
      </c>
      <c r="Q1736" s="3">
        <f>VLOOKUP(C1736,layoffs_location!A:F,6,FALSE)</f>
        <v>37.3893889</v>
      </c>
      <c r="R1736" s="3">
        <f>VLOOKUP(C1736,layoffs_location!A:G,7,FALSE)</f>
        <v>-122.0832101</v>
      </c>
    </row>
    <row r="1737" spans="1:18" x14ac:dyDescent="0.2">
      <c r="A1737" s="3">
        <v>1736</v>
      </c>
      <c r="B1737" s="17" t="s">
        <v>769</v>
      </c>
      <c r="C1737" s="3" t="s">
        <v>39</v>
      </c>
      <c r="D1737" s="3" t="str">
        <f>VLOOKUP(C1737,layoffs_location!A:B,2,FALSE)</f>
        <v>New York</v>
      </c>
      <c r="E1737" s="3" t="str">
        <f>VLOOKUP(C1737,layoffs_location!A:C,3,FALSE)</f>
        <v>New York</v>
      </c>
      <c r="F1737" s="3" t="str">
        <f>VLOOKUP(C1737,layoffs_location!A:D,4,FALSE)</f>
        <v>USA</v>
      </c>
      <c r="G1737" s="3" t="str">
        <f>VLOOKUP(C1737,layoffs_location!A:E,5,FALSE)</f>
        <v>North America</v>
      </c>
      <c r="H1737" s="17">
        <v>400</v>
      </c>
      <c r="I1737" s="18">
        <v>45414</v>
      </c>
      <c r="J1737" s="19">
        <v>15</v>
      </c>
      <c r="K1737" s="20">
        <f>SUM((H1737*100)/Table13[[#This Row],[Percentage]])</f>
        <v>2666.6666666666665</v>
      </c>
      <c r="L1737" s="20">
        <f>SUM(Table13[[#This Row],[Company_Size_before_Layoffs]]-Table13[[#This Row],[Laid_Off]])</f>
        <v>2266.6666666666665</v>
      </c>
      <c r="M1737" s="17" t="s">
        <v>399</v>
      </c>
      <c r="N1737" s="17" t="s">
        <v>28</v>
      </c>
      <c r="O1737" s="34">
        <v>1900</v>
      </c>
      <c r="P1737" s="3">
        <v>2024</v>
      </c>
      <c r="Q1737" s="3">
        <f>VLOOKUP(C1737,layoffs_location!A:F,6,FALSE)</f>
        <v>40.7127281</v>
      </c>
      <c r="R1737" s="3">
        <f>VLOOKUP(C1737,layoffs_location!A:G,7,FALSE)</f>
        <v>-74.006015199999993</v>
      </c>
    </row>
    <row r="1738" spans="1:18" ht="16" x14ac:dyDescent="0.2">
      <c r="A1738" s="3">
        <v>1737</v>
      </c>
      <c r="B1738" s="4" t="s">
        <v>1516</v>
      </c>
      <c r="C1738" s="7" t="s">
        <v>171</v>
      </c>
      <c r="D1738" s="3" t="str">
        <f>VLOOKUP(C1738,layoffs_location!A:B,2,FALSE)</f>
        <v>other</v>
      </c>
      <c r="E1738" s="3" t="str">
        <f>VLOOKUP(C1738,layoffs_location!A:C,3,FALSE)</f>
        <v>Georgia</v>
      </c>
      <c r="F1738" s="3" t="str">
        <f>VLOOKUP(C1738,layoffs_location!A:D,4,FALSE)</f>
        <v>USA</v>
      </c>
      <c r="G1738" s="3" t="str">
        <f>VLOOKUP(C1738,layoffs_location!A:E,5,FALSE)</f>
        <v>North America</v>
      </c>
      <c r="H1738" s="23">
        <v>28</v>
      </c>
      <c r="I1738" s="24">
        <v>45415</v>
      </c>
      <c r="J1738" s="5"/>
      <c r="K1738" s="25"/>
      <c r="L1738" s="25"/>
      <c r="M1738" s="4" t="s">
        <v>1905</v>
      </c>
      <c r="N1738" s="32" t="s">
        <v>28</v>
      </c>
      <c r="O1738" s="27"/>
      <c r="P1738" s="7">
        <v>2024</v>
      </c>
      <c r="Q1738" s="3">
        <f>VLOOKUP(C1738,layoffs_location!A:F,6,FALSE)</f>
        <v>33.748992399999999</v>
      </c>
      <c r="R1738" s="3">
        <f>VLOOKUP(C1738,layoffs_location!A:G,7,FALSE)</f>
        <v>-84.390264400000007</v>
      </c>
    </row>
    <row r="1739" spans="1:18" ht="16" x14ac:dyDescent="0.2">
      <c r="A1739" s="3">
        <v>1738</v>
      </c>
      <c r="B1739" s="4" t="s">
        <v>858</v>
      </c>
      <c r="C1739" s="7" t="s">
        <v>76</v>
      </c>
      <c r="D1739" s="3" t="str">
        <f>VLOOKUP(C1739,layoffs_location!A:B,2,FALSE)</f>
        <v>other</v>
      </c>
      <c r="E1739" s="3" t="str">
        <f>VLOOKUP(C1739,layoffs_location!A:C,3,FALSE)</f>
        <v>California</v>
      </c>
      <c r="F1739" s="3" t="str">
        <f>VLOOKUP(C1739,layoffs_location!A:D,4,FALSE)</f>
        <v>USA</v>
      </c>
      <c r="G1739" s="3" t="str">
        <f>VLOOKUP(C1739,layoffs_location!A:E,5,FALSE)</f>
        <v>North America</v>
      </c>
      <c r="H1739" s="23">
        <v>150</v>
      </c>
      <c r="I1739" s="24">
        <v>45415</v>
      </c>
      <c r="J1739" s="5"/>
      <c r="K1739" s="25"/>
      <c r="L1739" s="25"/>
      <c r="M1739" s="4" t="s">
        <v>32</v>
      </c>
      <c r="N1739" s="17" t="s">
        <v>28</v>
      </c>
      <c r="O1739" s="35">
        <v>10700</v>
      </c>
      <c r="P1739" s="7">
        <v>2024</v>
      </c>
      <c r="Q1739" s="3">
        <f>VLOOKUP(C1739,layoffs_location!A:F,6,FALSE)</f>
        <v>34.053690899999999</v>
      </c>
      <c r="R1739" s="3">
        <f>VLOOKUP(C1739,layoffs_location!A:G,7,FALSE)</f>
        <v>-118.242766</v>
      </c>
    </row>
    <row r="1740" spans="1:18" x14ac:dyDescent="0.2">
      <c r="A1740" s="3">
        <v>1739</v>
      </c>
      <c r="B1740" s="17" t="s">
        <v>439</v>
      </c>
      <c r="C1740" s="17" t="s">
        <v>39</v>
      </c>
      <c r="D1740" s="3" t="str">
        <f>VLOOKUP(C1740,layoffs_location!A:B,2,FALSE)</f>
        <v>New York</v>
      </c>
      <c r="E1740" s="3" t="str">
        <f>VLOOKUP(C1740,layoffs_location!A:C,3,FALSE)</f>
        <v>New York</v>
      </c>
      <c r="F1740" s="3" t="str">
        <f>VLOOKUP(C1740,layoffs_location!A:D,4,FALSE)</f>
        <v>USA</v>
      </c>
      <c r="G1740" s="3" t="str">
        <f>VLOOKUP(C1740,layoffs_location!A:E,5,FALSE)</f>
        <v>North America</v>
      </c>
      <c r="H1740" s="17">
        <v>116</v>
      </c>
      <c r="I1740" s="18">
        <v>45415</v>
      </c>
      <c r="J1740" s="19">
        <v>3</v>
      </c>
      <c r="K1740" s="20">
        <f>SUM((H1740*100)/Table13[[#This Row],[Percentage]])</f>
        <v>3866.6666666666665</v>
      </c>
      <c r="L1740" s="20">
        <f>SUM(Table13[[#This Row],[Company_Size_before_Layoffs]]-Table13[[#This Row],[Laid_Off]])</f>
        <v>3750.6666666666665</v>
      </c>
      <c r="M1740" s="17" t="s">
        <v>1400</v>
      </c>
      <c r="N1740" s="17" t="s">
        <v>28</v>
      </c>
      <c r="O1740" s="35">
        <v>429</v>
      </c>
      <c r="P1740" s="3">
        <v>2024</v>
      </c>
      <c r="Q1740" s="3">
        <f>VLOOKUP(C1740,layoffs_location!A:F,6,FALSE)</f>
        <v>40.7127281</v>
      </c>
      <c r="R1740" s="3">
        <f>VLOOKUP(C1740,layoffs_location!A:G,7,FALSE)</f>
        <v>-74.006015199999993</v>
      </c>
    </row>
    <row r="1741" spans="1:18" x14ac:dyDescent="0.2">
      <c r="A1741" s="3">
        <v>1740</v>
      </c>
      <c r="B1741" s="17" t="s">
        <v>314</v>
      </c>
      <c r="C1741" s="17" t="s">
        <v>74</v>
      </c>
      <c r="D1741" s="3" t="str">
        <f>VLOOKUP(C1741,layoffs_location!A:B,2,FALSE)</f>
        <v>other</v>
      </c>
      <c r="E1741" s="3" t="str">
        <f>VLOOKUP(C1741,layoffs_location!A:C,3,FALSE)</f>
        <v>California</v>
      </c>
      <c r="F1741" s="3" t="str">
        <f>VLOOKUP(C1741,layoffs_location!A:D,4,FALSE)</f>
        <v>USA</v>
      </c>
      <c r="G1741" s="3" t="str">
        <f>VLOOKUP(C1741,layoffs_location!A:E,5,FALSE)</f>
        <v>North America</v>
      </c>
      <c r="H1741" s="17">
        <v>230</v>
      </c>
      <c r="I1741" s="18">
        <v>45416</v>
      </c>
      <c r="J1741" s="19">
        <v>49</v>
      </c>
      <c r="K1741" s="20">
        <f>SUM((H1741*100)/Table13[[#This Row],[Percentage]])</f>
        <v>469.38775510204084</v>
      </c>
      <c r="L1741" s="20">
        <f>SUM(Table13[[#This Row],[Company_Size_before_Layoffs]]-Table13[[#This Row],[Laid_Off]])</f>
        <v>239.38775510204084</v>
      </c>
      <c r="M1741" s="17" t="s">
        <v>21</v>
      </c>
      <c r="N1741" s="17" t="s">
        <v>28</v>
      </c>
      <c r="O1741" s="35">
        <v>899</v>
      </c>
      <c r="P1741" s="3">
        <v>2024</v>
      </c>
      <c r="Q1741" s="3">
        <f>VLOOKUP(C1741,layoffs_location!A:F,6,FALSE)</f>
        <v>32.717420199999999</v>
      </c>
      <c r="R1741" s="3">
        <f>VLOOKUP(C1741,layoffs_location!A:G,7,FALSE)</f>
        <v>-117.162772</v>
      </c>
    </row>
    <row r="1742" spans="1:18" ht="16" x14ac:dyDescent="0.2">
      <c r="A1742" s="3">
        <v>1741</v>
      </c>
      <c r="B1742" s="17" t="s">
        <v>1474</v>
      </c>
      <c r="C1742" s="17" t="s">
        <v>1475</v>
      </c>
      <c r="D1742" s="3" t="str">
        <f>VLOOKUP(C1742,layoffs_location!A:B,2,FALSE)</f>
        <v>other</v>
      </c>
      <c r="E1742" s="3" t="str">
        <f>VLOOKUP(C1742,layoffs_location!A:C,3,FALSE)</f>
        <v>Florida</v>
      </c>
      <c r="F1742" s="3" t="str">
        <f>VLOOKUP(C1742,layoffs_location!A:D,4,FALSE)</f>
        <v>USA</v>
      </c>
      <c r="G1742" s="3" t="str">
        <f>VLOOKUP(C1742,layoffs_location!A:E,5,FALSE)</f>
        <v>North America</v>
      </c>
      <c r="H1742" s="17">
        <v>147</v>
      </c>
      <c r="I1742" s="18">
        <v>45416</v>
      </c>
      <c r="J1742" s="19">
        <v>20</v>
      </c>
      <c r="K1742" s="20">
        <f>SUM((H1742*100)/Table13[[#This Row],[Percentage]])</f>
        <v>735</v>
      </c>
      <c r="L1742" s="20">
        <f>SUM(Table13[[#This Row],[Company_Size_before_Layoffs]]-Table13[[#This Row],[Laid_Off]])</f>
        <v>588</v>
      </c>
      <c r="M1742" s="17" t="s">
        <v>32</v>
      </c>
      <c r="N1742" s="4" t="s">
        <v>1491</v>
      </c>
      <c r="O1742" s="27">
        <v>780</v>
      </c>
      <c r="P1742" s="3">
        <v>2024</v>
      </c>
      <c r="Q1742" s="3">
        <f>VLOOKUP(C1742,layoffs_location!A:F,6,FALSE)</f>
        <v>28.542110900000001</v>
      </c>
      <c r="R1742" s="3">
        <f>VLOOKUP(C1742,layoffs_location!A:G,7,FALSE)</f>
        <v>-81.379030400000005</v>
      </c>
    </row>
    <row r="1743" spans="1:18" x14ac:dyDescent="0.2">
      <c r="A1743" s="3">
        <v>1742</v>
      </c>
      <c r="B1743" s="17" t="s">
        <v>1456</v>
      </c>
      <c r="C1743" s="17" t="s">
        <v>1329</v>
      </c>
      <c r="D1743" s="3" t="str">
        <f>VLOOKUP(C1743,layoffs_location!A:B,2,FALSE)</f>
        <v>San Francisco Bay Area</v>
      </c>
      <c r="E1743" s="3" t="str">
        <f>VLOOKUP(C1743,layoffs_location!A:C,3,FALSE)</f>
        <v>California</v>
      </c>
      <c r="F1743" s="3" t="str">
        <f>VLOOKUP(C1743,layoffs_location!A:D,4,FALSE)</f>
        <v>USA</v>
      </c>
      <c r="G1743" s="3" t="str">
        <f>VLOOKUP(C1743,layoffs_location!A:E,5,FALSE)</f>
        <v>North America</v>
      </c>
      <c r="H1743" s="17">
        <v>170</v>
      </c>
      <c r="I1743" s="18">
        <v>45418</v>
      </c>
      <c r="J1743" s="19">
        <v>33</v>
      </c>
      <c r="K1743" s="20">
        <f>SUM((H1743*100)/Table13[[#This Row],[Percentage]])</f>
        <v>515.15151515151513</v>
      </c>
      <c r="L1743" s="20">
        <f>SUM(Table13[[#This Row],[Company_Size_before_Layoffs]]-Table13[[#This Row],[Laid_Off]])</f>
        <v>345.15151515151513</v>
      </c>
      <c r="M1743" s="17" t="s">
        <v>27</v>
      </c>
      <c r="N1743" s="17" t="s">
        <v>28</v>
      </c>
      <c r="O1743" s="35">
        <v>516</v>
      </c>
      <c r="P1743" s="3">
        <v>2024</v>
      </c>
      <c r="Q1743" s="3">
        <f>VLOOKUP(C1743,layoffs_location!A:F,6,FALSE)</f>
        <v>37.548269699999999</v>
      </c>
      <c r="R1743" s="3">
        <f>VLOOKUP(C1743,layoffs_location!A:G,7,FALSE)</f>
        <v>-121.98857099999999</v>
      </c>
    </row>
    <row r="1744" spans="1:18" ht="16" x14ac:dyDescent="0.2">
      <c r="A1744" s="3">
        <v>1743</v>
      </c>
      <c r="B1744" s="4" t="s">
        <v>892</v>
      </c>
      <c r="C1744" s="4" t="s">
        <v>58</v>
      </c>
      <c r="D1744" s="3" t="str">
        <f>VLOOKUP(C1744,layoffs_location!A:B,2,FALSE)</f>
        <v>other</v>
      </c>
      <c r="E1744" s="3" t="str">
        <f>VLOOKUP(C1744,layoffs_location!A:C,3,FALSE)</f>
        <v>England</v>
      </c>
      <c r="F1744" s="3" t="str">
        <f>VLOOKUP(C1744,layoffs_location!A:D,4,FALSE)</f>
        <v>UK</v>
      </c>
      <c r="G1744" s="3" t="str">
        <f>VLOOKUP(C1744,layoffs_location!A:E,5,FALSE)</f>
        <v>Europe</v>
      </c>
      <c r="H1744" s="4"/>
      <c r="I1744" s="24">
        <v>45419</v>
      </c>
      <c r="J1744" s="5"/>
      <c r="K1744" s="25"/>
      <c r="L1744" s="25"/>
      <c r="M1744" s="4" t="s">
        <v>1897</v>
      </c>
      <c r="N1744" s="17" t="s">
        <v>108</v>
      </c>
      <c r="O1744" s="35">
        <v>1000</v>
      </c>
      <c r="P1744" s="7">
        <v>2024</v>
      </c>
      <c r="Q1744" s="3">
        <f>VLOOKUP(C1744,layoffs_location!A:F,6,FALSE)</f>
        <v>51.489333500000001</v>
      </c>
      <c r="R1744" s="3">
        <f>VLOOKUP(C1744,layoffs_location!A:G,7,FALSE)</f>
        <v>-0.14405508452768701</v>
      </c>
    </row>
    <row r="1745" spans="1:18" x14ac:dyDescent="0.2">
      <c r="A1745" s="3">
        <v>1744</v>
      </c>
      <c r="B1745" s="17" t="s">
        <v>1472</v>
      </c>
      <c r="C1745" s="17" t="s">
        <v>730</v>
      </c>
      <c r="D1745" s="3" t="str">
        <f>VLOOKUP(C1745,layoffs_location!A:B,2,FALSE)</f>
        <v>other</v>
      </c>
      <c r="E1745" s="3" t="str">
        <f>VLOOKUP(C1745,layoffs_location!A:C,3,FALSE)</f>
        <v>Pennsylvania</v>
      </c>
      <c r="F1745" s="3" t="str">
        <f>VLOOKUP(C1745,layoffs_location!A:D,4,FALSE)</f>
        <v>USA</v>
      </c>
      <c r="G1745" s="3" t="str">
        <f>VLOOKUP(C1745,layoffs_location!A:E,5,FALSE)</f>
        <v>North America</v>
      </c>
      <c r="H1745" s="17"/>
      <c r="I1745" s="18">
        <v>45419</v>
      </c>
      <c r="J1745" s="19"/>
      <c r="K1745" s="20"/>
      <c r="L1745" s="20"/>
      <c r="M1745" s="17" t="s">
        <v>32</v>
      </c>
      <c r="N1745" s="17" t="s">
        <v>22</v>
      </c>
      <c r="O1745" s="35"/>
      <c r="P1745" s="3">
        <v>2024</v>
      </c>
      <c r="Q1745" s="3">
        <f>VLOOKUP(C1745,layoffs_location!A:F,6,FALSE)</f>
        <v>40.441694099999999</v>
      </c>
      <c r="R1745" s="3">
        <f>VLOOKUP(C1745,layoffs_location!A:G,7,FALSE)</f>
        <v>-79.990086099999999</v>
      </c>
    </row>
    <row r="1746" spans="1:18" x14ac:dyDescent="0.2">
      <c r="A1746" s="3">
        <v>1745</v>
      </c>
      <c r="B1746" s="17" t="s">
        <v>1487</v>
      </c>
      <c r="C1746" s="17" t="s">
        <v>83</v>
      </c>
      <c r="D1746" s="3" t="str">
        <f>VLOOKUP(C1746,layoffs_location!A:B,2,FALSE)</f>
        <v>other</v>
      </c>
      <c r="E1746" s="3" t="str">
        <f>VLOOKUP(C1746,layoffs_location!A:C,3,FALSE)</f>
        <v>Texas</v>
      </c>
      <c r="F1746" s="3" t="str">
        <f>VLOOKUP(C1746,layoffs_location!A:D,4,FALSE)</f>
        <v>USA</v>
      </c>
      <c r="G1746" s="3" t="str">
        <f>VLOOKUP(C1746,layoffs_location!A:E,5,FALSE)</f>
        <v>North America</v>
      </c>
      <c r="H1746" s="17">
        <v>96</v>
      </c>
      <c r="I1746" s="18">
        <v>45420</v>
      </c>
      <c r="J1746" s="19">
        <v>100</v>
      </c>
      <c r="K1746" s="20">
        <v>96</v>
      </c>
      <c r="L1746" s="20">
        <v>0</v>
      </c>
      <c r="M1746" s="17" t="s">
        <v>16</v>
      </c>
      <c r="N1746" s="17" t="s">
        <v>22</v>
      </c>
      <c r="O1746" s="35"/>
      <c r="P1746" s="3">
        <v>2024</v>
      </c>
      <c r="Q1746" s="3">
        <f>VLOOKUP(C1746,layoffs_location!A:F,6,FALSE)</f>
        <v>30.271128600000001</v>
      </c>
      <c r="R1746" s="3">
        <f>VLOOKUP(C1746,layoffs_location!A:G,7,FALSE)</f>
        <v>-97.743699500000005</v>
      </c>
    </row>
    <row r="1747" spans="1:18" ht="16" x14ac:dyDescent="0.2">
      <c r="A1747" s="3">
        <v>1746</v>
      </c>
      <c r="B1747" s="17" t="s">
        <v>1461</v>
      </c>
      <c r="C1747" s="26" t="s">
        <v>1370</v>
      </c>
      <c r="D1747" s="3" t="str">
        <f>VLOOKUP(C1747,layoffs_location!A:B,2,FALSE)</f>
        <v>San Francisco Bay Area</v>
      </c>
      <c r="E1747" s="3" t="str">
        <f>VLOOKUP(C1747,layoffs_location!A:C,3,FALSE)</f>
        <v>California</v>
      </c>
      <c r="F1747" s="3" t="str">
        <f>VLOOKUP(C1747,layoffs_location!A:D,4,FALSE)</f>
        <v>USA</v>
      </c>
      <c r="G1747" s="3" t="str">
        <f>VLOOKUP(C1747,layoffs_location!A:E,5,FALSE)</f>
        <v>North America</v>
      </c>
      <c r="H1747" s="17"/>
      <c r="I1747" s="18">
        <v>45420</v>
      </c>
      <c r="J1747" s="19">
        <v>100</v>
      </c>
      <c r="K1747" s="20"/>
      <c r="L1747" s="20">
        <f>SUM(Table13[[#This Row],[Company_Size_before_Layoffs]]-Table13[[#This Row],[Laid_Off]])</f>
        <v>0</v>
      </c>
      <c r="M1747" s="17" t="s">
        <v>87</v>
      </c>
      <c r="N1747" s="17" t="s">
        <v>22</v>
      </c>
      <c r="O1747" s="35"/>
      <c r="P1747" s="3">
        <v>2024</v>
      </c>
      <c r="Q1747" s="3">
        <f>VLOOKUP(C1747,layoffs_location!A:F,6,FALSE)</f>
        <v>37.779258800000001</v>
      </c>
      <c r="R1747" s="3">
        <f>VLOOKUP(C1747,layoffs_location!A:G,7,FALSE)</f>
        <v>-122.4193286</v>
      </c>
    </row>
    <row r="1748" spans="1:18" ht="16" x14ac:dyDescent="0.2">
      <c r="A1748" s="3">
        <v>1747</v>
      </c>
      <c r="B1748" s="4" t="s">
        <v>1588</v>
      </c>
      <c r="C1748" s="4" t="s">
        <v>302</v>
      </c>
      <c r="D1748" s="3" t="str">
        <f>VLOOKUP(C1748,layoffs_location!A:B,2,FALSE)</f>
        <v>other</v>
      </c>
      <c r="E1748" s="3" t="str">
        <f>VLOOKUP(C1748,layoffs_location!A:C,3,FALSE)</f>
        <v>Ontario</v>
      </c>
      <c r="F1748" s="3" t="str">
        <f>VLOOKUP(C1748,layoffs_location!A:D,4,FALSE)</f>
        <v>Canada</v>
      </c>
      <c r="G1748" s="3" t="str">
        <f>VLOOKUP(C1748,layoffs_location!A:E,5,FALSE)</f>
        <v>North America</v>
      </c>
      <c r="H1748" s="4"/>
      <c r="I1748" s="24">
        <v>45420</v>
      </c>
      <c r="J1748" s="31">
        <v>6</v>
      </c>
      <c r="K1748" s="25"/>
      <c r="L1748" s="25"/>
      <c r="M1748" s="4" t="s">
        <v>1897</v>
      </c>
      <c r="N1748" s="4" t="s">
        <v>1491</v>
      </c>
      <c r="O1748" s="27">
        <v>79</v>
      </c>
      <c r="P1748" s="7">
        <v>2024</v>
      </c>
      <c r="Q1748" s="3">
        <f>VLOOKUP(C1748,layoffs_location!A:F,6,FALSE)</f>
        <v>45.420877699999998</v>
      </c>
      <c r="R1748" s="3">
        <f>VLOOKUP(C1748,layoffs_location!A:G,7,FALSE)</f>
        <v>-75.690110599999997</v>
      </c>
    </row>
    <row r="1749" spans="1:18" x14ac:dyDescent="0.2">
      <c r="A1749" s="3">
        <v>1748</v>
      </c>
      <c r="B1749" s="17" t="s">
        <v>1623</v>
      </c>
      <c r="C1749" s="17" t="s">
        <v>748</v>
      </c>
      <c r="D1749" s="3" t="str">
        <f>VLOOKUP(C1749,layoffs_location!A:B,2,FALSE)</f>
        <v>other</v>
      </c>
      <c r="E1749" s="3" t="str">
        <f>VLOOKUP(C1749,layoffs_location!A:C,3,FALSE)</f>
        <v>Delhi</v>
      </c>
      <c r="F1749" s="3" t="str">
        <f>VLOOKUP(C1749,layoffs_location!A:D,4,FALSE)</f>
        <v>India</v>
      </c>
      <c r="G1749" s="3" t="str">
        <f>VLOOKUP(C1749,layoffs_location!A:E,5,FALSE)</f>
        <v>Asia</v>
      </c>
      <c r="H1749" s="17">
        <v>145</v>
      </c>
      <c r="I1749" s="18">
        <v>45420</v>
      </c>
      <c r="J1749" s="19">
        <v>25</v>
      </c>
      <c r="K1749" s="20">
        <f>SUM((H1749*100)/Table13[[#This Row],[Percentage]])</f>
        <v>580</v>
      </c>
      <c r="L1749" s="20">
        <f>SUM(Table13[[#This Row],[Company_Size_before_Layoffs]]-Table13[[#This Row],[Laid_Off]])</f>
        <v>435</v>
      </c>
      <c r="M1749" s="17" t="s">
        <v>68</v>
      </c>
      <c r="N1749" s="17" t="s">
        <v>22</v>
      </c>
      <c r="O1749" s="35"/>
      <c r="P1749" s="3">
        <v>2024</v>
      </c>
      <c r="Q1749" s="3">
        <f>VLOOKUP(C1749,layoffs_location!A:F,6,FALSE)</f>
        <v>28.613895400000001</v>
      </c>
      <c r="R1749" s="3">
        <f>VLOOKUP(C1749,layoffs_location!A:G,7,FALSE)</f>
        <v>77.209005700000006</v>
      </c>
    </row>
    <row r="1750" spans="1:18" x14ac:dyDescent="0.2">
      <c r="A1750" s="3">
        <v>1749</v>
      </c>
      <c r="B1750" s="17" t="s">
        <v>348</v>
      </c>
      <c r="C1750" s="17" t="s">
        <v>13</v>
      </c>
      <c r="D1750" s="3" t="str">
        <f>VLOOKUP(C1750,layoffs_location!A:B,2,FALSE)</f>
        <v>other</v>
      </c>
      <c r="E1750" s="3" t="str">
        <f>VLOOKUP(C1750,layoffs_location!A:C,3,FALSE)</f>
        <v>Karnataka</v>
      </c>
      <c r="F1750" s="3" t="str">
        <f>VLOOKUP(C1750,layoffs_location!A:D,4,FALSE)</f>
        <v>India</v>
      </c>
      <c r="G1750" s="3" t="str">
        <f>VLOOKUP(C1750,layoffs_location!A:E,5,FALSE)</f>
        <v>Asia</v>
      </c>
      <c r="H1750" s="17">
        <v>100</v>
      </c>
      <c r="I1750" s="18">
        <v>45420</v>
      </c>
      <c r="J1750" s="19">
        <v>15</v>
      </c>
      <c r="K1750" s="20">
        <f>SUM((H1750*100)/Table13[[#This Row],[Percentage]])</f>
        <v>666.66666666666663</v>
      </c>
      <c r="L1750" s="20">
        <f>SUM(Table13[[#This Row],[Company_Size_before_Layoffs]]-Table13[[#This Row],[Laid_Off]])</f>
        <v>566.66666666666663</v>
      </c>
      <c r="M1750" s="17" t="s">
        <v>35</v>
      </c>
      <c r="N1750" s="3" t="s">
        <v>49</v>
      </c>
      <c r="O1750" s="35">
        <v>71</v>
      </c>
      <c r="P1750" s="3">
        <v>2024</v>
      </c>
      <c r="Q1750" s="3">
        <f>VLOOKUP(C1750,layoffs_location!A:F,6,FALSE)</f>
        <v>12.98815675</v>
      </c>
      <c r="R1750" s="3">
        <f>VLOOKUP(C1750,layoffs_location!A:G,7,FALSE)</f>
        <v>77.622600037959998</v>
      </c>
    </row>
    <row r="1751" spans="1:18" ht="16" x14ac:dyDescent="0.2">
      <c r="A1751" s="3">
        <v>1750</v>
      </c>
      <c r="B1751" s="4" t="s">
        <v>1640</v>
      </c>
      <c r="C1751" s="4" t="s">
        <v>47</v>
      </c>
      <c r="D1751" s="3" t="str">
        <f>VLOOKUP(C1751,layoffs_location!A:B,2,FALSE)</f>
        <v>other</v>
      </c>
      <c r="E1751" s="3" t="str">
        <f>VLOOKUP(C1751,layoffs_location!A:C,3,FALSE)</f>
        <v>non</v>
      </c>
      <c r="F1751" s="3" t="str">
        <f>VLOOKUP(C1751,layoffs_location!A:D,4,FALSE)</f>
        <v>Israel</v>
      </c>
      <c r="G1751" s="3" t="str">
        <f>VLOOKUP(C1751,layoffs_location!A:E,5,FALSE)</f>
        <v>Asia</v>
      </c>
      <c r="H1751" s="23">
        <v>40</v>
      </c>
      <c r="I1751" s="24">
        <v>45421</v>
      </c>
      <c r="J1751" s="31">
        <v>30</v>
      </c>
      <c r="K1751" s="20">
        <f>SUM((H1751*100)/Table13[[#This Row],[Percentage]])</f>
        <v>133.33333333333334</v>
      </c>
      <c r="L1751" s="25">
        <f>SUM(Table13[[#This Row],[Company_Size_before_Layoffs]]-Table13[[#This Row],[Laid_Off]])</f>
        <v>93.333333333333343</v>
      </c>
      <c r="M1751" s="4" t="s">
        <v>1892</v>
      </c>
      <c r="N1751" s="4" t="s">
        <v>1495</v>
      </c>
      <c r="O1751" s="27">
        <v>124</v>
      </c>
      <c r="P1751" s="7">
        <v>2024</v>
      </c>
      <c r="Q1751" s="3">
        <f>VLOOKUP(C1751,layoffs_location!A:F,6,FALSE)</f>
        <v>32.0852997</v>
      </c>
      <c r="R1751" s="3">
        <f>VLOOKUP(C1751,layoffs_location!A:G,7,FALSE)</f>
        <v>34.781806400000001</v>
      </c>
    </row>
    <row r="1752" spans="1:18" x14ac:dyDescent="0.2">
      <c r="A1752" s="3">
        <v>1751</v>
      </c>
      <c r="B1752" s="17" t="s">
        <v>504</v>
      </c>
      <c r="C1752" s="17" t="s">
        <v>145</v>
      </c>
      <c r="D1752" s="3" t="str">
        <f>VLOOKUP(C1752,layoffs_location!A:B,2,FALSE)</f>
        <v>Cascadia</v>
      </c>
      <c r="E1752" s="3" t="str">
        <f>VLOOKUP(C1752,layoffs_location!A:C,3,FALSE)</f>
        <v>Oregon</v>
      </c>
      <c r="F1752" s="3" t="str">
        <f>VLOOKUP(C1752,layoffs_location!A:D,4,FALSE)</f>
        <v>USA</v>
      </c>
      <c r="G1752" s="3" t="str">
        <f>VLOOKUP(C1752,layoffs_location!A:E,5,FALSE)</f>
        <v>North America</v>
      </c>
      <c r="H1752" s="17">
        <v>800</v>
      </c>
      <c r="I1752" s="18">
        <v>45421</v>
      </c>
      <c r="J1752" s="19">
        <v>13</v>
      </c>
      <c r="K1752" s="20">
        <f>SUM((H1752*100)/Table13[[#This Row],[Percentage]])</f>
        <v>6153.8461538461543</v>
      </c>
      <c r="L1752" s="20">
        <f>SUM(Table13[[#This Row],[Company_Size_before_Layoffs]]-Table13[[#This Row],[Laid_Off]])</f>
        <v>5353.8461538461543</v>
      </c>
      <c r="M1752" s="17" t="s">
        <v>1462</v>
      </c>
      <c r="N1752" s="17" t="s">
        <v>22</v>
      </c>
      <c r="O1752" s="35"/>
      <c r="P1752" s="3">
        <v>2024</v>
      </c>
      <c r="Q1752" s="3">
        <f>VLOOKUP(C1752,layoffs_location!A:F,6,FALSE)</f>
        <v>45.520247099999999</v>
      </c>
      <c r="R1752" s="3">
        <f>VLOOKUP(C1752,layoffs_location!A:G,7,FALSE)</f>
        <v>-122.674194</v>
      </c>
    </row>
    <row r="1753" spans="1:18" x14ac:dyDescent="0.2">
      <c r="A1753" s="3">
        <v>1752</v>
      </c>
      <c r="B1753" s="17" t="s">
        <v>1698</v>
      </c>
      <c r="C1753" s="17" t="s">
        <v>1476</v>
      </c>
      <c r="D1753" s="3" t="str">
        <f>VLOOKUP(C1753,layoffs_location!A:B,2,FALSE)</f>
        <v>other</v>
      </c>
      <c r="E1753" s="3" t="str">
        <f>VLOOKUP(C1753,layoffs_location!A:C,3,FALSE)</f>
        <v>non</v>
      </c>
      <c r="F1753" s="3" t="str">
        <f>VLOOKUP(C1753,layoffs_location!A:D,4,FALSE)</f>
        <v>Poland</v>
      </c>
      <c r="G1753" s="3" t="str">
        <f>VLOOKUP(C1753,layoffs_location!A:E,5,FALSE)</f>
        <v>Europe</v>
      </c>
      <c r="H1753" s="17">
        <v>30</v>
      </c>
      <c r="I1753" s="18">
        <v>45422</v>
      </c>
      <c r="J1753" s="19"/>
      <c r="K1753" s="20"/>
      <c r="L1753" s="20"/>
      <c r="M1753" s="17" t="s">
        <v>1460</v>
      </c>
      <c r="N1753" s="17" t="s">
        <v>22</v>
      </c>
      <c r="O1753" s="35"/>
      <c r="P1753" s="3">
        <v>2024</v>
      </c>
      <c r="Q1753" s="3">
        <f>VLOOKUP(C1753,layoffs_location!A:F,6,FALSE)</f>
        <v>52.233717200000001</v>
      </c>
      <c r="R1753" s="3">
        <f>VLOOKUP(C1753,layoffs_location!A:G,7,FALSE)</f>
        <v>21.071432235636401</v>
      </c>
    </row>
    <row r="1754" spans="1:18" ht="16" x14ac:dyDescent="0.2">
      <c r="A1754" s="3">
        <v>1753</v>
      </c>
      <c r="B1754" s="17" t="s">
        <v>513</v>
      </c>
      <c r="C1754" s="17" t="s">
        <v>1408</v>
      </c>
      <c r="D1754" s="3" t="str">
        <f>VLOOKUP(C1754,layoffs_location!A:B,2,FALSE)</f>
        <v>San Francisco Bay Area</v>
      </c>
      <c r="E1754" s="3" t="str">
        <f>VLOOKUP(C1754,layoffs_location!A:C,3,FALSE)</f>
        <v>California</v>
      </c>
      <c r="F1754" s="3" t="str">
        <f>VLOOKUP(C1754,layoffs_location!A:D,4,FALSE)</f>
        <v>USA</v>
      </c>
      <c r="G1754" s="3" t="str">
        <f>VLOOKUP(C1754,layoffs_location!A:E,5,FALSE)</f>
        <v>North America</v>
      </c>
      <c r="H1754" s="17">
        <v>57</v>
      </c>
      <c r="I1754" s="18">
        <v>45422</v>
      </c>
      <c r="J1754" s="19"/>
      <c r="K1754" s="20"/>
      <c r="L1754" s="20"/>
      <c r="M1754" s="17" t="s">
        <v>16</v>
      </c>
      <c r="N1754" s="4" t="s">
        <v>28</v>
      </c>
      <c r="O1754" s="16">
        <v>26</v>
      </c>
      <c r="P1754" s="3">
        <v>2024</v>
      </c>
      <c r="Q1754" s="3">
        <f>VLOOKUP(C1754,layoffs_location!A:F,6,FALSE)</f>
        <v>37.3893889</v>
      </c>
      <c r="R1754" s="3">
        <f>VLOOKUP(C1754,layoffs_location!A:G,7,FALSE)</f>
        <v>-122.0832101</v>
      </c>
    </row>
    <row r="1755" spans="1:18" x14ac:dyDescent="0.2">
      <c r="A1755" s="3">
        <v>1754</v>
      </c>
      <c r="B1755" s="17" t="s">
        <v>1472</v>
      </c>
      <c r="C1755" s="17" t="s">
        <v>730</v>
      </c>
      <c r="D1755" s="3" t="str">
        <f>VLOOKUP(C1755,layoffs_location!A:B,2,FALSE)</f>
        <v>other</v>
      </c>
      <c r="E1755" s="3" t="str">
        <f>VLOOKUP(C1755,layoffs_location!A:C,3,FALSE)</f>
        <v>Pennsylvania</v>
      </c>
      <c r="F1755" s="3" t="str">
        <f>VLOOKUP(C1755,layoffs_location!A:D,4,FALSE)</f>
        <v>USA</v>
      </c>
      <c r="G1755" s="3" t="str">
        <f>VLOOKUP(C1755,layoffs_location!A:E,5,FALSE)</f>
        <v>North America</v>
      </c>
      <c r="H1755" s="17">
        <v>550</v>
      </c>
      <c r="I1755" s="18">
        <v>45422</v>
      </c>
      <c r="J1755" s="19">
        <v>40</v>
      </c>
      <c r="K1755" s="20">
        <f>SUM((H1755*100)/Table13[[#This Row],[Percentage]])</f>
        <v>1375</v>
      </c>
      <c r="L1755" s="20">
        <f>SUM(Table13[[#This Row],[Company_Size_before_Layoffs]]-Table13[[#This Row],[Laid_Off]])</f>
        <v>825</v>
      </c>
      <c r="M1755" s="17" t="s">
        <v>32</v>
      </c>
      <c r="N1755" s="17" t="s">
        <v>22</v>
      </c>
      <c r="O1755" s="35"/>
      <c r="P1755" s="3">
        <v>2024</v>
      </c>
      <c r="Q1755" s="3">
        <f>VLOOKUP(C1755,layoffs_location!A:F,6,FALSE)</f>
        <v>40.441694099999999</v>
      </c>
      <c r="R1755" s="3">
        <f>VLOOKUP(C1755,layoffs_location!A:G,7,FALSE)</f>
        <v>-79.990086099999999</v>
      </c>
    </row>
    <row r="1756" spans="1:18" x14ac:dyDescent="0.2">
      <c r="A1756" s="3">
        <v>1755</v>
      </c>
      <c r="B1756" s="17" t="s">
        <v>858</v>
      </c>
      <c r="C1756" s="3" t="s">
        <v>1473</v>
      </c>
      <c r="D1756" s="3" t="str">
        <f>VLOOKUP(C1756,layoffs_location!A:B,2,FALSE)</f>
        <v>San Francisco Bay Area</v>
      </c>
      <c r="E1756" s="3" t="str">
        <f>VLOOKUP(C1756,layoffs_location!A:C,3,FALSE)</f>
        <v>California</v>
      </c>
      <c r="F1756" s="3" t="str">
        <f>VLOOKUP(C1756,layoffs_location!A:D,4,FALSE)</f>
        <v>USA</v>
      </c>
      <c r="G1756" s="3" t="str">
        <f>VLOOKUP(C1756,layoffs_location!A:E,5,FALSE)</f>
        <v>North America</v>
      </c>
      <c r="H1756" s="17">
        <v>120</v>
      </c>
      <c r="I1756" s="18">
        <v>45422</v>
      </c>
      <c r="J1756" s="19"/>
      <c r="K1756" s="20"/>
      <c r="L1756" s="20"/>
      <c r="M1756" s="17" t="s">
        <v>32</v>
      </c>
      <c r="N1756" s="17" t="s">
        <v>28</v>
      </c>
      <c r="O1756" s="35">
        <v>10700</v>
      </c>
      <c r="P1756" s="3">
        <v>2024</v>
      </c>
      <c r="Q1756" s="3">
        <f>VLOOKUP(C1756,layoffs_location!A:F,6,FALSE)</f>
        <v>37.4443293</v>
      </c>
      <c r="R1756" s="3">
        <f>VLOOKUP(C1756,layoffs_location!A:G,7,FALSE)</f>
        <v>-122.1598465</v>
      </c>
    </row>
    <row r="1757" spans="1:18" x14ac:dyDescent="0.2">
      <c r="A1757" s="3">
        <v>1756</v>
      </c>
      <c r="B1757" s="17" t="s">
        <v>369</v>
      </c>
      <c r="C1757" s="17" t="s">
        <v>83</v>
      </c>
      <c r="D1757" s="3" t="str">
        <f>VLOOKUP(C1757,layoffs_location!A:B,2,FALSE)</f>
        <v>other</v>
      </c>
      <c r="E1757" s="3" t="str">
        <f>VLOOKUP(C1757,layoffs_location!A:C,3,FALSE)</f>
        <v>Texas</v>
      </c>
      <c r="F1757" s="3" t="str">
        <f>VLOOKUP(C1757,layoffs_location!A:D,4,FALSE)</f>
        <v>USA</v>
      </c>
      <c r="G1757" s="3" t="str">
        <f>VLOOKUP(C1757,layoffs_location!A:E,5,FALSE)</f>
        <v>North America</v>
      </c>
      <c r="H1757" s="17">
        <v>1000</v>
      </c>
      <c r="I1757" s="18">
        <v>45425</v>
      </c>
      <c r="J1757" s="19">
        <v>8</v>
      </c>
      <c r="K1757" s="20">
        <f>SUM((H1757*100)/Table13[[#This Row],[Percentage]])</f>
        <v>12500</v>
      </c>
      <c r="L1757" s="20">
        <f>SUM(Table13[[#This Row],[Company_Size_before_Layoffs]]-Table13[[#This Row],[Laid_Off]])</f>
        <v>11500</v>
      </c>
      <c r="M1757" s="17" t="s">
        <v>84</v>
      </c>
      <c r="N1757" s="17" t="s">
        <v>33</v>
      </c>
      <c r="O1757" s="35">
        <v>5</v>
      </c>
      <c r="P1757" s="3">
        <v>2024</v>
      </c>
      <c r="Q1757" s="3">
        <f>VLOOKUP(C1757,layoffs_location!A:F,6,FALSE)</f>
        <v>30.271128600000001</v>
      </c>
      <c r="R1757" s="3">
        <f>VLOOKUP(C1757,layoffs_location!A:G,7,FALSE)</f>
        <v>-97.743699500000005</v>
      </c>
    </row>
    <row r="1758" spans="1:18" x14ac:dyDescent="0.2">
      <c r="A1758" s="3">
        <v>1757</v>
      </c>
      <c r="B1758" s="17" t="s">
        <v>1452</v>
      </c>
      <c r="C1758" s="17" t="s">
        <v>1453</v>
      </c>
      <c r="D1758" s="3" t="str">
        <f>VLOOKUP(C1758,layoffs_location!A:B,2,FALSE)</f>
        <v>other</v>
      </c>
      <c r="E1758" s="3" t="str">
        <f>VLOOKUP(C1758,layoffs_location!A:C,3,FALSE)</f>
        <v>South Australia</v>
      </c>
      <c r="F1758" s="3" t="str">
        <f>VLOOKUP(C1758,layoffs_location!A:D,4,FALSE)</f>
        <v>Australia</v>
      </c>
      <c r="G1758" s="3" t="str">
        <f>VLOOKUP(C1758,layoffs_location!A:E,5,FALSE)</f>
        <v>Oceana</v>
      </c>
      <c r="H1758" s="17"/>
      <c r="I1758" s="18">
        <v>45425</v>
      </c>
      <c r="J1758" s="19">
        <v>28</v>
      </c>
      <c r="K1758" s="20"/>
      <c r="L1758" s="20"/>
      <c r="M1758" s="17" t="s">
        <v>1460</v>
      </c>
      <c r="N1758" s="17" t="s">
        <v>22</v>
      </c>
      <c r="O1758" s="35"/>
      <c r="P1758" s="3">
        <v>2024</v>
      </c>
      <c r="Q1758" s="3">
        <f>VLOOKUP(C1758,layoffs_location!A:F,6,FALSE)</f>
        <v>-34.928180500000003</v>
      </c>
      <c r="R1758" s="3">
        <f>VLOOKUP(C1758,layoffs_location!A:G,7,FALSE)</f>
        <v>138.59993119999999</v>
      </c>
    </row>
    <row r="1759" spans="1:18" x14ac:dyDescent="0.2">
      <c r="A1759" s="3">
        <v>1758</v>
      </c>
      <c r="B1759" s="17" t="s">
        <v>1486</v>
      </c>
      <c r="C1759" s="17" t="s">
        <v>71</v>
      </c>
      <c r="D1759" s="3" t="str">
        <f>VLOOKUP(C1759,layoffs_location!A:B,2,FALSE)</f>
        <v>other</v>
      </c>
      <c r="E1759" s="3" t="str">
        <f>VLOOKUP(C1759,layoffs_location!A:C,3,FALSE)</f>
        <v>Massachusetts</v>
      </c>
      <c r="F1759" s="3" t="str">
        <f>VLOOKUP(C1759,layoffs_location!A:D,4,FALSE)</f>
        <v>USA</v>
      </c>
      <c r="G1759" s="3" t="str">
        <f>VLOOKUP(C1759,layoffs_location!A:E,5,FALSE)</f>
        <v>North America</v>
      </c>
      <c r="H1759" s="17"/>
      <c r="I1759" s="18">
        <v>45426</v>
      </c>
      <c r="J1759" s="19">
        <v>100</v>
      </c>
      <c r="K1759" s="20"/>
      <c r="L1759" s="20">
        <v>0</v>
      </c>
      <c r="M1759" s="17" t="s">
        <v>35</v>
      </c>
      <c r="N1759" s="17" t="s">
        <v>22</v>
      </c>
      <c r="O1759" s="35">
        <v>3</v>
      </c>
      <c r="P1759" s="3">
        <v>2024</v>
      </c>
      <c r="Q1759" s="3">
        <f>VLOOKUP(C1759,layoffs_location!A:F,6,FALSE)</f>
        <v>42.355433400000003</v>
      </c>
      <c r="R1759" s="3">
        <f>VLOOKUP(C1759,layoffs_location!A:G,7,FALSE)</f>
        <v>-71.060511000000005</v>
      </c>
    </row>
    <row r="1760" spans="1:18" x14ac:dyDescent="0.2">
      <c r="A1760" s="3">
        <v>1759</v>
      </c>
      <c r="B1760" s="17" t="s">
        <v>1457</v>
      </c>
      <c r="C1760" s="17" t="s">
        <v>83</v>
      </c>
      <c r="D1760" s="3" t="str">
        <f>VLOOKUP(C1760,layoffs_location!A:B,2,FALSE)</f>
        <v>other</v>
      </c>
      <c r="E1760" s="3" t="str">
        <f>VLOOKUP(C1760,layoffs_location!A:C,3,FALSE)</f>
        <v>Texas</v>
      </c>
      <c r="F1760" s="3" t="str">
        <f>VLOOKUP(C1760,layoffs_location!A:D,4,FALSE)</f>
        <v>USA</v>
      </c>
      <c r="G1760" s="3" t="str">
        <f>VLOOKUP(C1760,layoffs_location!A:E,5,FALSE)</f>
        <v>North America</v>
      </c>
      <c r="H1760" s="17">
        <v>100</v>
      </c>
      <c r="I1760" s="18">
        <v>45427</v>
      </c>
      <c r="J1760" s="19"/>
      <c r="K1760" s="20"/>
      <c r="L1760" s="20"/>
      <c r="M1760" s="17" t="s">
        <v>1374</v>
      </c>
      <c r="N1760" s="17" t="s">
        <v>108</v>
      </c>
      <c r="O1760" s="35">
        <v>214</v>
      </c>
      <c r="P1760" s="3">
        <v>2024</v>
      </c>
      <c r="Q1760" s="3">
        <f>VLOOKUP(C1760,layoffs_location!A:F,6,FALSE)</f>
        <v>30.271128600000001</v>
      </c>
      <c r="R1760" s="3">
        <f>VLOOKUP(C1760,layoffs_location!A:G,7,FALSE)</f>
        <v>-97.743699500000005</v>
      </c>
    </row>
    <row r="1761" spans="1:18" x14ac:dyDescent="0.2">
      <c r="A1761" s="3">
        <v>1760</v>
      </c>
      <c r="B1761" s="17" t="s">
        <v>395</v>
      </c>
      <c r="C1761" s="17" t="s">
        <v>362</v>
      </c>
      <c r="D1761" s="3" t="str">
        <f>VLOOKUP(C1761,layoffs_location!A:B,2,FALSE)</f>
        <v>other</v>
      </c>
      <c r="E1761" s="3" t="str">
        <f>VLOOKUP(C1761,layoffs_location!A:C,3,FALSE)</f>
        <v>Pennsylvania</v>
      </c>
      <c r="F1761" s="3" t="str">
        <f>VLOOKUP(C1761,layoffs_location!A:D,4,FALSE)</f>
        <v>USA</v>
      </c>
      <c r="G1761" s="3" t="str">
        <f>VLOOKUP(C1761,layoffs_location!A:E,5,FALSE)</f>
        <v>North America</v>
      </c>
      <c r="H1761" s="17"/>
      <c r="I1761" s="18">
        <v>45428</v>
      </c>
      <c r="J1761" s="19">
        <v>6</v>
      </c>
      <c r="K1761" s="20"/>
      <c r="L1761" s="20"/>
      <c r="M1761" s="17" t="s">
        <v>77</v>
      </c>
      <c r="N1761" s="17" t="s">
        <v>17</v>
      </c>
      <c r="O1761" s="35">
        <v>3400</v>
      </c>
      <c r="P1761" s="3">
        <v>2024</v>
      </c>
      <c r="Q1761" s="3">
        <f>VLOOKUP(C1761,layoffs_location!A:F,6,FALSE)</f>
        <v>39.9527237</v>
      </c>
      <c r="R1761" s="3">
        <f>VLOOKUP(C1761,layoffs_location!A:G,7,FALSE)</f>
        <v>-75.163526200000007</v>
      </c>
    </row>
    <row r="1762" spans="1:18" x14ac:dyDescent="0.2">
      <c r="A1762" s="3">
        <v>1761</v>
      </c>
      <c r="B1762" s="17" t="s">
        <v>1485</v>
      </c>
      <c r="C1762" s="17" t="s">
        <v>58</v>
      </c>
      <c r="D1762" s="3" t="str">
        <f>VLOOKUP(C1762,layoffs_location!A:B,2,FALSE)</f>
        <v>other</v>
      </c>
      <c r="E1762" s="3" t="str">
        <f>VLOOKUP(C1762,layoffs_location!A:C,3,FALSE)</f>
        <v>England</v>
      </c>
      <c r="F1762" s="3" t="str">
        <f>VLOOKUP(C1762,layoffs_location!A:D,4,FALSE)</f>
        <v>UK</v>
      </c>
      <c r="G1762" s="3" t="str">
        <f>VLOOKUP(C1762,layoffs_location!A:E,5,FALSE)</f>
        <v>Europe</v>
      </c>
      <c r="H1762" s="17"/>
      <c r="I1762" s="18">
        <v>45428</v>
      </c>
      <c r="J1762" s="19">
        <v>100</v>
      </c>
      <c r="K1762" s="20"/>
      <c r="L1762" s="20">
        <v>0</v>
      </c>
      <c r="M1762" s="17" t="s">
        <v>32</v>
      </c>
      <c r="N1762" s="17" t="s">
        <v>33</v>
      </c>
      <c r="O1762" s="35">
        <v>39</v>
      </c>
      <c r="P1762" s="3">
        <v>2024</v>
      </c>
      <c r="Q1762" s="3">
        <f>VLOOKUP(C1762,layoffs_location!A:F,6,FALSE)</f>
        <v>51.489333500000001</v>
      </c>
      <c r="R1762" s="3">
        <f>VLOOKUP(C1762,layoffs_location!A:G,7,FALSE)</f>
        <v>-0.14405508452768701</v>
      </c>
    </row>
    <row r="1763" spans="1:18" x14ac:dyDescent="0.2">
      <c r="A1763" s="3">
        <v>1762</v>
      </c>
      <c r="B1763" s="17" t="s">
        <v>1451</v>
      </c>
      <c r="C1763" s="17" t="s">
        <v>271</v>
      </c>
      <c r="D1763" s="3" t="str">
        <f>VLOOKUP(C1763,layoffs_location!A:B,2,FALSE)</f>
        <v>Cascadia</v>
      </c>
      <c r="E1763" s="3" t="str">
        <f>VLOOKUP(C1763,layoffs_location!A:C,3,FALSE)</f>
        <v>British Columbia</v>
      </c>
      <c r="F1763" s="3" t="str">
        <f>VLOOKUP(C1763,layoffs_location!A:D,4,FALSE)</f>
        <v>Canada</v>
      </c>
      <c r="G1763" s="3" t="str">
        <f>VLOOKUP(C1763,layoffs_location!A:E,5,FALSE)</f>
        <v>North America</v>
      </c>
      <c r="H1763" s="17">
        <v>100</v>
      </c>
      <c r="I1763" s="18">
        <v>45428</v>
      </c>
      <c r="J1763" s="19"/>
      <c r="K1763" s="20"/>
      <c r="L1763" s="20"/>
      <c r="M1763" s="17" t="s">
        <v>1460</v>
      </c>
      <c r="N1763" s="17" t="s">
        <v>22</v>
      </c>
      <c r="O1763" s="35"/>
      <c r="P1763" s="3">
        <v>2024</v>
      </c>
      <c r="Q1763" s="3">
        <f>VLOOKUP(C1763,layoffs_location!A:F,6,FALSE)</f>
        <v>49.260872399999997</v>
      </c>
      <c r="R1763" s="3">
        <f>VLOOKUP(C1763,layoffs_location!A:G,7,FALSE)</f>
        <v>-123.113952</v>
      </c>
    </row>
    <row r="1764" spans="1:18" ht="16" x14ac:dyDescent="0.2">
      <c r="A1764" s="3">
        <v>1763</v>
      </c>
      <c r="B1764" s="17" t="s">
        <v>1470</v>
      </c>
      <c r="C1764" s="26" t="s">
        <v>1370</v>
      </c>
      <c r="D1764" s="3" t="str">
        <f>VLOOKUP(C1764,layoffs_location!A:B,2,FALSE)</f>
        <v>San Francisco Bay Area</v>
      </c>
      <c r="E1764" s="3" t="str">
        <f>VLOOKUP(C1764,layoffs_location!A:C,3,FALSE)</f>
        <v>California</v>
      </c>
      <c r="F1764" s="3" t="str">
        <f>VLOOKUP(C1764,layoffs_location!A:D,4,FALSE)</f>
        <v>USA</v>
      </c>
      <c r="G1764" s="3" t="str">
        <f>VLOOKUP(C1764,layoffs_location!A:E,5,FALSE)</f>
        <v>North America</v>
      </c>
      <c r="H1764" s="17">
        <v>30</v>
      </c>
      <c r="I1764" s="18">
        <v>45428</v>
      </c>
      <c r="J1764" s="19">
        <v>20</v>
      </c>
      <c r="K1764" s="20">
        <f>SUM((H1764*100)/Table13[[#This Row],[Percentage]])</f>
        <v>150</v>
      </c>
      <c r="L1764" s="20">
        <f>SUM(Table13[[#This Row],[Company_Size_before_Layoffs]]-Table13[[#This Row],[Laid_Off]])</f>
        <v>120</v>
      </c>
      <c r="M1764" s="17" t="s">
        <v>1400</v>
      </c>
      <c r="N1764" s="4" t="s">
        <v>1499</v>
      </c>
      <c r="O1764" s="27">
        <v>222</v>
      </c>
      <c r="P1764" s="3">
        <v>2024</v>
      </c>
      <c r="Q1764" s="3">
        <f>VLOOKUP(C1764,layoffs_location!A:F,6,FALSE)</f>
        <v>37.779258800000001</v>
      </c>
      <c r="R1764" s="3">
        <f>VLOOKUP(C1764,layoffs_location!A:G,7,FALSE)</f>
        <v>-122.4193286</v>
      </c>
    </row>
    <row r="1765" spans="1:18" x14ac:dyDescent="0.2">
      <c r="A1765" s="3">
        <v>1764</v>
      </c>
      <c r="B1765" s="17" t="s">
        <v>1450</v>
      </c>
      <c r="C1765" s="3" t="s">
        <v>76</v>
      </c>
      <c r="D1765" s="3" t="str">
        <f>VLOOKUP(C1765,layoffs_location!A:B,2,FALSE)</f>
        <v>other</v>
      </c>
      <c r="E1765" s="3" t="str">
        <f>VLOOKUP(C1765,layoffs_location!A:C,3,FALSE)</f>
        <v>California</v>
      </c>
      <c r="F1765" s="3" t="str">
        <f>VLOOKUP(C1765,layoffs_location!A:D,4,FALSE)</f>
        <v>USA</v>
      </c>
      <c r="G1765" s="3" t="str">
        <f>VLOOKUP(C1765,layoffs_location!A:E,5,FALSE)</f>
        <v>North America</v>
      </c>
      <c r="H1765" s="17">
        <v>36</v>
      </c>
      <c r="I1765" s="18">
        <v>45428</v>
      </c>
      <c r="J1765" s="19"/>
      <c r="K1765" s="20"/>
      <c r="L1765" s="20"/>
      <c r="M1765" s="17" t="s">
        <v>1460</v>
      </c>
      <c r="N1765" s="17" t="s">
        <v>49</v>
      </c>
      <c r="O1765" s="35">
        <v>39</v>
      </c>
      <c r="P1765" s="3">
        <v>2024</v>
      </c>
      <c r="Q1765" s="3">
        <f>VLOOKUP(C1765,layoffs_location!A:F,6,FALSE)</f>
        <v>34.053690899999999</v>
      </c>
      <c r="R1765" s="3">
        <f>VLOOKUP(C1765,layoffs_location!A:G,7,FALSE)</f>
        <v>-118.242766</v>
      </c>
    </row>
    <row r="1766" spans="1:18" x14ac:dyDescent="0.2">
      <c r="A1766" s="3">
        <v>1765</v>
      </c>
      <c r="B1766" s="17" t="s">
        <v>1358</v>
      </c>
      <c r="C1766" s="17" t="s">
        <v>547</v>
      </c>
      <c r="D1766" s="3" t="str">
        <f>VLOOKUP(C1766,layoffs_location!A:B,2,FALSE)</f>
        <v>Tokyo</v>
      </c>
      <c r="E1766" s="3" t="str">
        <f>VLOOKUP(C1766,layoffs_location!A:C,3,FALSE)</f>
        <v>Tokyo</v>
      </c>
      <c r="F1766" s="3" t="str">
        <f>VLOOKUP(C1766,layoffs_location!A:D,4,FALSE)</f>
        <v>Japan</v>
      </c>
      <c r="G1766" s="3" t="str">
        <f>VLOOKUP(C1766,layoffs_location!A:E,5,FALSE)</f>
        <v>Asia</v>
      </c>
      <c r="H1766" s="17">
        <v>4000</v>
      </c>
      <c r="I1766" s="18">
        <v>45428</v>
      </c>
      <c r="J1766" s="19"/>
      <c r="K1766" s="20"/>
      <c r="L1766" s="20"/>
      <c r="M1766" s="17" t="s">
        <v>1693</v>
      </c>
      <c r="N1766" s="17" t="s">
        <v>28</v>
      </c>
      <c r="O1766" s="35"/>
      <c r="P1766" s="3">
        <v>2024</v>
      </c>
      <c r="Q1766" s="3">
        <f>VLOOKUP(C1766,layoffs_location!A:F,6,FALSE)</f>
        <v>35.682193599999998</v>
      </c>
      <c r="R1766" s="3">
        <f>VLOOKUP(C1766,layoffs_location!A:G,7,FALSE)</f>
        <v>139.76222100000001</v>
      </c>
    </row>
    <row r="1767" spans="1:18" ht="16" x14ac:dyDescent="0.2">
      <c r="A1767" s="3">
        <v>1766</v>
      </c>
      <c r="B1767" s="17" t="s">
        <v>1459</v>
      </c>
      <c r="C1767" s="17" t="s">
        <v>135</v>
      </c>
      <c r="D1767" s="3" t="str">
        <f>VLOOKUP(C1767,layoffs_location!A:B,2,FALSE)</f>
        <v>other</v>
      </c>
      <c r="E1767" s="3" t="str">
        <f>VLOOKUP(C1767,layoffs_location!A:C,3,FALSE)</f>
        <v>Berlin</v>
      </c>
      <c r="F1767" s="3" t="str">
        <f>VLOOKUP(C1767,layoffs_location!A:D,4,FALSE)</f>
        <v>Germany</v>
      </c>
      <c r="G1767" s="3" t="str">
        <f>VLOOKUP(C1767,layoffs_location!A:E,5,FALSE)</f>
        <v>Europe</v>
      </c>
      <c r="H1767" s="17">
        <v>60</v>
      </c>
      <c r="I1767" s="18">
        <v>45428</v>
      </c>
      <c r="J1767" s="19"/>
      <c r="K1767" s="20"/>
      <c r="L1767" s="20"/>
      <c r="M1767" s="17" t="s">
        <v>35</v>
      </c>
      <c r="N1767" s="4" t="s">
        <v>1495</v>
      </c>
      <c r="O1767" s="27">
        <v>1300</v>
      </c>
      <c r="P1767" s="7">
        <v>2024</v>
      </c>
      <c r="Q1767" s="3">
        <f>VLOOKUP(C1767,layoffs_location!A:F,6,FALSE)</f>
        <v>52.517036500000003</v>
      </c>
      <c r="R1767" s="3">
        <f>VLOOKUP(C1767,layoffs_location!A:G,7,FALSE)</f>
        <v>13.3888599</v>
      </c>
    </row>
    <row r="1768" spans="1:18" ht="16" x14ac:dyDescent="0.2">
      <c r="A1768" s="3">
        <v>1767</v>
      </c>
      <c r="B1768" s="17" t="s">
        <v>1463</v>
      </c>
      <c r="C1768" s="3" t="s">
        <v>39</v>
      </c>
      <c r="D1768" s="3" t="str">
        <f>VLOOKUP(C1768,layoffs_location!A:B,2,FALSE)</f>
        <v>New York</v>
      </c>
      <c r="E1768" s="3" t="str">
        <f>VLOOKUP(C1768,layoffs_location!A:C,3,FALSE)</f>
        <v>New York</v>
      </c>
      <c r="F1768" s="3" t="str">
        <f>VLOOKUP(C1768,layoffs_location!A:D,4,FALSE)</f>
        <v>USA</v>
      </c>
      <c r="G1768" s="3" t="str">
        <f>VLOOKUP(C1768,layoffs_location!A:E,5,FALSE)</f>
        <v>North America</v>
      </c>
      <c r="H1768" s="17"/>
      <c r="I1768" s="18">
        <v>45431</v>
      </c>
      <c r="J1768" s="19">
        <v>100</v>
      </c>
      <c r="K1768" s="20"/>
      <c r="L1768" s="20">
        <f>SUM(Table13[[#This Row],[Company_Size_before_Layoffs]]-Table13[[#This Row],[Laid_Off]])</f>
        <v>0</v>
      </c>
      <c r="M1768" s="17" t="s">
        <v>84</v>
      </c>
      <c r="N1768" s="4" t="s">
        <v>1492</v>
      </c>
      <c r="O1768" s="27">
        <v>38</v>
      </c>
      <c r="P1768" s="7">
        <v>2024</v>
      </c>
      <c r="Q1768" s="3">
        <f>VLOOKUP(C1768,layoffs_location!A:F,6,FALSE)</f>
        <v>40.7127281</v>
      </c>
      <c r="R1768" s="3">
        <f>VLOOKUP(C1768,layoffs_location!A:G,7,FALSE)</f>
        <v>-74.006015199999993</v>
      </c>
    </row>
    <row r="1769" spans="1:18" ht="16" x14ac:dyDescent="0.2">
      <c r="A1769" s="3">
        <v>1768</v>
      </c>
      <c r="B1769" s="17" t="s">
        <v>1469</v>
      </c>
      <c r="C1769" s="3" t="s">
        <v>43</v>
      </c>
      <c r="D1769" s="3" t="str">
        <f>VLOOKUP(C1769,layoffs_location!A:B,2,FALSE)</f>
        <v>Cascadia</v>
      </c>
      <c r="E1769" s="3" t="str">
        <f>VLOOKUP(C1769,layoffs_location!A:C,3,FALSE)</f>
        <v>Washington</v>
      </c>
      <c r="F1769" s="3" t="str">
        <f>VLOOKUP(C1769,layoffs_location!A:D,4,FALSE)</f>
        <v>USA</v>
      </c>
      <c r="G1769" s="3" t="str">
        <f>VLOOKUP(C1769,layoffs_location!A:E,5,FALSE)</f>
        <v>North America</v>
      </c>
      <c r="H1769" s="17"/>
      <c r="I1769" s="18">
        <v>45432</v>
      </c>
      <c r="J1769" s="19">
        <v>30</v>
      </c>
      <c r="K1769" s="20"/>
      <c r="L1769" s="20"/>
      <c r="M1769" s="17" t="s">
        <v>84</v>
      </c>
      <c r="N1769" s="4" t="s">
        <v>1493</v>
      </c>
      <c r="O1769" s="27"/>
      <c r="P1769" s="3">
        <v>2024</v>
      </c>
      <c r="Q1769" s="3">
        <f>VLOOKUP(C1769,layoffs_location!A:F,6,FALSE)</f>
        <v>47.603832099999998</v>
      </c>
      <c r="R1769" s="3">
        <f>VLOOKUP(C1769,layoffs_location!A:G,7,FALSE)</f>
        <v>-122.330062</v>
      </c>
    </row>
    <row r="1770" spans="1:18" x14ac:dyDescent="0.2">
      <c r="A1770" s="3">
        <v>1769</v>
      </c>
      <c r="B1770" s="17" t="s">
        <v>1449</v>
      </c>
      <c r="C1770" s="3" t="s">
        <v>525</v>
      </c>
      <c r="D1770" s="3" t="str">
        <f>VLOOKUP(C1770,layoffs_location!A:B,2,FALSE)</f>
        <v>other</v>
      </c>
      <c r="E1770" s="3" t="str">
        <f>VLOOKUP(C1770,layoffs_location!A:C,3,FALSE)</f>
        <v>England</v>
      </c>
      <c r="F1770" s="3" t="str">
        <f>VLOOKUP(C1770,layoffs_location!A:D,4,FALSE)</f>
        <v>UK</v>
      </c>
      <c r="G1770" s="3" t="str">
        <f>VLOOKUP(C1770,layoffs_location!A:E,5,FALSE)</f>
        <v>Europe</v>
      </c>
      <c r="H1770" s="17"/>
      <c r="I1770" s="18">
        <v>45433</v>
      </c>
      <c r="J1770" s="19">
        <v>25</v>
      </c>
      <c r="K1770" s="20"/>
      <c r="L1770" s="20"/>
      <c r="M1770" s="17" t="s">
        <v>1416</v>
      </c>
      <c r="N1770" s="17" t="s">
        <v>22</v>
      </c>
      <c r="O1770" s="35"/>
      <c r="P1770" s="3">
        <v>2024</v>
      </c>
      <c r="Q1770" s="3">
        <f>VLOOKUP(C1770,layoffs_location!A:F,6,FALSE)</f>
        <v>51.752013099999999</v>
      </c>
      <c r="R1770" s="3">
        <f>VLOOKUP(C1770,layoffs_location!A:G,7,FALSE)</f>
        <v>-1.2578499000000001</v>
      </c>
    </row>
    <row r="1771" spans="1:18" x14ac:dyDescent="0.2">
      <c r="A1771" s="3">
        <v>1770</v>
      </c>
      <c r="B1771" s="17" t="s">
        <v>1375</v>
      </c>
      <c r="C1771" s="17" t="s">
        <v>76</v>
      </c>
      <c r="D1771" s="3" t="str">
        <f>VLOOKUP(C1771,layoffs_location!A:B,2,FALSE)</f>
        <v>other</v>
      </c>
      <c r="E1771" s="3" t="str">
        <f>VLOOKUP(C1771,layoffs_location!A:C,3,FALSE)</f>
        <v>California</v>
      </c>
      <c r="F1771" s="3" t="str">
        <f>VLOOKUP(C1771,layoffs_location!A:D,4,FALSE)</f>
        <v>USA</v>
      </c>
      <c r="G1771" s="3" t="str">
        <f>VLOOKUP(C1771,layoffs_location!A:E,5,FALSE)</f>
        <v>North America</v>
      </c>
      <c r="H1771" s="17">
        <v>1000</v>
      </c>
      <c r="I1771" s="18">
        <v>45433</v>
      </c>
      <c r="J1771" s="19"/>
      <c r="K1771" s="20"/>
      <c r="L1771" s="20"/>
      <c r="M1771" s="17" t="s">
        <v>1374</v>
      </c>
      <c r="N1771" s="17" t="s">
        <v>33</v>
      </c>
      <c r="O1771" s="35"/>
      <c r="P1771" s="3">
        <v>2024</v>
      </c>
      <c r="Q1771" s="3">
        <f>VLOOKUP(C1771,layoffs_location!A:F,6,FALSE)</f>
        <v>34.053690899999999</v>
      </c>
      <c r="R1771" s="3">
        <f>VLOOKUP(C1771,layoffs_location!A:G,7,FALSE)</f>
        <v>-118.242766</v>
      </c>
    </row>
    <row r="1772" spans="1:18" x14ac:dyDescent="0.2">
      <c r="A1772" s="3">
        <v>1771</v>
      </c>
      <c r="B1772" s="17" t="s">
        <v>282</v>
      </c>
      <c r="C1772" s="17" t="s">
        <v>132</v>
      </c>
      <c r="D1772" s="3" t="str">
        <f>VLOOKUP(C1772,layoffs_location!A:B,2,FALSE)</f>
        <v>other</v>
      </c>
      <c r="E1772" s="3" t="str">
        <f>VLOOKUP(C1772,layoffs_location!A:C,3,FALSE)</f>
        <v>Colorado</v>
      </c>
      <c r="F1772" s="3" t="str">
        <f>VLOOKUP(C1772,layoffs_location!A:D,4,FALSE)</f>
        <v>USA</v>
      </c>
      <c r="G1772" s="3" t="str">
        <f>VLOOKUP(C1772,layoffs_location!A:E,5,FALSE)</f>
        <v>North America</v>
      </c>
      <c r="H1772" s="17">
        <v>300</v>
      </c>
      <c r="I1772" s="18">
        <v>45434</v>
      </c>
      <c r="J1772" s="19">
        <v>25</v>
      </c>
      <c r="K1772" s="20">
        <f>SUM((H1772*100)/Table13[[#This Row],[Percentage]])</f>
        <v>1200</v>
      </c>
      <c r="L1772" s="20">
        <f>SUM(Table13[[#This Row],[Company_Size_before_Layoffs]]-Table13[[#This Row],[Laid_Off]])</f>
        <v>900</v>
      </c>
      <c r="M1772" s="17" t="s">
        <v>68</v>
      </c>
      <c r="N1772" s="17" t="s">
        <v>63</v>
      </c>
      <c r="O1772" s="35">
        <v>643</v>
      </c>
      <c r="P1772" s="3">
        <v>2024</v>
      </c>
      <c r="Q1772" s="3">
        <f>VLOOKUP(C1772,layoffs_location!A:F,6,FALSE)</f>
        <v>39.739236400000003</v>
      </c>
      <c r="R1772" s="3">
        <f>VLOOKUP(C1772,layoffs_location!A:G,7,FALSE)</f>
        <v>-104.98486200000001</v>
      </c>
    </row>
    <row r="1773" spans="1:18" ht="16" x14ac:dyDescent="0.2">
      <c r="A1773" s="3">
        <v>1772</v>
      </c>
      <c r="B1773" s="4" t="s">
        <v>1641</v>
      </c>
      <c r="C1773" s="11" t="s">
        <v>1370</v>
      </c>
      <c r="D1773" s="3" t="str">
        <f>VLOOKUP(C1773,layoffs_location!A:B,2,FALSE)</f>
        <v>San Francisco Bay Area</v>
      </c>
      <c r="E1773" s="3" t="str">
        <f>VLOOKUP(C1773,layoffs_location!A:C,3,FALSE)</f>
        <v>California</v>
      </c>
      <c r="F1773" s="3" t="str">
        <f>VLOOKUP(C1773,layoffs_location!A:D,4,FALSE)</f>
        <v>USA</v>
      </c>
      <c r="G1773" s="3" t="str">
        <f>VLOOKUP(C1773,layoffs_location!A:E,5,FALSE)</f>
        <v>North America</v>
      </c>
      <c r="H1773" s="4"/>
      <c r="I1773" s="24">
        <v>45434</v>
      </c>
      <c r="J1773" s="31">
        <v>30</v>
      </c>
      <c r="K1773" s="25"/>
      <c r="L1773" s="25"/>
      <c r="M1773" s="4" t="s">
        <v>1896</v>
      </c>
      <c r="N1773" s="4" t="s">
        <v>1493</v>
      </c>
      <c r="O1773" s="27">
        <v>272</v>
      </c>
      <c r="P1773" s="7">
        <v>2024</v>
      </c>
      <c r="Q1773" s="3">
        <f>VLOOKUP(C1773,layoffs_location!A:F,6,FALSE)</f>
        <v>37.779258800000001</v>
      </c>
      <c r="R1773" s="3">
        <f>VLOOKUP(C1773,layoffs_location!A:G,7,FALSE)</f>
        <v>-122.4193286</v>
      </c>
    </row>
    <row r="1774" spans="1:18" x14ac:dyDescent="0.2">
      <c r="A1774" s="3">
        <v>1773</v>
      </c>
      <c r="B1774" s="17" t="s">
        <v>314</v>
      </c>
      <c r="C1774" s="3" t="s">
        <v>74</v>
      </c>
      <c r="D1774" s="3" t="str">
        <f>VLOOKUP(C1774,layoffs_location!A:B,2,FALSE)</f>
        <v>other</v>
      </c>
      <c r="E1774" s="3" t="str">
        <f>VLOOKUP(C1774,layoffs_location!A:C,3,FALSE)</f>
        <v>California</v>
      </c>
      <c r="F1774" s="3" t="str">
        <f>VLOOKUP(C1774,layoffs_location!A:D,4,FALSE)</f>
        <v>USA</v>
      </c>
      <c r="G1774" s="3" t="str">
        <f>VLOOKUP(C1774,layoffs_location!A:E,5,FALSE)</f>
        <v>North America</v>
      </c>
      <c r="H1774" s="17">
        <v>180</v>
      </c>
      <c r="I1774" s="18">
        <v>45435</v>
      </c>
      <c r="J1774" s="19">
        <v>100</v>
      </c>
      <c r="K1774" s="20">
        <f>SUM((H1774*100)/Table13[[#This Row],[Percentage]])</f>
        <v>180</v>
      </c>
      <c r="L1774" s="20">
        <f>SUM(Table13[[#This Row],[Company_Size_before_Layoffs]]-Table13[[#This Row],[Laid_Off]])</f>
        <v>0</v>
      </c>
      <c r="M1774" s="17" t="s">
        <v>21</v>
      </c>
      <c r="N1774" s="17" t="s">
        <v>28</v>
      </c>
      <c r="O1774" s="35">
        <v>899</v>
      </c>
      <c r="P1774" s="3">
        <v>2024</v>
      </c>
      <c r="Q1774" s="3">
        <f>VLOOKUP(C1774,layoffs_location!A:F,6,FALSE)</f>
        <v>32.717420199999999</v>
      </c>
      <c r="R1774" s="3">
        <f>VLOOKUP(C1774,layoffs_location!A:G,7,FALSE)</f>
        <v>-117.162772</v>
      </c>
    </row>
    <row r="1775" spans="1:18" x14ac:dyDescent="0.2">
      <c r="A1775" s="3">
        <v>1774</v>
      </c>
      <c r="B1775" s="17" t="s">
        <v>366</v>
      </c>
      <c r="C1775" s="17" t="s">
        <v>1721</v>
      </c>
      <c r="D1775" s="3" t="str">
        <f>VLOOKUP(C1775,layoffs_location!A:B,2,FALSE)</f>
        <v>New York</v>
      </c>
      <c r="E1775" s="3" t="str">
        <f>VLOOKUP(C1775,layoffs_location!A:C,3,FALSE)</f>
        <v>New Jersey</v>
      </c>
      <c r="F1775" s="3" t="str">
        <f>VLOOKUP(C1775,layoffs_location!A:D,4,FALSE)</f>
        <v>USA</v>
      </c>
      <c r="G1775" s="3" t="str">
        <f>VLOOKUP(C1775,layoffs_location!A:E,5,FALSE)</f>
        <v>North America</v>
      </c>
      <c r="H1775" s="17">
        <v>400</v>
      </c>
      <c r="I1775" s="18">
        <v>45436</v>
      </c>
      <c r="J1775" s="19">
        <v>6</v>
      </c>
      <c r="K1775" s="20">
        <f>SUM((H1775*100)/Table13[[#This Row],[Percentage]])</f>
        <v>6666.666666666667</v>
      </c>
      <c r="L1775" s="20">
        <f>SUM(Table13[[#This Row],[Company_Size_before_Layoffs]]-Table13[[#This Row],[Laid_Off]])</f>
        <v>6266.666666666667</v>
      </c>
      <c r="M1775" s="17" t="s">
        <v>32</v>
      </c>
      <c r="N1775" s="17" t="s">
        <v>28</v>
      </c>
      <c r="O1775" s="35">
        <v>8300</v>
      </c>
      <c r="P1775" s="3">
        <v>2024</v>
      </c>
      <c r="Q1775" s="3">
        <f>VLOOKUP(C1775,layoffs_location!A:F,6,FALSE)</f>
        <v>40.724285421760499</v>
      </c>
      <c r="R1775" s="3">
        <f>VLOOKUP(C1775,layoffs_location!A:G,7,FALSE)</f>
        <v>-74.169028352019893</v>
      </c>
    </row>
    <row r="1776" spans="1:18" ht="16" x14ac:dyDescent="0.2">
      <c r="A1776" s="3">
        <v>1775</v>
      </c>
      <c r="B1776" s="4" t="s">
        <v>1431</v>
      </c>
      <c r="C1776" s="4" t="s">
        <v>1432</v>
      </c>
      <c r="D1776" s="3" t="str">
        <f>VLOOKUP(C1776,layoffs_location!A:B,2,FALSE)</f>
        <v>other</v>
      </c>
      <c r="E1776" s="3" t="str">
        <f>VLOOKUP(C1776,layoffs_location!A:C,3,FALSE)</f>
        <v>non</v>
      </c>
      <c r="F1776" s="3" t="str">
        <f>VLOOKUP(C1776,layoffs_location!A:D,4,FALSE)</f>
        <v>Uruquay</v>
      </c>
      <c r="G1776" s="3" t="str">
        <f>VLOOKUP(C1776,layoffs_location!A:E,5,FALSE)</f>
        <v>South America</v>
      </c>
      <c r="H1776" s="23">
        <v>34</v>
      </c>
      <c r="I1776" s="24">
        <v>45436</v>
      </c>
      <c r="J1776" s="31">
        <v>13</v>
      </c>
      <c r="K1776" s="20">
        <f>SUM((H1776*100)/Table13[[#This Row],[Percentage]])</f>
        <v>261.53846153846155</v>
      </c>
      <c r="L1776" s="25">
        <f>SUM(Table13[[#This Row],[Company_Size_before_Layoffs]]-Table13[[#This Row],[Laid_Off]])</f>
        <v>227.53846153846155</v>
      </c>
      <c r="M1776" s="4" t="s">
        <v>1906</v>
      </c>
      <c r="N1776" s="4" t="s">
        <v>1491</v>
      </c>
      <c r="O1776" s="27">
        <v>424</v>
      </c>
      <c r="P1776" s="7">
        <v>2024</v>
      </c>
      <c r="Q1776" s="3">
        <f>VLOOKUP(C1776,layoffs_location!A:F,6,FALSE)</f>
        <v>-34.901111999999998</v>
      </c>
      <c r="R1776" s="3">
        <f>VLOOKUP(C1776,layoffs_location!A:G,7,FALSE)</f>
        <v>-56.164532000000001</v>
      </c>
    </row>
    <row r="1777" spans="1:18" x14ac:dyDescent="0.2">
      <c r="A1777" s="3">
        <v>1776</v>
      </c>
      <c r="B1777" s="17" t="s">
        <v>1468</v>
      </c>
      <c r="C1777" s="17" t="s">
        <v>39</v>
      </c>
      <c r="D1777" s="3" t="str">
        <f>VLOOKUP(C1777,layoffs_location!A:B,2,FALSE)</f>
        <v>New York</v>
      </c>
      <c r="E1777" s="3" t="str">
        <f>VLOOKUP(C1777,layoffs_location!A:C,3,FALSE)</f>
        <v>New York</v>
      </c>
      <c r="F1777" s="3" t="str">
        <f>VLOOKUP(C1777,layoffs_location!A:D,4,FALSE)</f>
        <v>USA</v>
      </c>
      <c r="G1777" s="3" t="str">
        <f>VLOOKUP(C1777,layoffs_location!A:E,5,FALSE)</f>
        <v>North America</v>
      </c>
      <c r="H1777" s="17">
        <v>105</v>
      </c>
      <c r="I1777" s="18">
        <v>45439</v>
      </c>
      <c r="J1777" s="19">
        <v>25</v>
      </c>
      <c r="K1777" s="20">
        <f>SUM((H1777*100)/Table13[[#This Row],[Percentage]])</f>
        <v>420</v>
      </c>
      <c r="L1777" s="20">
        <f>SUM(Table13[[#This Row],[Company_Size_before_Layoffs]]-Table13[[#This Row],[Laid_Off]])</f>
        <v>315</v>
      </c>
      <c r="M1777" s="17" t="s">
        <v>130</v>
      </c>
      <c r="N1777" s="17" t="s">
        <v>81</v>
      </c>
      <c r="O1777" s="35">
        <v>390</v>
      </c>
      <c r="P1777" s="3">
        <v>2024</v>
      </c>
      <c r="Q1777" s="3">
        <f>VLOOKUP(C1777,layoffs_location!A:F,6,FALSE)</f>
        <v>40.7127281</v>
      </c>
      <c r="R1777" s="3">
        <f>VLOOKUP(C1777,layoffs_location!A:G,7,FALSE)</f>
        <v>-74.006015199999993</v>
      </c>
    </row>
    <row r="1778" spans="1:18" x14ac:dyDescent="0.2">
      <c r="A1778" s="3">
        <v>1777</v>
      </c>
      <c r="B1778" s="17" t="s">
        <v>638</v>
      </c>
      <c r="C1778" s="17" t="s">
        <v>639</v>
      </c>
      <c r="D1778" s="3" t="str">
        <f>VLOOKUP(C1778,layoffs_location!A:B,2,FALSE)</f>
        <v>other</v>
      </c>
      <c r="E1778" s="3" t="str">
        <f>VLOOKUP(C1778,layoffs_location!A:C,3,FALSE)</f>
        <v>non</v>
      </c>
      <c r="F1778" s="3" t="str">
        <f>VLOOKUP(C1778,layoffs_location!A:D,4,FALSE)</f>
        <v>Argentina</v>
      </c>
      <c r="G1778" s="3" t="str">
        <f>VLOOKUP(C1778,layoffs_location!A:E,5,FALSE)</f>
        <v>South America</v>
      </c>
      <c r="H1778" s="17">
        <v>140</v>
      </c>
      <c r="I1778" s="18">
        <v>45440</v>
      </c>
      <c r="J1778" s="19">
        <v>9</v>
      </c>
      <c r="K1778" s="20">
        <f>SUM((H1778*100)/Table13[[#This Row],[Percentage]])</f>
        <v>1555.5555555555557</v>
      </c>
      <c r="L1778" s="20">
        <f>SUM(Table13[[#This Row],[Company_Size_before_Layoffs]]-Table13[[#This Row],[Laid_Off]])</f>
        <v>1415.5555555555557</v>
      </c>
      <c r="M1778" s="17" t="s">
        <v>1377</v>
      </c>
      <c r="N1778" s="17" t="s">
        <v>22</v>
      </c>
      <c r="O1778" s="35"/>
      <c r="P1778" s="3">
        <v>2024</v>
      </c>
      <c r="Q1778" s="3">
        <f>VLOOKUP(C1778,layoffs_location!A:F,6,FALSE)</f>
        <v>-34.603718100000002</v>
      </c>
      <c r="R1778" s="3">
        <f>VLOOKUP(C1778,layoffs_location!A:G,7,FALSE)</f>
        <v>-58.381529999999998</v>
      </c>
    </row>
    <row r="1779" spans="1:18" x14ac:dyDescent="0.2">
      <c r="A1779" s="3">
        <v>1778</v>
      </c>
      <c r="B1779" s="17" t="s">
        <v>1454</v>
      </c>
      <c r="C1779" s="17" t="s">
        <v>725</v>
      </c>
      <c r="D1779" s="3" t="str">
        <f>VLOOKUP(C1779,layoffs_location!A:B,2,FALSE)</f>
        <v>other</v>
      </c>
      <c r="E1779" s="3" t="str">
        <f>VLOOKUP(C1779,layoffs_location!A:C,3,FALSE)</f>
        <v>non</v>
      </c>
      <c r="F1779" s="3" t="str">
        <f>VLOOKUP(C1779,layoffs_location!A:D,4,FALSE)</f>
        <v>Norway</v>
      </c>
      <c r="G1779" s="3" t="str">
        <f>VLOOKUP(C1779,layoffs_location!A:E,5,FALSE)</f>
        <v>Europe</v>
      </c>
      <c r="H1779" s="17"/>
      <c r="I1779" s="18">
        <v>45441</v>
      </c>
      <c r="J1779" s="19"/>
      <c r="K1779" s="20"/>
      <c r="L1779" s="20"/>
      <c r="M1779" s="17" t="s">
        <v>1455</v>
      </c>
      <c r="N1779" s="17" t="s">
        <v>22</v>
      </c>
      <c r="O1779" s="35"/>
      <c r="P1779" s="3">
        <v>2024</v>
      </c>
      <c r="Q1779" s="3">
        <f>VLOOKUP(C1779,layoffs_location!A:F,6,FALSE)</f>
        <v>59.913330100000003</v>
      </c>
      <c r="R1779" s="3">
        <f>VLOOKUP(C1779,layoffs_location!A:G,7,FALSE)</f>
        <v>10.7389701</v>
      </c>
    </row>
    <row r="1780" spans="1:18" ht="16" x14ac:dyDescent="0.2">
      <c r="A1780" s="3">
        <v>1779</v>
      </c>
      <c r="B1780" s="4" t="s">
        <v>1558</v>
      </c>
      <c r="C1780" s="4" t="s">
        <v>58</v>
      </c>
      <c r="D1780" s="3" t="str">
        <f>VLOOKUP(C1780,layoffs_location!A:B,2,FALSE)</f>
        <v>other</v>
      </c>
      <c r="E1780" s="3" t="str">
        <f>VLOOKUP(C1780,layoffs_location!A:C,3,FALSE)</f>
        <v>England</v>
      </c>
      <c r="F1780" s="3" t="str">
        <f>VLOOKUP(C1780,layoffs_location!A:D,4,FALSE)</f>
        <v>UK</v>
      </c>
      <c r="G1780" s="3" t="str">
        <f>VLOOKUP(C1780,layoffs_location!A:E,5,FALSE)</f>
        <v>Europe</v>
      </c>
      <c r="H1780" s="4"/>
      <c r="I1780" s="24">
        <v>45441</v>
      </c>
      <c r="J1780" s="5"/>
      <c r="K1780" s="25"/>
      <c r="L1780" s="25"/>
      <c r="M1780" s="4" t="s">
        <v>1893</v>
      </c>
      <c r="N1780" s="4" t="s">
        <v>1491</v>
      </c>
      <c r="O1780" s="27">
        <v>746</v>
      </c>
      <c r="P1780" s="7">
        <v>2024</v>
      </c>
      <c r="Q1780" s="3">
        <f>VLOOKUP(C1780,layoffs_location!A:F,6,FALSE)</f>
        <v>51.489333500000001</v>
      </c>
      <c r="R1780" s="3">
        <f>VLOOKUP(C1780,layoffs_location!A:G,7,FALSE)</f>
        <v>-0.14405508452768701</v>
      </c>
    </row>
    <row r="1781" spans="1:18" x14ac:dyDescent="0.2">
      <c r="A1781" s="3">
        <v>1780</v>
      </c>
      <c r="B1781" s="17" t="s">
        <v>1691</v>
      </c>
      <c r="C1781" s="17" t="s">
        <v>39</v>
      </c>
      <c r="D1781" s="3" t="str">
        <f>VLOOKUP(C1781,layoffs_location!A:B,2,FALSE)</f>
        <v>New York</v>
      </c>
      <c r="E1781" s="3" t="str">
        <f>VLOOKUP(C1781,layoffs_location!A:C,3,FALSE)</f>
        <v>New York</v>
      </c>
      <c r="F1781" s="3" t="str">
        <f>VLOOKUP(C1781,layoffs_location!A:D,4,FALSE)</f>
        <v>USA</v>
      </c>
      <c r="G1781" s="3" t="str">
        <f>VLOOKUP(C1781,layoffs_location!A:E,5,FALSE)</f>
        <v>North America</v>
      </c>
      <c r="H1781" s="17">
        <v>70</v>
      </c>
      <c r="I1781" s="18">
        <v>45441</v>
      </c>
      <c r="J1781" s="19"/>
      <c r="K1781" s="20"/>
      <c r="L1781" s="20"/>
      <c r="M1781" s="17" t="s">
        <v>1460</v>
      </c>
      <c r="N1781" s="17" t="s">
        <v>22</v>
      </c>
      <c r="O1781" s="35"/>
      <c r="P1781" s="3">
        <v>2024</v>
      </c>
      <c r="Q1781" s="3">
        <f>VLOOKUP(C1781,layoffs_location!A:F,6,FALSE)</f>
        <v>40.7127281</v>
      </c>
      <c r="R1781" s="3">
        <f>VLOOKUP(C1781,layoffs_location!A:G,7,FALSE)</f>
        <v>-74.006015199999993</v>
      </c>
    </row>
    <row r="1782" spans="1:18" ht="16" x14ac:dyDescent="0.2">
      <c r="A1782" s="3">
        <v>1781</v>
      </c>
      <c r="B1782" s="17" t="s">
        <v>1327</v>
      </c>
      <c r="C1782" s="17" t="s">
        <v>47</v>
      </c>
      <c r="D1782" s="3" t="str">
        <f>VLOOKUP(C1782,layoffs_location!A:B,2,FALSE)</f>
        <v>other</v>
      </c>
      <c r="E1782" s="3" t="str">
        <f>VLOOKUP(C1782,layoffs_location!A:C,3,FALSE)</f>
        <v>non</v>
      </c>
      <c r="F1782" s="3" t="str">
        <f>VLOOKUP(C1782,layoffs_location!A:D,4,FALSE)</f>
        <v>Israel</v>
      </c>
      <c r="G1782" s="3" t="str">
        <f>VLOOKUP(C1782,layoffs_location!A:E,5,FALSE)</f>
        <v>Asia</v>
      </c>
      <c r="H1782" s="17">
        <v>15</v>
      </c>
      <c r="I1782" s="18">
        <v>45441</v>
      </c>
      <c r="J1782" s="19">
        <v>20</v>
      </c>
      <c r="K1782" s="20">
        <f>SUM((H1782*100)/Table13[[#This Row],[Percentage]])</f>
        <v>75</v>
      </c>
      <c r="L1782" s="20">
        <f>SUM(Table13[[#This Row],[Company_Size_before_Layoffs]]-Table13[[#This Row],[Laid_Off]])</f>
        <v>60</v>
      </c>
      <c r="M1782" s="17" t="s">
        <v>92</v>
      </c>
      <c r="N1782" s="4" t="s">
        <v>1492</v>
      </c>
      <c r="O1782" s="27">
        <v>56</v>
      </c>
      <c r="P1782" s="7">
        <v>2024</v>
      </c>
      <c r="Q1782" s="3">
        <f>VLOOKUP(C1782,layoffs_location!A:F,6,FALSE)</f>
        <v>32.0852997</v>
      </c>
      <c r="R1782" s="3">
        <f>VLOOKUP(C1782,layoffs_location!A:G,7,FALSE)</f>
        <v>34.781806400000001</v>
      </c>
    </row>
    <row r="1783" spans="1:18" x14ac:dyDescent="0.2">
      <c r="A1783" s="3">
        <v>1782</v>
      </c>
      <c r="B1783" s="17" t="s">
        <v>1483</v>
      </c>
      <c r="C1783" s="17" t="s">
        <v>145</v>
      </c>
      <c r="D1783" s="3" t="str">
        <f>VLOOKUP(C1783,layoffs_location!A:B,2,FALSE)</f>
        <v>Cascadia</v>
      </c>
      <c r="E1783" s="3" t="str">
        <f>VLOOKUP(C1783,layoffs_location!A:C,3,FALSE)</f>
        <v>Oregon</v>
      </c>
      <c r="F1783" s="3" t="str">
        <f>VLOOKUP(C1783,layoffs_location!A:D,4,FALSE)</f>
        <v>USA</v>
      </c>
      <c r="G1783" s="3" t="str">
        <f>VLOOKUP(C1783,layoffs_location!A:E,5,FALSE)</f>
        <v>North America</v>
      </c>
      <c r="H1783" s="17">
        <v>73</v>
      </c>
      <c r="I1783" s="18">
        <v>45442</v>
      </c>
      <c r="J1783" s="19"/>
      <c r="K1783" s="20"/>
      <c r="L1783" s="20"/>
      <c r="M1783" s="17" t="s">
        <v>72</v>
      </c>
      <c r="N1783" s="17" t="s">
        <v>33</v>
      </c>
      <c r="O1783" s="35">
        <v>3</v>
      </c>
      <c r="P1783" s="3">
        <v>2024</v>
      </c>
      <c r="Q1783" s="3">
        <f>VLOOKUP(C1783,layoffs_location!A:F,6,FALSE)</f>
        <v>45.520247099999999</v>
      </c>
      <c r="R1783" s="3">
        <f>VLOOKUP(C1783,layoffs_location!A:G,7,FALSE)</f>
        <v>-122.674194</v>
      </c>
    </row>
    <row r="1784" spans="1:18" x14ac:dyDescent="0.2">
      <c r="A1784" s="3">
        <v>1783</v>
      </c>
      <c r="B1784" s="17" t="s">
        <v>1484</v>
      </c>
      <c r="C1784" s="17" t="s">
        <v>76</v>
      </c>
      <c r="D1784" s="3" t="str">
        <f>VLOOKUP(C1784,layoffs_location!A:B,2,FALSE)</f>
        <v>other</v>
      </c>
      <c r="E1784" s="3" t="str">
        <f>VLOOKUP(C1784,layoffs_location!A:C,3,FALSE)</f>
        <v>California</v>
      </c>
      <c r="F1784" s="3" t="str">
        <f>VLOOKUP(C1784,layoffs_location!A:D,4,FALSE)</f>
        <v>USA</v>
      </c>
      <c r="G1784" s="3" t="str">
        <f>VLOOKUP(C1784,layoffs_location!A:E,5,FALSE)</f>
        <v>North America</v>
      </c>
      <c r="H1784" s="17">
        <v>33</v>
      </c>
      <c r="I1784" s="18">
        <v>45442</v>
      </c>
      <c r="J1784" s="19">
        <v>7</v>
      </c>
      <c r="K1784" s="20">
        <f>SUM((H1784*100)/Table13[[#This Row],[Percentage]])</f>
        <v>471.42857142857144</v>
      </c>
      <c r="L1784" s="20">
        <f>SUM(Table13[[#This Row],[Company_Size_before_Layoffs]]-Table13[[#This Row],[Laid_Off]])</f>
        <v>438.42857142857144</v>
      </c>
      <c r="M1784" s="17" t="s">
        <v>239</v>
      </c>
      <c r="N1784" s="17" t="s">
        <v>22</v>
      </c>
      <c r="O1784" s="35"/>
      <c r="P1784" s="3">
        <v>2024</v>
      </c>
      <c r="Q1784" s="3">
        <f>VLOOKUP(C1784,layoffs_location!A:F,6,FALSE)</f>
        <v>34.053690899999999</v>
      </c>
      <c r="R1784" s="3">
        <f>VLOOKUP(C1784,layoffs_location!A:G,7,FALSE)</f>
        <v>-118.242766</v>
      </c>
    </row>
    <row r="1785" spans="1:18" ht="16" x14ac:dyDescent="0.2">
      <c r="A1785" s="3">
        <v>1784</v>
      </c>
      <c r="B1785" s="17" t="s">
        <v>513</v>
      </c>
      <c r="C1785" s="17" t="s">
        <v>1408</v>
      </c>
      <c r="D1785" s="3" t="str">
        <f>VLOOKUP(C1785,layoffs_location!A:B,2,FALSE)</f>
        <v>San Francisco Bay Area</v>
      </c>
      <c r="E1785" s="3" t="str">
        <f>VLOOKUP(C1785,layoffs_location!A:C,3,FALSE)</f>
        <v>California</v>
      </c>
      <c r="F1785" s="3" t="str">
        <f>VLOOKUP(C1785,layoffs_location!A:D,4,FALSE)</f>
        <v>USA</v>
      </c>
      <c r="G1785" s="3" t="str">
        <f>VLOOKUP(C1785,layoffs_location!A:E,5,FALSE)</f>
        <v>North America</v>
      </c>
      <c r="H1785" s="17">
        <v>100</v>
      </c>
      <c r="I1785" s="18">
        <v>45443</v>
      </c>
      <c r="J1785" s="19"/>
      <c r="K1785" s="20"/>
      <c r="L1785" s="20"/>
      <c r="M1785" s="17" t="s">
        <v>16</v>
      </c>
      <c r="N1785" s="4" t="s">
        <v>28</v>
      </c>
      <c r="O1785" s="27">
        <v>26</v>
      </c>
      <c r="P1785" s="3">
        <v>2024</v>
      </c>
      <c r="Q1785" s="3">
        <f>VLOOKUP(C1785,layoffs_location!A:F,6,FALSE)</f>
        <v>37.3893889</v>
      </c>
      <c r="R1785" s="3">
        <f>VLOOKUP(C1785,layoffs_location!A:G,7,FALSE)</f>
        <v>-122.0832101</v>
      </c>
    </row>
    <row r="1786" spans="1:18" ht="16" x14ac:dyDescent="0.2">
      <c r="A1786" s="3">
        <v>1785</v>
      </c>
      <c r="B1786" s="4" t="s">
        <v>1564</v>
      </c>
      <c r="C1786" s="4" t="s">
        <v>39</v>
      </c>
      <c r="D1786" s="3" t="str">
        <f>VLOOKUP(C1786,layoffs_location!A:B,2,FALSE)</f>
        <v>New York</v>
      </c>
      <c r="E1786" s="3" t="str">
        <f>VLOOKUP(C1786,layoffs_location!A:C,3,FALSE)</f>
        <v>New York</v>
      </c>
      <c r="F1786" s="3" t="str">
        <f>VLOOKUP(C1786,layoffs_location!A:D,4,FALSE)</f>
        <v>USA</v>
      </c>
      <c r="G1786" s="3" t="str">
        <f>VLOOKUP(C1786,layoffs_location!A:E,5,FALSE)</f>
        <v>North America</v>
      </c>
      <c r="H1786" s="4"/>
      <c r="I1786" s="24">
        <v>45443</v>
      </c>
      <c r="J1786" s="31">
        <v>10</v>
      </c>
      <c r="K1786" s="25"/>
      <c r="L1786" s="25"/>
      <c r="M1786" s="4" t="s">
        <v>1896</v>
      </c>
      <c r="N1786" s="4" t="s">
        <v>1492</v>
      </c>
      <c r="O1786" s="27">
        <v>118</v>
      </c>
      <c r="P1786" s="7">
        <v>2024</v>
      </c>
      <c r="Q1786" s="3">
        <f>VLOOKUP(C1786,layoffs_location!A:F,6,FALSE)</f>
        <v>40.7127281</v>
      </c>
      <c r="R1786" s="3">
        <f>VLOOKUP(C1786,layoffs_location!A:G,7,FALSE)</f>
        <v>-74.006015199999993</v>
      </c>
    </row>
    <row r="1787" spans="1:18" ht="16" x14ac:dyDescent="0.2">
      <c r="A1787" s="3">
        <v>1786</v>
      </c>
      <c r="B1787" s="4" t="s">
        <v>1581</v>
      </c>
      <c r="C1787" s="4" t="s">
        <v>430</v>
      </c>
      <c r="D1787" s="3" t="str">
        <f>VLOOKUP(C1787,layoffs_location!A:B,2,FALSE)</f>
        <v>other</v>
      </c>
      <c r="E1787" s="3" t="str">
        <f>VLOOKUP(C1787,layoffs_location!A:C,3,FALSE)</f>
        <v>Idaho</v>
      </c>
      <c r="F1787" s="3" t="str">
        <f>VLOOKUP(C1787,layoffs_location!A:D,4,FALSE)</f>
        <v>USA</v>
      </c>
      <c r="G1787" s="3" t="str">
        <f>VLOOKUP(C1787,layoffs_location!A:E,5,FALSE)</f>
        <v>North America</v>
      </c>
      <c r="H1787" s="4"/>
      <c r="I1787" s="24">
        <v>45443</v>
      </c>
      <c r="J1787" s="5"/>
      <c r="K1787" s="25"/>
      <c r="L1787" s="25"/>
      <c r="M1787" s="4" t="s">
        <v>1892</v>
      </c>
      <c r="N1787" s="4" t="s">
        <v>1494</v>
      </c>
      <c r="O1787" s="27">
        <v>32</v>
      </c>
      <c r="P1787" s="7">
        <v>2024</v>
      </c>
      <c r="Q1787" s="3">
        <f>VLOOKUP(C1787,layoffs_location!A:F,6,FALSE)</f>
        <v>43.616616299999997</v>
      </c>
      <c r="R1787" s="3">
        <f>VLOOKUP(C1787,layoffs_location!A:G,7,FALSE)</f>
        <v>-116.200886</v>
      </c>
    </row>
    <row r="1788" spans="1:18" ht="16" x14ac:dyDescent="0.2">
      <c r="A1788" s="3">
        <v>1787</v>
      </c>
      <c r="B1788" s="17" t="s">
        <v>1458</v>
      </c>
      <c r="C1788" s="17" t="s">
        <v>39</v>
      </c>
      <c r="D1788" s="3" t="str">
        <f>VLOOKUP(C1788,layoffs_location!A:B,2,FALSE)</f>
        <v>New York</v>
      </c>
      <c r="E1788" s="3" t="str">
        <f>VLOOKUP(C1788,layoffs_location!A:C,3,FALSE)</f>
        <v>New York</v>
      </c>
      <c r="F1788" s="3" t="str">
        <f>VLOOKUP(C1788,layoffs_location!A:D,4,FALSE)</f>
        <v>USA</v>
      </c>
      <c r="G1788" s="3" t="str">
        <f>VLOOKUP(C1788,layoffs_location!A:E,5,FALSE)</f>
        <v>North America</v>
      </c>
      <c r="H1788" s="17">
        <v>40</v>
      </c>
      <c r="I1788" s="18">
        <v>45443</v>
      </c>
      <c r="J1788" s="19"/>
      <c r="K1788" s="20"/>
      <c r="L1788" s="20"/>
      <c r="M1788" s="17" t="s">
        <v>35</v>
      </c>
      <c r="N1788" s="4" t="s">
        <v>1492</v>
      </c>
      <c r="O1788" s="27">
        <v>67</v>
      </c>
      <c r="P1788" s="7">
        <v>2024</v>
      </c>
      <c r="Q1788" s="3">
        <f>VLOOKUP(C1788,layoffs_location!A:F,6,FALSE)</f>
        <v>40.7127281</v>
      </c>
      <c r="R1788" s="3">
        <f>VLOOKUP(C1788,layoffs_location!A:G,7,FALSE)</f>
        <v>-74.006015199999993</v>
      </c>
    </row>
    <row r="1789" spans="1:18" ht="16" x14ac:dyDescent="0.2">
      <c r="A1789" s="3">
        <v>1788</v>
      </c>
      <c r="B1789" s="4" t="s">
        <v>523</v>
      </c>
      <c r="C1789" s="4" t="s">
        <v>4589</v>
      </c>
      <c r="D1789" s="3" t="str">
        <f>VLOOKUP(C1789,layoffs_location!A:B,2,FALSE)</f>
        <v>Cascadia</v>
      </c>
      <c r="E1789" s="3" t="str">
        <f>VLOOKUP(C1789,layoffs_location!A:C,3,FALSE)</f>
        <v>Washington</v>
      </c>
      <c r="F1789" s="3" t="str">
        <f>VLOOKUP(C1789,layoffs_location!A:D,4,FALSE)</f>
        <v>USA</v>
      </c>
      <c r="G1789" s="3" t="str">
        <f>VLOOKUP(C1789,layoffs_location!A:E,5,FALSE)</f>
        <v>Asia</v>
      </c>
      <c r="H1789" s="23">
        <v>1000</v>
      </c>
      <c r="I1789" s="24">
        <v>45446</v>
      </c>
      <c r="J1789" s="5"/>
      <c r="K1789" s="25"/>
      <c r="L1789" s="25"/>
      <c r="M1789" s="4" t="s">
        <v>1400</v>
      </c>
      <c r="N1789" s="32" t="s">
        <v>28</v>
      </c>
      <c r="O1789" s="27"/>
      <c r="P1789" s="7">
        <v>2024</v>
      </c>
      <c r="Q1789" s="3">
        <f>VLOOKUP(C1789,layoffs_location!A:F,6,FALSE)</f>
        <v>47.645404522430098</v>
      </c>
      <c r="R1789" s="3">
        <f>VLOOKUP(C1789,layoffs_location!A:G,7,FALSE)</f>
        <v>-122.13299976733499</v>
      </c>
    </row>
    <row r="1790" spans="1:18" x14ac:dyDescent="0.2">
      <c r="A1790" s="3">
        <v>1789</v>
      </c>
      <c r="B1790" s="17" t="s">
        <v>742</v>
      </c>
      <c r="C1790" s="17" t="s">
        <v>743</v>
      </c>
      <c r="D1790" s="3" t="str">
        <f>VLOOKUP(C1790,layoffs_location!A:B,2,FALSE)</f>
        <v>other</v>
      </c>
      <c r="E1790" s="3" t="str">
        <f>VLOOKUP(C1790,layoffs_location!A:C,3,FALSE)</f>
        <v>non</v>
      </c>
      <c r="F1790" s="3" t="str">
        <f>VLOOKUP(C1790,layoffs_location!A:D,4,FALSE)</f>
        <v>Israel</v>
      </c>
      <c r="G1790" s="3" t="str">
        <f>VLOOKUP(C1790,layoffs_location!A:E,5,FALSE)</f>
        <v>Asia</v>
      </c>
      <c r="H1790" s="17">
        <v>100</v>
      </c>
      <c r="I1790" s="18">
        <v>45446</v>
      </c>
      <c r="J1790" s="19"/>
      <c r="K1790" s="20"/>
      <c r="L1790" s="20"/>
      <c r="M1790" s="17" t="s">
        <v>21</v>
      </c>
      <c r="N1790" s="17" t="s">
        <v>22</v>
      </c>
      <c r="O1790" s="35">
        <v>86</v>
      </c>
      <c r="P1790" s="3">
        <v>2024</v>
      </c>
      <c r="Q1790" s="3">
        <f>VLOOKUP(C1790,layoffs_location!A:F,6,FALSE)</f>
        <v>31.788471850000001</v>
      </c>
      <c r="R1790" s="3">
        <f>VLOOKUP(C1790,layoffs_location!A:G,7,FALSE)</f>
        <v>35.218794410944902</v>
      </c>
    </row>
    <row r="1791" spans="1:18" x14ac:dyDescent="0.2">
      <c r="A1791" s="3">
        <v>1790</v>
      </c>
      <c r="B1791" s="17" t="s">
        <v>523</v>
      </c>
      <c r="C1791" s="3" t="s">
        <v>4589</v>
      </c>
      <c r="D1791" s="3" t="str">
        <f>VLOOKUP(C1791,layoffs_location!A:B,2,FALSE)</f>
        <v>Cascadia</v>
      </c>
      <c r="E1791" s="3" t="str">
        <f>VLOOKUP(C1791,layoffs_location!A:C,3,FALSE)</f>
        <v>Washington</v>
      </c>
      <c r="F1791" s="3" t="str">
        <f>VLOOKUP(C1791,layoffs_location!A:D,4,FALSE)</f>
        <v>USA</v>
      </c>
      <c r="G1791" s="3" t="str">
        <f>VLOOKUP(C1791,layoffs_location!A:E,5,FALSE)</f>
        <v>Asia</v>
      </c>
      <c r="H1791" s="17">
        <v>3000</v>
      </c>
      <c r="I1791" s="18">
        <v>45447</v>
      </c>
      <c r="J1791" s="19"/>
      <c r="K1791" s="20"/>
      <c r="L1791" s="20"/>
      <c r="M1791" s="17" t="s">
        <v>1400</v>
      </c>
      <c r="N1791" s="17" t="s">
        <v>28</v>
      </c>
      <c r="O1791" s="35"/>
      <c r="P1791" s="3">
        <v>2024</v>
      </c>
      <c r="Q1791" s="3">
        <f>VLOOKUP(C1791,layoffs_location!A:F,6,FALSE)</f>
        <v>47.645404522430098</v>
      </c>
      <c r="R1791" s="3">
        <f>VLOOKUP(C1791,layoffs_location!A:G,7,FALSE)</f>
        <v>-122.13299976733499</v>
      </c>
    </row>
    <row r="1792" spans="1:18" ht="16" x14ac:dyDescent="0.2">
      <c r="A1792" s="3">
        <v>1791</v>
      </c>
      <c r="B1792" s="4" t="s">
        <v>1506</v>
      </c>
      <c r="C1792" s="4" t="s">
        <v>47</v>
      </c>
      <c r="D1792" s="3" t="str">
        <f>VLOOKUP(C1792,layoffs_location!A:B,2,FALSE)</f>
        <v>other</v>
      </c>
      <c r="E1792" s="3" t="str">
        <f>VLOOKUP(C1792,layoffs_location!A:C,3,FALSE)</f>
        <v>non</v>
      </c>
      <c r="F1792" s="3" t="str">
        <f>VLOOKUP(C1792,layoffs_location!A:D,4,FALSE)</f>
        <v>Israel</v>
      </c>
      <c r="G1792" s="3" t="str">
        <f>VLOOKUP(C1792,layoffs_location!A:E,5,FALSE)</f>
        <v>Asia</v>
      </c>
      <c r="H1792" s="23">
        <v>30</v>
      </c>
      <c r="I1792" s="24">
        <v>45448</v>
      </c>
      <c r="J1792" s="31">
        <v>30</v>
      </c>
      <c r="K1792" s="25">
        <f>SUM((Table13[[#This Row],[Laid_Off]]*100)/Table13[[#This Row],[Percentage]])</f>
        <v>100</v>
      </c>
      <c r="L1792" s="25">
        <f>SUM(Table13[[#This Row],[Company_Size_before_Layoffs]]-Table13[[#This Row],[Laid_Off]])</f>
        <v>70</v>
      </c>
      <c r="M1792" s="4" t="s">
        <v>1896</v>
      </c>
      <c r="N1792" s="32" t="s">
        <v>22</v>
      </c>
      <c r="O1792" s="16"/>
      <c r="P1792" s="7">
        <v>2024</v>
      </c>
      <c r="Q1792" s="3">
        <f>VLOOKUP(C1792,layoffs_location!A:F,6,FALSE)</f>
        <v>32.0852997</v>
      </c>
      <c r="R1792" s="3">
        <f>VLOOKUP(C1792,layoffs_location!A:G,7,FALSE)</f>
        <v>34.781806400000001</v>
      </c>
    </row>
    <row r="1793" spans="1:18" ht="16" x14ac:dyDescent="0.2">
      <c r="A1793" s="3">
        <v>1792</v>
      </c>
      <c r="B1793" s="17" t="s">
        <v>1420</v>
      </c>
      <c r="C1793" s="17" t="s">
        <v>678</v>
      </c>
      <c r="D1793" s="3" t="str">
        <f>VLOOKUP(C1793,layoffs_location!A:B,2,FALSE)</f>
        <v>other</v>
      </c>
      <c r="E1793" s="3" t="str">
        <f>VLOOKUP(C1793,layoffs_location!A:C,3,FALSE)</f>
        <v>Ohio</v>
      </c>
      <c r="F1793" s="3" t="str">
        <f>VLOOKUP(C1793,layoffs_location!A:D,4,FALSE)</f>
        <v>USA</v>
      </c>
      <c r="G1793" s="3" t="str">
        <f>VLOOKUP(C1793,layoffs_location!A:E,5,FALSE)</f>
        <v>North America</v>
      </c>
      <c r="H1793" s="17">
        <v>30</v>
      </c>
      <c r="I1793" s="18">
        <v>45448</v>
      </c>
      <c r="J1793" s="19">
        <v>10</v>
      </c>
      <c r="K1793" s="20">
        <f>SUM((H1793*100)/Table13[[#This Row],[Percentage]])</f>
        <v>300</v>
      </c>
      <c r="L1793" s="20">
        <f>SUM(Table13[[#This Row],[Company_Size_before_Layoffs]]-Table13[[#This Row],[Laid_Off]])</f>
        <v>270</v>
      </c>
      <c r="M1793" s="17" t="s">
        <v>117</v>
      </c>
      <c r="N1793" s="4" t="s">
        <v>1499</v>
      </c>
      <c r="O1793" s="27">
        <v>651</v>
      </c>
      <c r="P1793" s="3">
        <v>2024</v>
      </c>
      <c r="Q1793" s="3">
        <f>VLOOKUP(C1793,layoffs_location!A:F,6,FALSE)</f>
        <v>39.158168000000003</v>
      </c>
      <c r="R1793" s="3">
        <f>VLOOKUP(C1793,layoffs_location!A:G,7,FALSE)</f>
        <v>-75.524368199999998</v>
      </c>
    </row>
    <row r="1794" spans="1:18" x14ac:dyDescent="0.2">
      <c r="A1794" s="3">
        <v>1793</v>
      </c>
      <c r="B1794" s="17" t="s">
        <v>528</v>
      </c>
      <c r="C1794" s="17" t="s">
        <v>47</v>
      </c>
      <c r="D1794" s="3" t="str">
        <f>VLOOKUP(C1794,layoffs_location!A:B,2,FALSE)</f>
        <v>other</v>
      </c>
      <c r="E1794" s="3" t="str">
        <f>VLOOKUP(C1794,layoffs_location!A:C,3,FALSE)</f>
        <v>non</v>
      </c>
      <c r="F1794" s="3" t="str">
        <f>VLOOKUP(C1794,layoffs_location!A:D,4,FALSE)</f>
        <v>Israel</v>
      </c>
      <c r="G1794" s="3" t="str">
        <f>VLOOKUP(C1794,layoffs_location!A:E,5,FALSE)</f>
        <v>Asia</v>
      </c>
      <c r="H1794" s="17">
        <v>100</v>
      </c>
      <c r="I1794" s="18">
        <v>45448</v>
      </c>
      <c r="J1794" s="19">
        <v>14</v>
      </c>
      <c r="K1794" s="20">
        <f>SUM((H1794*100)/Table13[[#This Row],[Percentage]])</f>
        <v>714.28571428571433</v>
      </c>
      <c r="L1794" s="20">
        <f>SUM(Table13[[#This Row],[Company_Size_before_Layoffs]]-Table13[[#This Row],[Laid_Off]])</f>
        <v>614.28571428571433</v>
      </c>
      <c r="M1794" s="17" t="s">
        <v>35</v>
      </c>
      <c r="N1794" s="17" t="s">
        <v>28</v>
      </c>
      <c r="O1794" s="35">
        <v>571</v>
      </c>
      <c r="P1794" s="3">
        <v>2024</v>
      </c>
      <c r="Q1794" s="3">
        <f>VLOOKUP(C1794,layoffs_location!A:F,6,FALSE)</f>
        <v>32.0852997</v>
      </c>
      <c r="R1794" s="3">
        <f>VLOOKUP(C1794,layoffs_location!A:G,7,FALSE)</f>
        <v>34.781806400000001</v>
      </c>
    </row>
    <row r="1795" spans="1:18" ht="16" x14ac:dyDescent="0.2">
      <c r="A1795" s="3">
        <v>1794</v>
      </c>
      <c r="B1795" s="17" t="s">
        <v>1436</v>
      </c>
      <c r="C1795" s="17" t="s">
        <v>39</v>
      </c>
      <c r="D1795" s="3" t="str">
        <f>VLOOKUP(C1795,layoffs_location!A:B,2,FALSE)</f>
        <v>New York</v>
      </c>
      <c r="E1795" s="3" t="str">
        <f>VLOOKUP(C1795,layoffs_location!A:C,3,FALSE)</f>
        <v>New York</v>
      </c>
      <c r="F1795" s="3" t="str">
        <f>VLOOKUP(C1795,layoffs_location!A:D,4,FALSE)</f>
        <v>USA</v>
      </c>
      <c r="G1795" s="3" t="str">
        <f>VLOOKUP(C1795,layoffs_location!A:E,5,FALSE)</f>
        <v>North America</v>
      </c>
      <c r="H1795" s="17"/>
      <c r="I1795" s="18">
        <v>45448</v>
      </c>
      <c r="J1795" s="19">
        <v>12</v>
      </c>
      <c r="K1795" s="20"/>
      <c r="L1795" s="20"/>
      <c r="M1795" s="17" t="s">
        <v>130</v>
      </c>
      <c r="N1795" s="4" t="s">
        <v>1491</v>
      </c>
      <c r="O1795" s="27">
        <v>117</v>
      </c>
      <c r="P1795" s="7">
        <v>2024</v>
      </c>
      <c r="Q1795" s="3">
        <f>VLOOKUP(C1795,layoffs_location!A:F,6,FALSE)</f>
        <v>40.7127281</v>
      </c>
      <c r="R1795" s="3">
        <f>VLOOKUP(C1795,layoffs_location!A:G,7,FALSE)</f>
        <v>-74.006015199999993</v>
      </c>
    </row>
    <row r="1796" spans="1:18" x14ac:dyDescent="0.2">
      <c r="A1796" s="3">
        <v>1795</v>
      </c>
      <c r="B1796" s="17" t="s">
        <v>724</v>
      </c>
      <c r="C1796" s="17" t="s">
        <v>725</v>
      </c>
      <c r="D1796" s="3" t="str">
        <f>VLOOKUP(C1796,layoffs_location!A:B,2,FALSE)</f>
        <v>other</v>
      </c>
      <c r="E1796" s="3" t="str">
        <f>VLOOKUP(C1796,layoffs_location!A:C,3,FALSE)</f>
        <v>non</v>
      </c>
      <c r="F1796" s="3" t="str">
        <f>VLOOKUP(C1796,layoffs_location!A:D,4,FALSE)</f>
        <v>Norway</v>
      </c>
      <c r="G1796" s="3" t="str">
        <f>VLOOKUP(C1796,layoffs_location!A:E,5,FALSE)</f>
        <v>Europe</v>
      </c>
      <c r="H1796" s="17">
        <v>150</v>
      </c>
      <c r="I1796" s="18">
        <v>45449</v>
      </c>
      <c r="J1796" s="19"/>
      <c r="K1796" s="20"/>
      <c r="L1796" s="20"/>
      <c r="M1796" s="17" t="s">
        <v>77</v>
      </c>
      <c r="N1796" s="17" t="s">
        <v>22</v>
      </c>
      <c r="O1796" s="35">
        <v>377</v>
      </c>
      <c r="P1796" s="3">
        <v>2024</v>
      </c>
      <c r="Q1796" s="3">
        <f>VLOOKUP(C1796,layoffs_location!A:F,6,FALSE)</f>
        <v>59.913330100000003</v>
      </c>
      <c r="R1796" s="3">
        <f>VLOOKUP(C1796,layoffs_location!A:G,7,FALSE)</f>
        <v>10.7389701</v>
      </c>
    </row>
    <row r="1797" spans="1:18" ht="16" x14ac:dyDescent="0.2">
      <c r="A1797" s="3">
        <v>1796</v>
      </c>
      <c r="B1797" s="4" t="s">
        <v>1633</v>
      </c>
      <c r="C1797" s="4" t="s">
        <v>39</v>
      </c>
      <c r="D1797" s="3" t="str">
        <f>VLOOKUP(C1797,layoffs_location!A:B,2,FALSE)</f>
        <v>New York</v>
      </c>
      <c r="E1797" s="3" t="str">
        <f>VLOOKUP(C1797,layoffs_location!A:C,3,FALSE)</f>
        <v>New York</v>
      </c>
      <c r="F1797" s="3" t="str">
        <f>VLOOKUP(C1797,layoffs_location!A:D,4,FALSE)</f>
        <v>USA</v>
      </c>
      <c r="G1797" s="3" t="str">
        <f>VLOOKUP(C1797,layoffs_location!A:E,5,FALSE)</f>
        <v>North America</v>
      </c>
      <c r="H1797" s="23">
        <v>1000</v>
      </c>
      <c r="I1797" s="24">
        <v>45449</v>
      </c>
      <c r="J1797" s="5"/>
      <c r="K1797" s="25"/>
      <c r="L1797" s="25"/>
      <c r="M1797" s="4" t="s">
        <v>32</v>
      </c>
      <c r="N1797" s="7" t="s">
        <v>1499</v>
      </c>
      <c r="O1797" s="27">
        <v>214</v>
      </c>
      <c r="P1797" s="7">
        <v>2024</v>
      </c>
      <c r="Q1797" s="3">
        <f>VLOOKUP(C1797,layoffs_location!A:F,6,FALSE)</f>
        <v>40.7127281</v>
      </c>
      <c r="R1797" s="3">
        <f>VLOOKUP(C1797,layoffs_location!A:G,7,FALSE)</f>
        <v>-74.006015199999993</v>
      </c>
    </row>
    <row r="1798" spans="1:18" x14ac:dyDescent="0.2">
      <c r="A1798" s="3">
        <v>1797</v>
      </c>
      <c r="B1798" s="17" t="s">
        <v>204</v>
      </c>
      <c r="C1798" s="17" t="s">
        <v>164</v>
      </c>
      <c r="D1798" s="3" t="str">
        <f>VLOOKUP(C1798,layoffs_location!A:B,2,FALSE)</f>
        <v>other</v>
      </c>
      <c r="E1798" s="3" t="str">
        <f>VLOOKUP(C1798,layoffs_location!A:C,3,FALSE)</f>
        <v>non</v>
      </c>
      <c r="F1798" s="3" t="str">
        <f>VLOOKUP(C1798,layoffs_location!A:D,4,FALSE)</f>
        <v>Kenya</v>
      </c>
      <c r="G1798" s="3" t="str">
        <f>VLOOKUP(C1798,layoffs_location!A:E,5,FALSE)</f>
        <v>Africa</v>
      </c>
      <c r="H1798" s="17">
        <v>1060</v>
      </c>
      <c r="I1798" s="18">
        <v>45450</v>
      </c>
      <c r="J1798" s="19"/>
      <c r="K1798" s="20"/>
      <c r="L1798" s="20"/>
      <c r="M1798" s="17" t="s">
        <v>30</v>
      </c>
      <c r="N1798" s="17" t="s">
        <v>22</v>
      </c>
      <c r="P1798" s="3">
        <v>2024</v>
      </c>
      <c r="Q1798" s="3">
        <f>VLOOKUP(C1798,layoffs_location!A:F,6,FALSE)</f>
        <v>-1.2832532999999999</v>
      </c>
      <c r="R1798" s="3">
        <f>VLOOKUP(C1798,layoffs_location!A:G,7,FALSE)</f>
        <v>36.817244899999999</v>
      </c>
    </row>
    <row r="1799" spans="1:18" x14ac:dyDescent="0.2">
      <c r="A1799" s="3">
        <v>1798</v>
      </c>
      <c r="B1799" s="17" t="s">
        <v>348</v>
      </c>
      <c r="C1799" s="17" t="s">
        <v>13</v>
      </c>
      <c r="D1799" s="3" t="str">
        <f>VLOOKUP(C1799,layoffs_location!A:B,2,FALSE)</f>
        <v>other</v>
      </c>
      <c r="E1799" s="3" t="str">
        <f>VLOOKUP(C1799,layoffs_location!A:C,3,FALSE)</f>
        <v>Karnataka</v>
      </c>
      <c r="F1799" s="3" t="str">
        <f>VLOOKUP(C1799,layoffs_location!A:D,4,FALSE)</f>
        <v>India</v>
      </c>
      <c r="G1799" s="3" t="str">
        <f>VLOOKUP(C1799,layoffs_location!A:E,5,FALSE)</f>
        <v>Asia</v>
      </c>
      <c r="H1799" s="17">
        <v>30</v>
      </c>
      <c r="I1799" s="18">
        <v>45450</v>
      </c>
      <c r="J1799" s="19"/>
      <c r="K1799" s="20"/>
      <c r="L1799" s="20"/>
      <c r="M1799" s="17" t="s">
        <v>35</v>
      </c>
      <c r="N1799" s="17" t="s">
        <v>49</v>
      </c>
      <c r="O1799" s="35">
        <v>71</v>
      </c>
      <c r="P1799" s="3">
        <v>2024</v>
      </c>
      <c r="Q1799" s="3">
        <f>VLOOKUP(C1799,layoffs_location!A:F,6,FALSE)</f>
        <v>12.98815675</v>
      </c>
      <c r="R1799" s="3">
        <f>VLOOKUP(C1799,layoffs_location!A:G,7,FALSE)</f>
        <v>77.622600037959998</v>
      </c>
    </row>
    <row r="1800" spans="1:18" x14ac:dyDescent="0.2">
      <c r="A1800" s="3">
        <v>1799</v>
      </c>
      <c r="B1800" s="17" t="s">
        <v>1439</v>
      </c>
      <c r="C1800" s="17" t="s">
        <v>222</v>
      </c>
      <c r="D1800" s="3" t="str">
        <f>VLOOKUP(C1800,layoffs_location!A:B,2,FALSE)</f>
        <v>other</v>
      </c>
      <c r="E1800" s="3" t="str">
        <f>VLOOKUP(C1800,layoffs_location!A:C,3,FALSE)</f>
        <v>Tamil Nadu</v>
      </c>
      <c r="F1800" s="3" t="str">
        <f>VLOOKUP(C1800,layoffs_location!A:D,4,FALSE)</f>
        <v>India</v>
      </c>
      <c r="G1800" s="3" t="str">
        <f>VLOOKUP(C1800,layoffs_location!A:E,5,FALSE)</f>
        <v>Asia</v>
      </c>
      <c r="H1800" s="17">
        <v>45</v>
      </c>
      <c r="I1800" s="18">
        <v>45453</v>
      </c>
      <c r="J1800" s="19">
        <v>11</v>
      </c>
      <c r="K1800" s="20">
        <f>SUM((H1800*100)/Table13[[#This Row],[Percentage]])</f>
        <v>409.09090909090907</v>
      </c>
      <c r="L1800" s="20">
        <f>SUM(Table13[[#This Row],[Company_Size_before_Layoffs]]-Table13[[#This Row],[Laid_Off]])</f>
        <v>364.09090909090907</v>
      </c>
      <c r="M1800" s="17" t="s">
        <v>1440</v>
      </c>
      <c r="N1800" s="17" t="s">
        <v>22</v>
      </c>
      <c r="O1800" s="35"/>
      <c r="P1800" s="3">
        <v>2024</v>
      </c>
      <c r="Q1800" s="3">
        <f>VLOOKUP(C1800,layoffs_location!A:F,6,FALSE)</f>
        <v>13.0836939</v>
      </c>
      <c r="R1800" s="3">
        <f>VLOOKUP(C1800,layoffs_location!A:G,7,FALSE)</f>
        <v>80.270185999999995</v>
      </c>
    </row>
    <row r="1801" spans="1:18" x14ac:dyDescent="0.2">
      <c r="A1801" s="3">
        <v>1800</v>
      </c>
      <c r="B1801" s="17" t="s">
        <v>1426</v>
      </c>
      <c r="C1801" s="17" t="s">
        <v>67</v>
      </c>
      <c r="D1801" s="3" t="str">
        <f>VLOOKUP(C1801,layoffs_location!A:B,2,FALSE)</f>
        <v>other</v>
      </c>
      <c r="E1801" s="3" t="str">
        <f>VLOOKUP(C1801,layoffs_location!A:C,3,FALSE)</f>
        <v>Uttar Pradesh</v>
      </c>
      <c r="F1801" s="3" t="str">
        <f>VLOOKUP(C1801,layoffs_location!A:D,4,FALSE)</f>
        <v>India</v>
      </c>
      <c r="G1801" s="3" t="str">
        <f>VLOOKUP(C1801,layoffs_location!A:E,5,FALSE)</f>
        <v>Asia</v>
      </c>
      <c r="H1801" s="17">
        <v>3500</v>
      </c>
      <c r="I1801" s="18">
        <v>45453</v>
      </c>
      <c r="J1801" s="19"/>
      <c r="K1801" s="20"/>
      <c r="L1801" s="20"/>
      <c r="M1801" s="17" t="s">
        <v>35</v>
      </c>
      <c r="N1801" s="17" t="s">
        <v>22</v>
      </c>
      <c r="O1801" s="35"/>
      <c r="P1801" s="3">
        <v>2024</v>
      </c>
      <c r="Q1801" s="3">
        <f>VLOOKUP(C1801,layoffs_location!A:F,6,FALSE)</f>
        <v>28.570633300000001</v>
      </c>
      <c r="R1801" s="3">
        <f>VLOOKUP(C1801,layoffs_location!A:G,7,FALSE)</f>
        <v>77.327214699999999</v>
      </c>
    </row>
    <row r="1802" spans="1:18" x14ac:dyDescent="0.2">
      <c r="A1802" s="3">
        <v>1801</v>
      </c>
      <c r="B1802" s="17" t="s">
        <v>1414</v>
      </c>
      <c r="C1802" s="17" t="s">
        <v>1415</v>
      </c>
      <c r="D1802" s="3" t="str">
        <f>VLOOKUP(C1802,layoffs_location!A:B,2,FALSE)</f>
        <v>San Francisco Bay Area</v>
      </c>
      <c r="E1802" s="3" t="str">
        <f>VLOOKUP(C1802,layoffs_location!A:C,3,FALSE)</f>
        <v>California</v>
      </c>
      <c r="F1802" s="3" t="str">
        <f>VLOOKUP(C1802,layoffs_location!A:D,4,FALSE)</f>
        <v>USA</v>
      </c>
      <c r="G1802" s="3" t="str">
        <f>VLOOKUP(C1802,layoffs_location!A:E,5,FALSE)</f>
        <v>North America</v>
      </c>
      <c r="H1802" s="17">
        <v>184</v>
      </c>
      <c r="I1802" s="18">
        <v>45454</v>
      </c>
      <c r="J1802" s="19"/>
      <c r="K1802" s="20"/>
      <c r="L1802" s="20"/>
      <c r="M1802" s="17" t="s">
        <v>1416</v>
      </c>
      <c r="N1802" s="17" t="s">
        <v>22</v>
      </c>
      <c r="O1802" s="35"/>
      <c r="P1802" s="3">
        <v>2024</v>
      </c>
      <c r="Q1802" s="3">
        <f>VLOOKUP(C1802,layoffs_location!A:F,6,FALSE)</f>
        <v>37.354106999999999</v>
      </c>
      <c r="R1802" s="3">
        <f>VLOOKUP(C1802,layoffs_location!A:G,7,FALSE)</f>
        <v>-121.95523799999999</v>
      </c>
    </row>
    <row r="1803" spans="1:18" ht="16" x14ac:dyDescent="0.2">
      <c r="A1803" s="3">
        <v>1802</v>
      </c>
      <c r="B1803" s="4" t="s">
        <v>1591</v>
      </c>
      <c r="C1803" s="4" t="s">
        <v>135</v>
      </c>
      <c r="D1803" s="3" t="str">
        <f>VLOOKUP(C1803,layoffs_location!A:B,2,FALSE)</f>
        <v>other</v>
      </c>
      <c r="E1803" s="3" t="str">
        <f>VLOOKUP(C1803,layoffs_location!A:C,3,FALSE)</f>
        <v>Berlin</v>
      </c>
      <c r="F1803" s="3" t="str">
        <f>VLOOKUP(C1803,layoffs_location!A:D,4,FALSE)</f>
        <v>Germany</v>
      </c>
      <c r="G1803" s="3" t="str">
        <f>VLOOKUP(C1803,layoffs_location!A:E,5,FALSE)</f>
        <v>Europe</v>
      </c>
      <c r="H1803" s="4"/>
      <c r="I1803" s="24">
        <v>45454</v>
      </c>
      <c r="J1803" s="31">
        <v>100</v>
      </c>
      <c r="K1803" s="25"/>
      <c r="L1803" s="25">
        <f>SUM(Table13[[#This Row],[Company_Size_before_Layoffs]]-Table13[[#This Row],[Laid_Off]])</f>
        <v>0</v>
      </c>
      <c r="M1803" s="4" t="s">
        <v>1898</v>
      </c>
      <c r="N1803" s="17" t="s">
        <v>1697</v>
      </c>
      <c r="O1803" s="27"/>
      <c r="P1803" s="7">
        <v>2024</v>
      </c>
      <c r="Q1803" s="3">
        <f>VLOOKUP(C1803,layoffs_location!A:F,6,FALSE)</f>
        <v>52.517036500000003</v>
      </c>
      <c r="R1803" s="3">
        <f>VLOOKUP(C1803,layoffs_location!A:G,7,FALSE)</f>
        <v>13.3888599</v>
      </c>
    </row>
    <row r="1804" spans="1:18" x14ac:dyDescent="0.2">
      <c r="A1804" s="3">
        <v>1803</v>
      </c>
      <c r="B1804" s="17" t="s">
        <v>1444</v>
      </c>
      <c r="C1804" s="3" t="s">
        <v>1445</v>
      </c>
      <c r="D1804" s="3" t="str">
        <f>VLOOKUP(C1804,layoffs_location!A:B,2,FALSE)</f>
        <v>other</v>
      </c>
      <c r="E1804" s="3" t="str">
        <f>VLOOKUP(C1804,layoffs_location!A:C,3,FALSE)</f>
        <v>Massachusetts</v>
      </c>
      <c r="F1804" s="3" t="str">
        <f>VLOOKUP(C1804,layoffs_location!A:D,4,FALSE)</f>
        <v>USA</v>
      </c>
      <c r="G1804" s="3" t="str">
        <f>VLOOKUP(C1804,layoffs_location!A:E,5,FALSE)</f>
        <v>North America</v>
      </c>
      <c r="H1804" s="17">
        <v>160</v>
      </c>
      <c r="I1804" s="18">
        <v>45454</v>
      </c>
      <c r="J1804" s="19"/>
      <c r="K1804" s="20"/>
      <c r="L1804" s="20"/>
      <c r="M1804" s="17" t="s">
        <v>1446</v>
      </c>
      <c r="N1804" s="17" t="s">
        <v>22</v>
      </c>
      <c r="O1804" s="35"/>
      <c r="P1804" s="3">
        <v>2024</v>
      </c>
      <c r="Q1804" s="3">
        <f>VLOOKUP(C1804,layoffs_location!A:F,6,FALSE)</f>
        <v>42.375640099999998</v>
      </c>
      <c r="R1804" s="3">
        <f>VLOOKUP(C1804,layoffs_location!A:G,7,FALSE)</f>
        <v>-71.235800400000002</v>
      </c>
    </row>
    <row r="1805" spans="1:18" x14ac:dyDescent="0.2">
      <c r="A1805" s="3">
        <v>1804</v>
      </c>
      <c r="B1805" s="17" t="s">
        <v>1417</v>
      </c>
      <c r="C1805" s="3" t="s">
        <v>1418</v>
      </c>
      <c r="D1805" s="3" t="str">
        <f>VLOOKUP(C1805,layoffs_location!A:B,2,FALSE)</f>
        <v>other</v>
      </c>
      <c r="E1805" s="3" t="str">
        <f>VLOOKUP(C1805,layoffs_location!A:C,3,FALSE)</f>
        <v>Alabama</v>
      </c>
      <c r="F1805" s="3" t="str">
        <f>VLOOKUP(C1805,layoffs_location!A:D,4,FALSE)</f>
        <v>USA</v>
      </c>
      <c r="G1805" s="3" t="str">
        <f>VLOOKUP(C1805,layoffs_location!A:E,5,FALSE)</f>
        <v>North America</v>
      </c>
      <c r="H1805" s="17"/>
      <c r="I1805" s="18">
        <v>45454</v>
      </c>
      <c r="J1805" s="19">
        <v>15</v>
      </c>
      <c r="K1805" s="20"/>
      <c r="L1805" s="20"/>
      <c r="M1805" s="17" t="s">
        <v>1460</v>
      </c>
      <c r="N1805" s="17" t="s">
        <v>22</v>
      </c>
      <c r="O1805" s="35"/>
      <c r="P1805" s="3">
        <v>2024</v>
      </c>
      <c r="Q1805" s="3">
        <f>VLOOKUP(C1805,layoffs_location!A:F,6,FALSE)</f>
        <v>34.765088800000001</v>
      </c>
      <c r="R1805" s="3">
        <f>VLOOKUP(C1805,layoffs_location!A:G,7,FALSE)</f>
        <v>-87.698640699999999</v>
      </c>
    </row>
    <row r="1806" spans="1:18" x14ac:dyDescent="0.2">
      <c r="A1806" s="3">
        <v>1805</v>
      </c>
      <c r="B1806" s="17" t="s">
        <v>385</v>
      </c>
      <c r="C1806" s="3" t="s">
        <v>1443</v>
      </c>
      <c r="D1806" s="3" t="str">
        <f>VLOOKUP(C1806,layoffs_location!A:B,2,FALSE)</f>
        <v>San Francisco Bay Area</v>
      </c>
      <c r="E1806" s="3" t="str">
        <f>VLOOKUP(C1806,layoffs_location!A:C,3,FALSE)</f>
        <v>California</v>
      </c>
      <c r="F1806" s="3" t="str">
        <f>VLOOKUP(C1806,layoffs_location!A:D,4,FALSE)</f>
        <v>USA</v>
      </c>
      <c r="G1806" s="3" t="str">
        <f>VLOOKUP(C1806,layoffs_location!A:E,5,FALSE)</f>
        <v>North America</v>
      </c>
      <c r="H1806" s="17">
        <v>50</v>
      </c>
      <c r="I1806" s="18">
        <v>45455</v>
      </c>
      <c r="J1806" s="19"/>
      <c r="K1806" s="20"/>
      <c r="L1806" s="20"/>
      <c r="M1806" s="17" t="s">
        <v>1400</v>
      </c>
      <c r="N1806" s="17" t="s">
        <v>22</v>
      </c>
      <c r="O1806" s="35"/>
      <c r="P1806" s="3">
        <v>2024</v>
      </c>
      <c r="Q1806" s="3">
        <f>VLOOKUP(C1806,layoffs_location!A:F,6,FALSE)</f>
        <v>37.451967099999997</v>
      </c>
      <c r="R1806" s="3">
        <f>VLOOKUP(C1806,layoffs_location!A:G,7,FALSE)</f>
        <v>-122.177992</v>
      </c>
    </row>
    <row r="1807" spans="1:18" ht="16" x14ac:dyDescent="0.2">
      <c r="A1807" s="3">
        <v>1806</v>
      </c>
      <c r="B1807" s="17" t="s">
        <v>1428</v>
      </c>
      <c r="C1807" s="17" t="s">
        <v>39</v>
      </c>
      <c r="D1807" s="3" t="str">
        <f>VLOOKUP(C1807,layoffs_location!A:B,2,FALSE)</f>
        <v>New York</v>
      </c>
      <c r="E1807" s="3" t="str">
        <f>VLOOKUP(C1807,layoffs_location!A:C,3,FALSE)</f>
        <v>New York</v>
      </c>
      <c r="F1807" s="3" t="str">
        <f>VLOOKUP(C1807,layoffs_location!A:D,4,FALSE)</f>
        <v>USA</v>
      </c>
      <c r="G1807" s="3" t="str">
        <f>VLOOKUP(C1807,layoffs_location!A:E,5,FALSE)</f>
        <v>North America</v>
      </c>
      <c r="H1807" s="17">
        <v>65</v>
      </c>
      <c r="I1807" s="18">
        <v>45455</v>
      </c>
      <c r="J1807" s="19">
        <v>20</v>
      </c>
      <c r="K1807" s="20">
        <f>SUM((H1807*100)/Table13[[#This Row],[Percentage]])</f>
        <v>325</v>
      </c>
      <c r="L1807" s="20">
        <f>SUM(Table13[[#This Row],[Company_Size_before_Layoffs]]-Table13[[#This Row],[Laid_Off]])</f>
        <v>260</v>
      </c>
      <c r="M1807" s="17" t="s">
        <v>35</v>
      </c>
      <c r="N1807" s="4" t="s">
        <v>1499</v>
      </c>
      <c r="O1807" s="27">
        <v>543</v>
      </c>
      <c r="P1807" s="7">
        <v>2024</v>
      </c>
      <c r="Q1807" s="3">
        <f>VLOOKUP(C1807,layoffs_location!A:F,6,FALSE)</f>
        <v>40.7127281</v>
      </c>
      <c r="R1807" s="3">
        <f>VLOOKUP(C1807,layoffs_location!A:G,7,FALSE)</f>
        <v>-74.006015199999993</v>
      </c>
    </row>
    <row r="1808" spans="1:18" ht="16" x14ac:dyDescent="0.2">
      <c r="A1808" s="3">
        <v>1807</v>
      </c>
      <c r="B1808" s="4" t="s">
        <v>1637</v>
      </c>
      <c r="C1808" s="7" t="s">
        <v>1725</v>
      </c>
      <c r="D1808" s="3" t="str">
        <f>VLOOKUP(C1808,layoffs_location!A:B,2,FALSE)</f>
        <v>San Francisco Bay Area</v>
      </c>
      <c r="E1808" s="3" t="str">
        <f>VLOOKUP(C1808,layoffs_location!A:C,3,FALSE)</f>
        <v>California</v>
      </c>
      <c r="F1808" s="3" t="str">
        <f>VLOOKUP(C1808,layoffs_location!A:D,4,FALSE)</f>
        <v>USA</v>
      </c>
      <c r="G1808" s="3" t="str">
        <f>VLOOKUP(C1808,layoffs_location!A:E,5,FALSE)</f>
        <v>North America</v>
      </c>
      <c r="H1808" s="4"/>
      <c r="I1808" s="24">
        <v>45455</v>
      </c>
      <c r="J1808" s="31">
        <v>100</v>
      </c>
      <c r="K1808" s="25"/>
      <c r="L1808" s="25">
        <f>SUM(Table13[[#This Row],[Company_Size_before_Layoffs]]-Table13[[#This Row],[Laid_Off]])</f>
        <v>0</v>
      </c>
      <c r="M1808" s="4" t="s">
        <v>1896</v>
      </c>
      <c r="N1808" s="4" t="s">
        <v>1494</v>
      </c>
      <c r="O1808" s="27">
        <v>39</v>
      </c>
      <c r="P1808" s="7">
        <v>2024</v>
      </c>
      <c r="Q1808" s="3">
        <f>VLOOKUP(C1808,layoffs_location!A:F,6,FALSE)</f>
        <v>37.724929600000003</v>
      </c>
      <c r="R1808" s="3">
        <f>VLOOKUP(C1808,layoffs_location!A:G,7,FALSE)</f>
        <v>-122.15607679999999</v>
      </c>
    </row>
    <row r="1809" spans="1:18" ht="16" x14ac:dyDescent="0.2">
      <c r="A1809" s="3">
        <v>1808</v>
      </c>
      <c r="B1809" s="4" t="s">
        <v>1600</v>
      </c>
      <c r="C1809" s="4" t="s">
        <v>1415</v>
      </c>
      <c r="D1809" s="3" t="str">
        <f>VLOOKUP(C1809,layoffs_location!A:B,2,FALSE)</f>
        <v>San Francisco Bay Area</v>
      </c>
      <c r="E1809" s="3" t="str">
        <f>VLOOKUP(C1809,layoffs_location!A:C,3,FALSE)</f>
        <v>California</v>
      </c>
      <c r="F1809" s="3" t="str">
        <f>VLOOKUP(C1809,layoffs_location!A:D,4,FALSE)</f>
        <v>USA</v>
      </c>
      <c r="G1809" s="3" t="str">
        <f>VLOOKUP(C1809,layoffs_location!A:E,5,FALSE)</f>
        <v>North America</v>
      </c>
      <c r="H1809" s="4"/>
      <c r="I1809" s="24">
        <v>45456</v>
      </c>
      <c r="J1809" s="5"/>
      <c r="K1809" s="25"/>
      <c r="L1809" s="25"/>
      <c r="M1809" s="4" t="s">
        <v>1892</v>
      </c>
      <c r="N1809" s="4" t="s">
        <v>1491</v>
      </c>
      <c r="O1809" s="27">
        <v>5900</v>
      </c>
      <c r="P1809" s="7">
        <v>2024</v>
      </c>
      <c r="Q1809" s="3">
        <f>VLOOKUP(C1809,layoffs_location!A:F,6,FALSE)</f>
        <v>37.354106999999999</v>
      </c>
      <c r="R1809" s="3">
        <f>VLOOKUP(C1809,layoffs_location!A:G,7,FALSE)</f>
        <v>-121.95523799999999</v>
      </c>
    </row>
    <row r="1810" spans="1:18" ht="16" x14ac:dyDescent="0.2">
      <c r="A1810" s="3">
        <v>1809</v>
      </c>
      <c r="B1810" s="17" t="s">
        <v>1448</v>
      </c>
      <c r="C1810" s="17" t="s">
        <v>1370</v>
      </c>
      <c r="D1810" s="3" t="str">
        <f>VLOOKUP(C1810,layoffs_location!A:B,2,FALSE)</f>
        <v>San Francisco Bay Area</v>
      </c>
      <c r="E1810" s="3" t="str">
        <f>VLOOKUP(C1810,layoffs_location!A:C,3,FALSE)</f>
        <v>California</v>
      </c>
      <c r="F1810" s="3" t="str">
        <f>VLOOKUP(C1810,layoffs_location!A:D,4,FALSE)</f>
        <v>USA</v>
      </c>
      <c r="G1810" s="3" t="str">
        <f>VLOOKUP(C1810,layoffs_location!A:E,5,FALSE)</f>
        <v>North America</v>
      </c>
      <c r="H1810" s="17"/>
      <c r="I1810" s="18">
        <v>45456</v>
      </c>
      <c r="J1810" s="19">
        <v>30</v>
      </c>
      <c r="K1810" s="20"/>
      <c r="L1810" s="20"/>
      <c r="M1810" s="17" t="s">
        <v>1703</v>
      </c>
      <c r="N1810" s="4" t="s">
        <v>1495</v>
      </c>
      <c r="O1810" s="27">
        <v>95</v>
      </c>
      <c r="P1810" s="3">
        <v>2024</v>
      </c>
      <c r="Q1810" s="3">
        <f>VLOOKUP(C1810,layoffs_location!A:F,6,FALSE)</f>
        <v>37.779258800000001</v>
      </c>
      <c r="R1810" s="3">
        <f>VLOOKUP(C1810,layoffs_location!A:G,7,FALSE)</f>
        <v>-122.4193286</v>
      </c>
    </row>
    <row r="1811" spans="1:18" x14ac:dyDescent="0.2">
      <c r="A1811" s="3">
        <v>1810</v>
      </c>
      <c r="B1811" s="17" t="s">
        <v>1419</v>
      </c>
      <c r="C1811" s="17" t="s">
        <v>445</v>
      </c>
      <c r="D1811" s="3" t="str">
        <f>VLOOKUP(C1811,layoffs_location!A:B,2,FALSE)</f>
        <v>other</v>
      </c>
      <c r="E1811" s="3" t="str">
        <f>VLOOKUP(C1811,layoffs_location!A:C,3,FALSE)</f>
        <v>non</v>
      </c>
      <c r="F1811" s="3" t="str">
        <f>VLOOKUP(C1811,layoffs_location!A:D,4,FALSE)</f>
        <v>Indonesia</v>
      </c>
      <c r="G1811" s="3" t="str">
        <f>VLOOKUP(C1811,layoffs_location!A:E,5,FALSE)</f>
        <v>Asia</v>
      </c>
      <c r="H1811" s="17">
        <v>450</v>
      </c>
      <c r="I1811" s="18">
        <v>45457</v>
      </c>
      <c r="J1811" s="19"/>
      <c r="K1811" s="20"/>
      <c r="L1811" s="20"/>
      <c r="M1811" s="17" t="s">
        <v>16</v>
      </c>
      <c r="N1811" s="17" t="s">
        <v>22</v>
      </c>
      <c r="O1811" s="35"/>
      <c r="P1811" s="3">
        <v>2024</v>
      </c>
      <c r="Q1811" s="3">
        <f>VLOOKUP(C1811,layoffs_location!A:F,6,FALSE)</f>
        <v>-6.1752469999999997</v>
      </c>
      <c r="R1811" s="3">
        <f>VLOOKUP(C1811,layoffs_location!A:G,7,FALSE)</f>
        <v>106.8270488</v>
      </c>
    </row>
    <row r="1812" spans="1:18" x14ac:dyDescent="0.2">
      <c r="A1812" s="3">
        <v>1811</v>
      </c>
      <c r="B1812" s="17" t="s">
        <v>1437</v>
      </c>
      <c r="C1812" s="17" t="s">
        <v>171</v>
      </c>
      <c r="D1812" s="3" t="str">
        <f>VLOOKUP(C1812,layoffs_location!A:B,2,FALSE)</f>
        <v>other</v>
      </c>
      <c r="E1812" s="3" t="str">
        <f>VLOOKUP(C1812,layoffs_location!A:C,3,FALSE)</f>
        <v>Georgia</v>
      </c>
      <c r="F1812" s="3" t="str">
        <f>VLOOKUP(C1812,layoffs_location!A:D,4,FALSE)</f>
        <v>USA</v>
      </c>
      <c r="G1812" s="3" t="str">
        <f>VLOOKUP(C1812,layoffs_location!A:E,5,FALSE)</f>
        <v>North America</v>
      </c>
      <c r="H1812" s="17">
        <v>11</v>
      </c>
      <c r="I1812" s="18">
        <v>45457</v>
      </c>
      <c r="J1812" s="19"/>
      <c r="K1812" s="20"/>
      <c r="L1812" s="20"/>
      <c r="M1812" s="17" t="s">
        <v>48</v>
      </c>
      <c r="N1812" s="17" t="s">
        <v>49</v>
      </c>
      <c r="O1812" s="35">
        <v>54</v>
      </c>
      <c r="P1812" s="3">
        <v>2024</v>
      </c>
      <c r="Q1812" s="3">
        <f>VLOOKUP(C1812,layoffs_location!A:F,6,FALSE)</f>
        <v>33.748992399999999</v>
      </c>
      <c r="R1812" s="3">
        <f>VLOOKUP(C1812,layoffs_location!A:G,7,FALSE)</f>
        <v>-84.390264400000007</v>
      </c>
    </row>
    <row r="1813" spans="1:18" x14ac:dyDescent="0.2">
      <c r="A1813" s="3">
        <v>1812</v>
      </c>
      <c r="B1813" s="17" t="s">
        <v>1430</v>
      </c>
      <c r="C1813" s="3" t="s">
        <v>39</v>
      </c>
      <c r="D1813" s="3" t="str">
        <f>VLOOKUP(C1813,layoffs_location!A:B,2,FALSE)</f>
        <v>New York</v>
      </c>
      <c r="E1813" s="3" t="str">
        <f>VLOOKUP(C1813,layoffs_location!A:C,3,FALSE)</f>
        <v>New York</v>
      </c>
      <c r="F1813" s="3" t="str">
        <f>VLOOKUP(C1813,layoffs_location!A:D,4,FALSE)</f>
        <v>USA</v>
      </c>
      <c r="G1813" s="3" t="str">
        <f>VLOOKUP(C1813,layoffs_location!A:E,5,FALSE)</f>
        <v>North America</v>
      </c>
      <c r="H1813" s="17">
        <v>143</v>
      </c>
      <c r="I1813" s="18">
        <v>45458</v>
      </c>
      <c r="J1813" s="19">
        <v>100</v>
      </c>
      <c r="K1813" s="20">
        <f>SUM((H1813*100)/Table13[[#This Row],[Percentage]])</f>
        <v>143</v>
      </c>
      <c r="L1813" s="20">
        <f>SUM(Table13[[#This Row],[Company_Size_before_Layoffs]]-Table13[[#This Row],[Laid_Off]])</f>
        <v>0</v>
      </c>
      <c r="M1813" s="17" t="s">
        <v>21</v>
      </c>
      <c r="N1813" s="17" t="s">
        <v>33</v>
      </c>
      <c r="O1813" s="35">
        <v>83</v>
      </c>
      <c r="P1813" s="3">
        <v>2024</v>
      </c>
      <c r="Q1813" s="3">
        <f>VLOOKUP(C1813,layoffs_location!A:F,6,FALSE)</f>
        <v>40.7127281</v>
      </c>
      <c r="R1813" s="3">
        <f>VLOOKUP(C1813,layoffs_location!A:G,7,FALSE)</f>
        <v>-74.006015199999993</v>
      </c>
    </row>
    <row r="1814" spans="1:18" x14ac:dyDescent="0.2">
      <c r="A1814" s="3">
        <v>1813</v>
      </c>
      <c r="B1814" s="17" t="s">
        <v>1700</v>
      </c>
      <c r="C1814" s="3" t="s">
        <v>43</v>
      </c>
      <c r="D1814" s="3" t="str">
        <f>VLOOKUP(C1814,layoffs_location!A:B,2,FALSE)</f>
        <v>Cascadia</v>
      </c>
      <c r="E1814" s="3" t="str">
        <f>VLOOKUP(C1814,layoffs_location!A:C,3,FALSE)</f>
        <v>Washington</v>
      </c>
      <c r="F1814" s="3" t="str">
        <f>VLOOKUP(C1814,layoffs_location!A:D,4,FALSE)</f>
        <v>USA</v>
      </c>
      <c r="G1814" s="3" t="str">
        <f>VLOOKUP(C1814,layoffs_location!A:E,5,FALSE)</f>
        <v>North America</v>
      </c>
      <c r="H1814" s="17"/>
      <c r="I1814" s="18">
        <v>45459</v>
      </c>
      <c r="J1814" s="19">
        <v>100</v>
      </c>
      <c r="K1814" s="20"/>
      <c r="L1814" s="20">
        <f>SUM(Table13[[#This Row],[Company_Size_before_Layoffs]]-Table13[[#This Row],[Laid_Off]])</f>
        <v>0</v>
      </c>
      <c r="M1814" s="17" t="s">
        <v>1460</v>
      </c>
      <c r="N1814" s="17" t="s">
        <v>22</v>
      </c>
      <c r="O1814" s="35"/>
      <c r="P1814" s="3">
        <v>2024</v>
      </c>
      <c r="Q1814" s="3">
        <f>VLOOKUP(C1814,layoffs_location!A:F,6,FALSE)</f>
        <v>47.603832099999998</v>
      </c>
      <c r="R1814" s="3">
        <f>VLOOKUP(C1814,layoffs_location!A:G,7,FALSE)</f>
        <v>-122.330062</v>
      </c>
    </row>
    <row r="1815" spans="1:18" x14ac:dyDescent="0.2">
      <c r="A1815" s="3">
        <v>1814</v>
      </c>
      <c r="B1815" s="17" t="s">
        <v>1434</v>
      </c>
      <c r="C1815" s="3" t="s">
        <v>1435</v>
      </c>
      <c r="D1815" s="3" t="str">
        <f>VLOOKUP(C1815,layoffs_location!A:B,2,FALSE)</f>
        <v>other</v>
      </c>
      <c r="E1815" s="3" t="str">
        <f>VLOOKUP(C1815,layoffs_location!A:C,3,FALSE)</f>
        <v>non</v>
      </c>
      <c r="F1815" s="3" t="str">
        <f>VLOOKUP(C1815,layoffs_location!A:D,4,FALSE)</f>
        <v>Israel</v>
      </c>
      <c r="G1815" s="3" t="str">
        <f>VLOOKUP(C1815,layoffs_location!A:E,5,FALSE)</f>
        <v>Asia</v>
      </c>
      <c r="H1815" s="17">
        <v>23</v>
      </c>
      <c r="I1815" s="18">
        <v>45459</v>
      </c>
      <c r="J1815" s="19">
        <v>10</v>
      </c>
      <c r="K1815" s="20">
        <f>SUM((H1815*100)/Table13[[#This Row],[Percentage]])</f>
        <v>230</v>
      </c>
      <c r="L1815" s="20">
        <f>SUM(Table13[[#This Row],[Company_Size_before_Layoffs]]-Table13[[#This Row],[Laid_Off]])</f>
        <v>207</v>
      </c>
      <c r="M1815" s="17" t="s">
        <v>32</v>
      </c>
      <c r="N1815" s="17" t="s">
        <v>33</v>
      </c>
      <c r="O1815" s="35">
        <v>131</v>
      </c>
      <c r="P1815" s="3">
        <v>2024</v>
      </c>
      <c r="Q1815" s="3">
        <f>VLOOKUP(C1815,layoffs_location!A:F,6,FALSE)</f>
        <v>31.920863600000001</v>
      </c>
      <c r="R1815" s="3">
        <f>VLOOKUP(C1815,layoffs_location!A:G,7,FALSE)</f>
        <v>34.794139992831198</v>
      </c>
    </row>
    <row r="1816" spans="1:18" x14ac:dyDescent="0.2">
      <c r="A1816" s="3">
        <v>1815</v>
      </c>
      <c r="B1816" s="17" t="s">
        <v>1421</v>
      </c>
      <c r="C1816" s="17" t="s">
        <v>145</v>
      </c>
      <c r="D1816" s="3" t="str">
        <f>VLOOKUP(C1816,layoffs_location!A:B,2,FALSE)</f>
        <v>Cascadia</v>
      </c>
      <c r="E1816" s="3" t="str">
        <f>VLOOKUP(C1816,layoffs_location!A:C,3,FALSE)</f>
        <v>Oregon</v>
      </c>
      <c r="F1816" s="3" t="str">
        <f>VLOOKUP(C1816,layoffs_location!A:D,4,FALSE)</f>
        <v>USA</v>
      </c>
      <c r="G1816" s="3" t="str">
        <f>VLOOKUP(C1816,layoffs_location!A:E,5,FALSE)</f>
        <v>North America</v>
      </c>
      <c r="H1816" s="17"/>
      <c r="I1816" s="18">
        <v>45459</v>
      </c>
      <c r="J1816" s="19">
        <v>100</v>
      </c>
      <c r="K1816" s="20"/>
      <c r="L1816" s="20">
        <f>SUM(Table13[[#This Row],[Company_Size_before_Layoffs]]-Table13[[#This Row],[Laid_Off]])</f>
        <v>0</v>
      </c>
      <c r="M1816" s="17" t="s">
        <v>1422</v>
      </c>
      <c r="N1816" s="17" t="s">
        <v>33</v>
      </c>
      <c r="O1816" s="35">
        <v>83</v>
      </c>
      <c r="P1816" s="3">
        <v>2024</v>
      </c>
      <c r="Q1816" s="3">
        <f>VLOOKUP(C1816,layoffs_location!A:F,6,FALSE)</f>
        <v>45.520247099999999</v>
      </c>
      <c r="R1816" s="3">
        <f>VLOOKUP(C1816,layoffs_location!A:G,7,FALSE)</f>
        <v>-122.674194</v>
      </c>
    </row>
    <row r="1817" spans="1:18" ht="16" x14ac:dyDescent="0.2">
      <c r="A1817" s="3">
        <v>1816</v>
      </c>
      <c r="B1817" s="4" t="s">
        <v>256</v>
      </c>
      <c r="C1817" s="17" t="s">
        <v>1415</v>
      </c>
      <c r="D1817" s="3" t="str">
        <f>VLOOKUP(C1817,layoffs_location!A:B,2,FALSE)</f>
        <v>San Francisco Bay Area</v>
      </c>
      <c r="E1817" s="3" t="str">
        <f>VLOOKUP(C1817,layoffs_location!A:C,3,FALSE)</f>
        <v>California</v>
      </c>
      <c r="F1817" s="3" t="str">
        <f>VLOOKUP(C1817,layoffs_location!A:D,4,FALSE)</f>
        <v>USA</v>
      </c>
      <c r="G1817" s="3" t="str">
        <f>VLOOKUP(C1817,layoffs_location!A:E,5,FALSE)</f>
        <v>North America</v>
      </c>
      <c r="H1817" s="23">
        <v>441</v>
      </c>
      <c r="I1817" s="24">
        <v>45460</v>
      </c>
      <c r="J1817" s="31">
        <v>23</v>
      </c>
      <c r="K1817" s="25">
        <f>SUM((Table13[[#This Row],[Laid_Off]]*100)/Table13[[#This Row],[Percentage]])</f>
        <v>1917.391304347826</v>
      </c>
      <c r="L1817" s="25">
        <f>SUM(Table13[[#This Row],[Company_Size_before_Layoffs]]-Table13[[#This Row],[Laid_Off]])</f>
        <v>1476.391304347826</v>
      </c>
      <c r="M1817" s="4" t="s">
        <v>1895</v>
      </c>
      <c r="N1817" s="32" t="s">
        <v>28</v>
      </c>
      <c r="O1817" s="27"/>
      <c r="P1817" s="7">
        <v>2024</v>
      </c>
      <c r="Q1817" s="3">
        <f>VLOOKUP(C1817,layoffs_location!A:F,6,FALSE)</f>
        <v>37.354106999999999</v>
      </c>
      <c r="R1817" s="3">
        <f>VLOOKUP(C1817,layoffs_location!A:G,7,FALSE)</f>
        <v>-121.95523799999999</v>
      </c>
    </row>
    <row r="1818" spans="1:18" x14ac:dyDescent="0.2">
      <c r="A1818" s="3">
        <v>1817</v>
      </c>
      <c r="B1818" s="17" t="s">
        <v>360</v>
      </c>
      <c r="C1818" s="17" t="s">
        <v>83</v>
      </c>
      <c r="D1818" s="3" t="str">
        <f>VLOOKUP(C1818,layoffs_location!A:B,2,FALSE)</f>
        <v>other</v>
      </c>
      <c r="E1818" s="3" t="str">
        <f>VLOOKUP(C1818,layoffs_location!A:C,3,FALSE)</f>
        <v>Texas</v>
      </c>
      <c r="F1818" s="3" t="str">
        <f>VLOOKUP(C1818,layoffs_location!A:D,4,FALSE)</f>
        <v>USA</v>
      </c>
      <c r="G1818" s="3" t="str">
        <f>VLOOKUP(C1818,layoffs_location!A:E,5,FALSE)</f>
        <v>North America</v>
      </c>
      <c r="H1818" s="17">
        <v>23</v>
      </c>
      <c r="I1818" s="18">
        <v>45460</v>
      </c>
      <c r="J1818" s="19">
        <v>77</v>
      </c>
      <c r="K1818" s="20">
        <f>SUM((H1818*100)/Table13[[#This Row],[Percentage]])</f>
        <v>29.870129870129869</v>
      </c>
      <c r="L1818" s="20">
        <f>SUM(Table13[[#This Row],[Company_Size_before_Layoffs]]-Table13[[#This Row],[Laid_Off]])</f>
        <v>6.870129870129869</v>
      </c>
      <c r="M1818" s="17" t="s">
        <v>1465</v>
      </c>
      <c r="N1818" s="17" t="s">
        <v>69</v>
      </c>
      <c r="O1818" s="35">
        <v>34</v>
      </c>
      <c r="P1818" s="3">
        <v>2024</v>
      </c>
      <c r="Q1818" s="3">
        <f>VLOOKUP(C1818,layoffs_location!A:F,6,FALSE)</f>
        <v>30.271128600000001</v>
      </c>
      <c r="R1818" s="3">
        <f>VLOOKUP(C1818,layoffs_location!A:G,7,FALSE)</f>
        <v>-97.743699500000005</v>
      </c>
    </row>
    <row r="1819" spans="1:18" ht="16" x14ac:dyDescent="0.2">
      <c r="A1819" s="3">
        <v>1818</v>
      </c>
      <c r="B1819" s="17" t="s">
        <v>1431</v>
      </c>
      <c r="C1819" s="17" t="s">
        <v>1432</v>
      </c>
      <c r="D1819" s="3" t="str">
        <f>VLOOKUP(C1819,layoffs_location!A:B,2,FALSE)</f>
        <v>other</v>
      </c>
      <c r="E1819" s="3" t="str">
        <f>VLOOKUP(C1819,layoffs_location!A:C,3,FALSE)</f>
        <v>non</v>
      </c>
      <c r="F1819" s="3" t="str">
        <f>VLOOKUP(C1819,layoffs_location!A:D,4,FALSE)</f>
        <v>Uruquay</v>
      </c>
      <c r="G1819" s="3" t="str">
        <f>VLOOKUP(C1819,layoffs_location!A:E,5,FALSE)</f>
        <v>South America</v>
      </c>
      <c r="H1819" s="17">
        <v>70</v>
      </c>
      <c r="I1819" s="18">
        <v>45460</v>
      </c>
      <c r="J1819" s="19">
        <v>30</v>
      </c>
      <c r="K1819" s="20">
        <f>SUM((H1819*100)/Table13[[#This Row],[Percentage]])</f>
        <v>233.33333333333334</v>
      </c>
      <c r="L1819" s="20">
        <f>SUM(Table13[[#This Row],[Company_Size_before_Layoffs]]-Table13[[#This Row],[Laid_Off]])</f>
        <v>163.33333333333334</v>
      </c>
      <c r="M1819" s="4" t="s">
        <v>1906</v>
      </c>
      <c r="N1819" s="17" t="s">
        <v>28</v>
      </c>
      <c r="O1819" s="35">
        <v>424</v>
      </c>
      <c r="P1819" s="3">
        <v>2024</v>
      </c>
      <c r="Q1819" s="3">
        <f>VLOOKUP(C1819,layoffs_location!A:F,6,FALSE)</f>
        <v>-34.901111999999998</v>
      </c>
      <c r="R1819" s="3">
        <f>VLOOKUP(C1819,layoffs_location!A:G,7,FALSE)</f>
        <v>-56.164532000000001</v>
      </c>
    </row>
    <row r="1820" spans="1:18" x14ac:dyDescent="0.2">
      <c r="A1820" s="3">
        <v>1819</v>
      </c>
      <c r="B1820" s="17" t="s">
        <v>1482</v>
      </c>
      <c r="C1820" s="17" t="s">
        <v>304</v>
      </c>
      <c r="D1820" s="3" t="str">
        <f>VLOOKUP(C1820,layoffs_location!A:B,2,FALSE)</f>
        <v>other</v>
      </c>
      <c r="E1820" s="3" t="str">
        <f>VLOOKUP(C1820,layoffs_location!A:C,3,FALSE)</f>
        <v>Texas</v>
      </c>
      <c r="F1820" s="3" t="str">
        <f>VLOOKUP(C1820,layoffs_location!A:D,4,FALSE)</f>
        <v>USA</v>
      </c>
      <c r="G1820" s="3" t="str">
        <f>VLOOKUP(C1820,layoffs_location!A:E,5,FALSE)</f>
        <v>North America</v>
      </c>
      <c r="H1820" s="17"/>
      <c r="I1820" s="18">
        <v>45460</v>
      </c>
      <c r="J1820" s="19">
        <v>100</v>
      </c>
      <c r="K1820" s="20"/>
      <c r="L1820" s="20"/>
      <c r="M1820" s="17" t="s">
        <v>239</v>
      </c>
      <c r="N1820" s="17" t="s">
        <v>49</v>
      </c>
      <c r="O1820" s="35">
        <v>396</v>
      </c>
      <c r="P1820" s="3">
        <v>2024</v>
      </c>
      <c r="Q1820" s="3">
        <f>VLOOKUP(C1820,layoffs_location!A:F,6,FALSE)</f>
        <v>32.776271899999998</v>
      </c>
      <c r="R1820" s="3">
        <f>VLOOKUP(C1820,layoffs_location!A:G,7,FALSE)</f>
        <v>-96.796855899999997</v>
      </c>
    </row>
    <row r="1821" spans="1:18" ht="16" x14ac:dyDescent="0.2">
      <c r="A1821" s="3">
        <v>1820</v>
      </c>
      <c r="B1821" s="4" t="s">
        <v>1877</v>
      </c>
      <c r="C1821" s="4" t="s">
        <v>1415</v>
      </c>
      <c r="D1821" s="3" t="str">
        <f>VLOOKUP(C1821,layoffs_location!A:B,2,FALSE)</f>
        <v>San Francisco Bay Area</v>
      </c>
      <c r="E1821" s="3" t="str">
        <f>VLOOKUP(C1821,layoffs_location!A:C,3,FALSE)</f>
        <v>California</v>
      </c>
      <c r="F1821" s="3" t="str">
        <f>VLOOKUP(C1821,layoffs_location!A:D,4,FALSE)</f>
        <v>USA</v>
      </c>
      <c r="G1821" s="3" t="str">
        <f>VLOOKUP(C1821,layoffs_location!A:E,5,FALSE)</f>
        <v>North America</v>
      </c>
      <c r="H1821" s="23">
        <v>441</v>
      </c>
      <c r="I1821" s="24">
        <v>45460</v>
      </c>
      <c r="J1821" s="47">
        <v>23</v>
      </c>
      <c r="K1821" s="25">
        <f>SUM((Table13[[#This Row],[Laid_Off]]*100)/Table13[[#This Row],[Percentage]])</f>
        <v>1917.391304347826</v>
      </c>
      <c r="L1821" s="25">
        <f>SUM(Table13[[#This Row],[Company_Size_before_Layoffs]]-Table13[[#This Row],[Laid_Off]])</f>
        <v>1476.391304347826</v>
      </c>
      <c r="M1821" s="4" t="s">
        <v>1895</v>
      </c>
      <c r="N1821" s="4" t="s">
        <v>1882</v>
      </c>
      <c r="O1821" s="27">
        <v>227</v>
      </c>
      <c r="P1821" s="7">
        <v>2024</v>
      </c>
      <c r="Q1821" s="3">
        <f>VLOOKUP(C1821,layoffs_location!A:F,6,FALSE)</f>
        <v>37.354106999999999</v>
      </c>
      <c r="R1821" s="3">
        <f>VLOOKUP(C1821,layoffs_location!A:G,7,FALSE)</f>
        <v>-121.95523799999999</v>
      </c>
    </row>
    <row r="1822" spans="1:18" ht="16" x14ac:dyDescent="0.2">
      <c r="A1822" s="3">
        <v>1821</v>
      </c>
      <c r="B1822" s="4" t="s">
        <v>1878</v>
      </c>
      <c r="C1822" s="4" t="s">
        <v>304</v>
      </c>
      <c r="D1822" s="3" t="str">
        <f>VLOOKUP(C1822,layoffs_location!A:B,2,FALSE)</f>
        <v>other</v>
      </c>
      <c r="E1822" s="3" t="str">
        <f>VLOOKUP(C1822,layoffs_location!A:C,3,FALSE)</f>
        <v>Texas</v>
      </c>
      <c r="F1822" s="3" t="str">
        <f>VLOOKUP(C1822,layoffs_location!A:D,4,FALSE)</f>
        <v>USA</v>
      </c>
      <c r="G1822" s="3" t="str">
        <f>VLOOKUP(C1822,layoffs_location!A:E,5,FALSE)</f>
        <v>North America</v>
      </c>
      <c r="H1822" s="4"/>
      <c r="I1822" s="24">
        <v>45460</v>
      </c>
      <c r="J1822" s="47">
        <v>100</v>
      </c>
      <c r="K1822" s="25">
        <f>SUM((Table13[[#This Row],[Laid_Off]]*100)/Table13[[#This Row],[Percentage]])</f>
        <v>0</v>
      </c>
      <c r="L1822" s="25">
        <f>SUM(Table13[[#This Row],[Company_Size_before_Layoffs]]-Table13[[#This Row],[Laid_Off]])</f>
        <v>0</v>
      </c>
      <c r="M1822" s="4" t="s">
        <v>239</v>
      </c>
      <c r="N1822" s="4" t="s">
        <v>1881</v>
      </c>
      <c r="O1822" s="27">
        <v>396</v>
      </c>
      <c r="P1822" s="7">
        <v>2024</v>
      </c>
      <c r="Q1822" s="3">
        <f>VLOOKUP(C1822,layoffs_location!A:F,6,FALSE)</f>
        <v>32.776271899999998</v>
      </c>
      <c r="R1822" s="3">
        <f>VLOOKUP(C1822,layoffs_location!A:G,7,FALSE)</f>
        <v>-96.796855899999997</v>
      </c>
    </row>
    <row r="1823" spans="1:18" x14ac:dyDescent="0.2">
      <c r="A1823" s="3">
        <v>1822</v>
      </c>
      <c r="B1823" s="17" t="s">
        <v>102</v>
      </c>
      <c r="C1823" s="17" t="s">
        <v>103</v>
      </c>
      <c r="D1823" s="3" t="str">
        <f>VLOOKUP(C1823,layoffs_location!A:B,2,FALSE)</f>
        <v>other</v>
      </c>
      <c r="E1823" s="3" t="str">
        <f>VLOOKUP(C1823,layoffs_location!A:C,3,FALSE)</f>
        <v>Kansas</v>
      </c>
      <c r="F1823" s="3" t="str">
        <f>VLOOKUP(C1823,layoffs_location!A:D,4,FALSE)</f>
        <v>USA</v>
      </c>
      <c r="G1823" s="3" t="str">
        <f>VLOOKUP(C1823,layoffs_location!A:E,5,FALSE)</f>
        <v>North America</v>
      </c>
      <c r="H1823" s="17">
        <v>16</v>
      </c>
      <c r="I1823" s="18">
        <v>45461</v>
      </c>
      <c r="J1823" s="19"/>
      <c r="K1823" s="20"/>
      <c r="L1823" s="20"/>
      <c r="M1823" s="17" t="s">
        <v>35</v>
      </c>
      <c r="N1823" s="17" t="s">
        <v>17</v>
      </c>
      <c r="O1823" s="35">
        <v>537</v>
      </c>
      <c r="P1823" s="3">
        <v>2024</v>
      </c>
      <c r="Q1823" s="3">
        <f>VLOOKUP(C1823,layoffs_location!A:F,6,FALSE)</f>
        <v>39.100104999999999</v>
      </c>
      <c r="R1823" s="3">
        <f>VLOOKUP(C1823,layoffs_location!A:G,7,FALSE)</f>
        <v>-94.578141599999995</v>
      </c>
    </row>
    <row r="1824" spans="1:18" x14ac:dyDescent="0.2">
      <c r="A1824" s="3">
        <v>1823</v>
      </c>
      <c r="B1824" s="17" t="s">
        <v>256</v>
      </c>
      <c r="C1824" s="17" t="s">
        <v>1415</v>
      </c>
      <c r="D1824" s="3" t="str">
        <f>VLOOKUP(C1824,layoffs_location!A:B,2,FALSE)</f>
        <v>San Francisco Bay Area</v>
      </c>
      <c r="E1824" s="3" t="str">
        <f>VLOOKUP(C1824,layoffs_location!A:C,3,FALSE)</f>
        <v>California</v>
      </c>
      <c r="F1824" s="3" t="str">
        <f>VLOOKUP(C1824,layoffs_location!A:D,4,FALSE)</f>
        <v>USA</v>
      </c>
      <c r="G1824" s="3" t="str">
        <f>VLOOKUP(C1824,layoffs_location!A:E,5,FALSE)</f>
        <v>North America</v>
      </c>
      <c r="H1824" s="17">
        <v>441</v>
      </c>
      <c r="I1824" s="18">
        <v>45461</v>
      </c>
      <c r="J1824" s="19">
        <v>23</v>
      </c>
      <c r="K1824" s="20">
        <f>SUM((H1824*100)/Table13[[#This Row],[Percentage]])</f>
        <v>1917.391304347826</v>
      </c>
      <c r="L1824" s="20">
        <f>SUM(Table13[[#This Row],[Company_Size_before_Layoffs]]-Table13[[#This Row],[Laid_Off]])</f>
        <v>1476.391304347826</v>
      </c>
      <c r="M1824" s="17" t="s">
        <v>68</v>
      </c>
      <c r="N1824" s="17" t="s">
        <v>28</v>
      </c>
      <c r="O1824" s="34">
        <v>227</v>
      </c>
      <c r="P1824" s="3">
        <v>2024</v>
      </c>
      <c r="Q1824" s="3">
        <f>VLOOKUP(C1824,layoffs_location!A:F,6,FALSE)</f>
        <v>37.354106999999999</v>
      </c>
      <c r="R1824" s="3">
        <f>VLOOKUP(C1824,layoffs_location!A:G,7,FALSE)</f>
        <v>-121.95523799999999</v>
      </c>
    </row>
    <row r="1825" spans="1:18" x14ac:dyDescent="0.2">
      <c r="A1825" s="3">
        <v>1824</v>
      </c>
      <c r="B1825" s="17" t="s">
        <v>1471</v>
      </c>
      <c r="C1825" s="17" t="s">
        <v>76</v>
      </c>
      <c r="D1825" s="3" t="str">
        <f>VLOOKUP(C1825,layoffs_location!A:B,2,FALSE)</f>
        <v>other</v>
      </c>
      <c r="E1825" s="3" t="str">
        <f>VLOOKUP(C1825,layoffs_location!A:C,3,FALSE)</f>
        <v>California</v>
      </c>
      <c r="F1825" s="3" t="str">
        <f>VLOOKUP(C1825,layoffs_location!A:D,4,FALSE)</f>
        <v>USA</v>
      </c>
      <c r="G1825" s="3" t="str">
        <f>VLOOKUP(C1825,layoffs_location!A:E,5,FALSE)</f>
        <v>North America</v>
      </c>
      <c r="H1825" s="17"/>
      <c r="I1825" s="18">
        <v>45461</v>
      </c>
      <c r="J1825" s="19">
        <v>100</v>
      </c>
      <c r="K1825" s="20"/>
      <c r="L1825" s="20"/>
      <c r="M1825" s="17" t="s">
        <v>32</v>
      </c>
      <c r="N1825" s="17" t="s">
        <v>28</v>
      </c>
      <c r="O1825" s="35">
        <v>1700</v>
      </c>
      <c r="P1825" s="3">
        <v>2024</v>
      </c>
      <c r="Q1825" s="3">
        <f>VLOOKUP(C1825,layoffs_location!A:F,6,FALSE)</f>
        <v>34.053690899999999</v>
      </c>
      <c r="R1825" s="3">
        <f>VLOOKUP(C1825,layoffs_location!A:G,7,FALSE)</f>
        <v>-118.242766</v>
      </c>
    </row>
    <row r="1826" spans="1:18" x14ac:dyDescent="0.2">
      <c r="A1826" s="3">
        <v>1825</v>
      </c>
      <c r="B1826" s="17" t="s">
        <v>479</v>
      </c>
      <c r="C1826" s="17" t="s">
        <v>217</v>
      </c>
      <c r="D1826" s="3" t="str">
        <f>VLOOKUP(C1826,layoffs_location!A:B,2,FALSE)</f>
        <v>other</v>
      </c>
      <c r="E1826" s="3" t="str">
        <f>VLOOKUP(C1826,layoffs_location!A:C,3,FALSE)</f>
        <v>non</v>
      </c>
      <c r="F1826" s="3" t="str">
        <f>VLOOKUP(C1826,layoffs_location!A:D,4,FALSE)</f>
        <v>Ireland</v>
      </c>
      <c r="G1826" s="3" t="str">
        <f>VLOOKUP(C1826,layoffs_location!A:E,5,FALSE)</f>
        <v>Europe</v>
      </c>
      <c r="H1826" s="17">
        <v>85</v>
      </c>
      <c r="I1826" s="18">
        <v>45461</v>
      </c>
      <c r="J1826" s="19"/>
      <c r="K1826" s="20"/>
      <c r="L1826" s="20"/>
      <c r="M1826" s="17" t="s">
        <v>35</v>
      </c>
      <c r="N1826" s="17" t="s">
        <v>28</v>
      </c>
      <c r="O1826" s="35"/>
      <c r="P1826" s="3">
        <v>2024</v>
      </c>
      <c r="Q1826" s="3">
        <f>VLOOKUP(C1826,layoffs_location!A:F,6,FALSE)</f>
        <v>53.349379499999998</v>
      </c>
      <c r="R1826" s="3">
        <f>VLOOKUP(C1826,layoffs_location!A:G,7,FALSE)</f>
        <v>-6.2605592999999997</v>
      </c>
    </row>
    <row r="1827" spans="1:18" x14ac:dyDescent="0.2">
      <c r="A1827" s="3">
        <v>1826</v>
      </c>
      <c r="B1827" s="17" t="s">
        <v>1425</v>
      </c>
      <c r="C1827" s="17" t="s">
        <v>47</v>
      </c>
      <c r="D1827" s="3" t="str">
        <f>VLOOKUP(C1827,layoffs_location!A:B,2,FALSE)</f>
        <v>other</v>
      </c>
      <c r="E1827" s="3" t="str">
        <f>VLOOKUP(C1827,layoffs_location!A:C,3,FALSE)</f>
        <v>non</v>
      </c>
      <c r="F1827" s="3" t="str">
        <f>VLOOKUP(C1827,layoffs_location!A:D,4,FALSE)</f>
        <v>Israel</v>
      </c>
      <c r="G1827" s="3" t="str">
        <f>VLOOKUP(C1827,layoffs_location!A:E,5,FALSE)</f>
        <v>Asia</v>
      </c>
      <c r="H1827" s="17">
        <v>30</v>
      </c>
      <c r="I1827" s="18">
        <v>45461</v>
      </c>
      <c r="J1827" s="19">
        <v>4</v>
      </c>
      <c r="K1827" s="20">
        <f>SUM((H1827*100)/Table13[[#This Row],[Percentage]])</f>
        <v>750</v>
      </c>
      <c r="L1827" s="20">
        <f>SUM(Table13[[#This Row],[Company_Size_before_Layoffs]]-Table13[[#This Row],[Laid_Off]])</f>
        <v>720</v>
      </c>
      <c r="M1827" s="17" t="s">
        <v>35</v>
      </c>
      <c r="N1827" s="17" t="s">
        <v>22</v>
      </c>
      <c r="O1827" s="35">
        <v>770</v>
      </c>
      <c r="P1827" s="3">
        <v>2024</v>
      </c>
      <c r="Q1827" s="3">
        <f>VLOOKUP(C1827,layoffs_location!A:F,6,FALSE)</f>
        <v>32.0852997</v>
      </c>
      <c r="R1827" s="3">
        <f>VLOOKUP(C1827,layoffs_location!A:G,7,FALSE)</f>
        <v>34.781806400000001</v>
      </c>
    </row>
    <row r="1828" spans="1:18" x14ac:dyDescent="0.2">
      <c r="A1828" s="3">
        <v>1827</v>
      </c>
      <c r="B1828" s="17" t="s">
        <v>1427</v>
      </c>
      <c r="C1828" s="17" t="s">
        <v>39</v>
      </c>
      <c r="D1828" s="3" t="str">
        <f>VLOOKUP(C1828,layoffs_location!A:B,2,FALSE)</f>
        <v>New York</v>
      </c>
      <c r="E1828" s="3" t="str">
        <f>VLOOKUP(C1828,layoffs_location!A:C,3,FALSE)</f>
        <v>New York</v>
      </c>
      <c r="F1828" s="3" t="str">
        <f>VLOOKUP(C1828,layoffs_location!A:D,4,FALSE)</f>
        <v>USA</v>
      </c>
      <c r="G1828" s="3" t="str">
        <f>VLOOKUP(C1828,layoffs_location!A:E,5,FALSE)</f>
        <v>North America</v>
      </c>
      <c r="H1828" s="17"/>
      <c r="I1828" s="18">
        <v>45461</v>
      </c>
      <c r="J1828" s="19">
        <v>15</v>
      </c>
      <c r="K1828" s="20"/>
      <c r="L1828" s="20"/>
      <c r="M1828" s="17" t="s">
        <v>35</v>
      </c>
      <c r="N1828" s="17" t="s">
        <v>41</v>
      </c>
      <c r="O1828" s="35">
        <v>170</v>
      </c>
      <c r="P1828" s="3">
        <v>2024</v>
      </c>
      <c r="Q1828" s="3">
        <f>VLOOKUP(C1828,layoffs_location!A:F,6,FALSE)</f>
        <v>40.7127281</v>
      </c>
      <c r="R1828" s="3">
        <f>VLOOKUP(C1828,layoffs_location!A:G,7,FALSE)</f>
        <v>-74.006015199999993</v>
      </c>
    </row>
    <row r="1829" spans="1:18" x14ac:dyDescent="0.2">
      <c r="A1829" s="3">
        <v>1828</v>
      </c>
      <c r="B1829" s="17" t="s">
        <v>1481</v>
      </c>
      <c r="C1829" s="17" t="s">
        <v>145</v>
      </c>
      <c r="D1829" s="3" t="str">
        <f>VLOOKUP(C1829,layoffs_location!A:B,2,FALSE)</f>
        <v>Cascadia</v>
      </c>
      <c r="E1829" s="3" t="str">
        <f>VLOOKUP(C1829,layoffs_location!A:C,3,FALSE)</f>
        <v>Oregon</v>
      </c>
      <c r="F1829" s="3" t="str">
        <f>VLOOKUP(C1829,layoffs_location!A:D,4,FALSE)</f>
        <v>USA</v>
      </c>
      <c r="G1829" s="3" t="str">
        <f>VLOOKUP(C1829,layoffs_location!A:E,5,FALSE)</f>
        <v>North America</v>
      </c>
      <c r="H1829" s="17">
        <v>375</v>
      </c>
      <c r="I1829" s="18">
        <v>45461</v>
      </c>
      <c r="J1829" s="19">
        <v>5</v>
      </c>
      <c r="K1829" s="20">
        <f>SUM((H1829*100)/Table13[[#This Row],[Percentage]])</f>
        <v>7500</v>
      </c>
      <c r="L1829" s="20">
        <f>SUM(Table13[[#This Row],[Company_Size_before_Layoffs]]-Table13[[#This Row],[Laid_Off]])</f>
        <v>7125</v>
      </c>
      <c r="M1829" s="17" t="s">
        <v>35</v>
      </c>
      <c r="N1829" s="17" t="s">
        <v>28</v>
      </c>
      <c r="O1829" s="35">
        <v>400</v>
      </c>
      <c r="P1829" s="3">
        <v>2024</v>
      </c>
      <c r="Q1829" s="3">
        <f>VLOOKUP(C1829,layoffs_location!A:F,6,FALSE)</f>
        <v>45.520247099999999</v>
      </c>
      <c r="R1829" s="3">
        <f>VLOOKUP(C1829,layoffs_location!A:G,7,FALSE)</f>
        <v>-122.674194</v>
      </c>
    </row>
    <row r="1830" spans="1:18" ht="16" x14ac:dyDescent="0.2">
      <c r="A1830" s="3">
        <v>1829</v>
      </c>
      <c r="B1830" s="4" t="s">
        <v>1872</v>
      </c>
      <c r="C1830" s="4" t="s">
        <v>145</v>
      </c>
      <c r="D1830" s="3" t="str">
        <f>VLOOKUP(C1830,layoffs_location!A:B,2,FALSE)</f>
        <v>Cascadia</v>
      </c>
      <c r="E1830" s="3" t="str">
        <f>VLOOKUP(C1830,layoffs_location!A:C,3,FALSE)</f>
        <v>Oregon</v>
      </c>
      <c r="F1830" s="3" t="str">
        <f>VLOOKUP(C1830,layoffs_location!A:D,4,FALSE)</f>
        <v>USA</v>
      </c>
      <c r="G1830" s="3" t="str">
        <f>VLOOKUP(C1830,layoffs_location!A:E,5,FALSE)</f>
        <v>North America</v>
      </c>
      <c r="H1830" s="23">
        <v>375</v>
      </c>
      <c r="I1830" s="24">
        <v>45461</v>
      </c>
      <c r="J1830" s="47">
        <v>5</v>
      </c>
      <c r="K1830" s="25">
        <f>SUM((Table13[[#This Row],[Laid_Off]]*100)/Table13[[#This Row],[Percentage]])</f>
        <v>7500</v>
      </c>
      <c r="L1830" s="25">
        <f>SUM(Table13[[#This Row],[Company_Size_before_Layoffs]]-Table13[[#This Row],[Laid_Off]])</f>
        <v>7125</v>
      </c>
      <c r="M1830" s="4" t="s">
        <v>1893</v>
      </c>
      <c r="N1830" s="4" t="s">
        <v>1882</v>
      </c>
      <c r="O1830" s="27">
        <v>400</v>
      </c>
      <c r="P1830" s="7">
        <v>2024</v>
      </c>
      <c r="Q1830" s="3">
        <f>VLOOKUP(C1830,layoffs_location!A:F,6,FALSE)</f>
        <v>45.520247099999999</v>
      </c>
      <c r="R1830" s="3">
        <f>VLOOKUP(C1830,layoffs_location!A:G,7,FALSE)</f>
        <v>-122.674194</v>
      </c>
    </row>
    <row r="1831" spans="1:18" ht="16" x14ac:dyDescent="0.2">
      <c r="A1831" s="3">
        <v>1830</v>
      </c>
      <c r="B1831" s="4" t="s">
        <v>1873</v>
      </c>
      <c r="C1831" s="4" t="s">
        <v>1694</v>
      </c>
      <c r="D1831" s="3" t="str">
        <f>VLOOKUP(C1831,layoffs_location!A:B,2,FALSE)</f>
        <v>San Francisco Bay Area</v>
      </c>
      <c r="E1831" s="3" t="str">
        <f>VLOOKUP(C1831,layoffs_location!A:C,3,FALSE)</f>
        <v>California</v>
      </c>
      <c r="F1831" s="3" t="str">
        <f>VLOOKUP(C1831,layoffs_location!A:D,4,FALSE)</f>
        <v>USA</v>
      </c>
      <c r="G1831" s="3" t="str">
        <f>VLOOKUP(C1831,layoffs_location!A:E,5,FALSE)</f>
        <v>North America</v>
      </c>
      <c r="H1831" s="23">
        <v>85</v>
      </c>
      <c r="I1831" s="24">
        <v>45461</v>
      </c>
      <c r="J1831" s="5"/>
      <c r="K1831" s="25"/>
      <c r="L1831" s="25"/>
      <c r="M1831" s="4" t="s">
        <v>1893</v>
      </c>
      <c r="N1831" s="4" t="s">
        <v>1882</v>
      </c>
      <c r="O1831" s="27">
        <v>216</v>
      </c>
      <c r="P1831" s="7">
        <v>2024</v>
      </c>
      <c r="Q1831" s="3">
        <f>VLOOKUP(C1831,layoffs_location!A:F,6,FALSE)</f>
        <v>37.336166300000002</v>
      </c>
      <c r="R1831" s="3">
        <f>VLOOKUP(C1831,layoffs_location!A:G,7,FALSE)</f>
        <v>-121.890591</v>
      </c>
    </row>
    <row r="1832" spans="1:18" ht="16" x14ac:dyDescent="0.2">
      <c r="A1832" s="3">
        <v>1831</v>
      </c>
      <c r="B1832" s="4" t="s">
        <v>1874</v>
      </c>
      <c r="C1832" s="4" t="s">
        <v>47</v>
      </c>
      <c r="D1832" s="3" t="str">
        <f>VLOOKUP(C1832,layoffs_location!A:B,2,FALSE)</f>
        <v>other</v>
      </c>
      <c r="E1832" s="3" t="str">
        <f>VLOOKUP(C1832,layoffs_location!A:C,3,FALSE)</f>
        <v>non</v>
      </c>
      <c r="F1832" s="3" t="str">
        <f>VLOOKUP(C1832,layoffs_location!A:D,4,FALSE)</f>
        <v>Israel</v>
      </c>
      <c r="G1832" s="3" t="str">
        <f>VLOOKUP(C1832,layoffs_location!A:E,5,FALSE)</f>
        <v>Asia</v>
      </c>
      <c r="H1832" s="23">
        <v>30</v>
      </c>
      <c r="I1832" s="24">
        <v>45461</v>
      </c>
      <c r="J1832" s="5"/>
      <c r="K1832" s="25"/>
      <c r="L1832" s="25"/>
      <c r="M1832" s="4" t="s">
        <v>1893</v>
      </c>
      <c r="N1832" s="4" t="s">
        <v>1879</v>
      </c>
      <c r="O1832" s="27">
        <v>770</v>
      </c>
      <c r="P1832" s="7">
        <v>2024</v>
      </c>
      <c r="Q1832" s="3">
        <f>VLOOKUP(C1832,layoffs_location!A:F,6,FALSE)</f>
        <v>32.0852997</v>
      </c>
      <c r="R1832" s="3">
        <f>VLOOKUP(C1832,layoffs_location!A:G,7,FALSE)</f>
        <v>34.781806400000001</v>
      </c>
    </row>
    <row r="1833" spans="1:18" ht="16" x14ac:dyDescent="0.2">
      <c r="A1833" s="3">
        <v>1832</v>
      </c>
      <c r="B1833" s="4" t="s">
        <v>1875</v>
      </c>
      <c r="C1833" s="4" t="s">
        <v>103</v>
      </c>
      <c r="D1833" s="3" t="str">
        <f>VLOOKUP(C1833,layoffs_location!A:B,2,FALSE)</f>
        <v>other</v>
      </c>
      <c r="E1833" s="3" t="str">
        <f>VLOOKUP(C1833,layoffs_location!A:C,3,FALSE)</f>
        <v>Kansas</v>
      </c>
      <c r="F1833" s="3" t="str">
        <f>VLOOKUP(C1833,layoffs_location!A:D,4,FALSE)</f>
        <v>USA</v>
      </c>
      <c r="G1833" s="3" t="str">
        <f>VLOOKUP(C1833,layoffs_location!A:E,5,FALSE)</f>
        <v>North America</v>
      </c>
      <c r="H1833" s="23">
        <v>16</v>
      </c>
      <c r="I1833" s="24">
        <v>45461</v>
      </c>
      <c r="J1833" s="5"/>
      <c r="K1833" s="25"/>
      <c r="L1833" s="25"/>
      <c r="M1833" s="4" t="s">
        <v>1893</v>
      </c>
      <c r="N1833" s="4" t="s">
        <v>1889</v>
      </c>
      <c r="O1833" s="27">
        <v>537</v>
      </c>
      <c r="P1833" s="7">
        <v>2024</v>
      </c>
      <c r="Q1833" s="3">
        <f>VLOOKUP(C1833,layoffs_location!A:F,6,FALSE)</f>
        <v>39.100104999999999</v>
      </c>
      <c r="R1833" s="3">
        <f>VLOOKUP(C1833,layoffs_location!A:G,7,FALSE)</f>
        <v>-94.578141599999995</v>
      </c>
    </row>
    <row r="1834" spans="1:18" ht="16" x14ac:dyDescent="0.2">
      <c r="A1834" s="3">
        <v>1833</v>
      </c>
      <c r="B1834" s="4" t="s">
        <v>1876</v>
      </c>
      <c r="C1834" s="4" t="s">
        <v>76</v>
      </c>
      <c r="D1834" s="3" t="str">
        <f>VLOOKUP(C1834,layoffs_location!A:B,2,FALSE)</f>
        <v>other</v>
      </c>
      <c r="E1834" s="3" t="str">
        <f>VLOOKUP(C1834,layoffs_location!A:C,3,FALSE)</f>
        <v>California</v>
      </c>
      <c r="F1834" s="3" t="str">
        <f>VLOOKUP(C1834,layoffs_location!A:D,4,FALSE)</f>
        <v>USA</v>
      </c>
      <c r="G1834" s="3" t="str">
        <f>VLOOKUP(C1834,layoffs_location!A:E,5,FALSE)</f>
        <v>North America</v>
      </c>
      <c r="H1834" s="4"/>
      <c r="I1834" s="24">
        <v>45461</v>
      </c>
      <c r="J1834" s="47">
        <v>100</v>
      </c>
      <c r="K1834" s="25"/>
      <c r="L1834" s="25">
        <f>SUM(Table13[[#This Row],[Company_Size_before_Layoffs]]-Table13[[#This Row],[Laid_Off]])</f>
        <v>0</v>
      </c>
      <c r="M1834" s="4" t="s">
        <v>1958</v>
      </c>
      <c r="N1834" s="4" t="s">
        <v>1882</v>
      </c>
      <c r="O1834" s="27">
        <v>1.7</v>
      </c>
      <c r="P1834" s="7">
        <v>2024</v>
      </c>
      <c r="Q1834" s="3">
        <f>VLOOKUP(C1834,layoffs_location!A:F,6,FALSE)</f>
        <v>34.053690899999999</v>
      </c>
      <c r="R1834" s="3">
        <f>VLOOKUP(C1834,layoffs_location!A:G,7,FALSE)</f>
        <v>-118.242766</v>
      </c>
    </row>
    <row r="1835" spans="1:18" ht="16" x14ac:dyDescent="0.2">
      <c r="A1835" s="3">
        <v>1834</v>
      </c>
      <c r="B1835" s="17" t="s">
        <v>1578</v>
      </c>
      <c r="C1835" s="17" t="s">
        <v>1415</v>
      </c>
      <c r="D1835" s="3" t="str">
        <f>VLOOKUP(C1835,layoffs_location!A:B,2,FALSE)</f>
        <v>San Francisco Bay Area</v>
      </c>
      <c r="E1835" s="3" t="str">
        <f>VLOOKUP(C1835,layoffs_location!A:C,3,FALSE)</f>
        <v>California</v>
      </c>
      <c r="F1835" s="3" t="str">
        <f>VLOOKUP(C1835,layoffs_location!A:D,4,FALSE)</f>
        <v>USA</v>
      </c>
      <c r="G1835" s="3" t="str">
        <f>VLOOKUP(C1835,layoffs_location!A:E,5,FALSE)</f>
        <v>North America</v>
      </c>
      <c r="H1835" s="17">
        <v>22</v>
      </c>
      <c r="I1835" s="18">
        <v>45462</v>
      </c>
      <c r="J1835" s="19">
        <v>10</v>
      </c>
      <c r="K1835" s="20">
        <f>SUM((H1835*100)/Table13[[#This Row],[Percentage]])</f>
        <v>220</v>
      </c>
      <c r="L1835" s="20">
        <f>SUM(Table13[[#This Row],[Company_Size_before_Layoffs]]-Table13[[#This Row],[Laid_Off]])</f>
        <v>198</v>
      </c>
      <c r="M1835" s="17" t="s">
        <v>1441</v>
      </c>
      <c r="N1835" s="4" t="s">
        <v>28</v>
      </c>
      <c r="O1835" s="27">
        <v>12</v>
      </c>
      <c r="P1835" s="3">
        <v>2024</v>
      </c>
      <c r="Q1835" s="3">
        <f>VLOOKUP(C1835,layoffs_location!A:F,6,FALSE)</f>
        <v>37.354106999999999</v>
      </c>
      <c r="R1835" s="3">
        <f>VLOOKUP(C1835,layoffs_location!A:G,7,FALSE)</f>
        <v>-121.95523799999999</v>
      </c>
    </row>
    <row r="1836" spans="1:18" ht="16" x14ac:dyDescent="0.2">
      <c r="A1836" s="3">
        <v>1835</v>
      </c>
      <c r="B1836" s="4" t="s">
        <v>1870</v>
      </c>
      <c r="C1836" s="7" t="s">
        <v>1488</v>
      </c>
      <c r="D1836" s="3" t="str">
        <f>VLOOKUP(C1836,layoffs_location!A:B,2,FALSE)</f>
        <v>other</v>
      </c>
      <c r="E1836" s="3" t="str">
        <f>VLOOKUP(C1836,layoffs_location!A:C,3,FALSE)</f>
        <v>Hessen</v>
      </c>
      <c r="F1836" s="3" t="str">
        <f>VLOOKUP(C1836,layoffs_location!A:D,4,FALSE)</f>
        <v>Germany</v>
      </c>
      <c r="G1836" s="3" t="str">
        <f>VLOOKUP(C1836,layoffs_location!A:E,5,FALSE)</f>
        <v>Europe</v>
      </c>
      <c r="H1836" s="23">
        <v>200</v>
      </c>
      <c r="I1836" s="24">
        <v>45462</v>
      </c>
      <c r="J1836" s="47">
        <v>18</v>
      </c>
      <c r="K1836" s="25">
        <f>SUM((Table13[[#This Row],[Laid_Off]]*100)/Table13[[#This Row],[Percentage]])</f>
        <v>1111.1111111111111</v>
      </c>
      <c r="L1836" s="25">
        <f>SUM(Table13[[#This Row],[Company_Size_before_Layoffs]]-Table13[[#This Row],[Laid_Off]])</f>
        <v>911.11111111111109</v>
      </c>
      <c r="M1836" s="4" t="s">
        <v>1898</v>
      </c>
      <c r="N1836" s="4" t="s">
        <v>1884</v>
      </c>
      <c r="O1836" s="27"/>
      <c r="P1836" s="7">
        <v>2024</v>
      </c>
      <c r="Q1836" s="3">
        <f>VLOOKUP(C1836,layoffs_location!A:F,6,FALSE)</f>
        <v>50.110644399999998</v>
      </c>
      <c r="R1836" s="3">
        <f>VLOOKUP(C1836,layoffs_location!A:G,7,FALSE)</f>
        <v>8.6820917000000009</v>
      </c>
    </row>
    <row r="1837" spans="1:18" ht="16" x14ac:dyDescent="0.2">
      <c r="A1837" s="3">
        <v>1836</v>
      </c>
      <c r="B1837" s="4" t="s">
        <v>1871</v>
      </c>
      <c r="C1837" s="4" t="s">
        <v>47</v>
      </c>
      <c r="D1837" s="3" t="str">
        <f>VLOOKUP(C1837,layoffs_location!A:B,2,FALSE)</f>
        <v>other</v>
      </c>
      <c r="E1837" s="3" t="str">
        <f>VLOOKUP(C1837,layoffs_location!A:C,3,FALSE)</f>
        <v>non</v>
      </c>
      <c r="F1837" s="3" t="str">
        <f>VLOOKUP(C1837,layoffs_location!A:D,4,FALSE)</f>
        <v>Israel</v>
      </c>
      <c r="G1837" s="3" t="str">
        <f>VLOOKUP(C1837,layoffs_location!A:E,5,FALSE)</f>
        <v>Asia</v>
      </c>
      <c r="H1837" s="23">
        <v>20</v>
      </c>
      <c r="I1837" s="24">
        <v>45462</v>
      </c>
      <c r="J1837" s="47">
        <v>10</v>
      </c>
      <c r="K1837" s="25">
        <f>SUM((Table13[[#This Row],[Laid_Off]]*100)/Table13[[#This Row],[Percentage]])</f>
        <v>200</v>
      </c>
      <c r="L1837" s="25">
        <f>SUM(Table13[[#This Row],[Company_Size_before_Layoffs]]-Table13[[#This Row],[Laid_Off]])</f>
        <v>180</v>
      </c>
      <c r="M1837" s="4" t="s">
        <v>1957</v>
      </c>
      <c r="N1837" s="4" t="s">
        <v>1884</v>
      </c>
      <c r="O1837" s="27">
        <v>131</v>
      </c>
      <c r="P1837" s="7">
        <v>2024</v>
      </c>
      <c r="Q1837" s="3">
        <f>VLOOKUP(C1837,layoffs_location!A:F,6,FALSE)</f>
        <v>32.0852997</v>
      </c>
      <c r="R1837" s="3">
        <f>VLOOKUP(C1837,layoffs_location!A:G,7,FALSE)</f>
        <v>34.781806400000001</v>
      </c>
    </row>
    <row r="1838" spans="1:18" x14ac:dyDescent="0.2">
      <c r="A1838" s="3">
        <v>1837</v>
      </c>
      <c r="B1838" s="17" t="s">
        <v>1424</v>
      </c>
      <c r="C1838" s="17" t="s">
        <v>47</v>
      </c>
      <c r="D1838" s="3" t="str">
        <f>VLOOKUP(C1838,layoffs_location!A:B,2,FALSE)</f>
        <v>other</v>
      </c>
      <c r="E1838" s="3" t="str">
        <f>VLOOKUP(C1838,layoffs_location!A:C,3,FALSE)</f>
        <v>non</v>
      </c>
      <c r="F1838" s="3" t="str">
        <f>VLOOKUP(C1838,layoffs_location!A:D,4,FALSE)</f>
        <v>Israel</v>
      </c>
      <c r="G1838" s="3" t="str">
        <f>VLOOKUP(C1838,layoffs_location!A:E,5,FALSE)</f>
        <v>Asia</v>
      </c>
      <c r="H1838" s="17"/>
      <c r="I1838" s="18">
        <v>45463</v>
      </c>
      <c r="J1838" s="19">
        <v>12</v>
      </c>
      <c r="K1838" s="20"/>
      <c r="L1838" s="20"/>
      <c r="M1838" s="17" t="s">
        <v>35</v>
      </c>
      <c r="N1838" s="17" t="s">
        <v>22</v>
      </c>
      <c r="O1838" s="35">
        <v>769</v>
      </c>
      <c r="P1838" s="3">
        <v>2024</v>
      </c>
      <c r="Q1838" s="3">
        <f>VLOOKUP(C1838,layoffs_location!A:F,6,FALSE)</f>
        <v>32.0852997</v>
      </c>
      <c r="R1838" s="3">
        <f>VLOOKUP(C1838,layoffs_location!A:G,7,FALSE)</f>
        <v>34.781806400000001</v>
      </c>
    </row>
    <row r="1839" spans="1:18" ht="16" x14ac:dyDescent="0.2">
      <c r="A1839" s="3">
        <v>1838</v>
      </c>
      <c r="B1839" s="36" t="s">
        <v>1867</v>
      </c>
      <c r="C1839" s="36" t="s">
        <v>71</v>
      </c>
      <c r="D1839" s="3" t="str">
        <f>VLOOKUP(C1839,layoffs_location!A:B,2,FALSE)</f>
        <v>other</v>
      </c>
      <c r="E1839" s="3" t="str">
        <f>VLOOKUP(C1839,layoffs_location!A:C,3,FALSE)</f>
        <v>Massachusetts</v>
      </c>
      <c r="F1839" s="3" t="str">
        <f>VLOOKUP(C1839,layoffs_location!A:D,4,FALSE)</f>
        <v>USA</v>
      </c>
      <c r="G1839" s="3" t="str">
        <f>VLOOKUP(C1839,layoffs_location!A:E,5,FALSE)</f>
        <v>North America</v>
      </c>
      <c r="H1839" s="42">
        <v>400</v>
      </c>
      <c r="I1839" s="43">
        <v>45463</v>
      </c>
      <c r="J1839" s="47">
        <v>35</v>
      </c>
      <c r="K1839" s="25">
        <f>SUM((Table13[[#This Row],[Laid_Off]]*100)/Table13[[#This Row],[Percentage]])</f>
        <v>1142.8571428571429</v>
      </c>
      <c r="L1839" s="25">
        <f>SUM(Table13[[#This Row],[Company_Size_before_Layoffs]]-Table13[[#This Row],[Laid_Off]])</f>
        <v>742.85714285714289</v>
      </c>
      <c r="M1839" s="36" t="s">
        <v>1892</v>
      </c>
      <c r="N1839" s="36" t="s">
        <v>1882</v>
      </c>
      <c r="O1839" s="45">
        <v>1.6</v>
      </c>
      <c r="P1839" s="7">
        <v>2024</v>
      </c>
      <c r="Q1839" s="3">
        <f>VLOOKUP(C1839,layoffs_location!A:F,6,FALSE)</f>
        <v>42.355433400000003</v>
      </c>
      <c r="R1839" s="3">
        <f>VLOOKUP(C1839,layoffs_location!A:G,7,FALSE)</f>
        <v>-71.060511000000005</v>
      </c>
    </row>
    <row r="1840" spans="1:18" ht="16" x14ac:dyDescent="0.2">
      <c r="A1840" s="3">
        <v>1839</v>
      </c>
      <c r="B1840" s="4" t="s">
        <v>1869</v>
      </c>
      <c r="C1840" s="4" t="s">
        <v>47</v>
      </c>
      <c r="D1840" s="3" t="str">
        <f>VLOOKUP(C1840,layoffs_location!A:B,2,FALSE)</f>
        <v>other</v>
      </c>
      <c r="E1840" s="3" t="str">
        <f>VLOOKUP(C1840,layoffs_location!A:C,3,FALSE)</f>
        <v>non</v>
      </c>
      <c r="F1840" s="3" t="str">
        <f>VLOOKUP(C1840,layoffs_location!A:D,4,FALSE)</f>
        <v>Israel</v>
      </c>
      <c r="G1840" s="3" t="str">
        <f>VLOOKUP(C1840,layoffs_location!A:E,5,FALSE)</f>
        <v>Asia</v>
      </c>
      <c r="H1840" s="4"/>
      <c r="I1840" s="24">
        <v>45463</v>
      </c>
      <c r="J1840" s="5"/>
      <c r="K1840" s="25"/>
      <c r="L1840" s="25"/>
      <c r="M1840" s="4" t="s">
        <v>1893</v>
      </c>
      <c r="N1840" s="4" t="s">
        <v>1879</v>
      </c>
      <c r="O1840" s="27">
        <v>769</v>
      </c>
      <c r="P1840" s="4">
        <v>2024</v>
      </c>
      <c r="Q1840" s="3">
        <f>VLOOKUP(C1840,layoffs_location!A:F,6,FALSE)</f>
        <v>32.0852997</v>
      </c>
      <c r="R1840" s="3">
        <f>VLOOKUP(C1840,layoffs_location!A:G,7,FALSE)</f>
        <v>34.781806400000001</v>
      </c>
    </row>
    <row r="1841" spans="1:18" ht="16" x14ac:dyDescent="0.2">
      <c r="A1841" s="3">
        <v>1840</v>
      </c>
      <c r="B1841" s="4" t="s">
        <v>1788</v>
      </c>
      <c r="C1841" s="4" t="s">
        <v>13</v>
      </c>
      <c r="D1841" s="3" t="str">
        <f>VLOOKUP(C1841,layoffs_location!A:B,2,FALSE)</f>
        <v>other</v>
      </c>
      <c r="E1841" s="3" t="str">
        <f>VLOOKUP(C1841,layoffs_location!A:C,3,FALSE)</f>
        <v>Karnataka</v>
      </c>
      <c r="F1841" s="3" t="str">
        <f>VLOOKUP(C1841,layoffs_location!A:D,4,FALSE)</f>
        <v>India</v>
      </c>
      <c r="G1841" s="3" t="str">
        <f>VLOOKUP(C1841,layoffs_location!A:E,5,FALSE)</f>
        <v>Asia</v>
      </c>
      <c r="H1841" s="4"/>
      <c r="I1841" s="24">
        <v>45463</v>
      </c>
      <c r="J1841" s="47">
        <v>80</v>
      </c>
      <c r="K1841" s="25"/>
      <c r="L1841" s="25"/>
      <c r="M1841" s="4" t="s">
        <v>1896</v>
      </c>
      <c r="N1841" s="4" t="s">
        <v>1879</v>
      </c>
      <c r="O1841" s="27">
        <v>54</v>
      </c>
      <c r="P1841" s="4">
        <v>2024</v>
      </c>
      <c r="Q1841" s="3">
        <f>VLOOKUP(C1841,layoffs_location!A:F,6,FALSE)</f>
        <v>12.98815675</v>
      </c>
      <c r="R1841" s="3">
        <f>VLOOKUP(C1841,layoffs_location!A:G,7,FALSE)</f>
        <v>77.622600037959998</v>
      </c>
    </row>
    <row r="1842" spans="1:18" x14ac:dyDescent="0.2">
      <c r="A1842" s="3">
        <v>1841</v>
      </c>
      <c r="B1842" s="17" t="s">
        <v>1438</v>
      </c>
      <c r="C1842" s="17" t="s">
        <v>1488</v>
      </c>
      <c r="D1842" s="3" t="str">
        <f>VLOOKUP(C1842,layoffs_location!A:B,2,FALSE)</f>
        <v>other</v>
      </c>
      <c r="E1842" s="3" t="str">
        <f>VLOOKUP(C1842,layoffs_location!A:C,3,FALSE)</f>
        <v>Hessen</v>
      </c>
      <c r="F1842" s="3" t="str">
        <f>VLOOKUP(C1842,layoffs_location!A:D,4,FALSE)</f>
        <v>Germany</v>
      </c>
      <c r="G1842" s="3" t="str">
        <f>VLOOKUP(C1842,layoffs_location!A:E,5,FALSE)</f>
        <v>Europe</v>
      </c>
      <c r="H1842" s="17">
        <v>200</v>
      </c>
      <c r="I1842" s="18">
        <v>45464</v>
      </c>
      <c r="J1842" s="19">
        <v>18</v>
      </c>
      <c r="K1842" s="20">
        <f>SUM((H1842*100)/Table13[[#This Row],[Percentage]])</f>
        <v>1111.1111111111111</v>
      </c>
      <c r="L1842" s="20">
        <f>SUM(Table13[[#This Row],[Company_Size_before_Layoffs]]-Table13[[#This Row],[Laid_Off]])</f>
        <v>911.11111111111109</v>
      </c>
      <c r="M1842" s="17" t="s">
        <v>30</v>
      </c>
      <c r="N1842" s="17" t="s">
        <v>33</v>
      </c>
      <c r="O1842" s="35"/>
      <c r="P1842" s="17">
        <v>2024</v>
      </c>
      <c r="Q1842" s="3">
        <f>VLOOKUP(C1842,layoffs_location!A:F,6,FALSE)</f>
        <v>50.110644399999998</v>
      </c>
      <c r="R1842" s="3">
        <f>VLOOKUP(C1842,layoffs_location!A:G,7,FALSE)</f>
        <v>8.6820917000000009</v>
      </c>
    </row>
    <row r="1843" spans="1:18" x14ac:dyDescent="0.2">
      <c r="A1843" s="3">
        <v>1842</v>
      </c>
      <c r="B1843" s="17" t="s">
        <v>1442</v>
      </c>
      <c r="C1843" s="17" t="s">
        <v>13</v>
      </c>
      <c r="D1843" s="3" t="str">
        <f>VLOOKUP(C1843,layoffs_location!A:B,2,FALSE)</f>
        <v>other</v>
      </c>
      <c r="E1843" s="3" t="str">
        <f>VLOOKUP(C1843,layoffs_location!A:C,3,FALSE)</f>
        <v>Karnataka</v>
      </c>
      <c r="F1843" s="3" t="str">
        <f>VLOOKUP(C1843,layoffs_location!A:D,4,FALSE)</f>
        <v>India</v>
      </c>
      <c r="G1843" s="3" t="str">
        <f>VLOOKUP(C1843,layoffs_location!A:E,5,FALSE)</f>
        <v>Asia</v>
      </c>
      <c r="H1843" s="17"/>
      <c r="I1843" s="18">
        <v>45464</v>
      </c>
      <c r="J1843" s="19">
        <v>80</v>
      </c>
      <c r="K1843" s="20"/>
      <c r="L1843" s="20"/>
      <c r="M1843" s="17" t="s">
        <v>77</v>
      </c>
      <c r="N1843" s="17" t="s">
        <v>22</v>
      </c>
      <c r="O1843" s="35">
        <v>54</v>
      </c>
      <c r="P1843" s="17">
        <v>2024</v>
      </c>
      <c r="Q1843" s="3">
        <f>VLOOKUP(C1843,layoffs_location!A:F,6,FALSE)</f>
        <v>12.98815675</v>
      </c>
      <c r="R1843" s="3">
        <f>VLOOKUP(C1843,layoffs_location!A:G,7,FALSE)</f>
        <v>77.622600037959998</v>
      </c>
    </row>
    <row r="1844" spans="1:18" x14ac:dyDescent="0.2">
      <c r="A1844" s="3">
        <v>1843</v>
      </c>
      <c r="B1844" s="17" t="s">
        <v>1480</v>
      </c>
      <c r="C1844" s="17" t="s">
        <v>135</v>
      </c>
      <c r="D1844" s="3" t="str">
        <f>VLOOKUP(C1844,layoffs_location!A:B,2,FALSE)</f>
        <v>other</v>
      </c>
      <c r="E1844" s="3" t="str">
        <f>VLOOKUP(C1844,layoffs_location!A:C,3,FALSE)</f>
        <v>Berlin</v>
      </c>
      <c r="F1844" s="3" t="str">
        <f>VLOOKUP(C1844,layoffs_location!A:D,4,FALSE)</f>
        <v>Germany</v>
      </c>
      <c r="G1844" s="3" t="str">
        <f>VLOOKUP(C1844,layoffs_location!A:E,5,FALSE)</f>
        <v>Europe</v>
      </c>
      <c r="H1844" s="17"/>
      <c r="I1844" s="18">
        <v>45466</v>
      </c>
      <c r="J1844" s="19"/>
      <c r="K1844" s="20"/>
      <c r="L1844" s="20"/>
      <c r="M1844" s="17" t="s">
        <v>35</v>
      </c>
      <c r="N1844" s="17" t="s">
        <v>22</v>
      </c>
      <c r="O1844" s="35">
        <v>1300</v>
      </c>
      <c r="P1844" s="17">
        <v>2024</v>
      </c>
      <c r="Q1844" s="3">
        <f>VLOOKUP(C1844,layoffs_location!A:F,6,FALSE)</f>
        <v>52.517036500000003</v>
      </c>
      <c r="R1844" s="3">
        <f>VLOOKUP(C1844,layoffs_location!A:G,7,FALSE)</f>
        <v>13.3888599</v>
      </c>
    </row>
    <row r="1845" spans="1:18" ht="16" x14ac:dyDescent="0.2">
      <c r="A1845" s="3">
        <v>1844</v>
      </c>
      <c r="B1845" s="4" t="s">
        <v>1868</v>
      </c>
      <c r="C1845" s="4" t="s">
        <v>135</v>
      </c>
      <c r="D1845" s="3" t="str">
        <f>VLOOKUP(C1845,layoffs_location!A:B,2,FALSE)</f>
        <v>other</v>
      </c>
      <c r="E1845" s="3" t="str">
        <f>VLOOKUP(C1845,layoffs_location!A:C,3,FALSE)</f>
        <v>Berlin</v>
      </c>
      <c r="F1845" s="3" t="str">
        <f>VLOOKUP(C1845,layoffs_location!A:D,4,FALSE)</f>
        <v>Germany</v>
      </c>
      <c r="G1845" s="3" t="str">
        <f>VLOOKUP(C1845,layoffs_location!A:E,5,FALSE)</f>
        <v>Europe</v>
      </c>
      <c r="H1845" s="4"/>
      <c r="I1845" s="24">
        <v>45466</v>
      </c>
      <c r="J1845" s="5"/>
      <c r="K1845" s="25"/>
      <c r="L1845" s="25"/>
      <c r="M1845" s="4" t="s">
        <v>1893</v>
      </c>
      <c r="N1845" s="4" t="s">
        <v>1879</v>
      </c>
      <c r="O1845" s="27">
        <v>1.3</v>
      </c>
      <c r="P1845" s="4">
        <v>2024</v>
      </c>
      <c r="Q1845" s="3">
        <f>VLOOKUP(C1845,layoffs_location!A:F,6,FALSE)</f>
        <v>52.517036500000003</v>
      </c>
      <c r="R1845" s="3">
        <f>VLOOKUP(C1845,layoffs_location!A:G,7,FALSE)</f>
        <v>13.3888599</v>
      </c>
    </row>
    <row r="1846" spans="1:18" x14ac:dyDescent="0.2">
      <c r="A1846" s="3">
        <v>1845</v>
      </c>
      <c r="B1846" s="17" t="s">
        <v>1423</v>
      </c>
      <c r="C1846" s="40" t="s">
        <v>1370</v>
      </c>
      <c r="D1846" s="3" t="str">
        <f>VLOOKUP(C1846,layoffs_location!A:B,2,FALSE)</f>
        <v>San Francisco Bay Area</v>
      </c>
      <c r="E1846" s="3" t="str">
        <f>VLOOKUP(C1846,layoffs_location!A:C,3,FALSE)</f>
        <v>California</v>
      </c>
      <c r="F1846" s="3" t="str">
        <f>VLOOKUP(C1846,layoffs_location!A:D,4,FALSE)</f>
        <v>USA</v>
      </c>
      <c r="G1846" s="3" t="str">
        <f>VLOOKUP(C1846,layoffs_location!A:E,5,FALSE)</f>
        <v>North America</v>
      </c>
      <c r="H1846" s="17">
        <v>30</v>
      </c>
      <c r="I1846" s="18">
        <v>45467</v>
      </c>
      <c r="J1846" s="19">
        <v>3</v>
      </c>
      <c r="K1846" s="20">
        <f>SUM((H1846*100)/Table13[[#This Row],[Percentage]])</f>
        <v>1000</v>
      </c>
      <c r="L1846" s="20">
        <f>SUM(Table13[[#This Row],[Company_Size_before_Layoffs]]-Table13[[#This Row],[Laid_Off]])</f>
        <v>970</v>
      </c>
      <c r="M1846" s="17" t="s">
        <v>35</v>
      </c>
      <c r="N1846" s="17" t="s">
        <v>22</v>
      </c>
      <c r="O1846" s="35">
        <v>509</v>
      </c>
      <c r="P1846" s="17">
        <v>2024</v>
      </c>
      <c r="Q1846" s="3">
        <f>VLOOKUP(C1846,layoffs_location!A:F,6,FALSE)</f>
        <v>37.779258800000001</v>
      </c>
      <c r="R1846" s="3">
        <f>VLOOKUP(C1846,layoffs_location!A:G,7,FALSE)</f>
        <v>-122.4193286</v>
      </c>
    </row>
    <row r="1847" spans="1:18" x14ac:dyDescent="0.2">
      <c r="A1847" s="3">
        <v>1846</v>
      </c>
      <c r="B1847" s="17" t="s">
        <v>1429</v>
      </c>
      <c r="C1847" s="17" t="s">
        <v>71</v>
      </c>
      <c r="D1847" s="3" t="str">
        <f>VLOOKUP(C1847,layoffs_location!A:B,2,FALSE)</f>
        <v>other</v>
      </c>
      <c r="E1847" s="3" t="str">
        <f>VLOOKUP(C1847,layoffs_location!A:C,3,FALSE)</f>
        <v>Massachusetts</v>
      </c>
      <c r="F1847" s="3" t="str">
        <f>VLOOKUP(C1847,layoffs_location!A:D,4,FALSE)</f>
        <v>USA</v>
      </c>
      <c r="G1847" s="3" t="str">
        <f>VLOOKUP(C1847,layoffs_location!A:E,5,FALSE)</f>
        <v>North America</v>
      </c>
      <c r="H1847" s="17">
        <v>400</v>
      </c>
      <c r="I1847" s="18">
        <v>45467</v>
      </c>
      <c r="J1847" s="19">
        <v>35</v>
      </c>
      <c r="K1847" s="20">
        <f>SUM((H1847*100)/Table13[[#This Row],[Percentage]])</f>
        <v>1142.8571428571429</v>
      </c>
      <c r="L1847" s="20">
        <f>SUM(Table13[[#This Row],[Company_Size_before_Layoffs]]-Table13[[#This Row],[Laid_Off]])</f>
        <v>742.85714285714289</v>
      </c>
      <c r="M1847" s="17" t="s">
        <v>21</v>
      </c>
      <c r="N1847" s="17" t="s">
        <v>28</v>
      </c>
      <c r="O1847" s="35">
        <v>100</v>
      </c>
      <c r="P1847" s="17">
        <v>2024</v>
      </c>
      <c r="Q1847" s="3">
        <f>VLOOKUP(C1847,layoffs_location!A:F,6,FALSE)</f>
        <v>42.355433400000003</v>
      </c>
      <c r="R1847" s="3">
        <f>VLOOKUP(C1847,layoffs_location!A:G,7,FALSE)</f>
        <v>-71.060511000000005</v>
      </c>
    </row>
    <row r="1848" spans="1:18" ht="16" x14ac:dyDescent="0.2">
      <c r="A1848" s="3">
        <v>1847</v>
      </c>
      <c r="B1848" s="4" t="s">
        <v>1866</v>
      </c>
      <c r="C1848" s="4" t="s">
        <v>1370</v>
      </c>
      <c r="D1848" s="3" t="str">
        <f>VLOOKUP(C1848,layoffs_location!A:B,2,FALSE)</f>
        <v>San Francisco Bay Area</v>
      </c>
      <c r="E1848" s="3" t="str">
        <f>VLOOKUP(C1848,layoffs_location!A:C,3,FALSE)</f>
        <v>California</v>
      </c>
      <c r="F1848" s="3" t="str">
        <f>VLOOKUP(C1848,layoffs_location!A:D,4,FALSE)</f>
        <v>USA</v>
      </c>
      <c r="G1848" s="3" t="str">
        <f>VLOOKUP(C1848,layoffs_location!A:E,5,FALSE)</f>
        <v>North America</v>
      </c>
      <c r="H1848" s="23">
        <v>30</v>
      </c>
      <c r="I1848" s="24">
        <v>45467</v>
      </c>
      <c r="J1848" s="47">
        <v>3</v>
      </c>
      <c r="K1848" s="25">
        <f>SUM((Table13[[#This Row],[Laid_Off]]*100)/Table13[[#This Row],[Percentage]])</f>
        <v>1000</v>
      </c>
      <c r="L1848" s="25">
        <f>SUM(Table13[[#This Row],[Company_Size_before_Layoffs]]-Table13[[#This Row],[Laid_Off]])</f>
        <v>970</v>
      </c>
      <c r="M1848" s="4" t="s">
        <v>1893</v>
      </c>
      <c r="N1848" s="4" t="s">
        <v>1879</v>
      </c>
      <c r="O1848" s="27">
        <v>509</v>
      </c>
      <c r="P1848" s="4">
        <v>2024</v>
      </c>
      <c r="Q1848" s="3">
        <f>VLOOKUP(C1848,layoffs_location!A:F,6,FALSE)</f>
        <v>37.779258800000001</v>
      </c>
      <c r="R1848" s="3">
        <f>VLOOKUP(C1848,layoffs_location!A:G,7,FALSE)</f>
        <v>-122.4193286</v>
      </c>
    </row>
    <row r="1849" spans="1:18" ht="16" x14ac:dyDescent="0.2">
      <c r="A1849" s="3">
        <v>1848</v>
      </c>
      <c r="B1849" s="4" t="s">
        <v>1867</v>
      </c>
      <c r="C1849" s="4" t="s">
        <v>71</v>
      </c>
      <c r="D1849" s="3" t="str">
        <f>VLOOKUP(C1849,layoffs_location!A:B,2,FALSE)</f>
        <v>other</v>
      </c>
      <c r="E1849" s="3" t="str">
        <f>VLOOKUP(C1849,layoffs_location!A:C,3,FALSE)</f>
        <v>Massachusetts</v>
      </c>
      <c r="F1849" s="3" t="str">
        <f>VLOOKUP(C1849,layoffs_location!A:D,4,FALSE)</f>
        <v>USA</v>
      </c>
      <c r="G1849" s="3" t="str">
        <f>VLOOKUP(C1849,layoffs_location!A:E,5,FALSE)</f>
        <v>North America</v>
      </c>
      <c r="H1849" s="4"/>
      <c r="I1849" s="24">
        <v>45467</v>
      </c>
      <c r="J1849" s="5"/>
      <c r="K1849" s="25"/>
      <c r="L1849" s="25"/>
      <c r="M1849" s="4" t="s">
        <v>1892</v>
      </c>
      <c r="N1849" s="4" t="s">
        <v>1882</v>
      </c>
      <c r="O1849" s="27">
        <v>1.6</v>
      </c>
      <c r="P1849" s="4">
        <v>2024</v>
      </c>
      <c r="Q1849" s="3">
        <f>VLOOKUP(C1849,layoffs_location!A:F,6,FALSE)</f>
        <v>42.355433400000003</v>
      </c>
      <c r="R1849" s="3">
        <f>VLOOKUP(C1849,layoffs_location!A:G,7,FALSE)</f>
        <v>-71.060511000000005</v>
      </c>
    </row>
    <row r="1850" spans="1:18" x14ac:dyDescent="0.2">
      <c r="A1850" s="3">
        <v>1849</v>
      </c>
      <c r="B1850" s="17" t="s">
        <v>1479</v>
      </c>
      <c r="C1850" s="17" t="s">
        <v>97</v>
      </c>
      <c r="D1850" s="3" t="str">
        <f>VLOOKUP(C1850,layoffs_location!A:B,2,FALSE)</f>
        <v>other</v>
      </c>
      <c r="E1850" s="3" t="str">
        <f>VLOOKUP(C1850,layoffs_location!A:C,3,FALSE)</f>
        <v>non</v>
      </c>
      <c r="F1850" s="3" t="str">
        <f>VLOOKUP(C1850,layoffs_location!A:D,4,FALSE)</f>
        <v>France</v>
      </c>
      <c r="G1850" s="3" t="str">
        <f>VLOOKUP(C1850,layoffs_location!A:E,5,FALSE)</f>
        <v>Europe</v>
      </c>
      <c r="H1850" s="17"/>
      <c r="I1850" s="18">
        <v>45468</v>
      </c>
      <c r="J1850" s="19"/>
      <c r="K1850" s="20"/>
      <c r="L1850" s="20"/>
      <c r="M1850" s="17" t="s">
        <v>16</v>
      </c>
      <c r="N1850" s="17" t="s">
        <v>33</v>
      </c>
      <c r="O1850" s="35"/>
      <c r="P1850" s="17">
        <v>2024</v>
      </c>
      <c r="Q1850" s="3">
        <f>VLOOKUP(C1850,layoffs_location!A:F,6,FALSE)</f>
        <v>48.858889699999999</v>
      </c>
      <c r="R1850" s="3">
        <f>VLOOKUP(C1850,layoffs_location!A:G,7,FALSE)</f>
        <v>2.32004102172007</v>
      </c>
    </row>
    <row r="1851" spans="1:18" x14ac:dyDescent="0.2">
      <c r="A1851" s="3">
        <v>1850</v>
      </c>
      <c r="B1851" s="17" t="s">
        <v>1447</v>
      </c>
      <c r="C1851" s="17" t="s">
        <v>58</v>
      </c>
      <c r="D1851" s="3" t="str">
        <f>VLOOKUP(C1851,layoffs_location!A:B,2,FALSE)</f>
        <v>other</v>
      </c>
      <c r="E1851" s="3" t="str">
        <f>VLOOKUP(C1851,layoffs_location!A:C,3,FALSE)</f>
        <v>England</v>
      </c>
      <c r="F1851" s="3" t="str">
        <f>VLOOKUP(C1851,layoffs_location!A:D,4,FALSE)</f>
        <v>UK</v>
      </c>
      <c r="G1851" s="3" t="str">
        <f>VLOOKUP(C1851,layoffs_location!A:E,5,FALSE)</f>
        <v>Europe</v>
      </c>
      <c r="H1851" s="17">
        <v>8</v>
      </c>
      <c r="I1851" s="18">
        <v>45468</v>
      </c>
      <c r="J1851" s="19">
        <v>16</v>
      </c>
      <c r="K1851" s="20">
        <f>SUM((H1851*100)/Table13[[#This Row],[Percentage]])</f>
        <v>50</v>
      </c>
      <c r="L1851" s="20">
        <f>SUM(Table13[[#This Row],[Company_Size_before_Layoffs]]-Table13[[#This Row],[Laid_Off]])</f>
        <v>42</v>
      </c>
      <c r="M1851" s="17" t="s">
        <v>35</v>
      </c>
      <c r="N1851" s="17" t="s">
        <v>22</v>
      </c>
      <c r="O1851" s="35"/>
      <c r="P1851" s="17">
        <v>2024</v>
      </c>
      <c r="Q1851" s="3">
        <f>VLOOKUP(C1851,layoffs_location!A:F,6,FALSE)</f>
        <v>51.489333500000001</v>
      </c>
      <c r="R1851" s="3">
        <f>VLOOKUP(C1851,layoffs_location!A:G,7,FALSE)</f>
        <v>-0.14405508452768701</v>
      </c>
    </row>
    <row r="1852" spans="1:18" ht="16" x14ac:dyDescent="0.2">
      <c r="A1852" s="3">
        <v>1851</v>
      </c>
      <c r="B1852" s="4" t="s">
        <v>1864</v>
      </c>
      <c r="C1852" s="4" t="s">
        <v>47</v>
      </c>
      <c r="D1852" s="3" t="str">
        <f>VLOOKUP(C1852,layoffs_location!A:B,2,FALSE)</f>
        <v>other</v>
      </c>
      <c r="E1852" s="3" t="str">
        <f>VLOOKUP(C1852,layoffs_location!A:C,3,FALSE)</f>
        <v>non</v>
      </c>
      <c r="F1852" s="3" t="str">
        <f>VLOOKUP(C1852,layoffs_location!A:D,4,FALSE)</f>
        <v>Israel</v>
      </c>
      <c r="G1852" s="3" t="str">
        <f>VLOOKUP(C1852,layoffs_location!A:E,5,FALSE)</f>
        <v>Asia</v>
      </c>
      <c r="H1852" s="23">
        <v>35</v>
      </c>
      <c r="I1852" s="24">
        <v>45468</v>
      </c>
      <c r="J1852" s="47">
        <v>5</v>
      </c>
      <c r="K1852" s="25">
        <f>SUM((Table13[[#This Row],[Laid_Off]]*100)/Table13[[#This Row],[Percentage]])</f>
        <v>700</v>
      </c>
      <c r="L1852" s="25">
        <f>SUM(Table13[[#This Row],[Company_Size_before_Layoffs]]-Table13[[#This Row],[Laid_Off]])</f>
        <v>665</v>
      </c>
      <c r="M1852" s="4" t="s">
        <v>1901</v>
      </c>
      <c r="N1852" s="4" t="s">
        <v>1882</v>
      </c>
      <c r="O1852" s="27">
        <v>76</v>
      </c>
      <c r="P1852" s="4">
        <v>2024</v>
      </c>
      <c r="Q1852" s="3">
        <f>VLOOKUP(C1852,layoffs_location!A:F,6,FALSE)</f>
        <v>32.0852997</v>
      </c>
      <c r="R1852" s="3">
        <f>VLOOKUP(C1852,layoffs_location!A:G,7,FALSE)</f>
        <v>34.781806400000001</v>
      </c>
    </row>
    <row r="1853" spans="1:18" ht="16" x14ac:dyDescent="0.2">
      <c r="A1853" s="3">
        <v>1852</v>
      </c>
      <c r="B1853" s="4" t="s">
        <v>1865</v>
      </c>
      <c r="C1853" s="4" t="s">
        <v>97</v>
      </c>
      <c r="D1853" s="3" t="str">
        <f>VLOOKUP(C1853,layoffs_location!A:B,2,FALSE)</f>
        <v>other</v>
      </c>
      <c r="E1853" s="3" t="str">
        <f>VLOOKUP(C1853,layoffs_location!A:C,3,FALSE)</f>
        <v>non</v>
      </c>
      <c r="F1853" s="3" t="str">
        <f>VLOOKUP(C1853,layoffs_location!A:D,4,FALSE)</f>
        <v>France</v>
      </c>
      <c r="G1853" s="3" t="str">
        <f>VLOOKUP(C1853,layoffs_location!A:E,5,FALSE)</f>
        <v>Europe</v>
      </c>
      <c r="H1853" s="4"/>
      <c r="I1853" s="24">
        <v>45468</v>
      </c>
      <c r="J1853" s="5"/>
      <c r="K1853" s="25"/>
      <c r="L1853" s="25"/>
      <c r="M1853" s="4" t="s">
        <v>1904</v>
      </c>
      <c r="N1853" s="4" t="s">
        <v>1884</v>
      </c>
      <c r="O1853" s="27"/>
      <c r="P1853" s="4">
        <v>2024</v>
      </c>
      <c r="Q1853" s="3">
        <f>VLOOKUP(C1853,layoffs_location!A:F,6,FALSE)</f>
        <v>48.858889699999999</v>
      </c>
      <c r="R1853" s="3">
        <f>VLOOKUP(C1853,layoffs_location!A:G,7,FALSE)</f>
        <v>2.32004102172007</v>
      </c>
    </row>
    <row r="1854" spans="1:18" x14ac:dyDescent="0.2">
      <c r="A1854" s="3">
        <v>1853</v>
      </c>
      <c r="B1854" s="17" t="s">
        <v>463</v>
      </c>
      <c r="C1854" s="17" t="s">
        <v>47</v>
      </c>
      <c r="D1854" s="3" t="str">
        <f>VLOOKUP(C1854,layoffs_location!A:B,2,FALSE)</f>
        <v>other</v>
      </c>
      <c r="E1854" s="3" t="str">
        <f>VLOOKUP(C1854,layoffs_location!A:C,3,FALSE)</f>
        <v>non</v>
      </c>
      <c r="F1854" s="3" t="str">
        <f>VLOOKUP(C1854,layoffs_location!A:D,4,FALSE)</f>
        <v>Israel</v>
      </c>
      <c r="G1854" s="3" t="str">
        <f>VLOOKUP(C1854,layoffs_location!A:E,5,FALSE)</f>
        <v>Asia</v>
      </c>
      <c r="H1854" s="17"/>
      <c r="I1854" s="18">
        <v>45469</v>
      </c>
      <c r="J1854" s="19"/>
      <c r="K1854" s="20"/>
      <c r="L1854" s="20"/>
      <c r="M1854" s="17" t="s">
        <v>1478</v>
      </c>
      <c r="N1854" s="17" t="s">
        <v>28</v>
      </c>
      <c r="O1854" s="35">
        <v>1200</v>
      </c>
      <c r="P1854" s="17">
        <v>2024</v>
      </c>
      <c r="Q1854" s="3">
        <f>VLOOKUP(C1854,layoffs_location!A:F,6,FALSE)</f>
        <v>32.0852997</v>
      </c>
      <c r="R1854" s="3">
        <f>VLOOKUP(C1854,layoffs_location!A:G,7,FALSE)</f>
        <v>34.781806400000001</v>
      </c>
    </row>
    <row r="1855" spans="1:18" x14ac:dyDescent="0.2">
      <c r="A1855" s="3">
        <v>1854</v>
      </c>
      <c r="B1855" s="17" t="s">
        <v>1477</v>
      </c>
      <c r="C1855" s="17" t="s">
        <v>1722</v>
      </c>
      <c r="D1855" s="3" t="str">
        <f>VLOOKUP(C1855,layoffs_location!A:B,2,FALSE)</f>
        <v>San Francisco Bay Area</v>
      </c>
      <c r="E1855" s="3" t="str">
        <f>VLOOKUP(C1855,layoffs_location!A:C,3,FALSE)</f>
        <v>California</v>
      </c>
      <c r="F1855" s="3" t="str">
        <f>VLOOKUP(C1855,layoffs_location!A:D,4,FALSE)</f>
        <v>USA</v>
      </c>
      <c r="G1855" s="3" t="str">
        <f>VLOOKUP(C1855,layoffs_location!A:E,5,FALSE)</f>
        <v>North America</v>
      </c>
      <c r="H1855" s="17">
        <v>101</v>
      </c>
      <c r="I1855" s="18">
        <v>45469</v>
      </c>
      <c r="J1855" s="19"/>
      <c r="K1855" s="20"/>
      <c r="L1855" s="20"/>
      <c r="M1855" s="17" t="s">
        <v>27</v>
      </c>
      <c r="N1855" s="17" t="s">
        <v>22</v>
      </c>
      <c r="O1855" s="35">
        <v>124</v>
      </c>
      <c r="P1855" s="17">
        <v>2024</v>
      </c>
      <c r="Q1855" s="3">
        <f>VLOOKUP(C1855,layoffs_location!A:F,6,FALSE)</f>
        <v>37.538508700000001</v>
      </c>
      <c r="R1855" s="3">
        <f>VLOOKUP(C1855,layoffs_location!A:G,7,FALSE)</f>
        <v>-77.434280000000001</v>
      </c>
    </row>
    <row r="1856" spans="1:18" x14ac:dyDescent="0.2">
      <c r="A1856" s="3">
        <v>1855</v>
      </c>
      <c r="B1856" s="17" t="s">
        <v>839</v>
      </c>
      <c r="C1856" s="17" t="s">
        <v>47</v>
      </c>
      <c r="D1856" s="3" t="str">
        <f>VLOOKUP(C1856,layoffs_location!A:B,2,FALSE)</f>
        <v>other</v>
      </c>
      <c r="E1856" s="3" t="str">
        <f>VLOOKUP(C1856,layoffs_location!A:C,3,FALSE)</f>
        <v>non</v>
      </c>
      <c r="F1856" s="3" t="str">
        <f>VLOOKUP(C1856,layoffs_location!A:D,4,FALSE)</f>
        <v>Israel</v>
      </c>
      <c r="G1856" s="3" t="str">
        <f>VLOOKUP(C1856,layoffs_location!A:E,5,FALSE)</f>
        <v>Asia</v>
      </c>
      <c r="H1856" s="17">
        <v>35</v>
      </c>
      <c r="I1856" s="18">
        <v>45469</v>
      </c>
      <c r="J1856" s="19">
        <v>5</v>
      </c>
      <c r="K1856" s="20">
        <f>SUM((H1856*100)/Table13[[#This Row],[Percentage]])</f>
        <v>700</v>
      </c>
      <c r="L1856" s="20">
        <f>SUM(Table13[[#This Row],[Company_Size_before_Layoffs]]-Table13[[#This Row],[Laid_Off]])</f>
        <v>665</v>
      </c>
      <c r="M1856" s="17" t="s">
        <v>130</v>
      </c>
      <c r="N1856" s="17" t="s">
        <v>28</v>
      </c>
      <c r="O1856" s="35">
        <v>76</v>
      </c>
      <c r="P1856" s="17">
        <v>2024</v>
      </c>
      <c r="Q1856" s="3">
        <f>VLOOKUP(C1856,layoffs_location!A:F,6,FALSE)</f>
        <v>32.0852997</v>
      </c>
      <c r="R1856" s="3">
        <f>VLOOKUP(C1856,layoffs_location!A:G,7,FALSE)</f>
        <v>34.781806400000001</v>
      </c>
    </row>
    <row r="1857" spans="1:18" ht="16" x14ac:dyDescent="0.2">
      <c r="A1857" s="3">
        <v>1856</v>
      </c>
      <c r="B1857" s="17" t="s">
        <v>191</v>
      </c>
      <c r="C1857" s="26" t="s">
        <v>1370</v>
      </c>
      <c r="D1857" s="3" t="str">
        <f>VLOOKUP(C1857,layoffs_location!A:B,2,FALSE)</f>
        <v>San Francisco Bay Area</v>
      </c>
      <c r="E1857" s="3" t="str">
        <f>VLOOKUP(C1857,layoffs_location!A:C,3,FALSE)</f>
        <v>California</v>
      </c>
      <c r="F1857" s="3" t="str">
        <f>VLOOKUP(C1857,layoffs_location!A:D,4,FALSE)</f>
        <v>USA</v>
      </c>
      <c r="G1857" s="3" t="str">
        <f>VLOOKUP(C1857,layoffs_location!A:E,5,FALSE)</f>
        <v>North America</v>
      </c>
      <c r="H1857" s="17">
        <v>180</v>
      </c>
      <c r="I1857" s="18">
        <v>45469</v>
      </c>
      <c r="J1857" s="19">
        <v>17</v>
      </c>
      <c r="K1857" s="20">
        <f>SUM((H1857*100)/Table13[[#This Row],[Percentage]])</f>
        <v>1058.8235294117646</v>
      </c>
      <c r="L1857" s="20">
        <f>SUM(Table13[[#This Row],[Company_Size_before_Layoffs]]-Table13[[#This Row],[Laid_Off]])</f>
        <v>878.82352941176464</v>
      </c>
      <c r="M1857" s="17" t="s">
        <v>192</v>
      </c>
      <c r="N1857" s="17" t="s">
        <v>28</v>
      </c>
      <c r="O1857" s="35">
        <v>574</v>
      </c>
      <c r="P1857" s="17">
        <v>2024</v>
      </c>
      <c r="Q1857" s="3">
        <f>VLOOKUP(C1857,layoffs_location!A:F,6,FALSE)</f>
        <v>37.779258800000001</v>
      </c>
      <c r="R1857" s="3">
        <f>VLOOKUP(C1857,layoffs_location!A:G,7,FALSE)</f>
        <v>-122.4193286</v>
      </c>
    </row>
    <row r="1858" spans="1:18" ht="16" x14ac:dyDescent="0.2">
      <c r="A1858" s="3">
        <v>1857</v>
      </c>
      <c r="B1858" s="4" t="s">
        <v>1862</v>
      </c>
      <c r="C1858" s="4" t="s">
        <v>1370</v>
      </c>
      <c r="D1858" s="3" t="str">
        <f>VLOOKUP(C1858,layoffs_location!A:B,2,FALSE)</f>
        <v>San Francisco Bay Area</v>
      </c>
      <c r="E1858" s="3" t="str">
        <f>VLOOKUP(C1858,layoffs_location!A:C,3,FALSE)</f>
        <v>California</v>
      </c>
      <c r="F1858" s="3" t="str">
        <f>VLOOKUP(C1858,layoffs_location!A:D,4,FALSE)</f>
        <v>USA</v>
      </c>
      <c r="G1858" s="3" t="str">
        <f>VLOOKUP(C1858,layoffs_location!A:E,5,FALSE)</f>
        <v>North America</v>
      </c>
      <c r="H1858" s="23">
        <v>180</v>
      </c>
      <c r="I1858" s="24">
        <v>45469</v>
      </c>
      <c r="J1858" s="47">
        <v>17</v>
      </c>
      <c r="K1858" s="25">
        <f>SUM((Table13[[#This Row],[Laid_Off]]*100)/Table13[[#This Row],[Percentage]])</f>
        <v>1058.8235294117646</v>
      </c>
      <c r="L1858" s="25">
        <f>SUM(Table13[[#This Row],[Company_Size_before_Layoffs]]-Table13[[#This Row],[Laid_Off]])</f>
        <v>878.82352941176464</v>
      </c>
      <c r="M1858" s="4" t="s">
        <v>1906</v>
      </c>
      <c r="N1858" s="4" t="s">
        <v>1882</v>
      </c>
      <c r="O1858" s="27">
        <v>574</v>
      </c>
      <c r="P1858" s="4">
        <v>2024</v>
      </c>
      <c r="Q1858" s="3">
        <f>VLOOKUP(C1858,layoffs_location!A:F,6,FALSE)</f>
        <v>37.779258800000001</v>
      </c>
      <c r="R1858" s="3">
        <f>VLOOKUP(C1858,layoffs_location!A:G,7,FALSE)</f>
        <v>-122.4193286</v>
      </c>
    </row>
    <row r="1859" spans="1:18" ht="16" x14ac:dyDescent="0.2">
      <c r="A1859" s="3">
        <v>1858</v>
      </c>
      <c r="B1859" s="4" t="s">
        <v>1826</v>
      </c>
      <c r="C1859" s="4" t="s">
        <v>1722</v>
      </c>
      <c r="D1859" s="3" t="str">
        <f>VLOOKUP(C1859,layoffs_location!A:B,2,FALSE)</f>
        <v>San Francisco Bay Area</v>
      </c>
      <c r="E1859" s="3" t="str">
        <f>VLOOKUP(C1859,layoffs_location!A:C,3,FALSE)</f>
        <v>California</v>
      </c>
      <c r="F1859" s="3" t="str">
        <f>VLOOKUP(C1859,layoffs_location!A:D,4,FALSE)</f>
        <v>USA</v>
      </c>
      <c r="G1859" s="3" t="str">
        <f>VLOOKUP(C1859,layoffs_location!A:E,5,FALSE)</f>
        <v>North America</v>
      </c>
      <c r="H1859" s="23">
        <v>101</v>
      </c>
      <c r="I1859" s="24">
        <v>45469</v>
      </c>
      <c r="J1859" s="5"/>
      <c r="K1859" s="25"/>
      <c r="L1859" s="25"/>
      <c r="M1859" s="4" t="s">
        <v>1908</v>
      </c>
      <c r="N1859" s="4" t="s">
        <v>1879</v>
      </c>
      <c r="O1859" s="27">
        <v>124</v>
      </c>
      <c r="P1859" s="4">
        <v>2024</v>
      </c>
      <c r="Q1859" s="3">
        <f>VLOOKUP(C1859,layoffs_location!A:F,6,FALSE)</f>
        <v>37.538508700000001</v>
      </c>
      <c r="R1859" s="3">
        <f>VLOOKUP(C1859,layoffs_location!A:G,7,FALSE)</f>
        <v>-77.434280000000001</v>
      </c>
    </row>
    <row r="1860" spans="1:18" ht="16" x14ac:dyDescent="0.2">
      <c r="A1860" s="3">
        <v>1859</v>
      </c>
      <c r="B1860" s="4" t="s">
        <v>1863</v>
      </c>
      <c r="C1860" s="4" t="s">
        <v>47</v>
      </c>
      <c r="D1860" s="3" t="str">
        <f>VLOOKUP(C1860,layoffs_location!A:B,2,FALSE)</f>
        <v>other</v>
      </c>
      <c r="E1860" s="3" t="str">
        <f>VLOOKUP(C1860,layoffs_location!A:C,3,FALSE)</f>
        <v>non</v>
      </c>
      <c r="F1860" s="3" t="str">
        <f>VLOOKUP(C1860,layoffs_location!A:D,4,FALSE)</f>
        <v>Israel</v>
      </c>
      <c r="G1860" s="3" t="str">
        <f>VLOOKUP(C1860,layoffs_location!A:E,5,FALSE)</f>
        <v>Asia</v>
      </c>
      <c r="H1860" s="4"/>
      <c r="I1860" s="24">
        <v>45469</v>
      </c>
      <c r="J1860" s="5"/>
      <c r="K1860" s="25"/>
      <c r="L1860" s="25"/>
      <c r="M1860" s="4" t="s">
        <v>60</v>
      </c>
      <c r="N1860" s="4" t="s">
        <v>1882</v>
      </c>
      <c r="O1860" s="27">
        <v>1.2</v>
      </c>
      <c r="P1860" s="4">
        <v>2024</v>
      </c>
      <c r="Q1860" s="3">
        <f>VLOOKUP(C1860,layoffs_location!A:F,6,FALSE)</f>
        <v>32.0852997</v>
      </c>
      <c r="R1860" s="3">
        <f>VLOOKUP(C1860,layoffs_location!A:G,7,FALSE)</f>
        <v>34.781806400000001</v>
      </c>
    </row>
    <row r="1861" spans="1:18" ht="16" x14ac:dyDescent="0.2">
      <c r="A1861" s="3">
        <v>1860</v>
      </c>
      <c r="B1861" s="4" t="s">
        <v>1631</v>
      </c>
      <c r="C1861" s="4" t="s">
        <v>304</v>
      </c>
      <c r="D1861" s="3" t="str">
        <f>VLOOKUP(C1861,layoffs_location!A:B,2,FALSE)</f>
        <v>other</v>
      </c>
      <c r="E1861" s="3" t="str">
        <f>VLOOKUP(C1861,layoffs_location!A:C,3,FALSE)</f>
        <v>Texas</v>
      </c>
      <c r="F1861" s="3" t="str">
        <f>VLOOKUP(C1861,layoffs_location!A:D,4,FALSE)</f>
        <v>USA</v>
      </c>
      <c r="G1861" s="3" t="str">
        <f>VLOOKUP(C1861,layoffs_location!A:E,5,FALSE)</f>
        <v>North America</v>
      </c>
      <c r="H1861" s="4">
        <v>20</v>
      </c>
      <c r="I1861" s="24">
        <v>45470</v>
      </c>
      <c r="J1861" s="31">
        <v>4</v>
      </c>
      <c r="K1861" s="25">
        <f>SUM((Table13[[#This Row],[Laid_Off]]*100)/Table13[[#This Row],[Percentage]])</f>
        <v>500</v>
      </c>
      <c r="L1861" s="25">
        <f>SUM(Table13[[#This Row],[Company_Size_before_Layoffs]]-Table13[[#This Row],[Laid_Off]])</f>
        <v>480</v>
      </c>
      <c r="M1861" s="4" t="s">
        <v>1894</v>
      </c>
      <c r="N1861" s="4" t="s">
        <v>1490</v>
      </c>
      <c r="O1861" s="27">
        <v>105</v>
      </c>
      <c r="P1861" s="4">
        <v>2024</v>
      </c>
      <c r="Q1861" s="3">
        <f>VLOOKUP(C1861,layoffs_location!A:F,6,FALSE)</f>
        <v>32.776271899999998</v>
      </c>
      <c r="R1861" s="3">
        <f>VLOOKUP(C1861,layoffs_location!A:G,7,FALSE)</f>
        <v>-96.796855899999997</v>
      </c>
    </row>
    <row r="1862" spans="1:18" ht="16" x14ac:dyDescent="0.2">
      <c r="A1862" s="3">
        <v>1861</v>
      </c>
      <c r="B1862" s="4" t="s">
        <v>1861</v>
      </c>
      <c r="C1862" s="4" t="s">
        <v>304</v>
      </c>
      <c r="D1862" s="3" t="str">
        <f>VLOOKUP(C1862,layoffs_location!A:B,2,FALSE)</f>
        <v>other</v>
      </c>
      <c r="E1862" s="3" t="str">
        <f>VLOOKUP(C1862,layoffs_location!A:C,3,FALSE)</f>
        <v>Texas</v>
      </c>
      <c r="F1862" s="3" t="str">
        <f>VLOOKUP(C1862,layoffs_location!A:D,4,FALSE)</f>
        <v>USA</v>
      </c>
      <c r="G1862" s="3" t="str">
        <f>VLOOKUP(C1862,layoffs_location!A:E,5,FALSE)</f>
        <v>North America</v>
      </c>
      <c r="H1862" s="23">
        <v>260</v>
      </c>
      <c r="I1862" s="24">
        <v>45470</v>
      </c>
      <c r="J1862" s="47">
        <v>4</v>
      </c>
      <c r="K1862" s="25">
        <f>SUM((Table13[[#This Row],[Laid_Off]]*100)/Table13[[#This Row],[Percentage]])</f>
        <v>6500</v>
      </c>
      <c r="L1862" s="25">
        <f>SUM(Table13[[#This Row],[Company_Size_before_Layoffs]]-Table13[[#This Row],[Laid_Off]])</f>
        <v>6240</v>
      </c>
      <c r="M1862" s="4" t="s">
        <v>1894</v>
      </c>
      <c r="N1862" s="4" t="s">
        <v>1884</v>
      </c>
      <c r="O1862" s="27">
        <v>105</v>
      </c>
      <c r="P1862" s="4">
        <v>2024</v>
      </c>
      <c r="Q1862" s="3">
        <f>VLOOKUP(C1862,layoffs_location!A:F,6,FALSE)</f>
        <v>32.776271899999998</v>
      </c>
      <c r="R1862" s="3">
        <f>VLOOKUP(C1862,layoffs_location!A:G,7,FALSE)</f>
        <v>-96.796855899999997</v>
      </c>
    </row>
    <row r="1863" spans="1:18" ht="16" x14ac:dyDescent="0.2">
      <c r="A1863" s="3">
        <v>1862</v>
      </c>
      <c r="B1863" s="4" t="s">
        <v>1624</v>
      </c>
      <c r="C1863" s="4" t="s">
        <v>1347</v>
      </c>
      <c r="D1863" s="3" t="str">
        <f>VLOOKUP(C1863,layoffs_location!A:B,2,FALSE)</f>
        <v>other</v>
      </c>
      <c r="E1863" s="3" t="str">
        <f>VLOOKUP(C1863,layoffs_location!A:C,3,FALSE)</f>
        <v>Connecticut</v>
      </c>
      <c r="F1863" s="3" t="str">
        <f>VLOOKUP(C1863,layoffs_location!A:D,4,FALSE)</f>
        <v>USA</v>
      </c>
      <c r="G1863" s="3" t="str">
        <f>VLOOKUP(C1863,layoffs_location!A:E,5,FALSE)</f>
        <v>North America</v>
      </c>
      <c r="H1863" s="23">
        <v>103</v>
      </c>
      <c r="I1863" s="24">
        <v>45471</v>
      </c>
      <c r="J1863" s="31">
        <v>17</v>
      </c>
      <c r="K1863" s="25">
        <f>SUM((Table13[[#This Row],[Laid_Off]]*100)/Table13[[#This Row],[Percentage]])</f>
        <v>605.88235294117646</v>
      </c>
      <c r="L1863" s="25">
        <f>SUM(Table13[[#This Row],[Company_Size_before_Layoffs]]-Table13[[#This Row],[Laid_Off]])</f>
        <v>502.88235294117646</v>
      </c>
      <c r="M1863" s="4" t="s">
        <v>1907</v>
      </c>
      <c r="N1863" s="4" t="s">
        <v>1490</v>
      </c>
      <c r="O1863" s="27">
        <v>77</v>
      </c>
      <c r="P1863" s="4">
        <v>2024</v>
      </c>
      <c r="Q1863" s="3">
        <f>VLOOKUP(C1863,layoffs_location!A:F,6,FALSE)</f>
        <v>41.117596599999999</v>
      </c>
      <c r="R1863" s="3">
        <f>VLOOKUP(C1863,layoffs_location!A:G,7,FALSE)</f>
        <v>-73.407896800000003</v>
      </c>
    </row>
    <row r="1864" spans="1:18" ht="16" x14ac:dyDescent="0.2">
      <c r="A1864" s="3">
        <v>1863</v>
      </c>
      <c r="B1864" s="4" t="s">
        <v>1860</v>
      </c>
      <c r="C1864" s="4" t="s">
        <v>1347</v>
      </c>
      <c r="D1864" s="3" t="str">
        <f>VLOOKUP(C1864,layoffs_location!A:B,2,FALSE)</f>
        <v>other</v>
      </c>
      <c r="E1864" s="3" t="str">
        <f>VLOOKUP(C1864,layoffs_location!A:C,3,FALSE)</f>
        <v>Connecticut</v>
      </c>
      <c r="F1864" s="3" t="str">
        <f>VLOOKUP(C1864,layoffs_location!A:D,4,FALSE)</f>
        <v>USA</v>
      </c>
      <c r="G1864" s="3" t="str">
        <f>VLOOKUP(C1864,layoffs_location!A:E,5,FALSE)</f>
        <v>North America</v>
      </c>
      <c r="H1864" s="23">
        <v>103</v>
      </c>
      <c r="I1864" s="24">
        <v>45471</v>
      </c>
      <c r="J1864" s="47">
        <v>7</v>
      </c>
      <c r="K1864" s="25">
        <f>SUM((Table13[[#This Row],[Laid_Off]]*100)/Table13[[#This Row],[Percentage]])</f>
        <v>1471.4285714285713</v>
      </c>
      <c r="L1864" s="25">
        <f>SUM(Table13[[#This Row],[Company_Size_before_Layoffs]]-Table13[[#This Row],[Laid_Off]])</f>
        <v>1368.4285714285713</v>
      </c>
      <c r="M1864" s="4" t="s">
        <v>1918</v>
      </c>
      <c r="N1864" s="4" t="s">
        <v>1884</v>
      </c>
      <c r="O1864" s="27">
        <v>77</v>
      </c>
      <c r="P1864" s="4">
        <v>2024</v>
      </c>
      <c r="Q1864" s="3">
        <f>VLOOKUP(C1864,layoffs_location!A:F,6,FALSE)</f>
        <v>41.117596599999999</v>
      </c>
      <c r="R1864" s="3">
        <f>VLOOKUP(C1864,layoffs_location!A:G,7,FALSE)</f>
        <v>-73.407896800000003</v>
      </c>
    </row>
    <row r="1865" spans="1:18" ht="16" x14ac:dyDescent="0.2">
      <c r="A1865" s="3">
        <v>1864</v>
      </c>
      <c r="B1865" s="4" t="s">
        <v>1855</v>
      </c>
      <c r="C1865" s="4" t="s">
        <v>743</v>
      </c>
      <c r="D1865" s="3" t="str">
        <f>VLOOKUP(C1865,layoffs_location!A:B,2,FALSE)</f>
        <v>other</v>
      </c>
      <c r="E1865" s="3" t="str">
        <f>VLOOKUP(C1865,layoffs_location!A:C,3,FALSE)</f>
        <v>non</v>
      </c>
      <c r="F1865" s="3" t="str">
        <f>VLOOKUP(C1865,layoffs_location!A:D,4,FALSE)</f>
        <v>Israel</v>
      </c>
      <c r="G1865" s="3" t="str">
        <f>VLOOKUP(C1865,layoffs_location!A:E,5,FALSE)</f>
        <v>Asia</v>
      </c>
      <c r="H1865" s="23">
        <v>70</v>
      </c>
      <c r="I1865" s="24">
        <v>45474</v>
      </c>
      <c r="J1865" s="47">
        <v>12</v>
      </c>
      <c r="K1865" s="25">
        <f>SUM((Table13[[#This Row],[Laid_Off]]*100)/Table13[[#This Row],[Percentage]])</f>
        <v>583.33333333333337</v>
      </c>
      <c r="L1865" s="25">
        <f>SUM(Table13[[#This Row],[Company_Size_before_Layoffs]]-Table13[[#This Row],[Laid_Off]])</f>
        <v>513.33333333333337</v>
      </c>
      <c r="M1865" s="4" t="s">
        <v>1904</v>
      </c>
      <c r="N1865" s="4" t="s">
        <v>1883</v>
      </c>
      <c r="O1865" s="27">
        <v>335</v>
      </c>
      <c r="P1865" s="4">
        <v>2024</v>
      </c>
      <c r="Q1865" s="3">
        <f>VLOOKUP(C1865,layoffs_location!A:F,6,FALSE)</f>
        <v>31.788471850000001</v>
      </c>
      <c r="R1865" s="3">
        <f>VLOOKUP(C1865,layoffs_location!A:G,7,FALSE)</f>
        <v>35.218794410944902</v>
      </c>
    </row>
    <row r="1866" spans="1:18" ht="16" x14ac:dyDescent="0.2">
      <c r="A1866" s="3">
        <v>1865</v>
      </c>
      <c r="B1866" s="4" t="s">
        <v>1856</v>
      </c>
      <c r="C1866" s="4" t="s">
        <v>1716</v>
      </c>
      <c r="D1866" s="3" t="str">
        <f>VLOOKUP(C1866,layoffs_location!A:B,2,FALSE)</f>
        <v>San Francisco Bay Area</v>
      </c>
      <c r="E1866" s="3" t="str">
        <f>VLOOKUP(C1866,layoffs_location!A:C,3,FALSE)</f>
        <v>California</v>
      </c>
      <c r="F1866" s="3" t="str">
        <f>VLOOKUP(C1866,layoffs_location!A:D,4,FALSE)</f>
        <v>USA</v>
      </c>
      <c r="G1866" s="3" t="str">
        <f>VLOOKUP(C1866,layoffs_location!A:E,5,FALSE)</f>
        <v>North America</v>
      </c>
      <c r="H1866" s="23">
        <v>26</v>
      </c>
      <c r="I1866" s="24">
        <v>45474</v>
      </c>
      <c r="J1866" s="5"/>
      <c r="K1866" s="25"/>
      <c r="L1866" s="25"/>
      <c r="M1866" s="4" t="s">
        <v>1896</v>
      </c>
      <c r="N1866" s="4" t="s">
        <v>1879</v>
      </c>
      <c r="O1866" s="27">
        <v>598</v>
      </c>
      <c r="P1866" s="4">
        <v>2024</v>
      </c>
      <c r="Q1866" s="3">
        <f>VLOOKUP(C1866,layoffs_location!A:F,6,FALSE)</f>
        <v>37.8708393</v>
      </c>
      <c r="R1866" s="3">
        <f>VLOOKUP(C1866,layoffs_location!A:G,7,FALSE)</f>
        <v>-122.272863</v>
      </c>
    </row>
    <row r="1867" spans="1:18" ht="16" x14ac:dyDescent="0.2">
      <c r="A1867" s="3">
        <v>1866</v>
      </c>
      <c r="B1867" s="4" t="s">
        <v>1857</v>
      </c>
      <c r="C1867" s="4" t="s">
        <v>47</v>
      </c>
      <c r="D1867" s="3" t="str">
        <f>VLOOKUP(C1867,layoffs_location!A:B,2,FALSE)</f>
        <v>other</v>
      </c>
      <c r="E1867" s="3" t="str">
        <f>VLOOKUP(C1867,layoffs_location!A:C,3,FALSE)</f>
        <v>non</v>
      </c>
      <c r="F1867" s="3" t="str">
        <f>VLOOKUP(C1867,layoffs_location!A:D,4,FALSE)</f>
        <v>Israel</v>
      </c>
      <c r="G1867" s="3" t="str">
        <f>VLOOKUP(C1867,layoffs_location!A:E,5,FALSE)</f>
        <v>Asia</v>
      </c>
      <c r="H1867" s="23">
        <v>20</v>
      </c>
      <c r="I1867" s="24">
        <v>45474</v>
      </c>
      <c r="J1867" s="47">
        <v>33</v>
      </c>
      <c r="K1867" s="25">
        <f>SUM((Table13[[#This Row],[Laid_Off]]*100)/Table13[[#This Row],[Percentage]])</f>
        <v>60.606060606060609</v>
      </c>
      <c r="L1867" s="25">
        <f>SUM(Table13[[#This Row],[Company_Size_before_Layoffs]]-Table13[[#This Row],[Laid_Off]])</f>
        <v>40.606060606060609</v>
      </c>
      <c r="M1867" s="4" t="s">
        <v>1910</v>
      </c>
      <c r="N1867" s="4" t="s">
        <v>1879</v>
      </c>
      <c r="O1867" s="27">
        <v>61</v>
      </c>
      <c r="P1867" s="4">
        <v>2024</v>
      </c>
      <c r="Q1867" s="3">
        <f>VLOOKUP(C1867,layoffs_location!A:F,6,FALSE)</f>
        <v>32.0852997</v>
      </c>
      <c r="R1867" s="3">
        <f>VLOOKUP(C1867,layoffs_location!A:G,7,FALSE)</f>
        <v>34.781806400000001</v>
      </c>
    </row>
    <row r="1868" spans="1:18" ht="16" x14ac:dyDescent="0.2">
      <c r="A1868" s="3">
        <v>1867</v>
      </c>
      <c r="B1868" s="4" t="s">
        <v>1858</v>
      </c>
      <c r="C1868" s="4" t="s">
        <v>51</v>
      </c>
      <c r="D1868" s="3" t="str">
        <f>VLOOKUP(C1868,layoffs_location!A:B,2,FALSE)</f>
        <v>other</v>
      </c>
      <c r="E1868" s="3" t="str">
        <f>VLOOKUP(C1868,layoffs_location!A:C,3,FALSE)</f>
        <v>non</v>
      </c>
      <c r="F1868" s="3" t="str">
        <f>VLOOKUP(C1868,layoffs_location!A:D,4,FALSE)</f>
        <v>Sweden</v>
      </c>
      <c r="G1868" s="3" t="str">
        <f>VLOOKUP(C1868,layoffs_location!A:E,5,FALSE)</f>
        <v>Europe</v>
      </c>
      <c r="H1868" s="4"/>
      <c r="I1868" s="24">
        <v>45474</v>
      </c>
      <c r="J1868" s="5"/>
      <c r="K1868" s="25"/>
      <c r="L1868" s="25"/>
      <c r="M1868" s="4" t="s">
        <v>1916</v>
      </c>
      <c r="N1868" s="4" t="s">
        <v>1882</v>
      </c>
      <c r="O1868" s="27">
        <v>17</v>
      </c>
      <c r="P1868" s="4">
        <v>2024</v>
      </c>
      <c r="Q1868" s="3">
        <f>VLOOKUP(C1868,layoffs_location!A:F,6,FALSE)</f>
        <v>59.325117200000001</v>
      </c>
      <c r="R1868" s="3">
        <f>VLOOKUP(C1868,layoffs_location!A:G,7,FALSE)</f>
        <v>18.0710935</v>
      </c>
    </row>
    <row r="1869" spans="1:18" ht="16" x14ac:dyDescent="0.2">
      <c r="A1869" s="3">
        <v>1868</v>
      </c>
      <c r="B1869" s="4" t="s">
        <v>1859</v>
      </c>
      <c r="C1869" s="4" t="s">
        <v>244</v>
      </c>
      <c r="D1869" s="3" t="str">
        <f>VLOOKUP(C1869,layoffs_location!A:B,2,FALSE)</f>
        <v>other</v>
      </c>
      <c r="E1869" s="3" t="str">
        <f>VLOOKUP(C1869,layoffs_location!A:C,3,FALSE)</f>
        <v>non</v>
      </c>
      <c r="F1869" s="3" t="str">
        <f>VLOOKUP(C1869,layoffs_location!A:D,4,FALSE)</f>
        <v>Singapore</v>
      </c>
      <c r="G1869" s="3" t="str">
        <f>VLOOKUP(C1869,layoffs_location!A:E,5,FALSE)</f>
        <v>Asia</v>
      </c>
      <c r="H1869" s="4"/>
      <c r="I1869" s="24">
        <v>45474</v>
      </c>
      <c r="J1869" s="47">
        <v>5</v>
      </c>
      <c r="K1869" s="25"/>
      <c r="L1869" s="25"/>
      <c r="M1869" s="4" t="s">
        <v>1958</v>
      </c>
      <c r="N1869" s="4" t="s">
        <v>1887</v>
      </c>
      <c r="O1869" s="27">
        <v>974</v>
      </c>
      <c r="P1869" s="4">
        <v>2024</v>
      </c>
      <c r="Q1869" s="3">
        <f>VLOOKUP(C1869,layoffs_location!A:F,6,FALSE)</f>
        <v>1.2899175000000001</v>
      </c>
      <c r="R1869" s="3">
        <f>VLOOKUP(C1869,layoffs_location!A:G,7,FALSE)</f>
        <v>103.8519072</v>
      </c>
    </row>
    <row r="1870" spans="1:18" ht="16" x14ac:dyDescent="0.2">
      <c r="A1870" s="3">
        <v>1869</v>
      </c>
      <c r="B1870" s="4" t="s">
        <v>1853</v>
      </c>
      <c r="C1870" s="4" t="s">
        <v>13</v>
      </c>
      <c r="D1870" s="3" t="str">
        <f>VLOOKUP(C1870,layoffs_location!A:B,2,FALSE)</f>
        <v>other</v>
      </c>
      <c r="E1870" s="3" t="str">
        <f>VLOOKUP(C1870,layoffs_location!A:C,3,FALSE)</f>
        <v>Karnataka</v>
      </c>
      <c r="F1870" s="3" t="str">
        <f>VLOOKUP(C1870,layoffs_location!A:D,4,FALSE)</f>
        <v>India</v>
      </c>
      <c r="G1870" s="3" t="str">
        <f>VLOOKUP(C1870,layoffs_location!A:E,5,FALSE)</f>
        <v>Asia</v>
      </c>
      <c r="H1870" s="23">
        <v>250</v>
      </c>
      <c r="I1870" s="24">
        <v>45475</v>
      </c>
      <c r="J1870" s="5"/>
      <c r="K1870" s="25"/>
      <c r="L1870" s="25"/>
      <c r="M1870" s="4" t="s">
        <v>1895</v>
      </c>
      <c r="N1870" s="4" t="s">
        <v>1889</v>
      </c>
      <c r="O1870" s="27">
        <v>838</v>
      </c>
      <c r="P1870" s="4">
        <v>2024</v>
      </c>
      <c r="Q1870" s="3">
        <f>VLOOKUP(C1870,layoffs_location!A:F,6,FALSE)</f>
        <v>12.98815675</v>
      </c>
      <c r="R1870" s="3">
        <f>VLOOKUP(C1870,layoffs_location!A:G,7,FALSE)</f>
        <v>77.622600037959998</v>
      </c>
    </row>
    <row r="1871" spans="1:18" ht="16" x14ac:dyDescent="0.2">
      <c r="A1871" s="3">
        <v>1870</v>
      </c>
      <c r="B1871" s="4" t="s">
        <v>1854</v>
      </c>
      <c r="C1871" s="4" t="s">
        <v>13</v>
      </c>
      <c r="D1871" s="3" t="str">
        <f>VLOOKUP(C1871,layoffs_location!A:B,2,FALSE)</f>
        <v>other</v>
      </c>
      <c r="E1871" s="3" t="str">
        <f>VLOOKUP(C1871,layoffs_location!A:C,3,FALSE)</f>
        <v>Karnataka</v>
      </c>
      <c r="F1871" s="3" t="str">
        <f>VLOOKUP(C1871,layoffs_location!A:D,4,FALSE)</f>
        <v>India</v>
      </c>
      <c r="G1871" s="3" t="str">
        <f>VLOOKUP(C1871,layoffs_location!A:E,5,FALSE)</f>
        <v>Asia</v>
      </c>
      <c r="H1871" s="4"/>
      <c r="I1871" s="24">
        <v>45475</v>
      </c>
      <c r="J1871" s="47">
        <v>100</v>
      </c>
      <c r="K1871" s="25"/>
      <c r="L1871" s="25">
        <f>SUM(Table13[[#This Row],[Company_Size_before_Layoffs]]-Table13[[#This Row],[Laid_Off]])</f>
        <v>0</v>
      </c>
      <c r="M1871" s="4" t="s">
        <v>1904</v>
      </c>
      <c r="N1871" s="4" t="s">
        <v>1879</v>
      </c>
      <c r="O1871" s="27">
        <v>51</v>
      </c>
      <c r="P1871" s="4">
        <v>2024</v>
      </c>
      <c r="Q1871" s="3">
        <f>VLOOKUP(C1871,layoffs_location!A:F,6,FALSE)</f>
        <v>12.98815675</v>
      </c>
      <c r="R1871" s="3">
        <f>VLOOKUP(C1871,layoffs_location!A:G,7,FALSE)</f>
        <v>77.622600037959998</v>
      </c>
    </row>
    <row r="1872" spans="1:18" ht="16" x14ac:dyDescent="0.2">
      <c r="A1872" s="3">
        <v>1871</v>
      </c>
      <c r="B1872" s="4" t="s">
        <v>1851</v>
      </c>
      <c r="C1872" s="4" t="s">
        <v>71</v>
      </c>
      <c r="D1872" s="3" t="str">
        <f>VLOOKUP(C1872,layoffs_location!A:B,2,FALSE)</f>
        <v>other</v>
      </c>
      <c r="E1872" s="3" t="str">
        <f>VLOOKUP(C1872,layoffs_location!A:C,3,FALSE)</f>
        <v>Massachusetts</v>
      </c>
      <c r="F1872" s="3" t="str">
        <f>VLOOKUP(C1872,layoffs_location!A:D,4,FALSE)</f>
        <v>USA</v>
      </c>
      <c r="G1872" s="3" t="str">
        <f>VLOOKUP(C1872,layoffs_location!A:E,5,FALSE)</f>
        <v>North America</v>
      </c>
      <c r="H1872" s="23">
        <v>2200</v>
      </c>
      <c r="I1872" s="24">
        <v>45476</v>
      </c>
      <c r="J1872" s="47">
        <v>14</v>
      </c>
      <c r="K1872" s="25">
        <f>SUM((Table13[[#This Row],[Laid_Off]]*100)/Table13[[#This Row],[Percentage]])</f>
        <v>15714.285714285714</v>
      </c>
      <c r="L1872" s="25">
        <f>SUM(Table13[[#This Row],[Company_Size_before_Layoffs]]-Table13[[#This Row],[Laid_Off]])</f>
        <v>13514.285714285714</v>
      </c>
      <c r="M1872" s="4" t="s">
        <v>1899</v>
      </c>
      <c r="N1872" s="4" t="s">
        <v>1879</v>
      </c>
      <c r="O1872" s="27"/>
      <c r="P1872" s="4">
        <v>2024</v>
      </c>
      <c r="Q1872" s="3">
        <f>VLOOKUP(C1872,layoffs_location!A:F,6,FALSE)</f>
        <v>42.355433400000003</v>
      </c>
      <c r="R1872" s="3">
        <f>VLOOKUP(C1872,layoffs_location!A:G,7,FALSE)</f>
        <v>-71.060511000000005</v>
      </c>
    </row>
    <row r="1873" spans="1:18" ht="16" x14ac:dyDescent="0.2">
      <c r="A1873" s="3">
        <v>1872</v>
      </c>
      <c r="B1873" s="4" t="s">
        <v>1852</v>
      </c>
      <c r="C1873" s="4" t="s">
        <v>621</v>
      </c>
      <c r="D1873" s="3" t="str">
        <f>VLOOKUP(C1873,layoffs_location!A:B,2,FALSE)</f>
        <v>other</v>
      </c>
      <c r="E1873" s="3" t="str">
        <f>VLOOKUP(C1873,layoffs_location!A:C,3,FALSE)</f>
        <v>Ontario</v>
      </c>
      <c r="F1873" s="3" t="str">
        <f>VLOOKUP(C1873,layoffs_location!A:D,4,FALSE)</f>
        <v>Canada</v>
      </c>
      <c r="G1873" s="3" t="str">
        <f>VLOOKUP(C1873,layoffs_location!A:E,5,FALSE)</f>
        <v>North America</v>
      </c>
      <c r="H1873" s="23">
        <v>1200</v>
      </c>
      <c r="I1873" s="24">
        <v>45476</v>
      </c>
      <c r="J1873" s="47">
        <v>2</v>
      </c>
      <c r="K1873" s="25">
        <f>SUM((Table13[[#This Row],[Laid_Off]]*100)/Table13[[#This Row],[Percentage]])</f>
        <v>60000</v>
      </c>
      <c r="L1873" s="25">
        <f>SUM(Table13[[#This Row],[Company_Size_before_Layoffs]]-Table13[[#This Row],[Laid_Off]])</f>
        <v>58800</v>
      </c>
      <c r="M1873" s="4" t="s">
        <v>1916</v>
      </c>
      <c r="N1873" s="4" t="s">
        <v>1882</v>
      </c>
      <c r="O1873" s="27">
        <v>1.1000000000000001</v>
      </c>
      <c r="P1873" s="4">
        <v>2024</v>
      </c>
      <c r="Q1873" s="3">
        <f>VLOOKUP(C1873,layoffs_location!A:F,6,FALSE)</f>
        <v>43.465269900000003</v>
      </c>
      <c r="R1873" s="3">
        <f>VLOOKUP(C1873,layoffs_location!A:G,7,FALSE)</f>
        <v>-80.522296100000005</v>
      </c>
    </row>
    <row r="1874" spans="1:18" ht="16" x14ac:dyDescent="0.2">
      <c r="A1874" s="3">
        <v>1873</v>
      </c>
      <c r="B1874" s="4" t="s">
        <v>1760</v>
      </c>
      <c r="C1874" s="4" t="s">
        <v>4589</v>
      </c>
      <c r="D1874" s="3" t="str">
        <f>VLOOKUP(C1874,layoffs_location!A:B,2,FALSE)</f>
        <v>Cascadia</v>
      </c>
      <c r="E1874" s="3" t="str">
        <f>VLOOKUP(C1874,layoffs_location!A:C,3,FALSE)</f>
        <v>Washington</v>
      </c>
      <c r="F1874" s="3" t="str">
        <f>VLOOKUP(C1874,layoffs_location!A:D,4,FALSE)</f>
        <v>USA</v>
      </c>
      <c r="G1874" s="3" t="str">
        <f>VLOOKUP(C1874,layoffs_location!A:E,5,FALSE)</f>
        <v>Asia</v>
      </c>
      <c r="H1874" s="4"/>
      <c r="I1874" s="24">
        <v>45476</v>
      </c>
      <c r="J1874" s="5"/>
      <c r="K1874" s="25"/>
      <c r="L1874" s="25"/>
      <c r="M1874" s="4" t="s">
        <v>1897</v>
      </c>
      <c r="N1874" s="4" t="s">
        <v>1882</v>
      </c>
      <c r="O1874" s="27">
        <v>1</v>
      </c>
      <c r="P1874" s="4">
        <v>2024</v>
      </c>
      <c r="Q1874" s="3">
        <f>VLOOKUP(C1874,layoffs_location!A:F,6,FALSE)</f>
        <v>47.645404522430098</v>
      </c>
      <c r="R1874" s="3">
        <f>VLOOKUP(C1874,layoffs_location!A:G,7,FALSE)</f>
        <v>-122.13299976733499</v>
      </c>
    </row>
    <row r="1875" spans="1:18" ht="16" x14ac:dyDescent="0.2">
      <c r="A1875" s="3">
        <v>1874</v>
      </c>
      <c r="B1875" s="4" t="s">
        <v>1850</v>
      </c>
      <c r="C1875" s="4" t="s">
        <v>39</v>
      </c>
      <c r="D1875" s="3" t="str">
        <f>VLOOKUP(C1875,layoffs_location!A:B,2,FALSE)</f>
        <v>New York</v>
      </c>
      <c r="E1875" s="3" t="str">
        <f>VLOOKUP(C1875,layoffs_location!A:C,3,FALSE)</f>
        <v>New York</v>
      </c>
      <c r="F1875" s="3" t="str">
        <f>VLOOKUP(C1875,layoffs_location!A:D,4,FALSE)</f>
        <v>USA</v>
      </c>
      <c r="G1875" s="3" t="str">
        <f>VLOOKUP(C1875,layoffs_location!A:E,5,FALSE)</f>
        <v>North America</v>
      </c>
      <c r="H1875" s="23">
        <v>420</v>
      </c>
      <c r="I1875" s="24">
        <v>45482</v>
      </c>
      <c r="J1875" s="47">
        <v>10</v>
      </c>
      <c r="K1875" s="25">
        <f>SUM((Table13[[#This Row],[Laid_Off]]*100)/Table13[[#This Row],[Percentage]])</f>
        <v>4200</v>
      </c>
      <c r="L1875" s="25">
        <f>SUM(Table13[[#This Row],[Company_Size_before_Layoffs]]-Table13[[#This Row],[Laid_Off]])</f>
        <v>3780</v>
      </c>
      <c r="M1875" s="4" t="s">
        <v>1897</v>
      </c>
      <c r="N1875" s="4" t="s">
        <v>1882</v>
      </c>
      <c r="O1875" s="27">
        <v>2</v>
      </c>
      <c r="P1875" s="4">
        <v>2024</v>
      </c>
      <c r="Q1875" s="3">
        <f>VLOOKUP(C1875,layoffs_location!A:F,6,FALSE)</f>
        <v>40.7127281</v>
      </c>
      <c r="R1875" s="3">
        <f>VLOOKUP(C1875,layoffs_location!A:G,7,FALSE)</f>
        <v>-74.006015199999993</v>
      </c>
    </row>
    <row r="1876" spans="1:18" ht="16" x14ac:dyDescent="0.2">
      <c r="A1876" s="3">
        <v>1875</v>
      </c>
      <c r="B1876" s="4" t="s">
        <v>1847</v>
      </c>
      <c r="C1876" s="4" t="s">
        <v>1408</v>
      </c>
      <c r="D1876" s="3" t="str">
        <f>VLOOKUP(C1876,layoffs_location!A:B,2,FALSE)</f>
        <v>San Francisco Bay Area</v>
      </c>
      <c r="E1876" s="3" t="str">
        <f>VLOOKUP(C1876,layoffs_location!A:C,3,FALSE)</f>
        <v>California</v>
      </c>
      <c r="F1876" s="3" t="str">
        <f>VLOOKUP(C1876,layoffs_location!A:D,4,FALSE)</f>
        <v>USA</v>
      </c>
      <c r="G1876" s="3" t="str">
        <f>VLOOKUP(C1876,layoffs_location!A:E,5,FALSE)</f>
        <v>North America</v>
      </c>
      <c r="H1876" s="23">
        <v>1800</v>
      </c>
      <c r="I1876" s="24">
        <v>45483</v>
      </c>
      <c r="J1876" s="47">
        <v>10</v>
      </c>
      <c r="K1876" s="25">
        <f>SUM((Table13[[#This Row],[Laid_Off]]*100)/Table13[[#This Row],[Percentage]])</f>
        <v>18000</v>
      </c>
      <c r="L1876" s="25">
        <f>SUM(Table13[[#This Row],[Company_Size_before_Layoffs]]-Table13[[#This Row],[Laid_Off]])</f>
        <v>16200</v>
      </c>
      <c r="M1876" s="4" t="s">
        <v>1893</v>
      </c>
      <c r="N1876" s="4" t="s">
        <v>1882</v>
      </c>
      <c r="O1876" s="27">
        <v>18</v>
      </c>
      <c r="P1876" s="4">
        <v>2024</v>
      </c>
      <c r="Q1876" s="3">
        <f>VLOOKUP(C1876,layoffs_location!A:F,6,FALSE)</f>
        <v>37.3893889</v>
      </c>
      <c r="R1876" s="3">
        <f>VLOOKUP(C1876,layoffs_location!A:G,7,FALSE)</f>
        <v>-122.0832101</v>
      </c>
    </row>
    <row r="1877" spans="1:18" ht="16" x14ac:dyDescent="0.2">
      <c r="A1877" s="3">
        <v>1876</v>
      </c>
      <c r="B1877" s="4" t="s">
        <v>1848</v>
      </c>
      <c r="C1877" s="4" t="s">
        <v>154</v>
      </c>
      <c r="D1877" s="3" t="str">
        <f>VLOOKUP(C1877,layoffs_location!A:B,2,FALSE)</f>
        <v>other</v>
      </c>
      <c r="E1877" s="3" t="str">
        <f>VLOOKUP(C1877,layoffs_location!A:C,3,FALSE)</f>
        <v>Illinois</v>
      </c>
      <c r="F1877" s="3" t="str">
        <f>VLOOKUP(C1877,layoffs_location!A:D,4,FALSE)</f>
        <v>USA</v>
      </c>
      <c r="G1877" s="3" t="str">
        <f>VLOOKUP(C1877,layoffs_location!A:E,5,FALSE)</f>
        <v>North America</v>
      </c>
      <c r="H1877" s="23">
        <v>1000</v>
      </c>
      <c r="I1877" s="24">
        <v>45483</v>
      </c>
      <c r="J1877" s="47">
        <v>100</v>
      </c>
      <c r="K1877" s="25">
        <f>SUM((Table13[[#This Row],[Laid_Off]]*100)/Table13[[#This Row],[Percentage]])</f>
        <v>1000</v>
      </c>
      <c r="L1877" s="25">
        <f>SUM(Table13[[#This Row],[Company_Size_before_Layoffs]]-Table13[[#This Row],[Laid_Off]])</f>
        <v>0</v>
      </c>
      <c r="M1877" s="4" t="s">
        <v>1915</v>
      </c>
      <c r="N1877" s="4" t="s">
        <v>1884</v>
      </c>
      <c r="O1877" s="27">
        <v>51</v>
      </c>
      <c r="P1877" s="4">
        <v>2024</v>
      </c>
      <c r="Q1877" s="3">
        <f>VLOOKUP(C1877,layoffs_location!A:F,6,FALSE)</f>
        <v>41.875561599999997</v>
      </c>
      <c r="R1877" s="3">
        <f>VLOOKUP(C1877,layoffs_location!A:G,7,FALSE)</f>
        <v>-87.6244212</v>
      </c>
    </row>
    <row r="1878" spans="1:18" ht="16" x14ac:dyDescent="0.2">
      <c r="A1878" s="3">
        <v>1877</v>
      </c>
      <c r="B1878" s="4" t="s">
        <v>1849</v>
      </c>
      <c r="C1878" s="4" t="s">
        <v>76</v>
      </c>
      <c r="D1878" s="3" t="str">
        <f>VLOOKUP(C1878,layoffs_location!A:B,2,FALSE)</f>
        <v>other</v>
      </c>
      <c r="E1878" s="3" t="str">
        <f>VLOOKUP(C1878,layoffs_location!A:C,3,FALSE)</f>
        <v>California</v>
      </c>
      <c r="F1878" s="3" t="str">
        <f>VLOOKUP(C1878,layoffs_location!A:D,4,FALSE)</f>
        <v>USA</v>
      </c>
      <c r="G1878" s="3" t="str">
        <f>VLOOKUP(C1878,layoffs_location!A:E,5,FALSE)</f>
        <v>North America</v>
      </c>
      <c r="H1878" s="4"/>
      <c r="I1878" s="24">
        <v>45483</v>
      </c>
      <c r="J1878" s="47">
        <v>7</v>
      </c>
      <c r="K1878" s="25"/>
      <c r="L1878" s="25"/>
      <c r="M1878" s="4" t="s">
        <v>1909</v>
      </c>
      <c r="N1878" s="48" t="s">
        <v>1697</v>
      </c>
      <c r="O1878" s="27"/>
      <c r="P1878" s="4">
        <v>2024</v>
      </c>
      <c r="Q1878" s="3">
        <f>VLOOKUP(C1878,layoffs_location!A:F,6,FALSE)</f>
        <v>34.053690899999999</v>
      </c>
      <c r="R1878" s="3">
        <f>VLOOKUP(C1878,layoffs_location!A:G,7,FALSE)</f>
        <v>-118.242766</v>
      </c>
    </row>
    <row r="1879" spans="1:18" ht="16" x14ac:dyDescent="0.2">
      <c r="A1879" s="3">
        <v>1878</v>
      </c>
      <c r="B1879" s="4" t="s">
        <v>1846</v>
      </c>
      <c r="C1879" s="4" t="s">
        <v>43</v>
      </c>
      <c r="D1879" s="3" t="str">
        <f>VLOOKUP(C1879,layoffs_location!A:B,2,FALSE)</f>
        <v>Cascadia</v>
      </c>
      <c r="E1879" s="3" t="str">
        <f>VLOOKUP(C1879,layoffs_location!A:C,3,FALSE)</f>
        <v>Washington</v>
      </c>
      <c r="F1879" s="3" t="str">
        <f>VLOOKUP(C1879,layoffs_location!A:D,4,FALSE)</f>
        <v>USA</v>
      </c>
      <c r="G1879" s="3" t="str">
        <f>VLOOKUP(C1879,layoffs_location!A:E,5,FALSE)</f>
        <v>North America</v>
      </c>
      <c r="H1879" s="4"/>
      <c r="I1879" s="24">
        <v>45484</v>
      </c>
      <c r="J1879" s="5"/>
      <c r="K1879" s="25"/>
      <c r="L1879" s="25"/>
      <c r="M1879" s="4" t="s">
        <v>1894</v>
      </c>
      <c r="N1879" s="48" t="s">
        <v>1696</v>
      </c>
      <c r="O1879" s="27"/>
      <c r="P1879" s="4">
        <v>2024</v>
      </c>
      <c r="Q1879" s="3">
        <f>VLOOKUP(C1879,layoffs_location!A:F,6,FALSE)</f>
        <v>47.603832099999998</v>
      </c>
      <c r="R1879" s="3">
        <f>VLOOKUP(C1879,layoffs_location!A:G,7,FALSE)</f>
        <v>-122.330062</v>
      </c>
    </row>
    <row r="1880" spans="1:18" ht="16" x14ac:dyDescent="0.2">
      <c r="A1880" s="3">
        <v>1879</v>
      </c>
      <c r="B1880" s="4" t="s">
        <v>1845</v>
      </c>
      <c r="C1880" s="4" t="s">
        <v>1744</v>
      </c>
      <c r="D1880" s="3" t="str">
        <f>VLOOKUP(C1880,layoffs_location!A:B,2,FALSE)</f>
        <v>other</v>
      </c>
      <c r="E1880" s="3" t="str">
        <f>VLOOKUP(C1880,layoffs_location!A:C,3,FALSE)</f>
        <v>non</v>
      </c>
      <c r="F1880" s="3" t="str">
        <f>VLOOKUP(C1880,layoffs_location!A:D,4,FALSE)</f>
        <v>Pakistan</v>
      </c>
      <c r="G1880" s="3" t="str">
        <f>VLOOKUP(C1880,layoffs_location!A:E,5,FALSE)</f>
        <v>Asia</v>
      </c>
      <c r="H1880" s="4"/>
      <c r="I1880" s="24">
        <v>45485</v>
      </c>
      <c r="J1880" s="47">
        <v>30</v>
      </c>
      <c r="K1880" s="25"/>
      <c r="L1880" s="25"/>
      <c r="M1880" s="4" t="s">
        <v>1893</v>
      </c>
      <c r="N1880" s="4" t="s">
        <v>1884</v>
      </c>
      <c r="O1880" s="27">
        <v>20</v>
      </c>
      <c r="P1880" s="4">
        <v>2024</v>
      </c>
      <c r="Q1880" s="3">
        <f>VLOOKUP(C1880,layoffs_location!A:F,6,FALSE)</f>
        <v>33.738045</v>
      </c>
      <c r="R1880" s="3">
        <f>VLOOKUP(C1880,layoffs_location!A:G,7,FALSE)</f>
        <v>73.084487999999993</v>
      </c>
    </row>
    <row r="1881" spans="1:18" ht="16" x14ac:dyDescent="0.2">
      <c r="A1881" s="3">
        <v>1880</v>
      </c>
      <c r="B1881" s="4" t="s">
        <v>1842</v>
      </c>
      <c r="C1881" s="4" t="s">
        <v>47</v>
      </c>
      <c r="D1881" s="3" t="str">
        <f>VLOOKUP(C1881,layoffs_location!A:B,2,FALSE)</f>
        <v>other</v>
      </c>
      <c r="E1881" s="3" t="str">
        <f>VLOOKUP(C1881,layoffs_location!A:C,3,FALSE)</f>
        <v>non</v>
      </c>
      <c r="F1881" s="3" t="str">
        <f>VLOOKUP(C1881,layoffs_location!A:D,4,FALSE)</f>
        <v>Israel</v>
      </c>
      <c r="G1881" s="3" t="str">
        <f>VLOOKUP(C1881,layoffs_location!A:E,5,FALSE)</f>
        <v>Asia</v>
      </c>
      <c r="H1881" s="23">
        <v>400</v>
      </c>
      <c r="I1881" s="24">
        <v>45488</v>
      </c>
      <c r="J1881" s="5"/>
      <c r="K1881" s="25"/>
      <c r="L1881" s="25"/>
      <c r="M1881" s="4" t="s">
        <v>1908</v>
      </c>
      <c r="N1881" s="4" t="s">
        <v>1882</v>
      </c>
      <c r="O1881" s="27">
        <v>155</v>
      </c>
      <c r="P1881" s="4">
        <v>2024</v>
      </c>
      <c r="Q1881" s="3">
        <f>VLOOKUP(C1881,layoffs_location!A:F,6,FALSE)</f>
        <v>32.0852997</v>
      </c>
      <c r="R1881" s="3">
        <f>VLOOKUP(C1881,layoffs_location!A:G,7,FALSE)</f>
        <v>34.781806400000001</v>
      </c>
    </row>
    <row r="1882" spans="1:18" ht="16" x14ac:dyDescent="0.2">
      <c r="A1882" s="3">
        <v>1881</v>
      </c>
      <c r="B1882" s="4" t="s">
        <v>1843</v>
      </c>
      <c r="C1882" s="4" t="s">
        <v>1370</v>
      </c>
      <c r="D1882" s="3" t="str">
        <f>VLOOKUP(C1882,layoffs_location!A:B,2,FALSE)</f>
        <v>San Francisco Bay Area</v>
      </c>
      <c r="E1882" s="3" t="str">
        <f>VLOOKUP(C1882,layoffs_location!A:C,3,FALSE)</f>
        <v>California</v>
      </c>
      <c r="F1882" s="3" t="str">
        <f>VLOOKUP(C1882,layoffs_location!A:D,4,FALSE)</f>
        <v>USA</v>
      </c>
      <c r="G1882" s="3" t="str">
        <f>VLOOKUP(C1882,layoffs_location!A:E,5,FALSE)</f>
        <v>North America</v>
      </c>
      <c r="H1882" s="23">
        <v>300</v>
      </c>
      <c r="I1882" s="24">
        <v>45488</v>
      </c>
      <c r="J1882" s="5"/>
      <c r="K1882" s="25"/>
      <c r="L1882" s="25"/>
      <c r="M1882" s="4" t="s">
        <v>1917</v>
      </c>
      <c r="N1882" s="4" t="s">
        <v>1882</v>
      </c>
      <c r="O1882" s="27">
        <v>65</v>
      </c>
      <c r="P1882" s="4">
        <v>2024</v>
      </c>
      <c r="Q1882" s="3">
        <f>VLOOKUP(C1882,layoffs_location!A:F,6,FALSE)</f>
        <v>37.779258800000001</v>
      </c>
      <c r="R1882" s="3">
        <f>VLOOKUP(C1882,layoffs_location!A:G,7,FALSE)</f>
        <v>-122.4193286</v>
      </c>
    </row>
    <row r="1883" spans="1:18" ht="16" x14ac:dyDescent="0.2">
      <c r="A1883" s="3">
        <v>1882</v>
      </c>
      <c r="B1883" s="4" t="s">
        <v>1844</v>
      </c>
      <c r="C1883" s="4" t="s">
        <v>51</v>
      </c>
      <c r="D1883" s="3" t="str">
        <f>VLOOKUP(C1883,layoffs_location!A:B,2,FALSE)</f>
        <v>other</v>
      </c>
      <c r="E1883" s="3" t="str">
        <f>VLOOKUP(C1883,layoffs_location!A:C,3,FALSE)</f>
        <v>non</v>
      </c>
      <c r="F1883" s="3" t="str">
        <f>VLOOKUP(C1883,layoffs_location!A:D,4,FALSE)</f>
        <v>Sweden</v>
      </c>
      <c r="G1883" s="3" t="str">
        <f>VLOOKUP(C1883,layoffs_location!A:E,5,FALSE)</f>
        <v>Europe</v>
      </c>
      <c r="H1883" s="23">
        <v>40</v>
      </c>
      <c r="I1883" s="24">
        <v>45488</v>
      </c>
      <c r="J1883" s="5"/>
      <c r="K1883" s="25"/>
      <c r="L1883" s="25"/>
      <c r="M1883" s="4" t="s">
        <v>1915</v>
      </c>
      <c r="N1883" s="4" t="s">
        <v>1882</v>
      </c>
      <c r="O1883" s="27">
        <v>2.1</v>
      </c>
      <c r="P1883" s="4">
        <v>2024</v>
      </c>
      <c r="Q1883" s="3">
        <f>VLOOKUP(C1883,layoffs_location!A:F,6,FALSE)</f>
        <v>59.325117200000001</v>
      </c>
      <c r="R1883" s="3">
        <f>VLOOKUP(C1883,layoffs_location!A:G,7,FALSE)</f>
        <v>18.0710935</v>
      </c>
    </row>
    <row r="1884" spans="1:18" ht="16" x14ac:dyDescent="0.2">
      <c r="A1884" s="3">
        <v>1883</v>
      </c>
      <c r="B1884" s="4" t="s">
        <v>1839</v>
      </c>
      <c r="C1884" s="4" t="s">
        <v>1370</v>
      </c>
      <c r="D1884" s="3" t="str">
        <f>VLOOKUP(C1884,layoffs_location!A:B,2,FALSE)</f>
        <v>San Francisco Bay Area</v>
      </c>
      <c r="E1884" s="3" t="str">
        <f>VLOOKUP(C1884,layoffs_location!A:C,3,FALSE)</f>
        <v>California</v>
      </c>
      <c r="F1884" s="3" t="str">
        <f>VLOOKUP(C1884,layoffs_location!A:D,4,FALSE)</f>
        <v>USA</v>
      </c>
      <c r="G1884" s="3" t="str">
        <f>VLOOKUP(C1884,layoffs_location!A:E,5,FALSE)</f>
        <v>North America</v>
      </c>
      <c r="H1884" s="23">
        <v>60</v>
      </c>
      <c r="I1884" s="24">
        <v>45489</v>
      </c>
      <c r="J1884" s="47">
        <v>100</v>
      </c>
      <c r="K1884" s="25">
        <f>SUM((Table13[[#This Row],[Laid_Off]]*100)/Table13[[#This Row],[Percentage]])</f>
        <v>60</v>
      </c>
      <c r="L1884" s="25">
        <f>SUM(Table13[[#This Row],[Company_Size_before_Layoffs]]-Table13[[#This Row],[Laid_Off]])</f>
        <v>0</v>
      </c>
      <c r="M1884" s="4" t="s">
        <v>1898</v>
      </c>
      <c r="N1884" s="4" t="s">
        <v>1879</v>
      </c>
      <c r="O1884" s="27">
        <v>81</v>
      </c>
      <c r="P1884" s="4">
        <v>2024</v>
      </c>
      <c r="Q1884" s="3">
        <f>VLOOKUP(C1884,layoffs_location!A:F,6,FALSE)</f>
        <v>37.779258800000001</v>
      </c>
      <c r="R1884" s="3">
        <f>VLOOKUP(C1884,layoffs_location!A:G,7,FALSE)</f>
        <v>-122.4193286</v>
      </c>
    </row>
    <row r="1885" spans="1:18" ht="16" x14ac:dyDescent="0.2">
      <c r="A1885" s="3">
        <v>1884</v>
      </c>
      <c r="B1885" s="4" t="s">
        <v>1840</v>
      </c>
      <c r="C1885" s="4" t="s">
        <v>71</v>
      </c>
      <c r="D1885" s="3" t="str">
        <f>VLOOKUP(C1885,layoffs_location!A:B,2,FALSE)</f>
        <v>other</v>
      </c>
      <c r="E1885" s="3" t="str">
        <f>VLOOKUP(C1885,layoffs_location!A:C,3,FALSE)</f>
        <v>Massachusetts</v>
      </c>
      <c r="F1885" s="3" t="str">
        <f>VLOOKUP(C1885,layoffs_location!A:D,4,FALSE)</f>
        <v>USA</v>
      </c>
      <c r="G1885" s="3" t="str">
        <f>VLOOKUP(C1885,layoffs_location!A:E,5,FALSE)</f>
        <v>North America</v>
      </c>
      <c r="H1885" s="4"/>
      <c r="I1885" s="24">
        <v>45489</v>
      </c>
      <c r="J1885" s="5"/>
      <c r="K1885" s="25"/>
      <c r="L1885" s="25"/>
      <c r="M1885" s="4" t="s">
        <v>1909</v>
      </c>
      <c r="N1885" s="48" t="s">
        <v>1696</v>
      </c>
      <c r="O1885" s="27"/>
      <c r="P1885" s="4">
        <v>2024</v>
      </c>
      <c r="Q1885" s="3">
        <f>VLOOKUP(C1885,layoffs_location!A:F,6,FALSE)</f>
        <v>42.355433400000003</v>
      </c>
      <c r="R1885" s="3">
        <f>VLOOKUP(C1885,layoffs_location!A:G,7,FALSE)</f>
        <v>-71.060511000000005</v>
      </c>
    </row>
    <row r="1886" spans="1:18" ht="16" x14ac:dyDescent="0.2">
      <c r="A1886" s="3">
        <v>1885</v>
      </c>
      <c r="B1886" s="4" t="s">
        <v>1841</v>
      </c>
      <c r="C1886" s="4" t="s">
        <v>271</v>
      </c>
      <c r="D1886" s="3" t="str">
        <f>VLOOKUP(C1886,layoffs_location!A:B,2,FALSE)</f>
        <v>Cascadia</v>
      </c>
      <c r="E1886" s="3" t="str">
        <f>VLOOKUP(C1886,layoffs_location!A:C,3,FALSE)</f>
        <v>British Columbia</v>
      </c>
      <c r="F1886" s="3" t="str">
        <f>VLOOKUP(C1886,layoffs_location!A:D,4,FALSE)</f>
        <v>Canada</v>
      </c>
      <c r="G1886" s="3" t="str">
        <f>VLOOKUP(C1886,layoffs_location!A:E,5,FALSE)</f>
        <v>North America</v>
      </c>
      <c r="H1886" s="4"/>
      <c r="I1886" s="24">
        <v>45489</v>
      </c>
      <c r="J1886" s="5"/>
      <c r="K1886" s="25"/>
      <c r="L1886" s="25"/>
      <c r="M1886" s="4" t="s">
        <v>1901</v>
      </c>
      <c r="N1886" s="4" t="s">
        <v>1884</v>
      </c>
      <c r="O1886" s="27">
        <v>39</v>
      </c>
      <c r="P1886" s="4">
        <v>2024</v>
      </c>
      <c r="Q1886" s="3">
        <f>VLOOKUP(C1886,layoffs_location!A:F,6,FALSE)</f>
        <v>49.260872399999997</v>
      </c>
      <c r="R1886" s="3">
        <f>VLOOKUP(C1886,layoffs_location!A:G,7,FALSE)</f>
        <v>-123.113952</v>
      </c>
    </row>
    <row r="1887" spans="1:18" ht="16" x14ac:dyDescent="0.2">
      <c r="A1887" s="3">
        <v>1886</v>
      </c>
      <c r="B1887" s="4" t="s">
        <v>1836</v>
      </c>
      <c r="C1887" s="4" t="s">
        <v>71</v>
      </c>
      <c r="D1887" s="3" t="str">
        <f>VLOOKUP(C1887,layoffs_location!A:B,2,FALSE)</f>
        <v>other</v>
      </c>
      <c r="E1887" s="3" t="str">
        <f>VLOOKUP(C1887,layoffs_location!A:C,3,FALSE)</f>
        <v>Massachusetts</v>
      </c>
      <c r="F1887" s="3" t="str">
        <f>VLOOKUP(C1887,layoffs_location!A:D,4,FALSE)</f>
        <v>USA</v>
      </c>
      <c r="G1887" s="3" t="str">
        <f>VLOOKUP(C1887,layoffs_location!A:E,5,FALSE)</f>
        <v>North America</v>
      </c>
      <c r="H1887" s="23">
        <v>50</v>
      </c>
      <c r="I1887" s="24">
        <v>45490</v>
      </c>
      <c r="J1887" s="47">
        <v>10</v>
      </c>
      <c r="K1887" s="25">
        <f>SUM((Table13[[#This Row],[Laid_Off]]*100)/Table13[[#This Row],[Percentage]])</f>
        <v>500</v>
      </c>
      <c r="L1887" s="25">
        <f>SUM(Table13[[#This Row],[Company_Size_before_Layoffs]]-Table13[[#This Row],[Laid_Off]])</f>
        <v>450</v>
      </c>
      <c r="M1887" s="4" t="s">
        <v>1909</v>
      </c>
      <c r="N1887" s="4" t="s">
        <v>1887</v>
      </c>
      <c r="O1887" s="27">
        <v>325</v>
      </c>
      <c r="P1887" s="4">
        <v>2024</v>
      </c>
      <c r="Q1887" s="3">
        <f>VLOOKUP(C1887,layoffs_location!A:F,6,FALSE)</f>
        <v>42.355433400000003</v>
      </c>
      <c r="R1887" s="3">
        <f>VLOOKUP(C1887,layoffs_location!A:G,7,FALSE)</f>
        <v>-71.060511000000005</v>
      </c>
    </row>
    <row r="1888" spans="1:18" ht="16" x14ac:dyDescent="0.2">
      <c r="A1888" s="3">
        <v>1887</v>
      </c>
      <c r="B1888" s="4" t="s">
        <v>1837</v>
      </c>
      <c r="C1888" s="4" t="s">
        <v>47</v>
      </c>
      <c r="D1888" s="3" t="str">
        <f>VLOOKUP(C1888,layoffs_location!A:B,2,FALSE)</f>
        <v>other</v>
      </c>
      <c r="E1888" s="3" t="str">
        <f>VLOOKUP(C1888,layoffs_location!A:C,3,FALSE)</f>
        <v>non</v>
      </c>
      <c r="F1888" s="3" t="str">
        <f>VLOOKUP(C1888,layoffs_location!A:D,4,FALSE)</f>
        <v>Israel</v>
      </c>
      <c r="G1888" s="3" t="str">
        <f>VLOOKUP(C1888,layoffs_location!A:E,5,FALSE)</f>
        <v>Asia</v>
      </c>
      <c r="H1888" s="23">
        <v>16</v>
      </c>
      <c r="I1888" s="24">
        <v>45490</v>
      </c>
      <c r="J1888" s="47">
        <v>10</v>
      </c>
      <c r="K1888" s="25">
        <f>SUM((Table13[[#This Row],[Laid_Off]]*100)/Table13[[#This Row],[Percentage]])</f>
        <v>160</v>
      </c>
      <c r="L1888" s="25">
        <f>SUM(Table13[[#This Row],[Company_Size_before_Layoffs]]-Table13[[#This Row],[Laid_Off]])</f>
        <v>144</v>
      </c>
      <c r="M1888" s="4" t="s">
        <v>1909</v>
      </c>
      <c r="N1888" s="4" t="s">
        <v>1879</v>
      </c>
      <c r="O1888" s="27">
        <v>61</v>
      </c>
      <c r="P1888" s="4">
        <v>2024</v>
      </c>
      <c r="Q1888" s="3">
        <f>VLOOKUP(C1888,layoffs_location!A:F,6,FALSE)</f>
        <v>32.0852997</v>
      </c>
      <c r="R1888" s="3">
        <f>VLOOKUP(C1888,layoffs_location!A:G,7,FALSE)</f>
        <v>34.781806400000001</v>
      </c>
    </row>
    <row r="1889" spans="1:18" ht="16" x14ac:dyDescent="0.2">
      <c r="A1889" s="3">
        <v>1888</v>
      </c>
      <c r="B1889" s="4" t="s">
        <v>1838</v>
      </c>
      <c r="C1889" s="4" t="s">
        <v>39</v>
      </c>
      <c r="D1889" s="3" t="str">
        <f>VLOOKUP(C1889,layoffs_location!A:B,2,FALSE)</f>
        <v>New York</v>
      </c>
      <c r="E1889" s="3" t="str">
        <f>VLOOKUP(C1889,layoffs_location!A:C,3,FALSE)</f>
        <v>New York</v>
      </c>
      <c r="F1889" s="3" t="str">
        <f>VLOOKUP(C1889,layoffs_location!A:D,4,FALSE)</f>
        <v>USA</v>
      </c>
      <c r="G1889" s="3" t="str">
        <f>VLOOKUP(C1889,layoffs_location!A:E,5,FALSE)</f>
        <v>North America</v>
      </c>
      <c r="H1889" s="4"/>
      <c r="I1889" s="24">
        <v>45490</v>
      </c>
      <c r="J1889" s="5"/>
      <c r="K1889" s="25"/>
      <c r="L1889" s="25"/>
      <c r="M1889" s="4" t="s">
        <v>1904</v>
      </c>
      <c r="N1889" s="4" t="s">
        <v>1885</v>
      </c>
      <c r="O1889" s="27">
        <v>7</v>
      </c>
      <c r="P1889" s="4">
        <v>2024</v>
      </c>
      <c r="Q1889" s="3">
        <f>VLOOKUP(C1889,layoffs_location!A:F,6,FALSE)</f>
        <v>40.7127281</v>
      </c>
      <c r="R1889" s="3">
        <f>VLOOKUP(C1889,layoffs_location!A:G,7,FALSE)</f>
        <v>-74.006015199999993</v>
      </c>
    </row>
    <row r="1890" spans="1:18" ht="16" x14ac:dyDescent="0.2">
      <c r="A1890" s="3">
        <v>1889</v>
      </c>
      <c r="B1890" s="4" t="s">
        <v>1834</v>
      </c>
      <c r="C1890" s="4" t="s">
        <v>220</v>
      </c>
      <c r="D1890" s="3" t="str">
        <f>VLOOKUP(C1890,layoffs_location!A:B,2,FALSE)</f>
        <v>other</v>
      </c>
      <c r="E1890" s="3" t="str">
        <f>VLOOKUP(C1890,layoffs_location!A:C,3,FALSE)</f>
        <v>Florida</v>
      </c>
      <c r="F1890" s="3" t="str">
        <f>VLOOKUP(C1890,layoffs_location!A:D,4,FALSE)</f>
        <v>USA</v>
      </c>
      <c r="G1890" s="3" t="str">
        <f>VLOOKUP(C1890,layoffs_location!A:E,5,FALSE)</f>
        <v>North America</v>
      </c>
      <c r="H1890" s="23">
        <v>75</v>
      </c>
      <c r="I1890" s="24">
        <v>45492</v>
      </c>
      <c r="J1890" s="5"/>
      <c r="K1890" s="25"/>
      <c r="L1890" s="25"/>
      <c r="M1890" s="4" t="s">
        <v>1904</v>
      </c>
      <c r="N1890" s="4" t="s">
        <v>1887</v>
      </c>
      <c r="O1890" s="27">
        <v>4.0999999999999996</v>
      </c>
      <c r="P1890" s="4">
        <v>2024</v>
      </c>
      <c r="Q1890" s="3">
        <f>VLOOKUP(C1890,layoffs_location!A:F,6,FALSE)</f>
        <v>25.774172799999999</v>
      </c>
      <c r="R1890" s="3">
        <f>VLOOKUP(C1890,layoffs_location!A:G,7,FALSE)</f>
        <v>-80.193619999999996</v>
      </c>
    </row>
    <row r="1891" spans="1:18" ht="16" x14ac:dyDescent="0.2">
      <c r="A1891" s="3">
        <v>1890</v>
      </c>
      <c r="B1891" s="4" t="s">
        <v>1835</v>
      </c>
      <c r="C1891" s="4" t="s">
        <v>1473</v>
      </c>
      <c r="D1891" s="3" t="str">
        <f>VLOOKUP(C1891,layoffs_location!A:B,2,FALSE)</f>
        <v>San Francisco Bay Area</v>
      </c>
      <c r="E1891" s="3" t="str">
        <f>VLOOKUP(C1891,layoffs_location!A:C,3,FALSE)</f>
        <v>California</v>
      </c>
      <c r="F1891" s="3" t="str">
        <f>VLOOKUP(C1891,layoffs_location!A:D,4,FALSE)</f>
        <v>USA</v>
      </c>
      <c r="G1891" s="3" t="str">
        <f>VLOOKUP(C1891,layoffs_location!A:E,5,FALSE)</f>
        <v>North America</v>
      </c>
      <c r="H1891" s="4"/>
      <c r="I1891" s="24">
        <v>45492</v>
      </c>
      <c r="J1891" s="47">
        <v>50</v>
      </c>
      <c r="K1891" s="25"/>
      <c r="L1891" s="25"/>
      <c r="M1891" s="4" t="s">
        <v>1898</v>
      </c>
      <c r="N1891" s="48" t="s">
        <v>1697</v>
      </c>
      <c r="O1891" s="27"/>
      <c r="P1891" s="4">
        <v>2024</v>
      </c>
      <c r="Q1891" s="3">
        <f>VLOOKUP(C1891,layoffs_location!A:F,6,FALSE)</f>
        <v>37.4443293</v>
      </c>
      <c r="R1891" s="3">
        <f>VLOOKUP(C1891,layoffs_location!A:G,7,FALSE)</f>
        <v>-122.1598465</v>
      </c>
    </row>
    <row r="1892" spans="1:18" ht="16" x14ac:dyDescent="0.2">
      <c r="A1892" s="3">
        <v>1891</v>
      </c>
      <c r="B1892" s="4" t="s">
        <v>1833</v>
      </c>
      <c r="C1892" s="4" t="s">
        <v>13</v>
      </c>
      <c r="D1892" s="3" t="str">
        <f>VLOOKUP(C1892,layoffs_location!A:B,2,FALSE)</f>
        <v>other</v>
      </c>
      <c r="E1892" s="3" t="str">
        <f>VLOOKUP(C1892,layoffs_location!A:C,3,FALSE)</f>
        <v>Karnataka</v>
      </c>
      <c r="F1892" s="3" t="str">
        <f>VLOOKUP(C1892,layoffs_location!A:D,4,FALSE)</f>
        <v>India</v>
      </c>
      <c r="G1892" s="3" t="str">
        <f>VLOOKUP(C1892,layoffs_location!A:E,5,FALSE)</f>
        <v>Asia</v>
      </c>
      <c r="H1892" s="4"/>
      <c r="I1892" s="24">
        <v>45495</v>
      </c>
      <c r="J1892" s="47">
        <v>100</v>
      </c>
      <c r="K1892" s="25"/>
      <c r="L1892" s="25">
        <f>SUM(Table13[[#This Row],[Company_Size_before_Layoffs]]-Table13[[#This Row],[Laid_Off]])</f>
        <v>0</v>
      </c>
      <c r="M1892" s="4" t="s">
        <v>1895</v>
      </c>
      <c r="N1892" s="4" t="s">
        <v>1885</v>
      </c>
      <c r="O1892" s="27">
        <v>4</v>
      </c>
      <c r="P1892" s="4">
        <v>2024</v>
      </c>
      <c r="Q1892" s="3">
        <f>VLOOKUP(C1892,layoffs_location!A:F,6,FALSE)</f>
        <v>12.98815675</v>
      </c>
      <c r="R1892" s="3">
        <f>VLOOKUP(C1892,layoffs_location!A:G,7,FALSE)</f>
        <v>77.622600037959998</v>
      </c>
    </row>
    <row r="1893" spans="1:18" ht="16" x14ac:dyDescent="0.2">
      <c r="A1893" s="3">
        <v>1892</v>
      </c>
      <c r="B1893" s="4" t="s">
        <v>1831</v>
      </c>
      <c r="C1893" s="4" t="s">
        <v>1370</v>
      </c>
      <c r="D1893" s="3" t="str">
        <f>VLOOKUP(C1893,layoffs_location!A:B,2,FALSE)</f>
        <v>San Francisco Bay Area</v>
      </c>
      <c r="E1893" s="3" t="str">
        <f>VLOOKUP(C1893,layoffs_location!A:C,3,FALSE)</f>
        <v>California</v>
      </c>
      <c r="F1893" s="3" t="str">
        <f>VLOOKUP(C1893,layoffs_location!A:D,4,FALSE)</f>
        <v>USA</v>
      </c>
      <c r="G1893" s="3" t="str">
        <f>VLOOKUP(C1893,layoffs_location!A:E,5,FALSE)</f>
        <v>North America</v>
      </c>
      <c r="H1893" s="23">
        <v>36</v>
      </c>
      <c r="I1893" s="24">
        <v>45496</v>
      </c>
      <c r="J1893" s="47">
        <v>100</v>
      </c>
      <c r="K1893" s="25">
        <f>SUM((Table13[[#This Row],[Laid_Off]]*100)/Table13[[#This Row],[Percentage]])</f>
        <v>36</v>
      </c>
      <c r="L1893" s="25">
        <f>SUM(Table13[[#This Row],[Company_Size_before_Layoffs]]-Table13[[#This Row],[Laid_Off]])</f>
        <v>0</v>
      </c>
      <c r="M1893" s="4" t="s">
        <v>1915</v>
      </c>
      <c r="N1893" s="4" t="s">
        <v>1884</v>
      </c>
      <c r="O1893" s="27">
        <v>4</v>
      </c>
      <c r="P1893" s="4">
        <v>2024</v>
      </c>
      <c r="Q1893" s="3">
        <f>VLOOKUP(C1893,layoffs_location!A:F,6,FALSE)</f>
        <v>37.779258800000001</v>
      </c>
      <c r="R1893" s="3">
        <f>VLOOKUP(C1893,layoffs_location!A:G,7,FALSE)</f>
        <v>-122.4193286</v>
      </c>
    </row>
    <row r="1894" spans="1:18" ht="16" x14ac:dyDescent="0.2">
      <c r="A1894" s="3">
        <v>1893</v>
      </c>
      <c r="B1894" s="4" t="s">
        <v>1832</v>
      </c>
      <c r="C1894" s="4" t="s">
        <v>179</v>
      </c>
      <c r="D1894" s="3" t="str">
        <f>VLOOKUP(C1894,layoffs_location!A:B,2,FALSE)</f>
        <v>other</v>
      </c>
      <c r="E1894" s="3" t="str">
        <f>VLOOKUP(C1894,layoffs_location!A:C,3,FALSE)</f>
        <v>Ontario</v>
      </c>
      <c r="F1894" s="3" t="str">
        <f>VLOOKUP(C1894,layoffs_location!A:D,4,FALSE)</f>
        <v>Canada</v>
      </c>
      <c r="G1894" s="3" t="str">
        <f>VLOOKUP(C1894,layoffs_location!A:E,5,FALSE)</f>
        <v>North America</v>
      </c>
      <c r="H1894" s="23">
        <v>20</v>
      </c>
      <c r="I1894" s="24">
        <v>45496</v>
      </c>
      <c r="J1894" s="47">
        <v>5</v>
      </c>
      <c r="K1894" s="25">
        <f>SUM((Table13[[#This Row],[Laid_Off]]*100)/Table13[[#This Row],[Percentage]])</f>
        <v>400</v>
      </c>
      <c r="L1894" s="25">
        <f>SUM(Table13[[#This Row],[Company_Size_before_Layoffs]]-Table13[[#This Row],[Laid_Off]])</f>
        <v>380</v>
      </c>
      <c r="M1894" s="4" t="s">
        <v>1902</v>
      </c>
      <c r="N1894" s="4" t="s">
        <v>1883</v>
      </c>
      <c r="O1894" s="27">
        <v>935</v>
      </c>
      <c r="P1894" s="4">
        <v>2024</v>
      </c>
      <c r="Q1894" s="3">
        <f>VLOOKUP(C1894,layoffs_location!A:F,6,FALSE)</f>
        <v>43.6534817</v>
      </c>
      <c r="R1894" s="3">
        <f>VLOOKUP(C1894,layoffs_location!A:G,7,FALSE)</f>
        <v>-79.383934699999998</v>
      </c>
    </row>
    <row r="1895" spans="1:18" ht="16" x14ac:dyDescent="0.2">
      <c r="A1895" s="3">
        <v>1894</v>
      </c>
      <c r="B1895" s="4" t="s">
        <v>1830</v>
      </c>
      <c r="C1895" s="4" t="s">
        <v>1370</v>
      </c>
      <c r="D1895" s="3" t="str">
        <f>VLOOKUP(C1895,layoffs_location!A:B,2,FALSE)</f>
        <v>San Francisco Bay Area</v>
      </c>
      <c r="E1895" s="3" t="str">
        <f>VLOOKUP(C1895,layoffs_location!A:C,3,FALSE)</f>
        <v>California</v>
      </c>
      <c r="F1895" s="3" t="str">
        <f>VLOOKUP(C1895,layoffs_location!A:D,4,FALSE)</f>
        <v>USA</v>
      </c>
      <c r="G1895" s="3" t="str">
        <f>VLOOKUP(C1895,layoffs_location!A:E,5,FALSE)</f>
        <v>North America</v>
      </c>
      <c r="H1895" s="4"/>
      <c r="I1895" s="24">
        <v>45498</v>
      </c>
      <c r="J1895" s="47">
        <v>8</v>
      </c>
      <c r="K1895" s="25"/>
      <c r="L1895" s="25"/>
      <c r="M1895" s="4" t="s">
        <v>1901</v>
      </c>
      <c r="N1895" s="4" t="s">
        <v>1880</v>
      </c>
      <c r="O1895" s="27">
        <v>335</v>
      </c>
      <c r="P1895" s="4">
        <v>2024</v>
      </c>
      <c r="Q1895" s="3">
        <f>VLOOKUP(C1895,layoffs_location!A:F,6,FALSE)</f>
        <v>37.779258800000001</v>
      </c>
      <c r="R1895" s="3">
        <f>VLOOKUP(C1895,layoffs_location!A:G,7,FALSE)</f>
        <v>-122.4193286</v>
      </c>
    </row>
    <row r="1896" spans="1:18" ht="16" x14ac:dyDescent="0.2">
      <c r="A1896" s="3">
        <v>1895</v>
      </c>
      <c r="B1896" s="4" t="s">
        <v>1829</v>
      </c>
      <c r="C1896" s="4" t="s">
        <v>222</v>
      </c>
      <c r="D1896" s="3" t="str">
        <f>VLOOKUP(C1896,layoffs_location!A:B,2,FALSE)</f>
        <v>other</v>
      </c>
      <c r="E1896" s="3" t="str">
        <f>VLOOKUP(C1896,layoffs_location!A:C,3,FALSE)</f>
        <v>Tamil Nadu</v>
      </c>
      <c r="F1896" s="3" t="str">
        <f>VLOOKUP(C1896,layoffs_location!A:D,4,FALSE)</f>
        <v>India</v>
      </c>
      <c r="G1896" s="3" t="str">
        <f>VLOOKUP(C1896,layoffs_location!A:E,5,FALSE)</f>
        <v>Asia</v>
      </c>
      <c r="H1896" s="23">
        <v>200</v>
      </c>
      <c r="I1896" s="24">
        <v>45499</v>
      </c>
      <c r="J1896" s="5"/>
      <c r="K1896" s="25"/>
      <c r="L1896" s="25"/>
      <c r="M1896" s="4" t="s">
        <v>1896</v>
      </c>
      <c r="N1896" s="4" t="s">
        <v>1879</v>
      </c>
      <c r="O1896" s="27">
        <v>363</v>
      </c>
      <c r="P1896" s="4">
        <v>2024</v>
      </c>
      <c r="Q1896" s="3">
        <f>VLOOKUP(C1896,layoffs_location!A:F,6,FALSE)</f>
        <v>13.0836939</v>
      </c>
      <c r="R1896" s="3">
        <f>VLOOKUP(C1896,layoffs_location!A:G,7,FALSE)</f>
        <v>80.270185999999995</v>
      </c>
    </row>
    <row r="1897" spans="1:18" ht="16" x14ac:dyDescent="0.2">
      <c r="A1897" s="3">
        <v>1896</v>
      </c>
      <c r="B1897" s="4" t="s">
        <v>1828</v>
      </c>
      <c r="C1897" s="4" t="s">
        <v>13</v>
      </c>
      <c r="D1897" s="3" t="str">
        <f>VLOOKUP(C1897,layoffs_location!A:B,2,FALSE)</f>
        <v>other</v>
      </c>
      <c r="E1897" s="3" t="str">
        <f>VLOOKUP(C1897,layoffs_location!A:C,3,FALSE)</f>
        <v>Karnataka</v>
      </c>
      <c r="F1897" s="3" t="str">
        <f>VLOOKUP(C1897,layoffs_location!A:D,4,FALSE)</f>
        <v>India</v>
      </c>
      <c r="G1897" s="3" t="str">
        <f>VLOOKUP(C1897,layoffs_location!A:E,5,FALSE)</f>
        <v>Asia</v>
      </c>
      <c r="H1897" s="23">
        <v>200</v>
      </c>
      <c r="I1897" s="24">
        <v>45500</v>
      </c>
      <c r="J1897" s="5"/>
      <c r="K1897" s="25"/>
      <c r="L1897" s="25"/>
      <c r="M1897" s="4" t="s">
        <v>1915</v>
      </c>
      <c r="N1897" s="4" t="s">
        <v>1883</v>
      </c>
      <c r="O1897" s="27">
        <v>212</v>
      </c>
      <c r="P1897" s="4">
        <v>2024</v>
      </c>
      <c r="Q1897" s="3">
        <f>VLOOKUP(C1897,layoffs_location!A:F,6,FALSE)</f>
        <v>12.98815675</v>
      </c>
      <c r="R1897" s="3">
        <f>VLOOKUP(C1897,layoffs_location!A:G,7,FALSE)</f>
        <v>77.622600037959998</v>
      </c>
    </row>
    <row r="1898" spans="1:18" ht="16" x14ac:dyDescent="0.2">
      <c r="A1898" s="3">
        <v>1897</v>
      </c>
      <c r="B1898" s="4" t="s">
        <v>1827</v>
      </c>
      <c r="C1898" s="4" t="s">
        <v>743</v>
      </c>
      <c r="D1898" s="3" t="str">
        <f>VLOOKUP(C1898,layoffs_location!A:B,2,FALSE)</f>
        <v>other</v>
      </c>
      <c r="E1898" s="3" t="str">
        <f>VLOOKUP(C1898,layoffs_location!A:C,3,FALSE)</f>
        <v>non</v>
      </c>
      <c r="F1898" s="3" t="str">
        <f>VLOOKUP(C1898,layoffs_location!A:D,4,FALSE)</f>
        <v>Israel</v>
      </c>
      <c r="G1898" s="3" t="str">
        <f>VLOOKUP(C1898,layoffs_location!A:E,5,FALSE)</f>
        <v>Asia</v>
      </c>
      <c r="H1898" s="4"/>
      <c r="I1898" s="24">
        <v>45501</v>
      </c>
      <c r="J1898" s="5"/>
      <c r="K1898" s="25"/>
      <c r="L1898" s="25"/>
      <c r="M1898" s="4" t="s">
        <v>1892</v>
      </c>
      <c r="N1898" s="4" t="s">
        <v>1879</v>
      </c>
      <c r="O1898" s="27">
        <v>86</v>
      </c>
      <c r="P1898" s="4">
        <v>2024</v>
      </c>
      <c r="Q1898" s="3">
        <f>VLOOKUP(C1898,layoffs_location!A:F,6,FALSE)</f>
        <v>31.788471850000001</v>
      </c>
      <c r="R1898" s="3">
        <f>VLOOKUP(C1898,layoffs_location!A:G,7,FALSE)</f>
        <v>35.218794410944902</v>
      </c>
    </row>
    <row r="1899" spans="1:18" ht="16" x14ac:dyDescent="0.2">
      <c r="A1899" s="3">
        <v>1898</v>
      </c>
      <c r="B1899" s="4" t="s">
        <v>1826</v>
      </c>
      <c r="C1899" s="4" t="s">
        <v>1722</v>
      </c>
      <c r="D1899" s="3" t="str">
        <f>VLOOKUP(C1899,layoffs_location!A:B,2,FALSE)</f>
        <v>San Francisco Bay Area</v>
      </c>
      <c r="E1899" s="3" t="str">
        <f>VLOOKUP(C1899,layoffs_location!A:C,3,FALSE)</f>
        <v>California</v>
      </c>
      <c r="F1899" s="3" t="str">
        <f>VLOOKUP(C1899,layoffs_location!A:D,4,FALSE)</f>
        <v>USA</v>
      </c>
      <c r="G1899" s="3" t="str">
        <f>VLOOKUP(C1899,layoffs_location!A:E,5,FALSE)</f>
        <v>North America</v>
      </c>
      <c r="H1899" s="23">
        <v>248</v>
      </c>
      <c r="I1899" s="24">
        <v>45502</v>
      </c>
      <c r="J1899" s="47">
        <v>100</v>
      </c>
      <c r="K1899" s="25">
        <f>SUM((Table13[[#This Row],[Laid_Off]]*100)/Table13[[#This Row],[Percentage]])</f>
        <v>248</v>
      </c>
      <c r="L1899" s="25">
        <f>SUM(Table13[[#This Row],[Company_Size_before_Layoffs]]-Table13[[#This Row],[Laid_Off]])</f>
        <v>0</v>
      </c>
      <c r="M1899" s="4" t="s">
        <v>1908</v>
      </c>
      <c r="N1899" s="4" t="s">
        <v>1879</v>
      </c>
      <c r="O1899" s="27">
        <v>124</v>
      </c>
      <c r="P1899" s="4">
        <v>2024</v>
      </c>
      <c r="Q1899" s="3">
        <f>VLOOKUP(C1899,layoffs_location!A:F,6,FALSE)</f>
        <v>37.538508700000001</v>
      </c>
      <c r="R1899" s="3">
        <f>VLOOKUP(C1899,layoffs_location!A:G,7,FALSE)</f>
        <v>-77.434280000000001</v>
      </c>
    </row>
    <row r="1900" spans="1:18" ht="16" x14ac:dyDescent="0.2">
      <c r="A1900" s="3">
        <v>1899</v>
      </c>
      <c r="B1900" s="4" t="s">
        <v>1825</v>
      </c>
      <c r="C1900" s="4" t="s">
        <v>1370</v>
      </c>
      <c r="D1900" s="3" t="str">
        <f>VLOOKUP(C1900,layoffs_location!A:B,2,FALSE)</f>
        <v>San Francisco Bay Area</v>
      </c>
      <c r="E1900" s="3" t="str">
        <f>VLOOKUP(C1900,layoffs_location!A:C,3,FALSE)</f>
        <v>California</v>
      </c>
      <c r="F1900" s="3" t="str">
        <f>VLOOKUP(C1900,layoffs_location!A:D,4,FALSE)</f>
        <v>USA</v>
      </c>
      <c r="G1900" s="3" t="str">
        <f>VLOOKUP(C1900,layoffs_location!A:E,5,FALSE)</f>
        <v>North America</v>
      </c>
      <c r="H1900" s="4"/>
      <c r="I1900" s="24">
        <v>45503</v>
      </c>
      <c r="J1900" s="47">
        <v>15</v>
      </c>
      <c r="K1900" s="25"/>
      <c r="L1900" s="25"/>
      <c r="M1900" s="4" t="s">
        <v>1893</v>
      </c>
      <c r="N1900" s="4" t="s">
        <v>1882</v>
      </c>
      <c r="O1900" s="27">
        <v>105</v>
      </c>
      <c r="P1900" s="4">
        <v>2024</v>
      </c>
      <c r="Q1900" s="3">
        <f>VLOOKUP(C1900,layoffs_location!A:F,6,FALSE)</f>
        <v>37.779258800000001</v>
      </c>
      <c r="R1900" s="3">
        <f>VLOOKUP(C1900,layoffs_location!A:G,7,FALSE)</f>
        <v>-122.4193286</v>
      </c>
    </row>
    <row r="1901" spans="1:18" ht="16" x14ac:dyDescent="0.2">
      <c r="A1901" s="3">
        <v>1900</v>
      </c>
      <c r="B1901" s="4" t="s">
        <v>1822</v>
      </c>
      <c r="C1901" s="4" t="s">
        <v>43</v>
      </c>
      <c r="D1901" s="3" t="str">
        <f>VLOOKUP(C1901,layoffs_location!A:B,2,FALSE)</f>
        <v>Cascadia</v>
      </c>
      <c r="E1901" s="3" t="str">
        <f>VLOOKUP(C1901,layoffs_location!A:C,3,FALSE)</f>
        <v>Washington</v>
      </c>
      <c r="F1901" s="3" t="str">
        <f>VLOOKUP(C1901,layoffs_location!A:D,4,FALSE)</f>
        <v>USA</v>
      </c>
      <c r="G1901" s="3" t="str">
        <f>VLOOKUP(C1901,layoffs_location!A:E,5,FALSE)</f>
        <v>North America</v>
      </c>
      <c r="H1901" s="23">
        <v>220</v>
      </c>
      <c r="I1901" s="24">
        <v>45504</v>
      </c>
      <c r="J1901" s="47">
        <v>17</v>
      </c>
      <c r="K1901" s="25">
        <f>SUM((Table13[[#This Row],[Laid_Off]]*100)/Table13[[#This Row],[Percentage]])</f>
        <v>1294.1176470588234</v>
      </c>
      <c r="L1901" s="25">
        <f>SUM(Table13[[#This Row],[Company_Size_before_Layoffs]]-Table13[[#This Row],[Laid_Off]])</f>
        <v>1074.1176470588234</v>
      </c>
      <c r="M1901" s="4" t="s">
        <v>1904</v>
      </c>
      <c r="N1901" s="4" t="s">
        <v>1884</v>
      </c>
      <c r="O1901" s="27">
        <v>100</v>
      </c>
      <c r="P1901" s="4">
        <v>2024</v>
      </c>
      <c r="Q1901" s="3">
        <f>VLOOKUP(C1901,layoffs_location!A:F,6,FALSE)</f>
        <v>47.603832099999998</v>
      </c>
      <c r="R1901" s="3">
        <f>VLOOKUP(C1901,layoffs_location!A:G,7,FALSE)</f>
        <v>-122.330062</v>
      </c>
    </row>
    <row r="1902" spans="1:18" ht="16" x14ac:dyDescent="0.2">
      <c r="A1902" s="3">
        <v>1901</v>
      </c>
      <c r="B1902" s="4" t="s">
        <v>1823</v>
      </c>
      <c r="C1902" s="4" t="s">
        <v>135</v>
      </c>
      <c r="D1902" s="3" t="str">
        <f>VLOOKUP(C1902,layoffs_location!A:B,2,FALSE)</f>
        <v>other</v>
      </c>
      <c r="E1902" s="3" t="str">
        <f>VLOOKUP(C1902,layoffs_location!A:C,3,FALSE)</f>
        <v>Berlin</v>
      </c>
      <c r="F1902" s="3" t="str">
        <f>VLOOKUP(C1902,layoffs_location!A:D,4,FALSE)</f>
        <v>Germany</v>
      </c>
      <c r="G1902" s="3" t="str">
        <f>VLOOKUP(C1902,layoffs_location!A:E,5,FALSE)</f>
        <v>Europe</v>
      </c>
      <c r="H1902" s="23">
        <v>200</v>
      </c>
      <c r="I1902" s="24">
        <v>45504</v>
      </c>
      <c r="J1902" s="5"/>
      <c r="K1902" s="25"/>
      <c r="L1902" s="25"/>
      <c r="M1902" s="4" t="s">
        <v>1896</v>
      </c>
      <c r="N1902" s="4" t="s">
        <v>1882</v>
      </c>
      <c r="O1902" s="27">
        <v>9.9</v>
      </c>
      <c r="P1902" s="4">
        <v>2024</v>
      </c>
      <c r="Q1902" s="3">
        <f>VLOOKUP(C1902,layoffs_location!A:F,6,FALSE)</f>
        <v>52.517036500000003</v>
      </c>
      <c r="R1902" s="3">
        <f>VLOOKUP(C1902,layoffs_location!A:G,7,FALSE)</f>
        <v>13.3888599</v>
      </c>
    </row>
    <row r="1903" spans="1:18" ht="16" x14ac:dyDescent="0.2">
      <c r="A1903" s="3">
        <v>1902</v>
      </c>
      <c r="B1903" s="4" t="s">
        <v>1824</v>
      </c>
      <c r="C1903" s="4" t="s">
        <v>39</v>
      </c>
      <c r="D1903" s="3" t="str">
        <f>VLOOKUP(C1903,layoffs_location!A:B,2,FALSE)</f>
        <v>New York</v>
      </c>
      <c r="E1903" s="3" t="str">
        <f>VLOOKUP(C1903,layoffs_location!A:C,3,FALSE)</f>
        <v>New York</v>
      </c>
      <c r="F1903" s="3" t="str">
        <f>VLOOKUP(C1903,layoffs_location!A:D,4,FALSE)</f>
        <v>USA</v>
      </c>
      <c r="G1903" s="3" t="str">
        <f>VLOOKUP(C1903,layoffs_location!A:E,5,FALSE)</f>
        <v>North America</v>
      </c>
      <c r="H1903" s="4"/>
      <c r="I1903" s="24">
        <v>45504</v>
      </c>
      <c r="J1903" s="47">
        <v>6</v>
      </c>
      <c r="K1903" s="25">
        <f>SUM((Table13[[#This Row],[Laid_Off]]*100)/Table13[[#This Row],[Percentage]])</f>
        <v>0</v>
      </c>
      <c r="L1903" s="25">
        <f>SUM(Table13[[#This Row],[Company_Size_before_Layoffs]]-Table13[[#This Row],[Laid_Off]])</f>
        <v>0</v>
      </c>
      <c r="M1903" s="4" t="s">
        <v>1904</v>
      </c>
      <c r="N1903" s="4" t="s">
        <v>1882</v>
      </c>
      <c r="O1903" s="27"/>
      <c r="P1903" s="4">
        <v>2024</v>
      </c>
      <c r="Q1903" s="3">
        <f>VLOOKUP(C1903,layoffs_location!A:F,6,FALSE)</f>
        <v>40.7127281</v>
      </c>
      <c r="R1903" s="3">
        <f>VLOOKUP(C1903,layoffs_location!A:G,7,FALSE)</f>
        <v>-74.006015199999993</v>
      </c>
    </row>
    <row r="1904" spans="1:18" ht="16" x14ac:dyDescent="0.2">
      <c r="A1904" s="3">
        <v>1903</v>
      </c>
      <c r="B1904" s="4" t="s">
        <v>1820</v>
      </c>
      <c r="C1904" s="4" t="s">
        <v>1415</v>
      </c>
      <c r="D1904" s="3" t="str">
        <f>VLOOKUP(C1904,layoffs_location!A:B,2,FALSE)</f>
        <v>San Francisco Bay Area</v>
      </c>
      <c r="E1904" s="3" t="str">
        <f>VLOOKUP(C1904,layoffs_location!A:C,3,FALSE)</f>
        <v>California</v>
      </c>
      <c r="F1904" s="3" t="str">
        <f>VLOOKUP(C1904,layoffs_location!A:D,4,FALSE)</f>
        <v>USA</v>
      </c>
      <c r="G1904" s="3" t="str">
        <f>VLOOKUP(C1904,layoffs_location!A:E,5,FALSE)</f>
        <v>North America</v>
      </c>
      <c r="H1904" s="23">
        <v>15000</v>
      </c>
      <c r="I1904" s="24">
        <v>45505</v>
      </c>
      <c r="J1904" s="47">
        <v>15</v>
      </c>
      <c r="K1904" s="25">
        <f>SUM((Table13[[#This Row],[Laid_Off]]*100)/Table13[[#This Row],[Percentage]])</f>
        <v>100000</v>
      </c>
      <c r="L1904" s="25">
        <f>SUM(Table13[[#This Row],[Company_Size_before_Layoffs]]-Table13[[#This Row],[Laid_Off]])</f>
        <v>85000</v>
      </c>
      <c r="M1904" s="4" t="s">
        <v>1910</v>
      </c>
      <c r="N1904" s="4" t="s">
        <v>1882</v>
      </c>
      <c r="O1904" s="27">
        <v>12</v>
      </c>
      <c r="P1904" s="4">
        <v>2024</v>
      </c>
      <c r="Q1904" s="3">
        <f>VLOOKUP(C1904,layoffs_location!A:F,6,FALSE)</f>
        <v>37.354106999999999</v>
      </c>
      <c r="R1904" s="3">
        <f>VLOOKUP(C1904,layoffs_location!A:G,7,FALSE)</f>
        <v>-121.95523799999999</v>
      </c>
    </row>
    <row r="1905" spans="1:18" ht="16" x14ac:dyDescent="0.2">
      <c r="A1905" s="3">
        <v>1904</v>
      </c>
      <c r="B1905" s="4" t="s">
        <v>1821</v>
      </c>
      <c r="C1905" s="4" t="s">
        <v>43</v>
      </c>
      <c r="D1905" s="3" t="str">
        <f>VLOOKUP(C1905,layoffs_location!A:B,2,FALSE)</f>
        <v>Cascadia</v>
      </c>
      <c r="E1905" s="3" t="str">
        <f>VLOOKUP(C1905,layoffs_location!A:C,3,FALSE)</f>
        <v>Washington</v>
      </c>
      <c r="F1905" s="3" t="str">
        <f>VLOOKUP(C1905,layoffs_location!A:D,4,FALSE)</f>
        <v>USA</v>
      </c>
      <c r="G1905" s="3" t="str">
        <f>VLOOKUP(C1905,layoffs_location!A:E,5,FALSE)</f>
        <v>North America</v>
      </c>
      <c r="H1905" s="4"/>
      <c r="I1905" s="24">
        <v>45505</v>
      </c>
      <c r="J1905" s="5"/>
      <c r="K1905" s="25"/>
      <c r="L1905" s="25"/>
      <c r="M1905" s="4" t="s">
        <v>1958</v>
      </c>
      <c r="N1905" s="4" t="s">
        <v>1883</v>
      </c>
      <c r="O1905" s="27">
        <v>329</v>
      </c>
      <c r="P1905" s="4">
        <v>2024</v>
      </c>
      <c r="Q1905" s="3">
        <f>VLOOKUP(C1905,layoffs_location!A:F,6,FALSE)</f>
        <v>47.603832099999998</v>
      </c>
      <c r="R1905" s="3">
        <f>VLOOKUP(C1905,layoffs_location!A:G,7,FALSE)</f>
        <v>-122.330062</v>
      </c>
    </row>
    <row r="1906" spans="1:18" ht="16" x14ac:dyDescent="0.2">
      <c r="A1906" s="3">
        <v>1905</v>
      </c>
      <c r="B1906" s="4" t="s">
        <v>1819</v>
      </c>
      <c r="C1906" s="4" t="s">
        <v>13</v>
      </c>
      <c r="D1906" s="3" t="str">
        <f>VLOOKUP(C1906,layoffs_location!A:B,2,FALSE)</f>
        <v>other</v>
      </c>
      <c r="E1906" s="3" t="str">
        <f>VLOOKUP(C1906,layoffs_location!A:C,3,FALSE)</f>
        <v>Karnataka</v>
      </c>
      <c r="F1906" s="3" t="str">
        <f>VLOOKUP(C1906,layoffs_location!A:D,4,FALSE)</f>
        <v>India</v>
      </c>
      <c r="G1906" s="3" t="str">
        <f>VLOOKUP(C1906,layoffs_location!A:E,5,FALSE)</f>
        <v>Asia</v>
      </c>
      <c r="H1906" s="23">
        <v>30</v>
      </c>
      <c r="I1906" s="24">
        <v>45507</v>
      </c>
      <c r="J1906" s="47">
        <v>5</v>
      </c>
      <c r="K1906" s="25">
        <f>SUM((Table13[[#This Row],[Laid_Off]]*100)/Table13[[#This Row],[Percentage]])</f>
        <v>600</v>
      </c>
      <c r="L1906" s="25">
        <f>SUM(Table13[[#This Row],[Company_Size_before_Layoffs]]-Table13[[#This Row],[Laid_Off]])</f>
        <v>570</v>
      </c>
      <c r="M1906" s="4" t="s">
        <v>1901</v>
      </c>
      <c r="N1906" s="4" t="s">
        <v>1883</v>
      </c>
      <c r="O1906" s="27">
        <v>222</v>
      </c>
      <c r="P1906" s="4">
        <v>2024</v>
      </c>
      <c r="Q1906" s="3">
        <f>VLOOKUP(C1906,layoffs_location!A:F,6,FALSE)</f>
        <v>12.98815675</v>
      </c>
      <c r="R1906" s="3">
        <f>VLOOKUP(C1906,layoffs_location!A:G,7,FALSE)</f>
        <v>77.622600037959998</v>
      </c>
    </row>
    <row r="1907" spans="1:18" ht="16" x14ac:dyDescent="0.2">
      <c r="A1907" s="3">
        <v>1906</v>
      </c>
      <c r="B1907" s="4" t="s">
        <v>1816</v>
      </c>
      <c r="C1907" s="4" t="s">
        <v>600</v>
      </c>
      <c r="D1907" s="3" t="str">
        <f>VLOOKUP(C1907,layoffs_location!A:B,2,FALSE)</f>
        <v>other</v>
      </c>
      <c r="E1907" s="3" t="str">
        <f>VLOOKUP(C1907,layoffs_location!A:C,3,FALSE)</f>
        <v>Bayern</v>
      </c>
      <c r="F1907" s="3" t="str">
        <f>VLOOKUP(C1907,layoffs_location!A:D,4,FALSE)</f>
        <v>Germany</v>
      </c>
      <c r="G1907" s="3" t="str">
        <f>VLOOKUP(C1907,layoffs_location!A:E,5,FALSE)</f>
        <v>Europe</v>
      </c>
      <c r="H1907" s="23">
        <v>1400</v>
      </c>
      <c r="I1907" s="24">
        <v>45509</v>
      </c>
      <c r="J1907" s="5"/>
      <c r="K1907" s="25"/>
      <c r="L1907" s="25"/>
      <c r="M1907" s="4" t="s">
        <v>155</v>
      </c>
      <c r="N1907" s="4" t="s">
        <v>1882</v>
      </c>
      <c r="O1907" s="27">
        <v>1.5</v>
      </c>
      <c r="P1907" s="4">
        <v>2024</v>
      </c>
      <c r="Q1907" s="3">
        <f>VLOOKUP(C1907,layoffs_location!A:F,6,FALSE)</f>
        <v>48.137107899999997</v>
      </c>
      <c r="R1907" s="3">
        <f>VLOOKUP(C1907,layoffs_location!A:G,7,FALSE)</f>
        <v>11.5753822</v>
      </c>
    </row>
    <row r="1908" spans="1:18" ht="16" x14ac:dyDescent="0.2">
      <c r="A1908" s="3">
        <v>1907</v>
      </c>
      <c r="B1908" s="4" t="s">
        <v>1817</v>
      </c>
      <c r="C1908" s="4" t="s">
        <v>76</v>
      </c>
      <c r="D1908" s="3" t="str">
        <f>VLOOKUP(C1908,layoffs_location!A:B,2,FALSE)</f>
        <v>other</v>
      </c>
      <c r="E1908" s="3" t="str">
        <f>VLOOKUP(C1908,layoffs_location!A:C,3,FALSE)</f>
        <v>California</v>
      </c>
      <c r="F1908" s="3" t="str">
        <f>VLOOKUP(C1908,layoffs_location!A:D,4,FALSE)</f>
        <v>USA</v>
      </c>
      <c r="G1908" s="3" t="str">
        <f>VLOOKUP(C1908,layoffs_location!A:E,5,FALSE)</f>
        <v>North America</v>
      </c>
      <c r="H1908" s="23">
        <v>85</v>
      </c>
      <c r="I1908" s="24">
        <v>45509</v>
      </c>
      <c r="J1908" s="47">
        <v>10</v>
      </c>
      <c r="K1908" s="25">
        <f>SUM((Table13[[#This Row],[Laid_Off]]*100)/Table13[[#This Row],[Percentage]])</f>
        <v>850</v>
      </c>
      <c r="L1908" s="25">
        <f>SUM(Table13[[#This Row],[Company_Size_before_Layoffs]]-Table13[[#This Row],[Laid_Off]])</f>
        <v>765</v>
      </c>
      <c r="M1908" s="4" t="s">
        <v>1904</v>
      </c>
      <c r="N1908" s="4" t="s">
        <v>1879</v>
      </c>
      <c r="O1908" s="27">
        <v>652</v>
      </c>
      <c r="P1908" s="4">
        <v>2024</v>
      </c>
      <c r="Q1908" s="3">
        <f>VLOOKUP(C1908,layoffs_location!A:F,6,FALSE)</f>
        <v>34.053690899999999</v>
      </c>
      <c r="R1908" s="3">
        <f>VLOOKUP(C1908,layoffs_location!A:G,7,FALSE)</f>
        <v>-118.242766</v>
      </c>
    </row>
    <row r="1909" spans="1:18" ht="16" x14ac:dyDescent="0.2">
      <c r="A1909" s="3">
        <v>1908</v>
      </c>
      <c r="B1909" s="4" t="s">
        <v>1818</v>
      </c>
      <c r="C1909" s="4" t="s">
        <v>83</v>
      </c>
      <c r="D1909" s="3" t="str">
        <f>VLOOKUP(C1909,layoffs_location!A:B,2,FALSE)</f>
        <v>other</v>
      </c>
      <c r="E1909" s="3" t="str">
        <f>VLOOKUP(C1909,layoffs_location!A:C,3,FALSE)</f>
        <v>Texas</v>
      </c>
      <c r="F1909" s="3" t="str">
        <f>VLOOKUP(C1909,layoffs_location!A:D,4,FALSE)</f>
        <v>USA</v>
      </c>
      <c r="G1909" s="3" t="str">
        <f>VLOOKUP(C1909,layoffs_location!A:E,5,FALSE)</f>
        <v>North America</v>
      </c>
      <c r="H1909" s="4"/>
      <c r="I1909" s="24">
        <v>45509</v>
      </c>
      <c r="J1909" s="5"/>
      <c r="K1909" s="25"/>
      <c r="L1909" s="25"/>
      <c r="M1909" s="4" t="s">
        <v>1910</v>
      </c>
      <c r="N1909" s="4" t="s">
        <v>1882</v>
      </c>
      <c r="O1909" s="27"/>
      <c r="P1909" s="4">
        <v>2024</v>
      </c>
      <c r="Q1909" s="3">
        <f>VLOOKUP(C1909,layoffs_location!A:F,6,FALSE)</f>
        <v>30.271128600000001</v>
      </c>
      <c r="R1909" s="3">
        <f>VLOOKUP(C1909,layoffs_location!A:G,7,FALSE)</f>
        <v>-97.743699500000005</v>
      </c>
    </row>
    <row r="1910" spans="1:18" ht="16" x14ac:dyDescent="0.2">
      <c r="A1910" s="3">
        <v>1909</v>
      </c>
      <c r="B1910" s="4" t="s">
        <v>1813</v>
      </c>
      <c r="C1910" s="4" t="s">
        <v>260</v>
      </c>
      <c r="D1910" s="3" t="str">
        <f>VLOOKUP(C1910,layoffs_location!A:B,2,FALSE)</f>
        <v>other</v>
      </c>
      <c r="E1910" s="3" t="str">
        <f>VLOOKUP(C1910,layoffs_location!A:C,3,FALSE)</f>
        <v>District of Columbia</v>
      </c>
      <c r="F1910" s="3" t="str">
        <f>VLOOKUP(C1910,layoffs_location!A:D,4,FALSE)</f>
        <v>USA</v>
      </c>
      <c r="G1910" s="3" t="str">
        <f>VLOOKUP(C1910,layoffs_location!A:E,5,FALSE)</f>
        <v>North America</v>
      </c>
      <c r="H1910" s="23">
        <v>50</v>
      </c>
      <c r="I1910" s="24">
        <v>45510</v>
      </c>
      <c r="J1910" s="47">
        <v>10</v>
      </c>
      <c r="K1910" s="25">
        <f>SUM((Table13[[#This Row],[Laid_Off]]*100)/Table13[[#This Row],[Percentage]])</f>
        <v>500</v>
      </c>
      <c r="L1910" s="25">
        <f>SUM(Table13[[#This Row],[Company_Size_before_Layoffs]]-Table13[[#This Row],[Laid_Off]])</f>
        <v>450</v>
      </c>
      <c r="M1910" s="4" t="s">
        <v>1915</v>
      </c>
      <c r="N1910" s="4" t="s">
        <v>1884</v>
      </c>
      <c r="O1910" s="27">
        <v>57</v>
      </c>
      <c r="P1910" s="4">
        <v>2024</v>
      </c>
      <c r="Q1910" s="3">
        <f>VLOOKUP(C1910,layoffs_location!A:F,6,FALSE)</f>
        <v>38.8950368</v>
      </c>
      <c r="R1910" s="3">
        <f>VLOOKUP(C1910,layoffs_location!A:G,7,FALSE)</f>
        <v>-77.036542699999998</v>
      </c>
    </row>
    <row r="1911" spans="1:18" ht="16" x14ac:dyDescent="0.2">
      <c r="A1911" s="3">
        <v>1910</v>
      </c>
      <c r="B1911" s="4" t="s">
        <v>1814</v>
      </c>
      <c r="C1911" s="4" t="s">
        <v>164</v>
      </c>
      <c r="D1911" s="3" t="str">
        <f>VLOOKUP(C1911,layoffs_location!A:B,2,FALSE)</f>
        <v>other</v>
      </c>
      <c r="E1911" s="3" t="str">
        <f>VLOOKUP(C1911,layoffs_location!A:C,3,FALSE)</f>
        <v>non</v>
      </c>
      <c r="F1911" s="3" t="str">
        <f>VLOOKUP(C1911,layoffs_location!A:D,4,FALSE)</f>
        <v>Kenya</v>
      </c>
      <c r="G1911" s="3" t="str">
        <f>VLOOKUP(C1911,layoffs_location!A:E,5,FALSE)</f>
        <v>Africa</v>
      </c>
      <c r="H1911" s="4"/>
      <c r="I1911" s="24">
        <v>45510</v>
      </c>
      <c r="J1911" s="47">
        <v>100</v>
      </c>
      <c r="K1911" s="25"/>
      <c r="L1911" s="25">
        <f>SUM(Table13[[#This Row],[Company_Size_before_Layoffs]]-Table13[[#This Row],[Laid_Off]])</f>
        <v>0</v>
      </c>
      <c r="M1911" s="4" t="s">
        <v>1958</v>
      </c>
      <c r="N1911" s="4" t="s">
        <v>1879</v>
      </c>
      <c r="O1911" s="27">
        <v>6</v>
      </c>
      <c r="P1911" s="4">
        <v>2024</v>
      </c>
      <c r="Q1911" s="3">
        <f>VLOOKUP(C1911,layoffs_location!A:F,6,FALSE)</f>
        <v>-1.2832532999999999</v>
      </c>
      <c r="R1911" s="3">
        <f>VLOOKUP(C1911,layoffs_location!A:G,7,FALSE)</f>
        <v>36.817244899999999</v>
      </c>
    </row>
    <row r="1912" spans="1:18" ht="16" x14ac:dyDescent="0.2">
      <c r="A1912" s="3">
        <v>1911</v>
      </c>
      <c r="B1912" s="4" t="s">
        <v>1815</v>
      </c>
      <c r="C1912" s="4" t="s">
        <v>74</v>
      </c>
      <c r="D1912" s="3" t="str">
        <f>VLOOKUP(C1912,layoffs_location!A:B,2,FALSE)</f>
        <v>other</v>
      </c>
      <c r="E1912" s="3" t="str">
        <f>VLOOKUP(C1912,layoffs_location!A:C,3,FALSE)</f>
        <v>California</v>
      </c>
      <c r="F1912" s="3" t="str">
        <f>VLOOKUP(C1912,layoffs_location!A:D,4,FALSE)</f>
        <v>USA</v>
      </c>
      <c r="G1912" s="3" t="str">
        <f>VLOOKUP(C1912,layoffs_location!A:E,5,FALSE)</f>
        <v>North America</v>
      </c>
      <c r="H1912" s="4"/>
      <c r="I1912" s="24">
        <v>45510</v>
      </c>
      <c r="J1912" s="47">
        <v>13</v>
      </c>
      <c r="K1912" s="25"/>
      <c r="L1912" s="25"/>
      <c r="M1912" s="4" t="s">
        <v>1916</v>
      </c>
      <c r="N1912" s="4" t="s">
        <v>1882</v>
      </c>
      <c r="O1912" s="27"/>
      <c r="P1912" s="4">
        <v>2024</v>
      </c>
      <c r="Q1912" s="3">
        <f>VLOOKUP(C1912,layoffs_location!A:F,6,FALSE)</f>
        <v>32.717420199999999</v>
      </c>
      <c r="R1912" s="3">
        <f>VLOOKUP(C1912,layoffs_location!A:G,7,FALSE)</f>
        <v>-117.162772</v>
      </c>
    </row>
    <row r="1913" spans="1:18" ht="16" x14ac:dyDescent="0.2">
      <c r="A1913" s="3">
        <v>1912</v>
      </c>
      <c r="B1913" s="4" t="s">
        <v>1811</v>
      </c>
      <c r="C1913" s="4" t="s">
        <v>1370</v>
      </c>
      <c r="D1913" s="3" t="str">
        <f>VLOOKUP(C1913,layoffs_location!A:B,2,FALSE)</f>
        <v>San Francisco Bay Area</v>
      </c>
      <c r="E1913" s="3" t="str">
        <f>VLOOKUP(C1913,layoffs_location!A:C,3,FALSE)</f>
        <v>California</v>
      </c>
      <c r="F1913" s="3" t="str">
        <f>VLOOKUP(C1913,layoffs_location!A:D,4,FALSE)</f>
        <v>USA</v>
      </c>
      <c r="G1913" s="3" t="str">
        <f>VLOOKUP(C1913,layoffs_location!A:E,5,FALSE)</f>
        <v>North America</v>
      </c>
      <c r="H1913" s="23">
        <v>100</v>
      </c>
      <c r="I1913" s="24">
        <v>45511</v>
      </c>
      <c r="J1913" s="47">
        <v>11</v>
      </c>
      <c r="K1913" s="25">
        <f>SUM((Table13[[#This Row],[Laid_Off]]*100)/Table13[[#This Row],[Percentage]])</f>
        <v>909.09090909090912</v>
      </c>
      <c r="L1913" s="25">
        <f>SUM(Table13[[#This Row],[Company_Size_before_Layoffs]]-Table13[[#This Row],[Laid_Off]])</f>
        <v>809.09090909090912</v>
      </c>
      <c r="M1913" s="4" t="s">
        <v>1904</v>
      </c>
      <c r="N1913" s="4" t="s">
        <v>1882</v>
      </c>
      <c r="O1913" s="27">
        <v>557</v>
      </c>
      <c r="P1913" s="4">
        <v>2024</v>
      </c>
      <c r="Q1913" s="3">
        <f>VLOOKUP(C1913,layoffs_location!A:F,6,FALSE)</f>
        <v>37.779258800000001</v>
      </c>
      <c r="R1913" s="3">
        <f>VLOOKUP(C1913,layoffs_location!A:G,7,FALSE)</f>
        <v>-122.4193286</v>
      </c>
    </row>
    <row r="1914" spans="1:18" ht="16" x14ac:dyDescent="0.2">
      <c r="A1914" s="3">
        <v>1913</v>
      </c>
      <c r="B1914" s="4" t="s">
        <v>1812</v>
      </c>
      <c r="C1914" s="4" t="s">
        <v>76</v>
      </c>
      <c r="D1914" s="3" t="str">
        <f>VLOOKUP(C1914,layoffs_location!A:B,2,FALSE)</f>
        <v>other</v>
      </c>
      <c r="E1914" s="3" t="str">
        <f>VLOOKUP(C1914,layoffs_location!A:C,3,FALSE)</f>
        <v>California</v>
      </c>
      <c r="F1914" s="3" t="str">
        <f>VLOOKUP(C1914,layoffs_location!A:D,4,FALSE)</f>
        <v>USA</v>
      </c>
      <c r="G1914" s="3" t="str">
        <f>VLOOKUP(C1914,layoffs_location!A:E,5,FALSE)</f>
        <v>North America</v>
      </c>
      <c r="H1914" s="4"/>
      <c r="I1914" s="24">
        <v>45511</v>
      </c>
      <c r="J1914" s="47">
        <v>15</v>
      </c>
      <c r="K1914" s="25"/>
      <c r="L1914" s="25"/>
      <c r="M1914" s="4" t="s">
        <v>1914</v>
      </c>
      <c r="N1914" s="4" t="s">
        <v>1882</v>
      </c>
      <c r="O1914" s="27">
        <v>952</v>
      </c>
      <c r="P1914" s="4">
        <v>2024</v>
      </c>
      <c r="Q1914" s="3">
        <f>VLOOKUP(C1914,layoffs_location!A:F,6,FALSE)</f>
        <v>34.053690899999999</v>
      </c>
      <c r="R1914" s="3">
        <f>VLOOKUP(C1914,layoffs_location!A:G,7,FALSE)</f>
        <v>-118.242766</v>
      </c>
    </row>
    <row r="1915" spans="1:18" ht="16" x14ac:dyDescent="0.2">
      <c r="A1915" s="3">
        <v>1914</v>
      </c>
      <c r="B1915" s="4" t="s">
        <v>1810</v>
      </c>
      <c r="C1915" s="4" t="s">
        <v>1370</v>
      </c>
      <c r="D1915" s="3" t="str">
        <f>VLOOKUP(C1915,layoffs_location!A:B,2,FALSE)</f>
        <v>San Francisco Bay Area</v>
      </c>
      <c r="E1915" s="3" t="str">
        <f>VLOOKUP(C1915,layoffs_location!A:C,3,FALSE)</f>
        <v>California</v>
      </c>
      <c r="F1915" s="3" t="str">
        <f>VLOOKUP(C1915,layoffs_location!A:D,4,FALSE)</f>
        <v>USA</v>
      </c>
      <c r="G1915" s="3" t="str">
        <f>VLOOKUP(C1915,layoffs_location!A:E,5,FALSE)</f>
        <v>North America</v>
      </c>
      <c r="H1915" s="4"/>
      <c r="I1915" s="24">
        <v>45512</v>
      </c>
      <c r="J1915" s="47">
        <v>11</v>
      </c>
      <c r="K1915" s="25"/>
      <c r="L1915" s="25"/>
      <c r="M1915" s="4" t="s">
        <v>239</v>
      </c>
      <c r="N1915" s="4" t="s">
        <v>1882</v>
      </c>
      <c r="O1915" s="27">
        <v>219</v>
      </c>
      <c r="P1915" s="4">
        <v>2024</v>
      </c>
      <c r="Q1915" s="3">
        <f>VLOOKUP(C1915,layoffs_location!A:F,6,FALSE)</f>
        <v>37.779258800000001</v>
      </c>
      <c r="R1915" s="3">
        <f>VLOOKUP(C1915,layoffs_location!A:G,7,FALSE)</f>
        <v>-122.4193286</v>
      </c>
    </row>
    <row r="1916" spans="1:18" ht="16" x14ac:dyDescent="0.2">
      <c r="A1916" s="3">
        <v>1915</v>
      </c>
      <c r="B1916" s="4" t="s">
        <v>1806</v>
      </c>
      <c r="C1916" s="4" t="s">
        <v>1694</v>
      </c>
      <c r="D1916" s="3" t="str">
        <f>VLOOKUP(C1916,layoffs_location!A:B,2,FALSE)</f>
        <v>San Francisco Bay Area</v>
      </c>
      <c r="E1916" s="3" t="str">
        <f>VLOOKUP(C1916,layoffs_location!A:C,3,FALSE)</f>
        <v>California</v>
      </c>
      <c r="F1916" s="3" t="str">
        <f>VLOOKUP(C1916,layoffs_location!A:D,4,FALSE)</f>
        <v>USA</v>
      </c>
      <c r="G1916" s="3" t="str">
        <f>VLOOKUP(C1916,layoffs_location!A:E,5,FALSE)</f>
        <v>North America</v>
      </c>
      <c r="H1916" s="23">
        <v>5600</v>
      </c>
      <c r="I1916" s="24">
        <v>45513</v>
      </c>
      <c r="J1916" s="47">
        <v>7</v>
      </c>
      <c r="K1916" s="25">
        <f>SUM((Table13[[#This Row],[Laid_Off]]*100)/Table13[[#This Row],[Percentage]])</f>
        <v>80000</v>
      </c>
      <c r="L1916" s="25">
        <f>SUM(Table13[[#This Row],[Company_Size_before_Layoffs]]-Table13[[#This Row],[Laid_Off]])</f>
        <v>74400</v>
      </c>
      <c r="M1916" s="4" t="s">
        <v>239</v>
      </c>
      <c r="N1916" s="4" t="s">
        <v>1882</v>
      </c>
      <c r="O1916" s="27">
        <v>2</v>
      </c>
      <c r="P1916" s="4">
        <v>2024</v>
      </c>
      <c r="Q1916" s="3">
        <f>VLOOKUP(C1916,layoffs_location!A:F,6,FALSE)</f>
        <v>37.336166300000002</v>
      </c>
      <c r="R1916" s="3">
        <f>VLOOKUP(C1916,layoffs_location!A:G,7,FALSE)</f>
        <v>-121.890591</v>
      </c>
    </row>
    <row r="1917" spans="1:18" ht="16" x14ac:dyDescent="0.2">
      <c r="A1917" s="3">
        <v>1916</v>
      </c>
      <c r="B1917" s="4" t="s">
        <v>1807</v>
      </c>
      <c r="C1917" s="4" t="s">
        <v>1473</v>
      </c>
      <c r="D1917" s="3" t="str">
        <f>VLOOKUP(C1917,layoffs_location!A:B,2,FALSE)</f>
        <v>San Francisco Bay Area</v>
      </c>
      <c r="E1917" s="3" t="str">
        <f>VLOOKUP(C1917,layoffs_location!A:C,3,FALSE)</f>
        <v>California</v>
      </c>
      <c r="F1917" s="3" t="str">
        <f>VLOOKUP(C1917,layoffs_location!A:D,4,FALSE)</f>
        <v>USA</v>
      </c>
      <c r="G1917" s="3" t="str">
        <f>VLOOKUP(C1917,layoffs_location!A:E,5,FALSE)</f>
        <v>North America</v>
      </c>
      <c r="H1917" s="23">
        <v>100</v>
      </c>
      <c r="I1917" s="24">
        <v>45513</v>
      </c>
      <c r="J1917" s="5"/>
      <c r="K1917" s="25"/>
      <c r="L1917" s="25"/>
      <c r="M1917" s="4" t="s">
        <v>1901</v>
      </c>
      <c r="N1917" s="4" t="s">
        <v>1888</v>
      </c>
      <c r="O1917" s="27">
        <v>667</v>
      </c>
      <c r="P1917" s="4">
        <v>2024</v>
      </c>
      <c r="Q1917" s="3">
        <f>VLOOKUP(C1917,layoffs_location!A:F,6,FALSE)</f>
        <v>37.4443293</v>
      </c>
      <c r="R1917" s="3">
        <f>VLOOKUP(C1917,layoffs_location!A:G,7,FALSE)</f>
        <v>-122.1598465</v>
      </c>
    </row>
    <row r="1918" spans="1:18" ht="16" x14ac:dyDescent="0.2">
      <c r="A1918" s="3">
        <v>1917</v>
      </c>
      <c r="B1918" s="4" t="s">
        <v>1808</v>
      </c>
      <c r="C1918" s="4" t="s">
        <v>1743</v>
      </c>
      <c r="D1918" s="3" t="str">
        <f>VLOOKUP(C1918,layoffs_location!A:B,2,FALSE)</f>
        <v>other</v>
      </c>
      <c r="E1918" s="3" t="str">
        <f>VLOOKUP(C1918,layoffs_location!A:C,3,FALSE)</f>
        <v>New Jersey</v>
      </c>
      <c r="F1918" s="3" t="str">
        <f>VLOOKUP(C1918,layoffs_location!A:D,4,FALSE)</f>
        <v>USA</v>
      </c>
      <c r="G1918" s="3" t="str">
        <f>VLOOKUP(C1918,layoffs_location!A:E,5,FALSE)</f>
        <v>North America</v>
      </c>
      <c r="H1918" s="23">
        <v>69</v>
      </c>
      <c r="I1918" s="24">
        <v>45513</v>
      </c>
      <c r="J1918" s="5"/>
      <c r="K1918" s="25"/>
      <c r="L1918" s="25"/>
      <c r="M1918" s="4" t="s">
        <v>1913</v>
      </c>
      <c r="N1918" s="4" t="s">
        <v>1884</v>
      </c>
      <c r="O1918" s="27">
        <v>93</v>
      </c>
      <c r="P1918" s="4">
        <v>2024</v>
      </c>
      <c r="Q1918" s="3">
        <f>VLOOKUP(C1918,layoffs_location!A:F,6,FALSE)</f>
        <v>40.330599999999997</v>
      </c>
      <c r="R1918" s="3">
        <f>VLOOKUP(C1918,layoffs_location!A:G,7,FALSE)</f>
        <v>-74.141000000000005</v>
      </c>
    </row>
    <row r="1919" spans="1:18" ht="16" x14ac:dyDescent="0.2">
      <c r="A1919" s="3">
        <v>1918</v>
      </c>
      <c r="B1919" s="4" t="s">
        <v>1809</v>
      </c>
      <c r="C1919" s="4" t="s">
        <v>452</v>
      </c>
      <c r="D1919" s="3" t="str">
        <f>VLOOKUP(C1919,layoffs_location!A:B,2,FALSE)</f>
        <v>other</v>
      </c>
      <c r="E1919" s="3" t="str">
        <f>VLOOKUP(C1919,layoffs_location!A:C,3,FALSE)</f>
        <v>Ohio</v>
      </c>
      <c r="F1919" s="3" t="str">
        <f>VLOOKUP(C1919,layoffs_location!A:D,4,FALSE)</f>
        <v>USA</v>
      </c>
      <c r="G1919" s="3" t="str">
        <f>VLOOKUP(C1919,layoffs_location!A:E,5,FALSE)</f>
        <v>North America</v>
      </c>
      <c r="H1919" s="4"/>
      <c r="I1919" s="24">
        <v>45513</v>
      </c>
      <c r="J1919" s="5"/>
      <c r="K1919" s="25"/>
      <c r="L1919" s="25"/>
      <c r="M1919" s="4" t="s">
        <v>155</v>
      </c>
      <c r="N1919" s="4" t="s">
        <v>1879</v>
      </c>
      <c r="O1919" s="27">
        <v>41</v>
      </c>
      <c r="P1919" s="4">
        <v>2024</v>
      </c>
      <c r="Q1919" s="3">
        <f>VLOOKUP(C1919,layoffs_location!A:F,6,FALSE)</f>
        <v>39.962260100000002</v>
      </c>
      <c r="R1919" s="3">
        <f>VLOOKUP(C1919,layoffs_location!A:G,7,FALSE)</f>
        <v>-83.000706500000007</v>
      </c>
    </row>
    <row r="1920" spans="1:18" ht="16" x14ac:dyDescent="0.2">
      <c r="A1920" s="3">
        <v>1919</v>
      </c>
      <c r="B1920" s="4" t="s">
        <v>1805</v>
      </c>
      <c r="C1920" s="4" t="s">
        <v>1370</v>
      </c>
      <c r="D1920" s="3" t="str">
        <f>VLOOKUP(C1920,layoffs_location!A:B,2,FALSE)</f>
        <v>San Francisco Bay Area</v>
      </c>
      <c r="E1920" s="3" t="str">
        <f>VLOOKUP(C1920,layoffs_location!A:C,3,FALSE)</f>
        <v>California</v>
      </c>
      <c r="F1920" s="3" t="str">
        <f>VLOOKUP(C1920,layoffs_location!A:D,4,FALSE)</f>
        <v>USA</v>
      </c>
      <c r="G1920" s="3" t="str">
        <f>VLOOKUP(C1920,layoffs_location!A:E,5,FALSE)</f>
        <v>North America</v>
      </c>
      <c r="H1920" s="4"/>
      <c r="I1920" s="24">
        <v>45516</v>
      </c>
      <c r="J1920" s="47">
        <v>100</v>
      </c>
      <c r="K1920" s="25"/>
      <c r="L1920" s="25">
        <f>SUM(Table13[[#This Row],[Company_Size_before_Layoffs]]-Table13[[#This Row],[Laid_Off]])</f>
        <v>0</v>
      </c>
      <c r="M1920" s="4" t="s">
        <v>1893</v>
      </c>
      <c r="N1920" s="4" t="s">
        <v>1880</v>
      </c>
      <c r="O1920" s="27">
        <v>172</v>
      </c>
      <c r="P1920" s="4">
        <v>2024</v>
      </c>
      <c r="Q1920" s="3">
        <f>VLOOKUP(C1920,layoffs_location!A:F,6,FALSE)</f>
        <v>37.779258800000001</v>
      </c>
      <c r="R1920" s="3">
        <f>VLOOKUP(C1920,layoffs_location!A:G,7,FALSE)</f>
        <v>-122.4193286</v>
      </c>
    </row>
    <row r="1921" spans="1:18" ht="16" x14ac:dyDescent="0.2">
      <c r="A1921" s="3">
        <v>1920</v>
      </c>
      <c r="B1921" s="4" t="s">
        <v>1802</v>
      </c>
      <c r="C1921" s="4" t="s">
        <v>1443</v>
      </c>
      <c r="D1921" s="3" t="str">
        <f>VLOOKUP(C1921,layoffs_location!A:B,2,FALSE)</f>
        <v>San Francisco Bay Area</v>
      </c>
      <c r="E1921" s="3" t="str">
        <f>VLOOKUP(C1921,layoffs_location!A:C,3,FALSE)</f>
        <v>California</v>
      </c>
      <c r="F1921" s="3" t="str">
        <f>VLOOKUP(C1921,layoffs_location!A:D,4,FALSE)</f>
        <v>USA</v>
      </c>
      <c r="G1921" s="3" t="str">
        <f>VLOOKUP(C1921,layoffs_location!A:E,5,FALSE)</f>
        <v>North America</v>
      </c>
      <c r="H1921" s="23">
        <v>350</v>
      </c>
      <c r="I1921" s="24">
        <v>45517</v>
      </c>
      <c r="J1921" s="5"/>
      <c r="K1921" s="25"/>
      <c r="L1921" s="25"/>
      <c r="M1921" s="4" t="s">
        <v>1892</v>
      </c>
      <c r="N1921" s="4" t="s">
        <v>1882</v>
      </c>
      <c r="O1921" s="27"/>
      <c r="P1921" s="4">
        <v>2024</v>
      </c>
      <c r="Q1921" s="3">
        <f>VLOOKUP(C1921,layoffs_location!A:F,6,FALSE)</f>
        <v>37.451967099999997</v>
      </c>
      <c r="R1921" s="3">
        <f>VLOOKUP(C1921,layoffs_location!A:G,7,FALSE)</f>
        <v>-122.177992</v>
      </c>
    </row>
    <row r="1922" spans="1:18" ht="16" x14ac:dyDescent="0.2">
      <c r="A1922" s="3">
        <v>1921</v>
      </c>
      <c r="B1922" s="4" t="s">
        <v>1803</v>
      </c>
      <c r="C1922" s="4" t="s">
        <v>1742</v>
      </c>
      <c r="D1922" s="3" t="str">
        <f>VLOOKUP(C1922,layoffs_location!A:B,2,FALSE)</f>
        <v>San Francisco Bay Area</v>
      </c>
      <c r="E1922" s="3" t="str">
        <f>VLOOKUP(C1922,layoffs_location!A:C,3,FALSE)</f>
        <v>California</v>
      </c>
      <c r="F1922" s="3" t="str">
        <f>VLOOKUP(C1922,layoffs_location!A:D,4,FALSE)</f>
        <v>USA</v>
      </c>
      <c r="G1922" s="3" t="str">
        <f>VLOOKUP(C1922,layoffs_location!A:E,5,FALSE)</f>
        <v>North America</v>
      </c>
      <c r="H1922" s="4"/>
      <c r="I1922" s="24">
        <v>45517</v>
      </c>
      <c r="J1922" s="47">
        <v>100</v>
      </c>
      <c r="K1922" s="25"/>
      <c r="L1922" s="25">
        <f>SUM(Table13[[#This Row],[Company_Size_before_Layoffs]]-Table13[[#This Row],[Laid_Off]])</f>
        <v>0</v>
      </c>
      <c r="M1922" s="4" t="s">
        <v>1892</v>
      </c>
      <c r="N1922" s="4" t="s">
        <v>1881</v>
      </c>
      <c r="O1922" s="27">
        <v>90</v>
      </c>
      <c r="P1922" s="4">
        <v>2024</v>
      </c>
      <c r="Q1922" s="3">
        <f>VLOOKUP(C1922,layoffs_location!A:F,6,FALSE)</f>
        <v>37.910075999999997</v>
      </c>
      <c r="R1922" s="3">
        <f>VLOOKUP(C1922,layoffs_location!A:G,7,FALSE)</f>
        <v>-122.065186</v>
      </c>
    </row>
    <row r="1923" spans="1:18" ht="16" x14ac:dyDescent="0.2">
      <c r="A1923" s="3">
        <v>1922</v>
      </c>
      <c r="B1923" s="4" t="s">
        <v>1804</v>
      </c>
      <c r="C1923" s="67" t="s">
        <v>655</v>
      </c>
      <c r="D1923" s="3" t="str">
        <f>VLOOKUP(C1923,layoffs_location!A:B,2,FALSE)</f>
        <v>other</v>
      </c>
      <c r="E1923" s="3" t="str">
        <f>VLOOKUP(C1923,layoffs_location!A:C,3,FALSE)</f>
        <v>non</v>
      </c>
      <c r="F1923" s="3" t="str">
        <f>VLOOKUP(C1923,layoffs_location!A:D,4,FALSE)</f>
        <v>Nigeria</v>
      </c>
      <c r="G1923" s="3" t="str">
        <f>VLOOKUP(C1923,layoffs_location!A:E,5,FALSE)</f>
        <v>Africa</v>
      </c>
      <c r="H1923" s="4"/>
      <c r="I1923" s="24">
        <v>45517</v>
      </c>
      <c r="J1923" s="47">
        <v>100</v>
      </c>
      <c r="K1923" s="25"/>
      <c r="L1923" s="25">
        <f>SUM(Table13[[#This Row],[Company_Size_before_Layoffs]]-Table13[[#This Row],[Laid_Off]])</f>
        <v>0</v>
      </c>
      <c r="M1923" s="4" t="s">
        <v>1895</v>
      </c>
      <c r="N1923" s="4" t="s">
        <v>1884</v>
      </c>
      <c r="O1923" s="27"/>
      <c r="P1923" s="4">
        <v>2024</v>
      </c>
      <c r="Q1923" s="3">
        <f>VLOOKUP(C1923,layoffs_location!A:F,6,FALSE)</f>
        <v>6.4550574999999997</v>
      </c>
      <c r="R1923" s="3">
        <f>VLOOKUP(C1923,layoffs_location!A:G,7,FALSE)</f>
        <v>3.3941794999999999</v>
      </c>
    </row>
    <row r="1924" spans="1:18" ht="16" x14ac:dyDescent="0.2">
      <c r="A1924" s="3">
        <v>1923</v>
      </c>
      <c r="B1924" s="4" t="s">
        <v>1801</v>
      </c>
      <c r="C1924" s="4" t="s">
        <v>168</v>
      </c>
      <c r="D1924" s="3" t="str">
        <f>VLOOKUP(C1924,layoffs_location!A:B,2,FALSE)</f>
        <v>other</v>
      </c>
      <c r="E1924" s="3" t="str">
        <f>VLOOKUP(C1924,layoffs_location!A:C,3,FALSE)</f>
        <v>California</v>
      </c>
      <c r="F1924" s="3" t="str">
        <f>VLOOKUP(C1924,layoffs_location!A:D,4,FALSE)</f>
        <v>USA</v>
      </c>
      <c r="G1924" s="3" t="str">
        <f>VLOOKUP(C1924,layoffs_location!A:E,5,FALSE)</f>
        <v>North America</v>
      </c>
      <c r="H1924" s="23">
        <v>100</v>
      </c>
      <c r="I1924" s="24">
        <v>45518</v>
      </c>
      <c r="J1924" s="47">
        <v>6</v>
      </c>
      <c r="K1924" s="25">
        <f>SUM((Table13[[#This Row],[Laid_Off]]*100)/Table13[[#This Row],[Percentage]])</f>
        <v>1666.6666666666667</v>
      </c>
      <c r="L1924" s="25">
        <f>SUM(Table13[[#This Row],[Company_Size_before_Layoffs]]-Table13[[#This Row],[Laid_Off]])</f>
        <v>1566.6666666666667</v>
      </c>
      <c r="M1924" s="4" t="s">
        <v>1904</v>
      </c>
      <c r="N1924" s="4" t="s">
        <v>1882</v>
      </c>
      <c r="O1924" s="27">
        <v>455</v>
      </c>
      <c r="P1924" s="4">
        <v>2024</v>
      </c>
      <c r="Q1924" s="3">
        <f>VLOOKUP(C1924,layoffs_location!A:F,6,FALSE)</f>
        <v>34.422131899999997</v>
      </c>
      <c r="R1924" s="3">
        <f>VLOOKUP(C1924,layoffs_location!A:G,7,FALSE)</f>
        <v>-119.70266700000001</v>
      </c>
    </row>
    <row r="1925" spans="1:18" ht="16" x14ac:dyDescent="0.2">
      <c r="A1925" s="3">
        <v>1924</v>
      </c>
      <c r="B1925" s="4" t="s">
        <v>1795</v>
      </c>
      <c r="C1925" s="4" t="s">
        <v>1473</v>
      </c>
      <c r="D1925" s="3" t="str">
        <f>VLOOKUP(C1925,layoffs_location!A:B,2,FALSE)</f>
        <v>San Francisco Bay Area</v>
      </c>
      <c r="E1925" s="3" t="str">
        <f>VLOOKUP(C1925,layoffs_location!A:C,3,FALSE)</f>
        <v>California</v>
      </c>
      <c r="F1925" s="3" t="str">
        <f>VLOOKUP(C1925,layoffs_location!A:D,4,FALSE)</f>
        <v>USA</v>
      </c>
      <c r="G1925" s="3" t="str">
        <f>VLOOKUP(C1925,layoffs_location!A:E,5,FALSE)</f>
        <v>North America</v>
      </c>
      <c r="H1925" s="23">
        <v>61</v>
      </c>
      <c r="I1925" s="24">
        <v>45519</v>
      </c>
      <c r="J1925" s="5"/>
      <c r="K1925" s="25"/>
      <c r="L1925" s="25"/>
      <c r="M1925" s="4" t="s">
        <v>1901</v>
      </c>
      <c r="N1925" s="4" t="s">
        <v>1882</v>
      </c>
      <c r="O1925" s="27">
        <v>1.6</v>
      </c>
      <c r="P1925" s="4">
        <v>2024</v>
      </c>
      <c r="Q1925" s="3">
        <f>VLOOKUP(C1925,layoffs_location!A:F,6,FALSE)</f>
        <v>37.4443293</v>
      </c>
      <c r="R1925" s="3">
        <f>VLOOKUP(C1925,layoffs_location!A:G,7,FALSE)</f>
        <v>-122.1598465</v>
      </c>
    </row>
    <row r="1926" spans="1:18" ht="16" x14ac:dyDescent="0.2">
      <c r="A1926" s="3">
        <v>1925</v>
      </c>
      <c r="B1926" s="4" t="s">
        <v>1796</v>
      </c>
      <c r="C1926" s="4" t="s">
        <v>235</v>
      </c>
      <c r="D1926" s="3" t="str">
        <f>VLOOKUP(C1926,layoffs_location!A:B,2,FALSE)</f>
        <v>other</v>
      </c>
      <c r="E1926" s="3" t="str">
        <f>VLOOKUP(C1926,layoffs_location!A:C,3,FALSE)</f>
        <v>non</v>
      </c>
      <c r="F1926" s="3" t="str">
        <f>VLOOKUP(C1926,layoffs_location!A:D,4,FALSE)</f>
        <v>Israel</v>
      </c>
      <c r="G1926" s="3" t="str">
        <f>VLOOKUP(C1926,layoffs_location!A:E,5,FALSE)</f>
        <v>Asia</v>
      </c>
      <c r="H1926" s="23">
        <v>16</v>
      </c>
      <c r="I1926" s="24">
        <v>45519</v>
      </c>
      <c r="J1926" s="47">
        <v>20</v>
      </c>
      <c r="K1926" s="25">
        <f>SUM((Table13[[#This Row],[Laid_Off]]*100)/Table13[[#This Row],[Percentage]])</f>
        <v>80</v>
      </c>
      <c r="L1926" s="25">
        <f>SUM(Table13[[#This Row],[Company_Size_before_Layoffs]]-Table13[[#This Row],[Laid_Off]])</f>
        <v>64</v>
      </c>
      <c r="M1926" s="4" t="s">
        <v>155</v>
      </c>
      <c r="N1926" s="4" t="s">
        <v>1879</v>
      </c>
      <c r="O1926" s="27">
        <v>23</v>
      </c>
      <c r="P1926" s="4">
        <v>2024</v>
      </c>
      <c r="Q1926" s="3">
        <f>VLOOKUP(C1926,layoffs_location!A:F,6,FALSE)</f>
        <v>32.186024400000001</v>
      </c>
      <c r="R1926" s="3">
        <f>VLOOKUP(C1926,layoffs_location!A:G,7,FALSE)</f>
        <v>34.867835900000003</v>
      </c>
    </row>
    <row r="1927" spans="1:18" ht="16" x14ac:dyDescent="0.2">
      <c r="A1927" s="3">
        <v>1926</v>
      </c>
      <c r="B1927" s="4" t="s">
        <v>1797</v>
      </c>
      <c r="C1927" s="4" t="s">
        <v>71</v>
      </c>
      <c r="D1927" s="3" t="str">
        <f>VLOOKUP(C1927,layoffs_location!A:B,2,FALSE)</f>
        <v>other</v>
      </c>
      <c r="E1927" s="3" t="str">
        <f>VLOOKUP(C1927,layoffs_location!A:C,3,FALSE)</f>
        <v>Massachusetts</v>
      </c>
      <c r="F1927" s="3" t="str">
        <f>VLOOKUP(C1927,layoffs_location!A:D,4,FALSE)</f>
        <v>USA</v>
      </c>
      <c r="G1927" s="3" t="str">
        <f>VLOOKUP(C1927,layoffs_location!A:E,5,FALSE)</f>
        <v>North America</v>
      </c>
      <c r="H1927" s="4"/>
      <c r="I1927" s="24">
        <v>45519</v>
      </c>
      <c r="J1927" s="5"/>
      <c r="K1927" s="25"/>
      <c r="L1927" s="25"/>
      <c r="M1927" s="4" t="s">
        <v>1910</v>
      </c>
      <c r="N1927" s="4" t="s">
        <v>1887</v>
      </c>
      <c r="O1927" s="27">
        <v>254</v>
      </c>
      <c r="P1927" s="4">
        <v>2024</v>
      </c>
      <c r="Q1927" s="3">
        <f>VLOOKUP(C1927,layoffs_location!A:F,6,FALSE)</f>
        <v>42.355433400000003</v>
      </c>
      <c r="R1927" s="3">
        <f>VLOOKUP(C1927,layoffs_location!A:G,7,FALSE)</f>
        <v>-71.060511000000005</v>
      </c>
    </row>
    <row r="1928" spans="1:18" ht="16" x14ac:dyDescent="0.2">
      <c r="A1928" s="3">
        <v>1927</v>
      </c>
      <c r="B1928" s="4" t="s">
        <v>1798</v>
      </c>
      <c r="C1928" s="4" t="s">
        <v>135</v>
      </c>
      <c r="D1928" s="3" t="str">
        <f>VLOOKUP(C1928,layoffs_location!A:B,2,FALSE)</f>
        <v>other</v>
      </c>
      <c r="E1928" s="3" t="str">
        <f>VLOOKUP(C1928,layoffs_location!A:C,3,FALSE)</f>
        <v>Berlin</v>
      </c>
      <c r="F1928" s="3" t="str">
        <f>VLOOKUP(C1928,layoffs_location!A:D,4,FALSE)</f>
        <v>Germany</v>
      </c>
      <c r="G1928" s="3" t="str">
        <f>VLOOKUP(C1928,layoffs_location!A:E,5,FALSE)</f>
        <v>Europe</v>
      </c>
      <c r="H1928" s="4"/>
      <c r="I1928" s="24">
        <v>45519</v>
      </c>
      <c r="J1928" s="47">
        <v>10</v>
      </c>
      <c r="K1928" s="25"/>
      <c r="L1928" s="25"/>
      <c r="M1928" s="4" t="s">
        <v>1898</v>
      </c>
      <c r="N1928" s="4" t="s">
        <v>1882</v>
      </c>
      <c r="O1928" s="27">
        <v>158</v>
      </c>
      <c r="P1928" s="4">
        <v>2024</v>
      </c>
      <c r="Q1928" s="3">
        <f>VLOOKUP(C1928,layoffs_location!A:F,6,FALSE)</f>
        <v>52.517036500000003</v>
      </c>
      <c r="R1928" s="3">
        <f>VLOOKUP(C1928,layoffs_location!A:G,7,FALSE)</f>
        <v>13.3888599</v>
      </c>
    </row>
    <row r="1929" spans="1:18" ht="16" x14ac:dyDescent="0.2">
      <c r="A1929" s="3">
        <v>1928</v>
      </c>
      <c r="B1929" s="4" t="s">
        <v>1799</v>
      </c>
      <c r="C1929" s="4" t="s">
        <v>76</v>
      </c>
      <c r="D1929" s="3" t="str">
        <f>VLOOKUP(C1929,layoffs_location!A:B,2,FALSE)</f>
        <v>other</v>
      </c>
      <c r="E1929" s="3" t="str">
        <f>VLOOKUP(C1929,layoffs_location!A:C,3,FALSE)</f>
        <v>California</v>
      </c>
      <c r="F1929" s="3" t="str">
        <f>VLOOKUP(C1929,layoffs_location!A:D,4,FALSE)</f>
        <v>USA</v>
      </c>
      <c r="G1929" s="3" t="str">
        <f>VLOOKUP(C1929,layoffs_location!A:E,5,FALSE)</f>
        <v>North America</v>
      </c>
      <c r="H1929" s="4"/>
      <c r="I1929" s="24">
        <v>45519</v>
      </c>
      <c r="J1929" s="5"/>
      <c r="K1929" s="25"/>
      <c r="L1929" s="25"/>
      <c r="M1929" s="4" t="s">
        <v>239</v>
      </c>
      <c r="N1929" s="4" t="s">
        <v>1879</v>
      </c>
      <c r="O1929" s="27">
        <v>110</v>
      </c>
      <c r="P1929" s="4">
        <v>2024</v>
      </c>
      <c r="Q1929" s="3">
        <f>VLOOKUP(C1929,layoffs_location!A:F,6,FALSE)</f>
        <v>34.053690899999999</v>
      </c>
      <c r="R1929" s="3">
        <f>VLOOKUP(C1929,layoffs_location!A:G,7,FALSE)</f>
        <v>-118.242766</v>
      </c>
    </row>
    <row r="1930" spans="1:18" ht="16" x14ac:dyDescent="0.2">
      <c r="A1930" s="3">
        <v>1929</v>
      </c>
      <c r="B1930" s="4" t="s">
        <v>1800</v>
      </c>
      <c r="C1930" s="4" t="s">
        <v>179</v>
      </c>
      <c r="D1930" s="3" t="str">
        <f>VLOOKUP(C1930,layoffs_location!A:B,2,FALSE)</f>
        <v>other</v>
      </c>
      <c r="E1930" s="3" t="str">
        <f>VLOOKUP(C1930,layoffs_location!A:C,3,FALSE)</f>
        <v>Ontario</v>
      </c>
      <c r="F1930" s="3" t="str">
        <f>VLOOKUP(C1930,layoffs_location!A:D,4,FALSE)</f>
        <v>Canada</v>
      </c>
      <c r="G1930" s="3" t="str">
        <f>VLOOKUP(C1930,layoffs_location!A:E,5,FALSE)</f>
        <v>North America</v>
      </c>
      <c r="H1930" s="4"/>
      <c r="I1930" s="24">
        <v>45519</v>
      </c>
      <c r="J1930" s="47">
        <v>100</v>
      </c>
      <c r="K1930" s="25"/>
      <c r="L1930" s="25">
        <f>SUM(Table13[[#This Row],[Company_Size_before_Layoffs]]-Table13[[#This Row],[Laid_Off]])</f>
        <v>0</v>
      </c>
      <c r="M1930" s="4" t="s">
        <v>1898</v>
      </c>
      <c r="N1930" s="4" t="s">
        <v>1881</v>
      </c>
      <c r="O1930" s="27">
        <v>10</v>
      </c>
      <c r="P1930" s="4">
        <v>2024</v>
      </c>
      <c r="Q1930" s="3">
        <f>VLOOKUP(C1930,layoffs_location!A:F,6,FALSE)</f>
        <v>43.6534817</v>
      </c>
      <c r="R1930" s="3">
        <f>VLOOKUP(C1930,layoffs_location!A:G,7,FALSE)</f>
        <v>-79.383934699999998</v>
      </c>
    </row>
    <row r="1931" spans="1:18" ht="16" x14ac:dyDescent="0.2">
      <c r="A1931" s="3">
        <v>1930</v>
      </c>
      <c r="B1931" s="4" t="s">
        <v>1791</v>
      </c>
      <c r="C1931" s="4" t="s">
        <v>115</v>
      </c>
      <c r="D1931" s="3" t="str">
        <f>VLOOKUP(C1931,layoffs_location!A:B,2,FALSE)</f>
        <v>other</v>
      </c>
      <c r="E1931" s="3" t="str">
        <f>VLOOKUP(C1931,layoffs_location!A:C,3,FALSE)</f>
        <v>Quebec</v>
      </c>
      <c r="F1931" s="3" t="str">
        <f>VLOOKUP(C1931,layoffs_location!A:D,4,FALSE)</f>
        <v>Canada</v>
      </c>
      <c r="G1931" s="3" t="str">
        <f>VLOOKUP(C1931,layoffs_location!A:E,5,FALSE)</f>
        <v>North America</v>
      </c>
      <c r="H1931" s="23">
        <v>81</v>
      </c>
      <c r="I1931" s="24">
        <v>45520</v>
      </c>
      <c r="J1931" s="47">
        <v>45</v>
      </c>
      <c r="K1931" s="25">
        <f>SUM((Table13[[#This Row],[Laid_Off]]*100)/Table13[[#This Row],[Percentage]])</f>
        <v>180</v>
      </c>
      <c r="L1931" s="25">
        <f>SUM(Table13[[#This Row],[Company_Size_before_Layoffs]]-Table13[[#This Row],[Laid_Off]])</f>
        <v>99</v>
      </c>
      <c r="M1931" s="4" t="s">
        <v>1895</v>
      </c>
      <c r="N1931" s="4" t="s">
        <v>1883</v>
      </c>
      <c r="O1931" s="27">
        <v>389</v>
      </c>
      <c r="P1931" s="4">
        <v>2024</v>
      </c>
      <c r="Q1931" s="3">
        <f>VLOOKUP(C1931,layoffs_location!A:F,6,FALSE)</f>
        <v>45.5031824</v>
      </c>
      <c r="R1931" s="3">
        <f>VLOOKUP(C1931,layoffs_location!A:G,7,FALSE)</f>
        <v>-73.569806499999999</v>
      </c>
    </row>
    <row r="1932" spans="1:18" ht="16" x14ac:dyDescent="0.2">
      <c r="A1932" s="3">
        <v>1931</v>
      </c>
      <c r="B1932" s="4" t="s">
        <v>1792</v>
      </c>
      <c r="C1932" s="4" t="s">
        <v>83</v>
      </c>
      <c r="D1932" s="3" t="str">
        <f>VLOOKUP(C1932,layoffs_location!A:B,2,FALSE)</f>
        <v>other</v>
      </c>
      <c r="E1932" s="3" t="str">
        <f>VLOOKUP(C1932,layoffs_location!A:C,3,FALSE)</f>
        <v>Texas</v>
      </c>
      <c r="F1932" s="3" t="str">
        <f>VLOOKUP(C1932,layoffs_location!A:D,4,FALSE)</f>
        <v>USA</v>
      </c>
      <c r="G1932" s="3" t="str">
        <f>VLOOKUP(C1932,layoffs_location!A:E,5,FALSE)</f>
        <v>North America</v>
      </c>
      <c r="H1932" s="23">
        <v>15</v>
      </c>
      <c r="I1932" s="24">
        <v>45520</v>
      </c>
      <c r="J1932" s="5"/>
      <c r="K1932" s="25"/>
      <c r="L1932" s="25"/>
      <c r="M1932" s="4" t="s">
        <v>1901</v>
      </c>
      <c r="N1932" s="4" t="s">
        <v>1879</v>
      </c>
      <c r="O1932" s="27"/>
      <c r="P1932" s="4">
        <v>2024</v>
      </c>
      <c r="Q1932" s="3">
        <f>VLOOKUP(C1932,layoffs_location!A:F,6,FALSE)</f>
        <v>30.271128600000001</v>
      </c>
      <c r="R1932" s="3">
        <f>VLOOKUP(C1932,layoffs_location!A:G,7,FALSE)</f>
        <v>-97.743699500000005</v>
      </c>
    </row>
    <row r="1933" spans="1:18" ht="16" x14ac:dyDescent="0.2">
      <c r="A1933" s="3">
        <v>1932</v>
      </c>
      <c r="B1933" s="4" t="s">
        <v>1793</v>
      </c>
      <c r="C1933" s="4" t="s">
        <v>452</v>
      </c>
      <c r="D1933" s="3" t="str">
        <f>VLOOKUP(C1933,layoffs_location!A:B,2,FALSE)</f>
        <v>other</v>
      </c>
      <c r="E1933" s="3" t="str">
        <f>VLOOKUP(C1933,layoffs_location!A:C,3,FALSE)</f>
        <v>Ohio</v>
      </c>
      <c r="F1933" s="3" t="str">
        <f>VLOOKUP(C1933,layoffs_location!A:D,4,FALSE)</f>
        <v>USA</v>
      </c>
      <c r="G1933" s="3" t="str">
        <f>VLOOKUP(C1933,layoffs_location!A:E,5,FALSE)</f>
        <v>North America</v>
      </c>
      <c r="H1933" s="4"/>
      <c r="I1933" s="24">
        <v>45520</v>
      </c>
      <c r="J1933" s="5"/>
      <c r="K1933" s="25"/>
      <c r="L1933" s="25"/>
      <c r="M1933" s="4" t="s">
        <v>1898</v>
      </c>
      <c r="N1933" s="4" t="s">
        <v>1881</v>
      </c>
      <c r="O1933" s="27">
        <v>125</v>
      </c>
      <c r="P1933" s="4">
        <v>2024</v>
      </c>
      <c r="Q1933" s="3">
        <f>VLOOKUP(C1933,layoffs_location!A:F,6,FALSE)</f>
        <v>39.962260100000002</v>
      </c>
      <c r="R1933" s="3">
        <f>VLOOKUP(C1933,layoffs_location!A:G,7,FALSE)</f>
        <v>-83.000706500000007</v>
      </c>
    </row>
    <row r="1934" spans="1:18" ht="16" x14ac:dyDescent="0.2">
      <c r="A1934" s="3">
        <v>1933</v>
      </c>
      <c r="B1934" s="4" t="s">
        <v>1794</v>
      </c>
      <c r="C1934" s="4" t="s">
        <v>1391</v>
      </c>
      <c r="D1934" s="3" t="str">
        <f>VLOOKUP(C1934,layoffs_location!A:B,2,FALSE)</f>
        <v>other</v>
      </c>
      <c r="E1934" s="3" t="str">
        <f>VLOOKUP(C1934,layoffs_location!A:C,3,FALSE)</f>
        <v>North Carolina</v>
      </c>
      <c r="F1934" s="3" t="str">
        <f>VLOOKUP(C1934,layoffs_location!A:D,4,FALSE)</f>
        <v>USA</v>
      </c>
      <c r="G1934" s="3" t="str">
        <f>VLOOKUP(C1934,layoffs_location!A:E,5,FALSE)</f>
        <v>North America</v>
      </c>
      <c r="H1934" s="4"/>
      <c r="I1934" s="24">
        <v>45520</v>
      </c>
      <c r="J1934" s="47">
        <v>19</v>
      </c>
      <c r="K1934" s="25"/>
      <c r="L1934" s="25"/>
      <c r="M1934" s="4" t="s">
        <v>1896</v>
      </c>
      <c r="N1934" s="4" t="s">
        <v>1881</v>
      </c>
      <c r="O1934" s="27">
        <v>64</v>
      </c>
      <c r="P1934" s="4">
        <v>2024</v>
      </c>
      <c r="Q1934" s="3">
        <f>VLOOKUP(C1934,layoffs_location!A:F,6,FALSE)</f>
        <v>35.996653000000002</v>
      </c>
      <c r="R1934" s="3">
        <f>VLOOKUP(C1934,layoffs_location!A:G,7,FALSE)</f>
        <v>-78.901805300000007</v>
      </c>
    </row>
    <row r="1935" spans="1:18" ht="16" x14ac:dyDescent="0.2">
      <c r="A1935" s="3">
        <v>1934</v>
      </c>
      <c r="B1935" s="4" t="s">
        <v>1789</v>
      </c>
      <c r="C1935" s="4" t="s">
        <v>1713</v>
      </c>
      <c r="D1935" s="3" t="str">
        <f>VLOOKUP(C1935,layoffs_location!A:B,2,FALSE)</f>
        <v>San Francisco Bay Area</v>
      </c>
      <c r="E1935" s="3" t="str">
        <f>VLOOKUP(C1935,layoffs_location!A:C,3,FALSE)</f>
        <v>California</v>
      </c>
      <c r="F1935" s="3" t="str">
        <f>VLOOKUP(C1935,layoffs_location!A:D,4,FALSE)</f>
        <v>USA</v>
      </c>
      <c r="G1935" s="3" t="str">
        <f>VLOOKUP(C1935,layoffs_location!A:E,5,FALSE)</f>
        <v>North America</v>
      </c>
      <c r="H1935" s="23">
        <v>139</v>
      </c>
      <c r="I1935" s="24">
        <v>45523</v>
      </c>
      <c r="J1935" s="47">
        <v>15</v>
      </c>
      <c r="K1935" s="25">
        <f>SUM((Table13[[#This Row],[Laid_Off]]*100)/Table13[[#This Row],[Percentage]])</f>
        <v>926.66666666666663</v>
      </c>
      <c r="L1935" s="25">
        <f>SUM(Table13[[#This Row],[Company_Size_before_Layoffs]]-Table13[[#This Row],[Laid_Off]])</f>
        <v>787.66666666666663</v>
      </c>
      <c r="M1935" s="4" t="s">
        <v>1904</v>
      </c>
      <c r="N1935" s="4" t="s">
        <v>1882</v>
      </c>
      <c r="O1935" s="27">
        <v>288</v>
      </c>
      <c r="P1935" s="4">
        <v>2024</v>
      </c>
      <c r="Q1935" s="3">
        <f>VLOOKUP(C1935,layoffs_location!A:F,6,FALSE)</f>
        <v>37.496904000000001</v>
      </c>
      <c r="R1935" s="3">
        <f>VLOOKUP(C1935,layoffs_location!A:G,7,FALSE)</f>
        <v>-122.33305729999999</v>
      </c>
    </row>
    <row r="1936" spans="1:18" ht="16" x14ac:dyDescent="0.2">
      <c r="A1936" s="3">
        <v>1935</v>
      </c>
      <c r="B1936" s="4" t="s">
        <v>1790</v>
      </c>
      <c r="C1936" s="4" t="s">
        <v>39</v>
      </c>
      <c r="D1936" s="3" t="str">
        <f>VLOOKUP(C1936,layoffs_location!A:B,2,FALSE)</f>
        <v>New York</v>
      </c>
      <c r="E1936" s="3" t="str">
        <f>VLOOKUP(C1936,layoffs_location!A:C,3,FALSE)</f>
        <v>New York</v>
      </c>
      <c r="F1936" s="3" t="str">
        <f>VLOOKUP(C1936,layoffs_location!A:D,4,FALSE)</f>
        <v>USA</v>
      </c>
      <c r="G1936" s="3" t="str">
        <f>VLOOKUP(C1936,layoffs_location!A:E,5,FALSE)</f>
        <v>North America</v>
      </c>
      <c r="H1936" s="4"/>
      <c r="I1936" s="24">
        <v>45523</v>
      </c>
      <c r="J1936" s="5"/>
      <c r="K1936" s="25"/>
      <c r="L1936" s="25"/>
      <c r="M1936" s="4" t="s">
        <v>1894</v>
      </c>
      <c r="N1936" s="4" t="s">
        <v>1886</v>
      </c>
      <c r="O1936" s="27">
        <v>40</v>
      </c>
      <c r="P1936" s="4">
        <v>2024</v>
      </c>
      <c r="Q1936" s="3">
        <f>VLOOKUP(C1936,layoffs_location!A:F,6,FALSE)</f>
        <v>40.7127281</v>
      </c>
      <c r="R1936" s="3">
        <f>VLOOKUP(C1936,layoffs_location!A:G,7,FALSE)</f>
        <v>-74.006015199999993</v>
      </c>
    </row>
    <row r="1937" spans="1:18" ht="16" x14ac:dyDescent="0.2">
      <c r="A1937" s="3">
        <v>1936</v>
      </c>
      <c r="B1937" s="4" t="s">
        <v>1786</v>
      </c>
      <c r="C1937" s="4" t="s">
        <v>1740</v>
      </c>
      <c r="D1937" s="3" t="str">
        <f>VLOOKUP(C1937,layoffs_location!A:B,2,FALSE)</f>
        <v>other</v>
      </c>
      <c r="E1937" s="3" t="str">
        <f>VLOOKUP(C1937,layoffs_location!A:C,3,FALSE)</f>
        <v>Manitoba</v>
      </c>
      <c r="F1937" s="3" t="str">
        <f>VLOOKUP(C1937,layoffs_location!A:D,4,FALSE)</f>
        <v>Canada</v>
      </c>
      <c r="G1937" s="3" t="str">
        <f>VLOOKUP(C1937,layoffs_location!A:E,5,FALSE)</f>
        <v>North America</v>
      </c>
      <c r="H1937" s="23">
        <v>800</v>
      </c>
      <c r="I1937" s="24">
        <v>45524</v>
      </c>
      <c r="J1937" s="5"/>
      <c r="K1937" s="25"/>
      <c r="L1937" s="25"/>
      <c r="M1937" s="4" t="s">
        <v>1896</v>
      </c>
      <c r="N1937" s="4" t="s">
        <v>1884</v>
      </c>
      <c r="O1937" s="27">
        <v>8</v>
      </c>
      <c r="P1937" s="4">
        <v>2024</v>
      </c>
      <c r="Q1937" s="3">
        <f>VLOOKUP(C1937,layoffs_location!A:F,6,FALSE)</f>
        <v>49.895077000000001</v>
      </c>
      <c r="R1937" s="3">
        <f>VLOOKUP(C1937,layoffs_location!A:G,7,FALSE)</f>
        <v>-97.138451000000003</v>
      </c>
    </row>
    <row r="1938" spans="1:18" ht="16" x14ac:dyDescent="0.2">
      <c r="A1938" s="3">
        <v>1937</v>
      </c>
      <c r="B1938" s="4" t="s">
        <v>1787</v>
      </c>
      <c r="C1938" s="4" t="s">
        <v>1741</v>
      </c>
      <c r="D1938" s="3" t="str">
        <f>VLOOKUP(C1938,layoffs_location!A:B,2,FALSE)</f>
        <v>San Francisco Bay Area</v>
      </c>
      <c r="E1938" s="3" t="str">
        <f>VLOOKUP(C1938,layoffs_location!A:C,3,FALSE)</f>
        <v>California</v>
      </c>
      <c r="F1938" s="3" t="str">
        <f>VLOOKUP(C1938,layoffs_location!A:D,4,FALSE)</f>
        <v>USA</v>
      </c>
      <c r="G1938" s="3" t="str">
        <f>VLOOKUP(C1938,layoffs_location!A:E,5,FALSE)</f>
        <v>North America</v>
      </c>
      <c r="H1938" s="23">
        <v>190</v>
      </c>
      <c r="I1938" s="24">
        <v>45524</v>
      </c>
      <c r="J1938" s="47">
        <v>7</v>
      </c>
      <c r="K1938" s="25">
        <f>SUM((Table13[[#This Row],[Laid_Off]]*100)/Table13[[#This Row],[Percentage]])</f>
        <v>2714.2857142857142</v>
      </c>
      <c r="L1938" s="25">
        <f>SUM(Table13[[#This Row],[Company_Size_before_Layoffs]]-Table13[[#This Row],[Laid_Off]])</f>
        <v>2524.2857142857142</v>
      </c>
      <c r="M1938" s="4" t="s">
        <v>1912</v>
      </c>
      <c r="N1938" s="4" t="s">
        <v>1882</v>
      </c>
      <c r="O1938" s="27">
        <v>862</v>
      </c>
      <c r="P1938" s="4">
        <v>2024</v>
      </c>
      <c r="Q1938" s="3">
        <f>VLOOKUP(C1938,layoffs_location!A:F,6,FALSE)</f>
        <v>37.774663568000001</v>
      </c>
      <c r="R1938" s="3">
        <f>VLOOKUP(C1938,layoffs_location!A:G,7,FALSE)</f>
        <v>-121.973496106</v>
      </c>
    </row>
    <row r="1939" spans="1:18" ht="16" x14ac:dyDescent="0.2">
      <c r="A1939" s="3">
        <v>1938</v>
      </c>
      <c r="B1939" s="4" t="s">
        <v>1788</v>
      </c>
      <c r="C1939" s="4" t="s">
        <v>13</v>
      </c>
      <c r="D1939" s="3" t="str">
        <f>VLOOKUP(C1939,layoffs_location!A:B,2,FALSE)</f>
        <v>other</v>
      </c>
      <c r="E1939" s="3" t="str">
        <f>VLOOKUP(C1939,layoffs_location!A:C,3,FALSE)</f>
        <v>Karnataka</v>
      </c>
      <c r="F1939" s="3" t="str">
        <f>VLOOKUP(C1939,layoffs_location!A:D,4,FALSE)</f>
        <v>India</v>
      </c>
      <c r="G1939" s="3" t="str">
        <f>VLOOKUP(C1939,layoffs_location!A:E,5,FALSE)</f>
        <v>Asia</v>
      </c>
      <c r="H1939" s="4"/>
      <c r="I1939" s="24">
        <v>45524</v>
      </c>
      <c r="J1939" s="47">
        <v>100</v>
      </c>
      <c r="K1939" s="25"/>
      <c r="L1939" s="25">
        <f>SUM(Table13[[#This Row],[Company_Size_before_Layoffs]]-Table13[[#This Row],[Laid_Off]])</f>
        <v>0</v>
      </c>
      <c r="M1939" s="4" t="s">
        <v>1896</v>
      </c>
      <c r="N1939" s="4" t="s">
        <v>1879</v>
      </c>
      <c r="O1939" s="27">
        <v>54</v>
      </c>
      <c r="P1939" s="4">
        <v>2024</v>
      </c>
      <c r="Q1939" s="3">
        <f>VLOOKUP(C1939,layoffs_location!A:F,6,FALSE)</f>
        <v>12.98815675</v>
      </c>
      <c r="R1939" s="3">
        <f>VLOOKUP(C1939,layoffs_location!A:G,7,FALSE)</f>
        <v>77.622600037959998</v>
      </c>
    </row>
    <row r="1940" spans="1:18" ht="16" x14ac:dyDescent="0.2">
      <c r="A1940" s="3">
        <v>1939</v>
      </c>
      <c r="B1940" s="4" t="s">
        <v>1785</v>
      </c>
      <c r="C1940" s="4" t="s">
        <v>39</v>
      </c>
      <c r="D1940" s="3" t="str">
        <f>VLOOKUP(C1940,layoffs_location!A:B,2,FALSE)</f>
        <v>New York</v>
      </c>
      <c r="E1940" s="3" t="str">
        <f>VLOOKUP(C1940,layoffs_location!A:C,3,FALSE)</f>
        <v>New York</v>
      </c>
      <c r="F1940" s="3" t="str">
        <f>VLOOKUP(C1940,layoffs_location!A:D,4,FALSE)</f>
        <v>USA</v>
      </c>
      <c r="G1940" s="3" t="str">
        <f>VLOOKUP(C1940,layoffs_location!A:E,5,FALSE)</f>
        <v>North America</v>
      </c>
      <c r="H1940" s="4"/>
      <c r="I1940" s="24">
        <v>45525</v>
      </c>
      <c r="J1940" s="47">
        <v>100</v>
      </c>
      <c r="K1940" s="25"/>
      <c r="L1940" s="25">
        <f>SUM(Table13[[#This Row],[Company_Size_before_Layoffs]]-Table13[[#This Row],[Laid_Off]])</f>
        <v>0</v>
      </c>
      <c r="M1940" s="4" t="s">
        <v>1898</v>
      </c>
      <c r="N1940" s="4" t="s">
        <v>1881</v>
      </c>
      <c r="O1940" s="27">
        <v>43</v>
      </c>
      <c r="P1940" s="4">
        <v>2024</v>
      </c>
      <c r="Q1940" s="3">
        <f>VLOOKUP(C1940,layoffs_location!A:F,6,FALSE)</f>
        <v>40.7127281</v>
      </c>
      <c r="R1940" s="3">
        <f>VLOOKUP(C1940,layoffs_location!A:G,7,FALSE)</f>
        <v>-74.006015199999993</v>
      </c>
    </row>
    <row r="1941" spans="1:18" ht="16" x14ac:dyDescent="0.2">
      <c r="A1941" s="3">
        <v>1940</v>
      </c>
      <c r="B1941" s="4" t="s">
        <v>1784</v>
      </c>
      <c r="C1941" s="4" t="s">
        <v>43</v>
      </c>
      <c r="D1941" s="3" t="str">
        <f>VLOOKUP(C1941,layoffs_location!A:B,2,FALSE)</f>
        <v>Cascadia</v>
      </c>
      <c r="E1941" s="3" t="str">
        <f>VLOOKUP(C1941,layoffs_location!A:C,3,FALSE)</f>
        <v>Washington</v>
      </c>
      <c r="F1941" s="3" t="str">
        <f>VLOOKUP(C1941,layoffs_location!A:D,4,FALSE)</f>
        <v>USA</v>
      </c>
      <c r="G1941" s="3" t="str">
        <f>VLOOKUP(C1941,layoffs_location!A:E,5,FALSE)</f>
        <v>North America</v>
      </c>
      <c r="H1941" s="23">
        <v>82</v>
      </c>
      <c r="I1941" s="24">
        <v>45526</v>
      </c>
      <c r="J1941" s="47">
        <v>2</v>
      </c>
      <c r="K1941" s="25">
        <f>SUM((Table13[[#This Row],[Laid_Off]]*100)/Table13[[#This Row],[Percentage]])</f>
        <v>4100</v>
      </c>
      <c r="L1941" s="25">
        <f>SUM(Table13[[#This Row],[Company_Size_before_Layoffs]]-Table13[[#This Row],[Laid_Off]])</f>
        <v>4018</v>
      </c>
      <c r="M1941" s="4" t="s">
        <v>1894</v>
      </c>
      <c r="N1941" s="4" t="s">
        <v>1882</v>
      </c>
      <c r="O1941" s="27">
        <v>320</v>
      </c>
      <c r="P1941" s="4">
        <v>2024</v>
      </c>
      <c r="Q1941" s="3">
        <f>VLOOKUP(C1941,layoffs_location!A:F,6,FALSE)</f>
        <v>47.603832099999998</v>
      </c>
      <c r="R1941" s="3">
        <f>VLOOKUP(C1941,layoffs_location!A:G,7,FALSE)</f>
        <v>-122.330062</v>
      </c>
    </row>
    <row r="1942" spans="1:18" ht="16" x14ac:dyDescent="0.2">
      <c r="A1942" s="3">
        <v>1941</v>
      </c>
      <c r="B1942" s="4" t="s">
        <v>1781</v>
      </c>
      <c r="C1942" s="4" t="s">
        <v>56</v>
      </c>
      <c r="D1942" s="3" t="str">
        <f>VLOOKUP(C1942,layoffs_location!A:B,2,FALSE)</f>
        <v>other</v>
      </c>
      <c r="E1942" s="3" t="str">
        <f>VLOOKUP(C1942,layoffs_location!A:C,3,FALSE)</f>
        <v>Maharashtra</v>
      </c>
      <c r="F1942" s="3" t="str">
        <f>VLOOKUP(C1942,layoffs_location!A:D,4,FALSE)</f>
        <v>India</v>
      </c>
      <c r="G1942" s="3" t="str">
        <f>VLOOKUP(C1942,layoffs_location!A:E,5,FALSE)</f>
        <v>Asia</v>
      </c>
      <c r="H1942" s="4"/>
      <c r="I1942" s="24">
        <v>45527</v>
      </c>
      <c r="J1942" s="47">
        <v>100</v>
      </c>
      <c r="K1942" s="25"/>
      <c r="L1942" s="25">
        <f>SUM(Table13[[#This Row],[Company_Size_before_Layoffs]]-Table13[[#This Row],[Laid_Off]])</f>
        <v>0</v>
      </c>
      <c r="M1942" s="4" t="s">
        <v>1892</v>
      </c>
      <c r="N1942" s="4" t="s">
        <v>1886</v>
      </c>
      <c r="O1942" s="27">
        <v>14</v>
      </c>
      <c r="P1942" s="4">
        <v>2024</v>
      </c>
      <c r="Q1942" s="3">
        <f>VLOOKUP(C1942,layoffs_location!A:F,6,FALSE)</f>
        <v>19.078545099999999</v>
      </c>
      <c r="R1942" s="3">
        <f>VLOOKUP(C1942,layoffs_location!A:G,7,FALSE)</f>
        <v>72.878175999999996</v>
      </c>
    </row>
    <row r="1943" spans="1:18" ht="16" x14ac:dyDescent="0.2">
      <c r="A1943" s="3">
        <v>1942</v>
      </c>
      <c r="B1943" s="4" t="s">
        <v>1782</v>
      </c>
      <c r="C1943" s="4" t="s">
        <v>39</v>
      </c>
      <c r="D1943" s="3" t="str">
        <f>VLOOKUP(C1943,layoffs_location!A:B,2,FALSE)</f>
        <v>New York</v>
      </c>
      <c r="E1943" s="3" t="str">
        <f>VLOOKUP(C1943,layoffs_location!A:C,3,FALSE)</f>
        <v>New York</v>
      </c>
      <c r="F1943" s="3" t="str">
        <f>VLOOKUP(C1943,layoffs_location!A:D,4,FALSE)</f>
        <v>USA</v>
      </c>
      <c r="G1943" s="3" t="str">
        <f>VLOOKUP(C1943,layoffs_location!A:E,5,FALSE)</f>
        <v>North America</v>
      </c>
      <c r="H1943" s="4"/>
      <c r="I1943" s="24">
        <v>45527</v>
      </c>
      <c r="J1943" s="47">
        <v>100</v>
      </c>
      <c r="K1943" s="25"/>
      <c r="L1943" s="25">
        <f>SUM(Table13[[#This Row],[Company_Size_before_Layoffs]]-Table13[[#This Row],[Laid_Off]])</f>
        <v>0</v>
      </c>
      <c r="M1943" s="4" t="s">
        <v>1893</v>
      </c>
      <c r="N1943" s="4" t="s">
        <v>1879</v>
      </c>
      <c r="O1943" s="27"/>
      <c r="P1943" s="4">
        <v>2024</v>
      </c>
      <c r="Q1943" s="3">
        <f>VLOOKUP(C1943,layoffs_location!A:F,6,FALSE)</f>
        <v>40.7127281</v>
      </c>
      <c r="R1943" s="3">
        <f>VLOOKUP(C1943,layoffs_location!A:G,7,FALSE)</f>
        <v>-74.006015199999993</v>
      </c>
    </row>
    <row r="1944" spans="1:18" ht="16" x14ac:dyDescent="0.2">
      <c r="A1944" s="3">
        <v>1943</v>
      </c>
      <c r="B1944" s="4" t="s">
        <v>1783</v>
      </c>
      <c r="C1944" s="4" t="s">
        <v>621</v>
      </c>
      <c r="D1944" s="3" t="str">
        <f>VLOOKUP(C1944,layoffs_location!A:B,2,FALSE)</f>
        <v>other</v>
      </c>
      <c r="E1944" s="3" t="str">
        <f>VLOOKUP(C1944,layoffs_location!A:C,3,FALSE)</f>
        <v>Ontario</v>
      </c>
      <c r="F1944" s="3" t="str">
        <f>VLOOKUP(C1944,layoffs_location!A:D,4,FALSE)</f>
        <v>Canada</v>
      </c>
      <c r="G1944" s="3" t="str">
        <f>VLOOKUP(C1944,layoffs_location!A:E,5,FALSE)</f>
        <v>North America</v>
      </c>
      <c r="H1944" s="4"/>
      <c r="I1944" s="24">
        <v>45527</v>
      </c>
      <c r="J1944" s="5"/>
      <c r="K1944" s="25"/>
      <c r="L1944" s="25"/>
      <c r="M1944" s="4" t="s">
        <v>239</v>
      </c>
      <c r="N1944" s="4" t="s">
        <v>1884</v>
      </c>
      <c r="O1944" s="27">
        <v>63</v>
      </c>
      <c r="P1944" s="4">
        <v>2024</v>
      </c>
      <c r="Q1944" s="3">
        <f>VLOOKUP(C1944,layoffs_location!A:F,6,FALSE)</f>
        <v>43.465269900000003</v>
      </c>
      <c r="R1944" s="3">
        <f>VLOOKUP(C1944,layoffs_location!A:G,7,FALSE)</f>
        <v>-80.522296100000005</v>
      </c>
    </row>
    <row r="1945" spans="1:18" ht="16" x14ac:dyDescent="0.2">
      <c r="A1945" s="3">
        <v>1944</v>
      </c>
      <c r="B1945" s="4" t="s">
        <v>1758</v>
      </c>
      <c r="C1945" s="4" t="s">
        <v>1739</v>
      </c>
      <c r="D1945" s="3" t="str">
        <f>VLOOKUP(C1945,layoffs_location!A:B,2,FALSE)</f>
        <v>other</v>
      </c>
      <c r="E1945" s="3" t="str">
        <f>VLOOKUP(C1945,layoffs_location!A:C,3,FALSE)</f>
        <v>non</v>
      </c>
      <c r="F1945" s="3" t="str">
        <f>VLOOKUP(C1945,layoffs_location!A:D,4,FALSE)</f>
        <v>China</v>
      </c>
      <c r="G1945" s="3" t="str">
        <f>VLOOKUP(C1945,layoffs_location!A:E,5,FALSE)</f>
        <v>Asia</v>
      </c>
      <c r="H1945" s="23">
        <v>1000</v>
      </c>
      <c r="I1945" s="24">
        <v>45530</v>
      </c>
      <c r="J1945" s="5"/>
      <c r="K1945" s="25"/>
      <c r="L1945" s="25"/>
      <c r="M1945" s="4" t="s">
        <v>1910</v>
      </c>
      <c r="N1945" s="4" t="s">
        <v>1882</v>
      </c>
      <c r="O1945" s="27"/>
      <c r="P1945" s="4">
        <v>2024</v>
      </c>
      <c r="Q1945" s="3">
        <f>VLOOKUP(C1945,layoffs_location!A:F,6,FALSE)</f>
        <v>39.916668000000001</v>
      </c>
      <c r="R1945" s="3">
        <f>VLOOKUP(C1945,layoffs_location!A:G,7,FALSE)</f>
        <v>116.383331</v>
      </c>
    </row>
    <row r="1946" spans="1:18" ht="16" x14ac:dyDescent="0.2">
      <c r="A1946" s="3">
        <v>1945</v>
      </c>
      <c r="B1946" s="4" t="s">
        <v>1779</v>
      </c>
      <c r="C1946" s="4" t="s">
        <v>71</v>
      </c>
      <c r="D1946" s="3" t="str">
        <f>VLOOKUP(C1946,layoffs_location!A:B,2,FALSE)</f>
        <v>other</v>
      </c>
      <c r="E1946" s="3" t="str">
        <f>VLOOKUP(C1946,layoffs_location!A:C,3,FALSE)</f>
        <v>Massachusetts</v>
      </c>
      <c r="F1946" s="3" t="str">
        <f>VLOOKUP(C1946,layoffs_location!A:D,4,FALSE)</f>
        <v>USA</v>
      </c>
      <c r="G1946" s="3" t="str">
        <f>VLOOKUP(C1946,layoffs_location!A:E,5,FALSE)</f>
        <v>North America</v>
      </c>
      <c r="H1946" s="23">
        <v>131</v>
      </c>
      <c r="I1946" s="24">
        <v>45530</v>
      </c>
      <c r="J1946" s="47">
        <v>100</v>
      </c>
      <c r="K1946" s="25">
        <f>SUM((Table13[[#This Row],[Laid_Off]]*100)/Table13[[#This Row],[Percentage]])</f>
        <v>131</v>
      </c>
      <c r="L1946" s="25">
        <f>SUM(Table13[[#This Row],[Company_Size_before_Layoffs]]-Table13[[#This Row],[Laid_Off]])</f>
        <v>0</v>
      </c>
      <c r="M1946" s="4" t="s">
        <v>1892</v>
      </c>
      <c r="N1946" s="4" t="s">
        <v>1886</v>
      </c>
      <c r="O1946" s="27">
        <v>213</v>
      </c>
      <c r="P1946" s="4">
        <v>2024</v>
      </c>
      <c r="Q1946" s="3">
        <f>VLOOKUP(C1946,layoffs_location!A:F,6,FALSE)</f>
        <v>42.355433400000003</v>
      </c>
      <c r="R1946" s="3">
        <f>VLOOKUP(C1946,layoffs_location!A:G,7,FALSE)</f>
        <v>-71.060511000000005</v>
      </c>
    </row>
    <row r="1947" spans="1:18" ht="16" x14ac:dyDescent="0.2">
      <c r="A1947" s="3">
        <v>1946</v>
      </c>
      <c r="B1947" s="4" t="s">
        <v>1780</v>
      </c>
      <c r="C1947" s="4" t="s">
        <v>1329</v>
      </c>
      <c r="D1947" s="3" t="str">
        <f>VLOOKUP(C1947,layoffs_location!A:B,2,FALSE)</f>
        <v>San Francisco Bay Area</v>
      </c>
      <c r="E1947" s="3" t="str">
        <f>VLOOKUP(C1947,layoffs_location!A:C,3,FALSE)</f>
        <v>California</v>
      </c>
      <c r="F1947" s="3" t="str">
        <f>VLOOKUP(C1947,layoffs_location!A:D,4,FALSE)</f>
        <v>USA</v>
      </c>
      <c r="G1947" s="3" t="str">
        <f>VLOOKUP(C1947,layoffs_location!A:E,5,FALSE)</f>
        <v>North America</v>
      </c>
      <c r="H1947" s="23">
        <v>42</v>
      </c>
      <c r="I1947" s="24">
        <v>45530</v>
      </c>
      <c r="J1947" s="5"/>
      <c r="K1947" s="25"/>
      <c r="L1947" s="25"/>
      <c r="M1947" s="4" t="s">
        <v>155</v>
      </c>
      <c r="N1947" s="4" t="s">
        <v>1882</v>
      </c>
      <c r="O1947" s="27">
        <v>305</v>
      </c>
      <c r="P1947" s="4">
        <v>2024</v>
      </c>
      <c r="Q1947" s="3">
        <f>VLOOKUP(C1947,layoffs_location!A:F,6,FALSE)</f>
        <v>37.548269699999999</v>
      </c>
      <c r="R1947" s="3">
        <f>VLOOKUP(C1947,layoffs_location!A:G,7,FALSE)</f>
        <v>-121.98857099999999</v>
      </c>
    </row>
    <row r="1948" spans="1:18" ht="16" x14ac:dyDescent="0.2">
      <c r="A1948" s="3">
        <v>1947</v>
      </c>
      <c r="B1948" s="4" t="s">
        <v>1778</v>
      </c>
      <c r="C1948" s="4" t="s">
        <v>1708</v>
      </c>
      <c r="D1948" s="3" t="str">
        <f>VLOOKUP(C1948,layoffs_location!A:B,2,FALSE)</f>
        <v>San Francisco Bay Area</v>
      </c>
      <c r="E1948" s="3" t="str">
        <f>VLOOKUP(C1948,layoffs_location!A:C,3,FALSE)</f>
        <v>California</v>
      </c>
      <c r="F1948" s="3" t="str">
        <f>VLOOKUP(C1948,layoffs_location!A:D,4,FALSE)</f>
        <v>USA</v>
      </c>
      <c r="G1948" s="3" t="str">
        <f>VLOOKUP(C1948,layoffs_location!A:E,5,FALSE)</f>
        <v>North America</v>
      </c>
      <c r="H1948" s="23">
        <v>100</v>
      </c>
      <c r="I1948" s="24">
        <v>45531</v>
      </c>
      <c r="J1948" s="5"/>
      <c r="K1948" s="25"/>
      <c r="L1948" s="25"/>
      <c r="M1948" s="4" t="s">
        <v>1910</v>
      </c>
      <c r="N1948" s="4" t="s">
        <v>1882</v>
      </c>
      <c r="O1948" s="27">
        <v>1.2</v>
      </c>
      <c r="P1948" s="4">
        <v>2024</v>
      </c>
      <c r="Q1948" s="3">
        <f>VLOOKUP(C1948,layoffs_location!A:F,6,FALSE)</f>
        <v>37.322893399999998</v>
      </c>
      <c r="R1948" s="3">
        <f>VLOOKUP(C1948,layoffs_location!A:G,7,FALSE)</f>
        <v>-122.0322895</v>
      </c>
    </row>
    <row r="1949" spans="1:18" ht="16" x14ac:dyDescent="0.2">
      <c r="A1949" s="3">
        <v>1948</v>
      </c>
      <c r="B1949" s="4" t="s">
        <v>1777</v>
      </c>
      <c r="C1949" s="4" t="s">
        <v>1370</v>
      </c>
      <c r="D1949" s="3" t="str">
        <f>VLOOKUP(C1949,layoffs_location!A:B,2,FALSE)</f>
        <v>San Francisco Bay Area</v>
      </c>
      <c r="E1949" s="3" t="str">
        <f>VLOOKUP(C1949,layoffs_location!A:C,3,FALSE)</f>
        <v>California</v>
      </c>
      <c r="F1949" s="3" t="str">
        <f>VLOOKUP(C1949,layoffs_location!A:D,4,FALSE)</f>
        <v>USA</v>
      </c>
      <c r="G1949" s="3" t="str">
        <f>VLOOKUP(C1949,layoffs_location!A:E,5,FALSE)</f>
        <v>North America</v>
      </c>
      <c r="H1949" s="23">
        <v>27</v>
      </c>
      <c r="I1949" s="24">
        <v>45532</v>
      </c>
      <c r="J1949" s="47">
        <v>14</v>
      </c>
      <c r="K1949" s="25">
        <f>SUM((Table13[[#This Row],[Laid_Off]]*100)/Table13[[#This Row],[Percentage]])</f>
        <v>192.85714285714286</v>
      </c>
      <c r="L1949" s="25">
        <f>SUM(Table13[[#This Row],[Company_Size_before_Layoffs]]-Table13[[#This Row],[Laid_Off]])</f>
        <v>165.85714285714286</v>
      </c>
      <c r="M1949" s="4" t="s">
        <v>1904</v>
      </c>
      <c r="N1949" s="4" t="s">
        <v>1881</v>
      </c>
      <c r="O1949" s="27">
        <v>42</v>
      </c>
      <c r="P1949" s="4">
        <v>2024</v>
      </c>
      <c r="Q1949" s="3">
        <f>VLOOKUP(C1949,layoffs_location!A:F,6,FALSE)</f>
        <v>37.779258800000001</v>
      </c>
      <c r="R1949" s="3">
        <f>VLOOKUP(C1949,layoffs_location!A:G,7,FALSE)</f>
        <v>-122.4193286</v>
      </c>
    </row>
    <row r="1950" spans="1:18" ht="16" x14ac:dyDescent="0.2">
      <c r="A1950" s="3">
        <v>1949</v>
      </c>
      <c r="B1950" s="4" t="s">
        <v>1776</v>
      </c>
      <c r="C1950" s="4" t="s">
        <v>1443</v>
      </c>
      <c r="D1950" s="3" t="str">
        <f>VLOOKUP(C1950,layoffs_location!A:B,2,FALSE)</f>
        <v>San Francisco Bay Area</v>
      </c>
      <c r="E1950" s="3" t="str">
        <f>VLOOKUP(C1950,layoffs_location!A:C,3,FALSE)</f>
        <v>California</v>
      </c>
      <c r="F1950" s="3" t="str">
        <f>VLOOKUP(C1950,layoffs_location!A:D,4,FALSE)</f>
        <v>USA</v>
      </c>
      <c r="G1950" s="3" t="str">
        <f>VLOOKUP(C1950,layoffs_location!A:E,5,FALSE)</f>
        <v>North America</v>
      </c>
      <c r="H1950" s="23">
        <v>6</v>
      </c>
      <c r="I1950" s="24">
        <v>45533</v>
      </c>
      <c r="J1950" s="47">
        <v>5</v>
      </c>
      <c r="K1950" s="25">
        <f>SUM((Table13[[#This Row],[Laid_Off]]*100)/Table13[[#This Row],[Percentage]])</f>
        <v>120</v>
      </c>
      <c r="L1950" s="25">
        <f>SUM(Table13[[#This Row],[Company_Size_before_Layoffs]]-Table13[[#This Row],[Laid_Off]])</f>
        <v>114</v>
      </c>
      <c r="M1950" s="4" t="s">
        <v>1902</v>
      </c>
      <c r="N1950" s="4" t="s">
        <v>1886</v>
      </c>
      <c r="O1950" s="27">
        <v>150</v>
      </c>
      <c r="P1950" s="4">
        <v>2024</v>
      </c>
      <c r="Q1950" s="3">
        <f>VLOOKUP(C1950,layoffs_location!A:F,6,FALSE)</f>
        <v>37.451967099999997</v>
      </c>
      <c r="R1950" s="3">
        <f>VLOOKUP(C1950,layoffs_location!A:G,7,FALSE)</f>
        <v>-122.177992</v>
      </c>
    </row>
    <row r="1951" spans="1:18" ht="16" x14ac:dyDescent="0.2">
      <c r="A1951" s="3">
        <v>1950</v>
      </c>
      <c r="B1951" s="4" t="s">
        <v>1775</v>
      </c>
      <c r="C1951" s="4" t="s">
        <v>13</v>
      </c>
      <c r="D1951" s="3" t="str">
        <f>VLOOKUP(C1951,layoffs_location!A:B,2,FALSE)</f>
        <v>other</v>
      </c>
      <c r="E1951" s="3" t="str">
        <f>VLOOKUP(C1951,layoffs_location!A:C,3,FALSE)</f>
        <v>Karnataka</v>
      </c>
      <c r="F1951" s="3" t="str">
        <f>VLOOKUP(C1951,layoffs_location!A:D,4,FALSE)</f>
        <v>India</v>
      </c>
      <c r="G1951" s="3" t="str">
        <f>VLOOKUP(C1951,layoffs_location!A:E,5,FALSE)</f>
        <v>Asia</v>
      </c>
      <c r="H1951" s="23">
        <v>150</v>
      </c>
      <c r="I1951" s="24">
        <v>45535</v>
      </c>
      <c r="J1951" s="47">
        <v>75</v>
      </c>
      <c r="K1951" s="25">
        <f>SUM((Table13[[#This Row],[Laid_Off]]*100)/Table13[[#This Row],[Percentage]])</f>
        <v>200</v>
      </c>
      <c r="L1951" s="25">
        <f>SUM(Table13[[#This Row],[Company_Size_before_Layoffs]]-Table13[[#This Row],[Laid_Off]])</f>
        <v>50</v>
      </c>
      <c r="M1951" s="4" t="s">
        <v>1896</v>
      </c>
      <c r="N1951" s="4" t="s">
        <v>1879</v>
      </c>
      <c r="O1951" s="27">
        <v>458</v>
      </c>
      <c r="P1951" s="4">
        <v>2024</v>
      </c>
      <c r="Q1951" s="3">
        <f>VLOOKUP(C1951,layoffs_location!A:F,6,FALSE)</f>
        <v>12.98815675</v>
      </c>
      <c r="R1951" s="3">
        <f>VLOOKUP(C1951,layoffs_location!A:G,7,FALSE)</f>
        <v>77.622600037959998</v>
      </c>
    </row>
    <row r="1952" spans="1:18" ht="16" x14ac:dyDescent="0.2">
      <c r="A1952" s="3">
        <v>1951</v>
      </c>
      <c r="B1952" s="4" t="s">
        <v>1774</v>
      </c>
      <c r="C1952" s="4" t="s">
        <v>13</v>
      </c>
      <c r="D1952" s="3" t="str">
        <f>VLOOKUP(C1952,layoffs_location!A:B,2,FALSE)</f>
        <v>other</v>
      </c>
      <c r="E1952" s="3" t="str">
        <f>VLOOKUP(C1952,layoffs_location!A:C,3,FALSE)</f>
        <v>Karnataka</v>
      </c>
      <c r="F1952" s="3" t="str">
        <f>VLOOKUP(C1952,layoffs_location!A:D,4,FALSE)</f>
        <v>India</v>
      </c>
      <c r="G1952" s="3" t="str">
        <f>VLOOKUP(C1952,layoffs_location!A:E,5,FALSE)</f>
        <v>Asia</v>
      </c>
      <c r="H1952" s="23">
        <v>40</v>
      </c>
      <c r="I1952" s="24">
        <v>45537</v>
      </c>
      <c r="J1952" s="5"/>
      <c r="K1952" s="25"/>
      <c r="L1952" s="25"/>
      <c r="M1952" s="4" t="s">
        <v>1892</v>
      </c>
      <c r="N1952" s="4" t="s">
        <v>1886</v>
      </c>
      <c r="O1952" s="27">
        <v>26</v>
      </c>
      <c r="P1952" s="4">
        <v>2024</v>
      </c>
      <c r="Q1952" s="3">
        <f>VLOOKUP(C1952,layoffs_location!A:F,6,FALSE)</f>
        <v>12.98815675</v>
      </c>
      <c r="R1952" s="3">
        <f>VLOOKUP(C1952,layoffs_location!A:G,7,FALSE)</f>
        <v>77.622600037959998</v>
      </c>
    </row>
    <row r="1953" spans="1:18" ht="16" x14ac:dyDescent="0.2">
      <c r="A1953" s="3">
        <v>1952</v>
      </c>
      <c r="B1953" s="4" t="s">
        <v>1772</v>
      </c>
      <c r="C1953" s="4" t="s">
        <v>76</v>
      </c>
      <c r="D1953" s="3" t="str">
        <f>VLOOKUP(C1953,layoffs_location!A:B,2,FALSE)</f>
        <v>other</v>
      </c>
      <c r="E1953" s="3" t="str">
        <f>VLOOKUP(C1953,layoffs_location!A:C,3,FALSE)</f>
        <v>California</v>
      </c>
      <c r="F1953" s="3" t="str">
        <f>VLOOKUP(C1953,layoffs_location!A:D,4,FALSE)</f>
        <v>USA</v>
      </c>
      <c r="G1953" s="3" t="str">
        <f>VLOOKUP(C1953,layoffs_location!A:E,5,FALSE)</f>
        <v>North America</v>
      </c>
      <c r="H1953" s="4"/>
      <c r="I1953" s="24">
        <v>45538</v>
      </c>
      <c r="J1953" s="5"/>
      <c r="K1953" s="25"/>
      <c r="L1953" s="25"/>
      <c r="M1953" s="4" t="s">
        <v>1906</v>
      </c>
      <c r="N1953" s="4" t="s">
        <v>1879</v>
      </c>
      <c r="O1953" s="27">
        <v>479</v>
      </c>
      <c r="P1953" s="4">
        <v>2024</v>
      </c>
      <c r="Q1953" s="3">
        <f>VLOOKUP(C1953,layoffs_location!A:F,6,FALSE)</f>
        <v>34.053690899999999</v>
      </c>
      <c r="R1953" s="3">
        <f>VLOOKUP(C1953,layoffs_location!A:G,7,FALSE)</f>
        <v>-118.242766</v>
      </c>
    </row>
    <row r="1954" spans="1:18" ht="16" x14ac:dyDescent="0.2">
      <c r="A1954" s="3">
        <v>1953</v>
      </c>
      <c r="B1954" s="4" t="s">
        <v>1773</v>
      </c>
      <c r="C1954" s="4" t="s">
        <v>135</v>
      </c>
      <c r="D1954" s="3" t="str">
        <f>VLOOKUP(C1954,layoffs_location!A:B,2,FALSE)</f>
        <v>other</v>
      </c>
      <c r="E1954" s="3" t="str">
        <f>VLOOKUP(C1954,layoffs_location!A:C,3,FALSE)</f>
        <v>Berlin</v>
      </c>
      <c r="F1954" s="3" t="str">
        <f>VLOOKUP(C1954,layoffs_location!A:D,4,FALSE)</f>
        <v>Germany</v>
      </c>
      <c r="G1954" s="3" t="str">
        <f>VLOOKUP(C1954,layoffs_location!A:E,5,FALSE)</f>
        <v>Europe</v>
      </c>
      <c r="H1954" s="4"/>
      <c r="I1954" s="24">
        <v>45538</v>
      </c>
      <c r="J1954" s="47">
        <v>16</v>
      </c>
      <c r="K1954" s="25"/>
      <c r="L1954" s="25"/>
      <c r="M1954" s="4" t="s">
        <v>1905</v>
      </c>
      <c r="N1954" s="4" t="s">
        <v>1879</v>
      </c>
      <c r="O1954" s="27">
        <v>380</v>
      </c>
      <c r="P1954" s="4">
        <v>2024</v>
      </c>
      <c r="Q1954" s="3">
        <f>VLOOKUP(C1954,layoffs_location!A:F,6,FALSE)</f>
        <v>52.517036500000003</v>
      </c>
      <c r="R1954" s="3">
        <f>VLOOKUP(C1954,layoffs_location!A:G,7,FALSE)</f>
        <v>13.3888599</v>
      </c>
    </row>
    <row r="1955" spans="1:18" ht="16" x14ac:dyDescent="0.2">
      <c r="A1955" s="3">
        <v>1954</v>
      </c>
      <c r="B1955" s="4" t="s">
        <v>1769</v>
      </c>
      <c r="C1955" s="4" t="s">
        <v>1705</v>
      </c>
      <c r="D1955" s="3" t="str">
        <f>VLOOKUP(C1955,layoffs_location!A:B,2,FALSE)</f>
        <v>San Francisco Bay Area</v>
      </c>
      <c r="E1955" s="3" t="str">
        <f>VLOOKUP(C1955,layoffs_location!A:C,3,FALSE)</f>
        <v>California</v>
      </c>
      <c r="F1955" s="3" t="str">
        <f>VLOOKUP(C1955,layoffs_location!A:D,4,FALSE)</f>
        <v>USA</v>
      </c>
      <c r="G1955" s="3" t="str">
        <f>VLOOKUP(C1955,layoffs_location!A:E,5,FALSE)</f>
        <v>North America</v>
      </c>
      <c r="H1955" s="23">
        <v>250</v>
      </c>
      <c r="I1955" s="24">
        <v>45539</v>
      </c>
      <c r="J1955" s="47">
        <v>15</v>
      </c>
      <c r="K1955" s="25">
        <f>SUM((Table13[[#This Row],[Laid_Off]]*100)/Table13[[#This Row],[Percentage]])</f>
        <v>1666.6666666666667</v>
      </c>
      <c r="L1955" s="25">
        <f>SUM(Table13[[#This Row],[Company_Size_before_Layoffs]]-Table13[[#This Row],[Laid_Off]])</f>
        <v>1416.6666666666667</v>
      </c>
      <c r="M1955" s="4" t="s">
        <v>155</v>
      </c>
      <c r="N1955" s="4" t="s">
        <v>1879</v>
      </c>
      <c r="O1955" s="27">
        <v>1.4</v>
      </c>
      <c r="P1955" s="4">
        <v>2024</v>
      </c>
      <c r="Q1955" s="3">
        <f>VLOOKUP(C1955,layoffs_location!A:F,6,FALSE)</f>
        <v>37.287166999999997</v>
      </c>
      <c r="R1955" s="3">
        <f>VLOOKUP(C1955,layoffs_location!A:G,7,FALSE)</f>
        <v>-121.94995900000001</v>
      </c>
    </row>
    <row r="1956" spans="1:18" ht="16" x14ac:dyDescent="0.2">
      <c r="A1956" s="3">
        <v>1955</v>
      </c>
      <c r="B1956" s="4" t="s">
        <v>1770</v>
      </c>
      <c r="C1956" s="4" t="s">
        <v>154</v>
      </c>
      <c r="D1956" s="3" t="str">
        <f>VLOOKUP(C1956,layoffs_location!A:B,2,FALSE)</f>
        <v>other</v>
      </c>
      <c r="E1956" s="3" t="str">
        <f>VLOOKUP(C1956,layoffs_location!A:C,3,FALSE)</f>
        <v>Illinois</v>
      </c>
      <c r="F1956" s="3" t="str">
        <f>VLOOKUP(C1956,layoffs_location!A:D,4,FALSE)</f>
        <v>USA</v>
      </c>
      <c r="G1956" s="3" t="str">
        <f>VLOOKUP(C1956,layoffs_location!A:E,5,FALSE)</f>
        <v>North America</v>
      </c>
      <c r="H1956" s="23">
        <v>40</v>
      </c>
      <c r="I1956" s="24">
        <v>45539</v>
      </c>
      <c r="J1956" s="5"/>
      <c r="K1956" s="25"/>
      <c r="L1956" s="25"/>
      <c r="M1956" s="4" t="s">
        <v>239</v>
      </c>
      <c r="N1956" s="4" t="s">
        <v>1880</v>
      </c>
      <c r="O1956" s="27">
        <v>110</v>
      </c>
      <c r="P1956" s="4">
        <v>2024</v>
      </c>
      <c r="Q1956" s="3">
        <f>VLOOKUP(C1956,layoffs_location!A:F,6,FALSE)</f>
        <v>41.875561599999997</v>
      </c>
      <c r="R1956" s="3">
        <f>VLOOKUP(C1956,layoffs_location!A:G,7,FALSE)</f>
        <v>-87.6244212</v>
      </c>
    </row>
    <row r="1957" spans="1:18" ht="16" x14ac:dyDescent="0.2">
      <c r="A1957" s="3">
        <v>1956</v>
      </c>
      <c r="B1957" s="4" t="s">
        <v>1771</v>
      </c>
      <c r="C1957" s="4" t="s">
        <v>1370</v>
      </c>
      <c r="D1957" s="3" t="str">
        <f>VLOOKUP(C1957,layoffs_location!A:B,2,FALSE)</f>
        <v>San Francisco Bay Area</v>
      </c>
      <c r="E1957" s="3" t="str">
        <f>VLOOKUP(C1957,layoffs_location!A:C,3,FALSE)</f>
        <v>California</v>
      </c>
      <c r="F1957" s="3" t="str">
        <f>VLOOKUP(C1957,layoffs_location!A:D,4,FALSE)</f>
        <v>USA</v>
      </c>
      <c r="G1957" s="3" t="str">
        <f>VLOOKUP(C1957,layoffs_location!A:E,5,FALSE)</f>
        <v>North America</v>
      </c>
      <c r="H1957" s="23">
        <v>30</v>
      </c>
      <c r="I1957" s="24">
        <v>45539</v>
      </c>
      <c r="J1957" s="47">
        <v>1</v>
      </c>
      <c r="K1957" s="25">
        <f>SUM((Table13[[#This Row],[Laid_Off]]*100)/Table13[[#This Row],[Percentage]])</f>
        <v>3000</v>
      </c>
      <c r="L1957" s="25">
        <f>SUM(Table13[[#This Row],[Company_Size_before_Layoffs]]-Table13[[#This Row],[Laid_Off]])</f>
        <v>2970</v>
      </c>
      <c r="M1957" s="4" t="s">
        <v>1958</v>
      </c>
      <c r="N1957" s="4" t="s">
        <v>1882</v>
      </c>
      <c r="O1957" s="27">
        <v>4.9000000000000004</v>
      </c>
      <c r="P1957" s="4">
        <v>2024</v>
      </c>
      <c r="Q1957" s="3">
        <f>VLOOKUP(C1957,layoffs_location!A:F,6,FALSE)</f>
        <v>37.779258800000001</v>
      </c>
      <c r="R1957" s="3">
        <f>VLOOKUP(C1957,layoffs_location!A:G,7,FALSE)</f>
        <v>-122.4193286</v>
      </c>
    </row>
    <row r="1958" spans="1:18" ht="16" x14ac:dyDescent="0.2">
      <c r="A1958" s="3">
        <v>1957</v>
      </c>
      <c r="B1958" s="4" t="s">
        <v>1767</v>
      </c>
      <c r="C1958" s="4" t="s">
        <v>76</v>
      </c>
      <c r="D1958" s="3" t="str">
        <f>VLOOKUP(C1958,layoffs_location!A:B,2,FALSE)</f>
        <v>other</v>
      </c>
      <c r="E1958" s="3" t="str">
        <f>VLOOKUP(C1958,layoffs_location!A:C,3,FALSE)</f>
        <v>California</v>
      </c>
      <c r="F1958" s="3" t="str">
        <f>VLOOKUP(C1958,layoffs_location!A:D,4,FALSE)</f>
        <v>USA</v>
      </c>
      <c r="G1958" s="3" t="str">
        <f>VLOOKUP(C1958,layoffs_location!A:E,5,FALSE)</f>
        <v>North America</v>
      </c>
      <c r="H1958" s="23">
        <v>39</v>
      </c>
      <c r="I1958" s="24">
        <v>45541</v>
      </c>
      <c r="J1958" s="47">
        <v>18</v>
      </c>
      <c r="K1958" s="25">
        <f>SUM((Table13[[#This Row],[Laid_Off]]*100)/Table13[[#This Row],[Percentage]])</f>
        <v>216.66666666666666</v>
      </c>
      <c r="L1958" s="25">
        <f>SUM(Table13[[#This Row],[Company_Size_before_Layoffs]]-Table13[[#This Row],[Laid_Off]])</f>
        <v>177.66666666666666</v>
      </c>
      <c r="M1958" s="4" t="s">
        <v>1898</v>
      </c>
      <c r="N1958" s="4" t="s">
        <v>1879</v>
      </c>
      <c r="O1958" s="27">
        <v>75</v>
      </c>
      <c r="P1958" s="4">
        <v>2024</v>
      </c>
      <c r="Q1958" s="3">
        <f>VLOOKUP(C1958,layoffs_location!A:F,6,FALSE)</f>
        <v>34.053690899999999</v>
      </c>
      <c r="R1958" s="3">
        <f>VLOOKUP(C1958,layoffs_location!A:G,7,FALSE)</f>
        <v>-118.242766</v>
      </c>
    </row>
    <row r="1959" spans="1:18" ht="16" x14ac:dyDescent="0.2">
      <c r="A1959" s="3">
        <v>1958</v>
      </c>
      <c r="B1959" s="4" t="s">
        <v>1768</v>
      </c>
      <c r="C1959" s="4" t="s">
        <v>71</v>
      </c>
      <c r="D1959" s="3" t="str">
        <f>VLOOKUP(C1959,layoffs_location!A:B,2,FALSE)</f>
        <v>other</v>
      </c>
      <c r="E1959" s="3" t="str">
        <f>VLOOKUP(C1959,layoffs_location!A:C,3,FALSE)</f>
        <v>Massachusetts</v>
      </c>
      <c r="F1959" s="3" t="str">
        <f>VLOOKUP(C1959,layoffs_location!A:D,4,FALSE)</f>
        <v>USA</v>
      </c>
      <c r="G1959" s="3" t="str">
        <f>VLOOKUP(C1959,layoffs_location!A:E,5,FALSE)</f>
        <v>North America</v>
      </c>
      <c r="H1959" s="4"/>
      <c r="I1959" s="24">
        <v>45541</v>
      </c>
      <c r="J1959" s="47">
        <v>100</v>
      </c>
      <c r="K1959" s="25"/>
      <c r="L1959" s="25">
        <f>SUM(Table13[[#This Row],[Company_Size_before_Layoffs]]-Table13[[#This Row],[Laid_Off]])</f>
        <v>0</v>
      </c>
      <c r="M1959" s="4" t="s">
        <v>1896</v>
      </c>
      <c r="N1959" s="4" t="s">
        <v>1879</v>
      </c>
      <c r="O1959" s="27">
        <v>343</v>
      </c>
      <c r="P1959" s="4">
        <v>2024</v>
      </c>
      <c r="Q1959" s="3">
        <f>VLOOKUP(C1959,layoffs_location!A:F,6,FALSE)</f>
        <v>42.355433400000003</v>
      </c>
      <c r="R1959" s="3">
        <f>VLOOKUP(C1959,layoffs_location!A:G,7,FALSE)</f>
        <v>-71.060511000000005</v>
      </c>
    </row>
    <row r="1960" spans="1:18" ht="16" x14ac:dyDescent="0.2">
      <c r="A1960" s="3">
        <v>1959</v>
      </c>
      <c r="B1960" s="4" t="s">
        <v>1766</v>
      </c>
      <c r="C1960" s="4" t="s">
        <v>99</v>
      </c>
      <c r="D1960" s="3" t="str">
        <f>VLOOKUP(C1960,layoffs_location!A:B,2,FALSE)</f>
        <v>other</v>
      </c>
      <c r="E1960" s="3" t="str">
        <f>VLOOKUP(C1960,layoffs_location!A:C,3,FALSE)</f>
        <v>non</v>
      </c>
      <c r="F1960" s="3" t="str">
        <f>VLOOKUP(C1960,layoffs_location!A:D,4,FALSE)</f>
        <v>Netherlands</v>
      </c>
      <c r="G1960" s="3" t="str">
        <f>VLOOKUP(C1960,layoffs_location!A:E,5,FALSE)</f>
        <v>Europe</v>
      </c>
      <c r="H1960" s="23">
        <v>260</v>
      </c>
      <c r="I1960" s="24">
        <v>45543</v>
      </c>
      <c r="J1960" s="47">
        <v>75</v>
      </c>
      <c r="K1960" s="25">
        <f>SUM((Table13[[#This Row],[Laid_Off]]*100)/Table13[[#This Row],[Percentage]])</f>
        <v>346.66666666666669</v>
      </c>
      <c r="L1960" s="25">
        <f>SUM(Table13[[#This Row],[Company_Size_before_Layoffs]]-Table13[[#This Row],[Laid_Off]])</f>
        <v>86.666666666666686</v>
      </c>
      <c r="M1960" s="4" t="s">
        <v>1897</v>
      </c>
      <c r="N1960" s="4" t="s">
        <v>1884</v>
      </c>
      <c r="O1960" s="27">
        <v>64</v>
      </c>
      <c r="P1960" s="4">
        <v>2024</v>
      </c>
      <c r="Q1960" s="3">
        <f>VLOOKUP(C1960,layoffs_location!A:F,6,FALSE)</f>
        <v>52.373079599999997</v>
      </c>
      <c r="R1960" s="3">
        <f>VLOOKUP(C1960,layoffs_location!A:G,7,FALSE)</f>
        <v>4.8924534</v>
      </c>
    </row>
    <row r="1961" spans="1:18" ht="16" x14ac:dyDescent="0.2">
      <c r="A1961" s="3">
        <v>1960</v>
      </c>
      <c r="B1961" s="4" t="s">
        <v>1763</v>
      </c>
      <c r="C1961" s="4" t="s">
        <v>743</v>
      </c>
      <c r="D1961" s="3" t="str">
        <f>VLOOKUP(C1961,layoffs_location!A:B,2,FALSE)</f>
        <v>other</v>
      </c>
      <c r="E1961" s="3" t="str">
        <f>VLOOKUP(C1961,layoffs_location!A:C,3,FALSE)</f>
        <v>non</v>
      </c>
      <c r="F1961" s="3" t="str">
        <f>VLOOKUP(C1961,layoffs_location!A:D,4,FALSE)</f>
        <v>Israel</v>
      </c>
      <c r="G1961" s="3" t="str">
        <f>VLOOKUP(C1961,layoffs_location!A:E,5,FALSE)</f>
        <v>Asia</v>
      </c>
      <c r="H1961" s="23">
        <v>100</v>
      </c>
      <c r="I1961" s="24">
        <v>45544</v>
      </c>
      <c r="J1961" s="5"/>
      <c r="K1961" s="25"/>
      <c r="L1961" s="25"/>
      <c r="M1961" s="4" t="s">
        <v>1958</v>
      </c>
      <c r="N1961" s="4" t="s">
        <v>1882</v>
      </c>
      <c r="O1961" s="27">
        <v>2.1</v>
      </c>
      <c r="P1961" s="4">
        <v>2024</v>
      </c>
      <c r="Q1961" s="3">
        <f>VLOOKUP(C1961,layoffs_location!A:F,6,FALSE)</f>
        <v>31.788471850000001</v>
      </c>
      <c r="R1961" s="3">
        <f>VLOOKUP(C1961,layoffs_location!A:G,7,FALSE)</f>
        <v>35.218794410944902</v>
      </c>
    </row>
    <row r="1962" spans="1:18" ht="16" x14ac:dyDescent="0.2">
      <c r="A1962" s="3">
        <v>1961</v>
      </c>
      <c r="B1962" s="4" t="s">
        <v>1764</v>
      </c>
      <c r="C1962" s="4" t="s">
        <v>748</v>
      </c>
      <c r="D1962" s="3" t="str">
        <f>VLOOKUP(C1962,layoffs_location!A:B,2,FALSE)</f>
        <v>other</v>
      </c>
      <c r="E1962" s="3" t="str">
        <f>VLOOKUP(C1962,layoffs_location!A:C,3,FALSE)</f>
        <v>Delhi</v>
      </c>
      <c r="F1962" s="3" t="str">
        <f>VLOOKUP(C1962,layoffs_location!A:D,4,FALSE)</f>
        <v>India</v>
      </c>
      <c r="G1962" s="3" t="str">
        <f>VLOOKUP(C1962,layoffs_location!A:E,5,FALSE)</f>
        <v>Asia</v>
      </c>
      <c r="H1962" s="4"/>
      <c r="I1962" s="24">
        <v>45544</v>
      </c>
      <c r="J1962" s="47">
        <v>100</v>
      </c>
      <c r="K1962" s="25"/>
      <c r="L1962" s="25">
        <f>SUM(Table13[[#This Row],[Company_Size_before_Layoffs]]-Table13[[#This Row],[Laid_Off]])</f>
        <v>0</v>
      </c>
      <c r="M1962" s="4" t="s">
        <v>1902</v>
      </c>
      <c r="N1962" s="4" t="s">
        <v>1885</v>
      </c>
      <c r="O1962" s="27"/>
      <c r="P1962" s="4">
        <v>2024</v>
      </c>
      <c r="Q1962" s="3">
        <f>VLOOKUP(C1962,layoffs_location!A:F,6,FALSE)</f>
        <v>28.613895400000001</v>
      </c>
      <c r="R1962" s="3">
        <f>VLOOKUP(C1962,layoffs_location!A:G,7,FALSE)</f>
        <v>77.209005700000006</v>
      </c>
    </row>
    <row r="1963" spans="1:18" ht="16" x14ac:dyDescent="0.2">
      <c r="A1963" s="3">
        <v>1962</v>
      </c>
      <c r="B1963" s="4" t="s">
        <v>1765</v>
      </c>
      <c r="C1963" s="4" t="s">
        <v>43</v>
      </c>
      <c r="D1963" s="3" t="str">
        <f>VLOOKUP(C1963,layoffs_location!A:B,2,FALSE)</f>
        <v>Cascadia</v>
      </c>
      <c r="E1963" s="3" t="str">
        <f>VLOOKUP(C1963,layoffs_location!A:C,3,FALSE)</f>
        <v>Washington</v>
      </c>
      <c r="F1963" s="3" t="str">
        <f>VLOOKUP(C1963,layoffs_location!A:D,4,FALSE)</f>
        <v>USA</v>
      </c>
      <c r="G1963" s="3" t="str">
        <f>VLOOKUP(C1963,layoffs_location!A:E,5,FALSE)</f>
        <v>North America</v>
      </c>
      <c r="H1963" s="4"/>
      <c r="I1963" s="24">
        <v>45544</v>
      </c>
      <c r="J1963" s="47">
        <v>100</v>
      </c>
      <c r="K1963" s="25"/>
      <c r="L1963" s="25">
        <f>SUM(Table13[[#This Row],[Company_Size_before_Layoffs]]-Table13[[#This Row],[Laid_Off]])</f>
        <v>0</v>
      </c>
      <c r="M1963" s="4" t="s">
        <v>1908</v>
      </c>
      <c r="N1963" s="4" t="s">
        <v>1879</v>
      </c>
      <c r="O1963" s="27">
        <v>19</v>
      </c>
      <c r="P1963" s="4">
        <v>2024</v>
      </c>
      <c r="Q1963" s="3">
        <f>VLOOKUP(C1963,layoffs_location!A:F,6,FALSE)</f>
        <v>47.603832099999998</v>
      </c>
      <c r="R1963" s="3">
        <f>VLOOKUP(C1963,layoffs_location!A:G,7,FALSE)</f>
        <v>-122.330062</v>
      </c>
    </row>
    <row r="1964" spans="1:18" ht="16" x14ac:dyDescent="0.2">
      <c r="A1964" s="3">
        <v>1963</v>
      </c>
      <c r="B1964" s="4" t="s">
        <v>1762</v>
      </c>
      <c r="C1964" s="4" t="s">
        <v>1370</v>
      </c>
      <c r="D1964" s="3" t="str">
        <f>VLOOKUP(C1964,layoffs_location!A:B,2,FALSE)</f>
        <v>San Francisco Bay Area</v>
      </c>
      <c r="E1964" s="3" t="str">
        <f>VLOOKUP(C1964,layoffs_location!A:C,3,FALSE)</f>
        <v>California</v>
      </c>
      <c r="F1964" s="3" t="str">
        <f>VLOOKUP(C1964,layoffs_location!A:D,4,FALSE)</f>
        <v>USA</v>
      </c>
      <c r="G1964" s="3" t="str">
        <f>VLOOKUP(C1964,layoffs_location!A:E,5,FALSE)</f>
        <v>North America</v>
      </c>
      <c r="H1964" s="23">
        <v>280</v>
      </c>
      <c r="I1964" s="24">
        <v>45546</v>
      </c>
      <c r="J1964" s="5"/>
      <c r="K1964" s="25"/>
      <c r="L1964" s="25"/>
      <c r="M1964" s="4" t="s">
        <v>1895</v>
      </c>
      <c r="N1964" s="4" t="s">
        <v>1882</v>
      </c>
      <c r="O1964" s="27">
        <v>311</v>
      </c>
      <c r="P1964" s="4">
        <v>2024</v>
      </c>
      <c r="Q1964" s="3">
        <f>VLOOKUP(C1964,layoffs_location!A:F,6,FALSE)</f>
        <v>37.779258800000001</v>
      </c>
      <c r="R1964" s="3">
        <f>VLOOKUP(C1964,layoffs_location!A:G,7,FALSE)</f>
        <v>-122.4193286</v>
      </c>
    </row>
    <row r="1965" spans="1:18" ht="16" x14ac:dyDescent="0.2">
      <c r="A1965" s="3">
        <v>1964</v>
      </c>
      <c r="B1965" s="4" t="s">
        <v>1760</v>
      </c>
      <c r="C1965" s="4" t="s">
        <v>4589</v>
      </c>
      <c r="D1965" s="3" t="str">
        <f>VLOOKUP(C1965,layoffs_location!A:B,2,FALSE)</f>
        <v>Cascadia</v>
      </c>
      <c r="E1965" s="3" t="str">
        <f>VLOOKUP(C1965,layoffs_location!A:C,3,FALSE)</f>
        <v>Washington</v>
      </c>
      <c r="F1965" s="3" t="str">
        <f>VLOOKUP(C1965,layoffs_location!A:D,4,FALSE)</f>
        <v>USA</v>
      </c>
      <c r="G1965" s="3" t="str">
        <f>VLOOKUP(C1965,layoffs_location!A:E,5,FALSE)</f>
        <v>Asia</v>
      </c>
      <c r="H1965" s="23">
        <v>650</v>
      </c>
      <c r="I1965" s="24">
        <v>45547</v>
      </c>
      <c r="J1965" s="5"/>
      <c r="K1965" s="25"/>
      <c r="L1965" s="25"/>
      <c r="M1965" s="4" t="s">
        <v>1897</v>
      </c>
      <c r="N1965" s="4" t="s">
        <v>1882</v>
      </c>
      <c r="O1965" s="27">
        <v>1</v>
      </c>
      <c r="P1965" s="4">
        <v>2024</v>
      </c>
      <c r="Q1965" s="3">
        <f>VLOOKUP(C1965,layoffs_location!A:F,6,FALSE)</f>
        <v>47.645404522430098</v>
      </c>
      <c r="R1965" s="3">
        <f>VLOOKUP(C1965,layoffs_location!A:G,7,FALSE)</f>
        <v>-122.13299976733499</v>
      </c>
    </row>
    <row r="1966" spans="1:18" ht="16" x14ac:dyDescent="0.2">
      <c r="A1966" s="3">
        <v>1965</v>
      </c>
      <c r="B1966" s="4" t="s">
        <v>1761</v>
      </c>
      <c r="C1966" s="4" t="s">
        <v>43</v>
      </c>
      <c r="D1966" s="3" t="str">
        <f>VLOOKUP(C1966,layoffs_location!A:B,2,FALSE)</f>
        <v>Cascadia</v>
      </c>
      <c r="E1966" s="3" t="str">
        <f>VLOOKUP(C1966,layoffs_location!A:C,3,FALSE)</f>
        <v>Washington</v>
      </c>
      <c r="F1966" s="3" t="str">
        <f>VLOOKUP(C1966,layoffs_location!A:D,4,FALSE)</f>
        <v>USA</v>
      </c>
      <c r="G1966" s="3" t="str">
        <f>VLOOKUP(C1966,layoffs_location!A:E,5,FALSE)</f>
        <v>North America</v>
      </c>
      <c r="H1966" s="4"/>
      <c r="I1966" s="24">
        <v>45547</v>
      </c>
      <c r="J1966" s="47">
        <v>13</v>
      </c>
      <c r="K1966" s="25"/>
      <c r="L1966" s="25">
        <f>SUM(Table13[[#This Row],[Company_Size_before_Layoffs]]-Table13[[#This Row],[Laid_Off]])</f>
        <v>0</v>
      </c>
      <c r="M1966" s="4" t="s">
        <v>1901</v>
      </c>
      <c r="N1966" s="4" t="s">
        <v>1883</v>
      </c>
      <c r="O1966" s="27">
        <v>187</v>
      </c>
      <c r="P1966" s="4">
        <v>2024</v>
      </c>
      <c r="Q1966" s="3">
        <f>VLOOKUP(C1966,layoffs_location!A:F,6,FALSE)</f>
        <v>47.603832099999998</v>
      </c>
      <c r="R1966" s="3">
        <f>VLOOKUP(C1966,layoffs_location!A:G,7,FALSE)</f>
        <v>-122.330062</v>
      </c>
    </row>
    <row r="1967" spans="1:18" ht="16" x14ac:dyDescent="0.2">
      <c r="A1967" s="3">
        <v>1966</v>
      </c>
      <c r="B1967" s="4" t="s">
        <v>1759</v>
      </c>
      <c r="C1967" s="4" t="s">
        <v>1738</v>
      </c>
      <c r="D1967" s="3" t="str">
        <f>VLOOKUP(C1967,layoffs_location!A:B,2,FALSE)</f>
        <v>other</v>
      </c>
      <c r="E1967" s="3" t="str">
        <f>VLOOKUP(C1967,layoffs_location!A:C,3,FALSE)</f>
        <v>non</v>
      </c>
      <c r="F1967" s="3" t="str">
        <f>VLOOKUP(C1967,layoffs_location!A:D,4,FALSE)</f>
        <v>Austria</v>
      </c>
      <c r="G1967" s="3" t="str">
        <f>VLOOKUP(C1967,layoffs_location!A:E,5,FALSE)</f>
        <v>Europe</v>
      </c>
      <c r="H1967" s="23">
        <v>170</v>
      </c>
      <c r="I1967" s="24">
        <v>45551</v>
      </c>
      <c r="J1967" s="5"/>
      <c r="K1967" s="25"/>
      <c r="L1967" s="25"/>
      <c r="M1967" s="4" t="s">
        <v>1911</v>
      </c>
      <c r="N1967" s="4" t="s">
        <v>1884</v>
      </c>
      <c r="O1967" s="27"/>
      <c r="P1967" s="4">
        <v>2024</v>
      </c>
      <c r="Q1967" s="3">
        <f>VLOOKUP(C1967,layoffs_location!A:F,6,FALSE)</f>
        <v>48.30639</v>
      </c>
      <c r="R1967" s="3">
        <f>VLOOKUP(C1967,layoffs_location!A:G,7,FALSE)</f>
        <v>14.286110000000001</v>
      </c>
    </row>
    <row r="1968" spans="1:18" ht="16" x14ac:dyDescent="0.2">
      <c r="A1968" s="3">
        <v>1967</v>
      </c>
      <c r="B1968" s="4" t="s">
        <v>1757</v>
      </c>
      <c r="C1968" s="4" t="s">
        <v>748</v>
      </c>
      <c r="D1968" s="3" t="str">
        <f>VLOOKUP(C1968,layoffs_location!A:B,2,FALSE)</f>
        <v>other</v>
      </c>
      <c r="E1968" s="3" t="str">
        <f>VLOOKUP(C1968,layoffs_location!A:C,3,FALSE)</f>
        <v>Delhi</v>
      </c>
      <c r="F1968" s="3" t="str">
        <f>VLOOKUP(C1968,layoffs_location!A:D,4,FALSE)</f>
        <v>India</v>
      </c>
      <c r="G1968" s="3" t="str">
        <f>VLOOKUP(C1968,layoffs_location!A:E,5,FALSE)</f>
        <v>Asia</v>
      </c>
      <c r="H1968" s="23">
        <v>80</v>
      </c>
      <c r="I1968" s="24">
        <v>45553</v>
      </c>
      <c r="J1968" s="5"/>
      <c r="K1968" s="25"/>
      <c r="L1968" s="25"/>
      <c r="M1968" s="4" t="s">
        <v>1895</v>
      </c>
      <c r="N1968" s="4" t="s">
        <v>1884</v>
      </c>
      <c r="O1968" s="27"/>
      <c r="P1968" s="4">
        <v>2024</v>
      </c>
      <c r="Q1968" s="3">
        <f>VLOOKUP(C1968,layoffs_location!A:F,6,FALSE)</f>
        <v>28.613895400000001</v>
      </c>
      <c r="R1968" s="3">
        <f>VLOOKUP(C1968,layoffs_location!A:G,7,FALSE)</f>
        <v>77.209005700000006</v>
      </c>
    </row>
    <row r="1969" spans="1:18" ht="16" x14ac:dyDescent="0.2">
      <c r="A1969" s="3">
        <v>1968</v>
      </c>
      <c r="B1969" s="4" t="s">
        <v>1758</v>
      </c>
      <c r="C1969" s="4" t="s">
        <v>39</v>
      </c>
      <c r="D1969" s="3" t="str">
        <f>VLOOKUP(C1969,layoffs_location!A:B,2,FALSE)</f>
        <v>New York</v>
      </c>
      <c r="E1969" s="3" t="str">
        <f>VLOOKUP(C1969,layoffs_location!A:C,3,FALSE)</f>
        <v>New York</v>
      </c>
      <c r="F1969" s="3" t="str">
        <f>VLOOKUP(C1969,layoffs_location!A:D,4,FALSE)</f>
        <v>USA</v>
      </c>
      <c r="G1969" s="3" t="str">
        <f>VLOOKUP(C1969,layoffs_location!A:E,5,FALSE)</f>
        <v>North America</v>
      </c>
      <c r="H1969" s="4"/>
      <c r="I1969" s="24">
        <v>45553</v>
      </c>
      <c r="J1969" s="5"/>
      <c r="K1969" s="25"/>
      <c r="L1969" s="25"/>
      <c r="M1969" s="4" t="s">
        <v>1910</v>
      </c>
      <c r="N1969" s="4" t="s">
        <v>1882</v>
      </c>
      <c r="O1969" s="27"/>
      <c r="P1969" s="4">
        <v>2024</v>
      </c>
      <c r="Q1969" s="3">
        <f>VLOOKUP(C1969,layoffs_location!A:F,6,FALSE)</f>
        <v>40.7127281</v>
      </c>
      <c r="R1969" s="3">
        <f>VLOOKUP(C1969,layoffs_location!A:G,7,FALSE)</f>
        <v>-74.006015199999993</v>
      </c>
    </row>
    <row r="1970" spans="1:18" ht="16" x14ac:dyDescent="0.2">
      <c r="A1970" s="3">
        <v>1969</v>
      </c>
      <c r="B1970" s="4" t="s">
        <v>1755</v>
      </c>
      <c r="C1970" s="4" t="s">
        <v>217</v>
      </c>
      <c r="D1970" s="3" t="str">
        <f>VLOOKUP(C1970,layoffs_location!A:B,2,FALSE)</f>
        <v>other</v>
      </c>
      <c r="E1970" s="3" t="str">
        <f>VLOOKUP(C1970,layoffs_location!A:C,3,FALSE)</f>
        <v>non</v>
      </c>
      <c r="F1970" s="3" t="str">
        <f>VLOOKUP(C1970,layoffs_location!A:D,4,FALSE)</f>
        <v>Ireland</v>
      </c>
      <c r="G1970" s="3" t="str">
        <f>VLOOKUP(C1970,layoffs_location!A:E,5,FALSE)</f>
        <v>Europe</v>
      </c>
      <c r="H1970" s="23">
        <v>40</v>
      </c>
      <c r="I1970" s="24">
        <v>45554</v>
      </c>
      <c r="J1970" s="47">
        <v>10</v>
      </c>
      <c r="K1970" s="25">
        <f>SUM((Table13[[#This Row],[Laid_Off]]*100)/Table13[[#This Row],[Percentage]])</f>
        <v>400</v>
      </c>
      <c r="L1970" s="25">
        <f>SUM(Table13[[#This Row],[Company_Size_before_Layoffs]]-Table13[[#This Row],[Laid_Off]])</f>
        <v>360</v>
      </c>
      <c r="M1970" s="4" t="s">
        <v>1958</v>
      </c>
      <c r="N1970" s="4" t="s">
        <v>1884</v>
      </c>
      <c r="O1970" s="27"/>
      <c r="P1970" s="4">
        <v>2024</v>
      </c>
      <c r="Q1970" s="3">
        <f>VLOOKUP(C1970,layoffs_location!A:F,6,FALSE)</f>
        <v>53.349379499999998</v>
      </c>
      <c r="R1970" s="3">
        <f>VLOOKUP(C1970,layoffs_location!A:G,7,FALSE)</f>
        <v>-6.2605592999999997</v>
      </c>
    </row>
    <row r="1971" spans="1:18" ht="16" x14ac:dyDescent="0.2">
      <c r="A1971" s="3">
        <v>1970</v>
      </c>
      <c r="B1971" s="4" t="s">
        <v>1756</v>
      </c>
      <c r="C1971" s="4" t="s">
        <v>621</v>
      </c>
      <c r="D1971" s="3" t="str">
        <f>VLOOKUP(C1971,layoffs_location!A:B,2,FALSE)</f>
        <v>other</v>
      </c>
      <c r="E1971" s="3" t="str">
        <f>VLOOKUP(C1971,layoffs_location!A:C,3,FALSE)</f>
        <v>Ontario</v>
      </c>
      <c r="F1971" s="3" t="str">
        <f>VLOOKUP(C1971,layoffs_location!A:D,4,FALSE)</f>
        <v>Canada</v>
      </c>
      <c r="G1971" s="3" t="str">
        <f>VLOOKUP(C1971,layoffs_location!A:E,5,FALSE)</f>
        <v>North America</v>
      </c>
      <c r="H1971" s="4"/>
      <c r="I1971" s="24">
        <v>45554</v>
      </c>
      <c r="J1971" s="47">
        <v>4</v>
      </c>
      <c r="K1971" s="25"/>
      <c r="L1971" s="25"/>
      <c r="M1971" s="4" t="s">
        <v>1895</v>
      </c>
      <c r="N1971" s="4" t="s">
        <v>1883</v>
      </c>
      <c r="O1971" s="27">
        <v>483</v>
      </c>
      <c r="P1971" s="4">
        <v>2024</v>
      </c>
      <c r="Q1971" s="3">
        <f>VLOOKUP(C1971,layoffs_location!A:F,6,FALSE)</f>
        <v>43.465269900000003</v>
      </c>
      <c r="R1971" s="3">
        <f>VLOOKUP(C1971,layoffs_location!A:G,7,FALSE)</f>
        <v>-80.522296100000005</v>
      </c>
    </row>
    <row r="1972" spans="1:18" ht="16" x14ac:dyDescent="0.2">
      <c r="A1972" s="3">
        <v>1971</v>
      </c>
      <c r="B1972" s="4" t="s">
        <v>1752</v>
      </c>
      <c r="C1972" s="4" t="s">
        <v>154</v>
      </c>
      <c r="D1972" s="3" t="str">
        <f>VLOOKUP(C1972,layoffs_location!A:B,2,FALSE)</f>
        <v>other</v>
      </c>
      <c r="E1972" s="3" t="str">
        <f>VLOOKUP(C1972,layoffs_location!A:C,3,FALSE)</f>
        <v>Illinois</v>
      </c>
      <c r="F1972" s="3" t="str">
        <f>VLOOKUP(C1972,layoffs_location!A:D,4,FALSE)</f>
        <v>USA</v>
      </c>
      <c r="G1972" s="3" t="str">
        <f>VLOOKUP(C1972,layoffs_location!A:E,5,FALSE)</f>
        <v>North America</v>
      </c>
      <c r="H1972" s="23">
        <v>40</v>
      </c>
      <c r="I1972" s="24">
        <v>45555</v>
      </c>
      <c r="J1972" s="5"/>
      <c r="K1972" s="25"/>
      <c r="L1972" s="25"/>
      <c r="M1972" s="4" t="s">
        <v>1898</v>
      </c>
      <c r="N1972" s="4" t="s">
        <v>1884</v>
      </c>
      <c r="O1972" s="27">
        <v>47</v>
      </c>
      <c r="P1972" s="4">
        <v>2024</v>
      </c>
      <c r="Q1972" s="3">
        <f>VLOOKUP(C1972,layoffs_location!A:F,6,FALSE)</f>
        <v>41.875561599999997</v>
      </c>
      <c r="R1972" s="3">
        <f>VLOOKUP(C1972,layoffs_location!A:G,7,FALSE)</f>
        <v>-87.6244212</v>
      </c>
    </row>
    <row r="1973" spans="1:18" ht="16" x14ac:dyDescent="0.2">
      <c r="A1973" s="3">
        <v>1972</v>
      </c>
      <c r="B1973" s="4" t="s">
        <v>1753</v>
      </c>
      <c r="C1973" s="4" t="s">
        <v>1475</v>
      </c>
      <c r="D1973" s="3" t="str">
        <f>VLOOKUP(C1973,layoffs_location!A:B,2,FALSE)</f>
        <v>other</v>
      </c>
      <c r="E1973" s="3" t="str">
        <f>VLOOKUP(C1973,layoffs_location!A:C,3,FALSE)</f>
        <v>Florida</v>
      </c>
      <c r="F1973" s="3" t="str">
        <f>VLOOKUP(C1973,layoffs_location!A:D,4,FALSE)</f>
        <v>USA</v>
      </c>
      <c r="G1973" s="3" t="str">
        <f>VLOOKUP(C1973,layoffs_location!A:E,5,FALSE)</f>
        <v>North America</v>
      </c>
      <c r="H1973" s="4"/>
      <c r="I1973" s="24">
        <v>45555</v>
      </c>
      <c r="J1973" s="47">
        <v>15</v>
      </c>
      <c r="K1973" s="25"/>
      <c r="L1973" s="25"/>
      <c r="M1973" s="4" t="s">
        <v>1958</v>
      </c>
      <c r="N1973" s="4" t="s">
        <v>1882</v>
      </c>
      <c r="O1973" s="27">
        <v>780</v>
      </c>
      <c r="P1973" s="4">
        <v>2024</v>
      </c>
      <c r="Q1973" s="3">
        <f>VLOOKUP(C1973,layoffs_location!A:F,6,FALSE)</f>
        <v>28.542110900000001</v>
      </c>
      <c r="R1973" s="3">
        <f>VLOOKUP(C1973,layoffs_location!A:G,7,FALSE)</f>
        <v>-81.379030400000005</v>
      </c>
    </row>
    <row r="1974" spans="1:18" ht="16" x14ac:dyDescent="0.2">
      <c r="A1974" s="3">
        <v>1973</v>
      </c>
      <c r="B1974" s="4" t="s">
        <v>1754</v>
      </c>
      <c r="C1974" s="4" t="s">
        <v>1737</v>
      </c>
      <c r="D1974" s="3" t="str">
        <f>VLOOKUP(C1974,layoffs_location!A:B,2,FALSE)</f>
        <v>San Francisco Bay Area</v>
      </c>
      <c r="E1974" s="3" t="str">
        <f>VLOOKUP(C1974,layoffs_location!A:C,3,FALSE)</f>
        <v>California</v>
      </c>
      <c r="F1974" s="3" t="str">
        <f>VLOOKUP(C1974,layoffs_location!A:D,4,FALSE)</f>
        <v>USA</v>
      </c>
      <c r="G1974" s="3" t="str">
        <f>VLOOKUP(C1974,layoffs_location!A:E,5,FALSE)</f>
        <v>North America</v>
      </c>
      <c r="H1974" s="4"/>
      <c r="I1974" s="24">
        <v>45555</v>
      </c>
      <c r="J1974" s="47">
        <v>65</v>
      </c>
      <c r="K1974" s="25"/>
      <c r="L1974" s="25"/>
      <c r="M1974" s="4" t="s">
        <v>1892</v>
      </c>
      <c r="N1974" s="4" t="s">
        <v>1881</v>
      </c>
      <c r="O1974" s="27"/>
      <c r="P1974" s="4">
        <v>2024</v>
      </c>
      <c r="Q1974" s="3">
        <f>VLOOKUP(C1974,layoffs_location!A:F,6,FALSE)</f>
        <v>37.561881100000001</v>
      </c>
      <c r="R1974" s="3">
        <f>VLOOKUP(C1974,layoffs_location!A:G,7,FALSE)</f>
        <v>-122.266445</v>
      </c>
    </row>
    <row r="1975" spans="1:18" ht="16" x14ac:dyDescent="0.2">
      <c r="A1975" s="3">
        <v>1974</v>
      </c>
      <c r="B1975" s="4" t="s">
        <v>1751</v>
      </c>
      <c r="C1975" s="67" t="s">
        <v>47</v>
      </c>
      <c r="D1975" s="3" t="str">
        <f>VLOOKUP(C1975,layoffs_location!A:B,2,FALSE)</f>
        <v>other</v>
      </c>
      <c r="E1975" s="3" t="str">
        <f>VLOOKUP(C1975,layoffs_location!A:C,3,FALSE)</f>
        <v>non</v>
      </c>
      <c r="F1975" s="3" t="str">
        <f>VLOOKUP(C1975,layoffs_location!A:D,4,FALSE)</f>
        <v>Israel</v>
      </c>
      <c r="G1975" s="3" t="str">
        <f>VLOOKUP(C1975,layoffs_location!A:E,5,FALSE)</f>
        <v>Asia</v>
      </c>
      <c r="H1975" s="23">
        <v>40</v>
      </c>
      <c r="I1975" s="24">
        <v>45557</v>
      </c>
      <c r="J1975" s="47">
        <v>30</v>
      </c>
      <c r="K1975" s="25">
        <f>SUM((Table13[[#This Row],[Laid_Off]]*100)/Table13[[#This Row],[Percentage]])</f>
        <v>133.33333333333334</v>
      </c>
      <c r="L1975" s="25">
        <f>SUM(Table13[[#This Row],[Company_Size_before_Layoffs]]-Table13[[#This Row],[Laid_Off]])</f>
        <v>93.333333333333343</v>
      </c>
      <c r="M1975" s="4" t="s">
        <v>1892</v>
      </c>
      <c r="N1975" s="4" t="s">
        <v>1883</v>
      </c>
      <c r="O1975" s="27">
        <v>185</v>
      </c>
      <c r="P1975" s="4">
        <v>2024</v>
      </c>
      <c r="Q1975" s="3">
        <f>VLOOKUP(C1975,layoffs_location!A:F,6,FALSE)</f>
        <v>32.0852997</v>
      </c>
      <c r="R1975" s="3">
        <f>VLOOKUP(C1975,layoffs_location!A:G,7,FALSE)</f>
        <v>34.781806400000001</v>
      </c>
    </row>
    <row r="1976" spans="1:18" ht="16" x14ac:dyDescent="0.2">
      <c r="A1976" s="3">
        <v>1975</v>
      </c>
      <c r="B1976" s="4" t="s">
        <v>1745</v>
      </c>
      <c r="C1976" s="4" t="s">
        <v>51</v>
      </c>
      <c r="D1976" s="3" t="str">
        <f>VLOOKUP(C1976,layoffs_location!A:B,2,FALSE)</f>
        <v>other</v>
      </c>
      <c r="E1976" s="3" t="str">
        <f>VLOOKUP(C1976,layoffs_location!A:C,3,FALSE)</f>
        <v>non</v>
      </c>
      <c r="F1976" s="3" t="str">
        <f>VLOOKUP(C1976,layoffs_location!A:D,4,FALSE)</f>
        <v>Sweden</v>
      </c>
      <c r="G1976" s="3" t="str">
        <f>VLOOKUP(C1976,layoffs_location!A:E,5,FALSE)</f>
        <v>Europe</v>
      </c>
      <c r="H1976" s="23">
        <v>1600</v>
      </c>
      <c r="I1976" s="24">
        <v>45558</v>
      </c>
      <c r="J1976" s="47">
        <v>20</v>
      </c>
      <c r="K1976" s="25">
        <f>SUM((Table13[[#This Row],[Laid_Off]]*100)/Table13[[#This Row],[Percentage]])</f>
        <v>8000</v>
      </c>
      <c r="L1976" s="25">
        <f>SUM(Table13[[#This Row],[Company_Size_before_Layoffs]]-Table13[[#This Row],[Laid_Off]])</f>
        <v>6400</v>
      </c>
      <c r="M1976" s="4" t="s">
        <v>1908</v>
      </c>
      <c r="N1976" s="4" t="s">
        <v>1879</v>
      </c>
      <c r="O1976" s="27">
        <v>13.8</v>
      </c>
      <c r="P1976" s="4">
        <v>2024</v>
      </c>
      <c r="Q1976" s="3">
        <f>VLOOKUP(C1976,layoffs_location!A:F,6,FALSE)</f>
        <v>59.325117200000001</v>
      </c>
      <c r="R1976" s="3">
        <f>VLOOKUP(C1976,layoffs_location!A:G,7,FALSE)</f>
        <v>18.0710935</v>
      </c>
    </row>
    <row r="1977" spans="1:18" ht="16" x14ac:dyDescent="0.2">
      <c r="A1977" s="3">
        <v>1976</v>
      </c>
      <c r="B1977" s="4" t="s">
        <v>1750</v>
      </c>
      <c r="C1977" s="4" t="s">
        <v>39</v>
      </c>
      <c r="D1977" s="3" t="str">
        <f>VLOOKUP(C1977,layoffs_location!A:B,2,FALSE)</f>
        <v>New York</v>
      </c>
      <c r="E1977" s="3" t="str">
        <f>VLOOKUP(C1977,layoffs_location!A:C,3,FALSE)</f>
        <v>New York</v>
      </c>
      <c r="F1977" s="3" t="str">
        <f>VLOOKUP(C1977,layoffs_location!A:D,4,FALSE)</f>
        <v>USA</v>
      </c>
      <c r="G1977" s="3" t="str">
        <f>VLOOKUP(C1977,layoffs_location!A:E,5,FALSE)</f>
        <v>North America</v>
      </c>
      <c r="H1977" s="4"/>
      <c r="I1977" s="24">
        <v>45558</v>
      </c>
      <c r="J1977" s="47">
        <v>9</v>
      </c>
      <c r="K1977" s="25"/>
      <c r="L1977" s="25"/>
      <c r="M1977" s="4" t="s">
        <v>1896</v>
      </c>
      <c r="N1977" s="4" t="s">
        <v>1882</v>
      </c>
      <c r="O1977" s="27">
        <v>184</v>
      </c>
      <c r="P1977" s="4">
        <v>2024</v>
      </c>
      <c r="Q1977" s="3">
        <f>VLOOKUP(C1977,layoffs_location!A:F,6,FALSE)</f>
        <v>40.7127281</v>
      </c>
      <c r="R1977" s="3">
        <f>VLOOKUP(C1977,layoffs_location!A:G,7,FALSE)</f>
        <v>-74.006015199999993</v>
      </c>
    </row>
    <row r="1978" spans="1:18" ht="16" x14ac:dyDescent="0.2">
      <c r="A1978" s="3">
        <v>1977</v>
      </c>
      <c r="B1978" s="36" t="s">
        <v>1748</v>
      </c>
      <c r="C1978" s="36" t="s">
        <v>1891</v>
      </c>
      <c r="D1978" s="3" t="str">
        <f>VLOOKUP(C1978,layoffs_location!A:B,2,FALSE)</f>
        <v>other</v>
      </c>
      <c r="E1978" s="3" t="str">
        <f>VLOOKUP(C1978,layoffs_location!A:C,3,FALSE)</f>
        <v>Tennessee</v>
      </c>
      <c r="F1978" s="3" t="str">
        <f>VLOOKUP(C1978,layoffs_location!A:D,4,FALSE)</f>
        <v>USA</v>
      </c>
      <c r="G1978" s="3" t="str">
        <f>VLOOKUP(C1978,layoffs_location!A:E,5,FALSE)</f>
        <v>North America</v>
      </c>
      <c r="H1978" s="42">
        <v>16</v>
      </c>
      <c r="I1978" s="43">
        <v>45559</v>
      </c>
      <c r="J1978" s="44"/>
      <c r="K1978" s="25"/>
      <c r="L1978" s="25"/>
      <c r="M1978" s="36" t="s">
        <v>1900</v>
      </c>
      <c r="N1978" s="65" t="s">
        <v>1696</v>
      </c>
      <c r="O1978" s="45">
        <v>92</v>
      </c>
      <c r="P1978" s="36">
        <v>2024</v>
      </c>
      <c r="Q1978" s="3">
        <f>VLOOKUP(C1978,layoffs_location!A:F,6,FALSE)</f>
        <v>35.045631</v>
      </c>
      <c r="R1978" s="3">
        <f>VLOOKUP(C1978,layoffs_location!A:G,7,FALSE)</f>
        <v>-85.309676999999994</v>
      </c>
    </row>
    <row r="1979" spans="1:18" ht="16" x14ac:dyDescent="0.2">
      <c r="A1979" s="3">
        <v>1978</v>
      </c>
      <c r="B1979" s="4" t="s">
        <v>1749</v>
      </c>
      <c r="C1979" s="4" t="s">
        <v>43</v>
      </c>
      <c r="D1979" s="3" t="str">
        <f>VLOOKUP(C1979,layoffs_location!A:B,2,FALSE)</f>
        <v>Cascadia</v>
      </c>
      <c r="E1979" s="3" t="str">
        <f>VLOOKUP(C1979,layoffs_location!A:C,3,FALSE)</f>
        <v>Washington</v>
      </c>
      <c r="F1979" s="3" t="str">
        <f>VLOOKUP(C1979,layoffs_location!A:D,4,FALSE)</f>
        <v>USA</v>
      </c>
      <c r="G1979" s="3" t="str">
        <f>VLOOKUP(C1979,layoffs_location!A:E,5,FALSE)</f>
        <v>North America</v>
      </c>
      <c r="H1979" s="4"/>
      <c r="I1979" s="24">
        <v>45559</v>
      </c>
      <c r="J1979" s="5"/>
      <c r="K1979" s="25"/>
      <c r="L1979" s="25"/>
      <c r="M1979" s="4" t="s">
        <v>1909</v>
      </c>
      <c r="N1979" s="4" t="s">
        <v>1882</v>
      </c>
      <c r="O1979" s="27"/>
      <c r="P1979" s="4">
        <v>2024</v>
      </c>
      <c r="Q1979" s="3">
        <f>VLOOKUP(C1979,layoffs_location!A:F,6,FALSE)</f>
        <v>47.603832099999998</v>
      </c>
      <c r="R1979" s="3">
        <f>VLOOKUP(C1979,layoffs_location!A:G,7,FALSE)</f>
        <v>-122.330062</v>
      </c>
    </row>
    <row r="1980" spans="1:18" ht="16" x14ac:dyDescent="0.2">
      <c r="A1980" s="3">
        <v>1979</v>
      </c>
      <c r="B1980" s="4" t="s">
        <v>1747</v>
      </c>
      <c r="C1980" s="4" t="s">
        <v>1736</v>
      </c>
      <c r="D1980" s="3" t="str">
        <f>VLOOKUP(C1980,layoffs_location!A:B,2,FALSE)</f>
        <v>other</v>
      </c>
      <c r="E1980" s="3" t="str">
        <f>VLOOKUP(C1980,layoffs_location!A:C,3,FALSE)</f>
        <v>Iowa</v>
      </c>
      <c r="F1980" s="3" t="str">
        <f>VLOOKUP(C1980,layoffs_location!A:D,4,FALSE)</f>
        <v>USA</v>
      </c>
      <c r="G1980" s="3" t="str">
        <f>VLOOKUP(C1980,layoffs_location!A:E,5,FALSE)</f>
        <v>North America</v>
      </c>
      <c r="H1980" s="23">
        <v>50</v>
      </c>
      <c r="I1980" s="24">
        <v>45560</v>
      </c>
      <c r="J1980" s="5"/>
      <c r="K1980" s="25"/>
      <c r="L1980" s="25"/>
      <c r="M1980" s="4" t="s">
        <v>1893</v>
      </c>
      <c r="N1980" s="4" t="s">
        <v>1881</v>
      </c>
      <c r="O1980" s="27">
        <v>77</v>
      </c>
      <c r="P1980" s="4">
        <v>2024</v>
      </c>
      <c r="Q1980" s="3">
        <f>VLOOKUP(C1980,layoffs_location!A:F,6,FALSE)</f>
        <v>42.534900999999998</v>
      </c>
      <c r="R1980" s="3">
        <f>VLOOKUP(C1980,layoffs_location!A:G,7,FALSE)</f>
        <v>-92.445312000000001</v>
      </c>
    </row>
    <row r="1981" spans="1:18" ht="16" x14ac:dyDescent="0.2">
      <c r="A1981" s="3">
        <v>1980</v>
      </c>
      <c r="B1981" s="4" t="s">
        <v>1746</v>
      </c>
      <c r="C1981" s="4" t="s">
        <v>74</v>
      </c>
      <c r="D1981" s="3" t="str">
        <f>VLOOKUP(C1981,layoffs_location!A:B,2,FALSE)</f>
        <v>other</v>
      </c>
      <c r="E1981" s="3" t="str">
        <f>VLOOKUP(C1981,layoffs_location!A:C,3,FALSE)</f>
        <v>California</v>
      </c>
      <c r="F1981" s="3" t="str">
        <f>VLOOKUP(C1981,layoffs_location!A:D,4,FALSE)</f>
        <v>USA</v>
      </c>
      <c r="G1981" s="3" t="str">
        <f>VLOOKUP(C1981,layoffs_location!A:E,5,FALSE)</f>
        <v>North America</v>
      </c>
      <c r="H1981" s="23">
        <v>40</v>
      </c>
      <c r="I1981" s="24">
        <v>45561</v>
      </c>
      <c r="J1981" s="47">
        <v>9</v>
      </c>
      <c r="K1981" s="25">
        <f>SUM((Table13[[#This Row],[Laid_Off]]*100)/Table13[[#This Row],[Percentage]])</f>
        <v>444.44444444444446</v>
      </c>
      <c r="L1981" s="25">
        <f>SUM(Table13[[#This Row],[Company_Size_before_Layoffs]]-Table13[[#This Row],[Laid_Off]])</f>
        <v>404.44444444444446</v>
      </c>
      <c r="M1981" s="4" t="s">
        <v>1909</v>
      </c>
      <c r="N1981" s="4" t="s">
        <v>1880</v>
      </c>
      <c r="O1981" s="27">
        <v>328</v>
      </c>
      <c r="P1981" s="4">
        <v>2024</v>
      </c>
      <c r="Q1981" s="3">
        <f>VLOOKUP(C1981,layoffs_location!A:F,6,FALSE)</f>
        <v>32.717420199999999</v>
      </c>
      <c r="R1981" s="3">
        <f>VLOOKUP(C1981,layoffs_location!A:G,7,FALSE)</f>
        <v>-117.162772</v>
      </c>
    </row>
    <row r="1982" spans="1:18" ht="16" x14ac:dyDescent="0.2">
      <c r="A1982" s="3">
        <v>1981</v>
      </c>
      <c r="B1982" s="4" t="s">
        <v>2023</v>
      </c>
      <c r="C1982" s="4" t="s">
        <v>2024</v>
      </c>
      <c r="D1982" s="3" t="str">
        <f>VLOOKUP(C1982,layoffs_location!A:B,2,FALSE)</f>
        <v>other</v>
      </c>
      <c r="E1982" s="3" t="str">
        <f>VLOOKUP(C1982,layoffs_location!A:C,3,FALSE)</f>
        <v>non</v>
      </c>
      <c r="F1982" s="3" t="str">
        <f>VLOOKUP(C1982,layoffs_location!A:D,4,FALSE)</f>
        <v>Cyprus</v>
      </c>
      <c r="G1982" s="3" t="str">
        <f>VLOOKUP(C1982,layoffs_location!A:E,5,FALSE)</f>
        <v>Europe</v>
      </c>
      <c r="H1982" s="23">
        <v>200</v>
      </c>
      <c r="I1982" s="24">
        <v>45566</v>
      </c>
      <c r="J1982" s="5"/>
      <c r="K1982" s="25"/>
      <c r="L1982" s="25"/>
      <c r="M1982" s="4" t="s">
        <v>79</v>
      </c>
      <c r="N1982" s="4" t="s">
        <v>22</v>
      </c>
      <c r="O1982" s="27">
        <v>6</v>
      </c>
      <c r="P1982" s="23">
        <v>2024</v>
      </c>
      <c r="Q1982" s="3">
        <f>VLOOKUP(C1982,layoffs_location!A:F,6,FALSE)</f>
        <v>35.166665999999999</v>
      </c>
      <c r="R1982" s="3">
        <f>VLOOKUP(C1982,layoffs_location!A:G,7,FALSE)</f>
        <v>33.3666652</v>
      </c>
    </row>
    <row r="1983" spans="1:18" ht="16" x14ac:dyDescent="0.2">
      <c r="A1983" s="3">
        <v>1982</v>
      </c>
      <c r="B1983" s="4" t="s">
        <v>374</v>
      </c>
      <c r="C1983" s="4" t="s">
        <v>179</v>
      </c>
      <c r="D1983" s="3" t="str">
        <f>VLOOKUP(C1983,layoffs_location!A:B,2,FALSE)</f>
        <v>other</v>
      </c>
      <c r="E1983" s="3" t="str">
        <f>VLOOKUP(C1983,layoffs_location!A:C,3,FALSE)</f>
        <v>Ontario</v>
      </c>
      <c r="F1983" s="3" t="str">
        <f>VLOOKUP(C1983,layoffs_location!A:D,4,FALSE)</f>
        <v>Canada</v>
      </c>
      <c r="G1983" s="3" t="str">
        <f>VLOOKUP(C1983,layoffs_location!A:E,5,FALSE)</f>
        <v>North America</v>
      </c>
      <c r="H1983" s="23">
        <v>140</v>
      </c>
      <c r="I1983" s="24">
        <v>45566</v>
      </c>
      <c r="J1983" s="5"/>
      <c r="K1983" s="25"/>
      <c r="L1983" s="25"/>
      <c r="M1983" s="4" t="s">
        <v>35</v>
      </c>
      <c r="N1983" s="4" t="s">
        <v>22</v>
      </c>
      <c r="O1983" s="27">
        <v>331</v>
      </c>
      <c r="P1983" s="23">
        <v>2024</v>
      </c>
      <c r="Q1983" s="3">
        <f>VLOOKUP(C1983,layoffs_location!A:F,6,FALSE)</f>
        <v>43.6534817</v>
      </c>
      <c r="R1983" s="3">
        <f>VLOOKUP(C1983,layoffs_location!A:G,7,FALSE)</f>
        <v>-79.383934699999998</v>
      </c>
    </row>
    <row r="1984" spans="1:18" ht="16" x14ac:dyDescent="0.2">
      <c r="A1984" s="3">
        <v>1983</v>
      </c>
      <c r="B1984" s="4" t="s">
        <v>1379</v>
      </c>
      <c r="C1984" s="4" t="s">
        <v>1370</v>
      </c>
      <c r="D1984" s="3" t="str">
        <f>VLOOKUP(C1984,layoffs_location!A:B,2,FALSE)</f>
        <v>San Francisco Bay Area</v>
      </c>
      <c r="E1984" s="3" t="str">
        <f>VLOOKUP(C1984,layoffs_location!A:C,3,FALSE)</f>
        <v>California</v>
      </c>
      <c r="F1984" s="3" t="str">
        <f>VLOOKUP(C1984,layoffs_location!A:D,4,FALSE)</f>
        <v>USA</v>
      </c>
      <c r="G1984" s="3" t="str">
        <f>VLOOKUP(C1984,layoffs_location!A:E,5,FALSE)</f>
        <v>North America</v>
      </c>
      <c r="H1984" s="23">
        <v>12</v>
      </c>
      <c r="I1984" s="24">
        <v>45567</v>
      </c>
      <c r="J1984" s="5">
        <v>31</v>
      </c>
      <c r="K1984" s="25">
        <f>SUM((Table13[[#This Row],[Laid_Off]]*100)/Table13[[#This Row],[Percentage]])</f>
        <v>38.70967741935484</v>
      </c>
      <c r="L1984" s="25">
        <f>SUM(Table13[[#This Row],[Company_Size_before_Layoffs]]-Table13[[#This Row],[Laid_Off]])</f>
        <v>26.70967741935484</v>
      </c>
      <c r="M1984" s="4" t="s">
        <v>92</v>
      </c>
      <c r="N1984" s="4" t="s">
        <v>49</v>
      </c>
      <c r="O1984" s="27">
        <v>75</v>
      </c>
      <c r="P1984" s="23">
        <v>2024</v>
      </c>
      <c r="Q1984" s="3">
        <f>VLOOKUP(C1984,layoffs_location!A:F,6,FALSE)</f>
        <v>37.779258800000001</v>
      </c>
      <c r="R1984" s="3">
        <f>VLOOKUP(C1984,layoffs_location!A:G,7,FALSE)</f>
        <v>-122.4193286</v>
      </c>
    </row>
    <row r="1985" spans="1:18" ht="16" x14ac:dyDescent="0.2">
      <c r="A1985" s="3">
        <v>1984</v>
      </c>
      <c r="B1985" s="4" t="s">
        <v>2022</v>
      </c>
      <c r="C1985" s="4" t="s">
        <v>39</v>
      </c>
      <c r="D1985" s="3" t="str">
        <f>VLOOKUP(C1985,layoffs_location!A:B,2,FALSE)</f>
        <v>New York</v>
      </c>
      <c r="E1985" s="3" t="str">
        <f>VLOOKUP(C1985,layoffs_location!A:C,3,FALSE)</f>
        <v>New York</v>
      </c>
      <c r="F1985" s="3" t="str">
        <f>VLOOKUP(C1985,layoffs_location!A:D,4,FALSE)</f>
        <v>USA</v>
      </c>
      <c r="G1985" s="3" t="str">
        <f>VLOOKUP(C1985,layoffs_location!A:E,5,FALSE)</f>
        <v>North America</v>
      </c>
      <c r="H1985" s="4"/>
      <c r="I1985" s="24">
        <v>45567</v>
      </c>
      <c r="J1985" s="5"/>
      <c r="K1985" s="25"/>
      <c r="L1985" s="25"/>
      <c r="M1985" s="4" t="s">
        <v>21</v>
      </c>
      <c r="N1985" s="4" t="s">
        <v>108</v>
      </c>
      <c r="O1985" s="27">
        <v>220</v>
      </c>
      <c r="P1985" s="23">
        <v>2024</v>
      </c>
      <c r="Q1985" s="3">
        <f>VLOOKUP(C1985,layoffs_location!A:F,6,FALSE)</f>
        <v>40.7127281</v>
      </c>
      <c r="R1985" s="3">
        <f>VLOOKUP(C1985,layoffs_location!A:G,7,FALSE)</f>
        <v>-74.006015199999993</v>
      </c>
    </row>
    <row r="1986" spans="1:18" ht="16" x14ac:dyDescent="0.2">
      <c r="A1986" s="3">
        <v>1985</v>
      </c>
      <c r="B1986" s="4" t="s">
        <v>554</v>
      </c>
      <c r="C1986" s="4" t="s">
        <v>1370</v>
      </c>
      <c r="D1986" s="3" t="str">
        <f>VLOOKUP(C1986,layoffs_location!A:B,2,FALSE)</f>
        <v>San Francisco Bay Area</v>
      </c>
      <c r="E1986" s="3" t="str">
        <f>VLOOKUP(C1986,layoffs_location!A:C,3,FALSE)</f>
        <v>California</v>
      </c>
      <c r="F1986" s="3" t="str">
        <f>VLOOKUP(C1986,layoffs_location!A:D,4,FALSE)</f>
        <v>USA</v>
      </c>
      <c r="G1986" s="3" t="str">
        <f>VLOOKUP(C1986,layoffs_location!A:E,5,FALSE)</f>
        <v>North America</v>
      </c>
      <c r="H1986" s="4"/>
      <c r="I1986" s="24">
        <v>45567</v>
      </c>
      <c r="J1986" s="5">
        <v>2</v>
      </c>
      <c r="K1986" s="25"/>
      <c r="L1986" s="25"/>
      <c r="M1986" s="4" t="s">
        <v>90</v>
      </c>
      <c r="N1986" s="4" t="s">
        <v>36</v>
      </c>
      <c r="O1986" s="27">
        <v>2.4</v>
      </c>
      <c r="P1986" s="23">
        <v>2024</v>
      </c>
      <c r="Q1986" s="3">
        <f>VLOOKUP(C1986,layoffs_location!A:F,6,FALSE)</f>
        <v>37.779258800000001</v>
      </c>
      <c r="R1986" s="3">
        <f>VLOOKUP(C1986,layoffs_location!A:G,7,FALSE)</f>
        <v>-122.4193286</v>
      </c>
    </row>
    <row r="1987" spans="1:18" ht="16" x14ac:dyDescent="0.2">
      <c r="A1987" s="3">
        <v>1986</v>
      </c>
      <c r="B1987" s="4" t="s">
        <v>2019</v>
      </c>
      <c r="C1987" s="4" t="s">
        <v>1370</v>
      </c>
      <c r="D1987" s="3" t="str">
        <f>VLOOKUP(C1987,layoffs_location!A:B,2,FALSE)</f>
        <v>San Francisco Bay Area</v>
      </c>
      <c r="E1987" s="3" t="str">
        <f>VLOOKUP(C1987,layoffs_location!A:C,3,FALSE)</f>
        <v>California</v>
      </c>
      <c r="F1987" s="3" t="str">
        <f>VLOOKUP(C1987,layoffs_location!A:D,4,FALSE)</f>
        <v>USA</v>
      </c>
      <c r="G1987" s="3" t="str">
        <f>VLOOKUP(C1987,layoffs_location!A:E,5,FALSE)</f>
        <v>North America</v>
      </c>
      <c r="H1987" s="23">
        <v>500</v>
      </c>
      <c r="I1987" s="24">
        <v>45572</v>
      </c>
      <c r="J1987" s="5">
        <v>100</v>
      </c>
      <c r="K1987" s="25">
        <f>SUM((Table13[[#This Row],[Laid_Off]]*100)/Table13[[#This Row],[Percentage]])</f>
        <v>500</v>
      </c>
      <c r="L1987" s="25">
        <f>SUM(Table13[[#This Row],[Company_Size_before_Layoffs]]-Table13[[#This Row],[Laid_Off]])</f>
        <v>0</v>
      </c>
      <c r="M1987" s="4" t="s">
        <v>16</v>
      </c>
      <c r="N1987" s="4" t="s">
        <v>108</v>
      </c>
      <c r="O1987" s="27">
        <v>202</v>
      </c>
      <c r="P1987" s="23">
        <v>2024</v>
      </c>
      <c r="Q1987" s="3">
        <f>VLOOKUP(C1987,layoffs_location!A:F,6,FALSE)</f>
        <v>37.779258800000001</v>
      </c>
      <c r="R1987" s="3">
        <f>VLOOKUP(C1987,layoffs_location!A:G,7,FALSE)</f>
        <v>-122.4193286</v>
      </c>
    </row>
    <row r="1988" spans="1:18" ht="16" x14ac:dyDescent="0.2">
      <c r="A1988" s="3">
        <v>1987</v>
      </c>
      <c r="B1988" s="4" t="s">
        <v>2020</v>
      </c>
      <c r="C1988" s="4" t="s">
        <v>1710</v>
      </c>
      <c r="D1988" s="3" t="str">
        <f>VLOOKUP(C1988,layoffs_location!A:B,2,FALSE)</f>
        <v>San Francisco Bay Area</v>
      </c>
      <c r="E1988" s="3" t="str">
        <f>VLOOKUP(C1988,layoffs_location!A:C,3,FALSE)</f>
        <v>California</v>
      </c>
      <c r="F1988" s="3" t="str">
        <f>VLOOKUP(C1988,layoffs_location!A:D,4,FALSE)</f>
        <v>USA</v>
      </c>
      <c r="G1988" s="3" t="str">
        <f>VLOOKUP(C1988,layoffs_location!A:E,5,FALSE)</f>
        <v>North America</v>
      </c>
      <c r="H1988" s="23">
        <v>12</v>
      </c>
      <c r="I1988" s="24">
        <v>45572</v>
      </c>
      <c r="J1988" s="5">
        <v>1</v>
      </c>
      <c r="K1988" s="25">
        <f>SUM((Table13[[#This Row],[Laid_Off]]*100)/Table13[[#This Row],[Percentage]])</f>
        <v>1200</v>
      </c>
      <c r="L1988" s="25">
        <f>SUM(Table13[[#This Row],[Company_Size_before_Layoffs]]-Table13[[#This Row],[Laid_Off]])</f>
        <v>1188</v>
      </c>
      <c r="M1988" s="4" t="s">
        <v>130</v>
      </c>
      <c r="N1988" s="4" t="s">
        <v>28</v>
      </c>
      <c r="O1988" s="27">
        <v>63</v>
      </c>
      <c r="P1988" s="23">
        <v>2024</v>
      </c>
      <c r="Q1988" s="3">
        <f>VLOOKUP(C1988,layoffs_location!A:F,6,FALSE)</f>
        <v>37.486323900000002</v>
      </c>
      <c r="R1988" s="3">
        <f>VLOOKUP(C1988,layoffs_location!A:G,7,FALSE)</f>
        <v>-122.232523</v>
      </c>
    </row>
    <row r="1989" spans="1:18" ht="16" x14ac:dyDescent="0.2">
      <c r="A1989" s="3">
        <v>1988</v>
      </c>
      <c r="B1989" s="4" t="s">
        <v>2021</v>
      </c>
      <c r="C1989" s="4" t="s">
        <v>71</v>
      </c>
      <c r="D1989" s="3" t="str">
        <f>VLOOKUP(C1989,layoffs_location!A:B,2,FALSE)</f>
        <v>other</v>
      </c>
      <c r="E1989" s="3" t="str">
        <f>VLOOKUP(C1989,layoffs_location!A:C,3,FALSE)</f>
        <v>Massachusetts</v>
      </c>
      <c r="F1989" s="3" t="str">
        <f>VLOOKUP(C1989,layoffs_location!A:D,4,FALSE)</f>
        <v>USA</v>
      </c>
      <c r="G1989" s="3" t="str">
        <f>VLOOKUP(C1989,layoffs_location!A:E,5,FALSE)</f>
        <v>North America</v>
      </c>
      <c r="H1989" s="4"/>
      <c r="I1989" s="24">
        <v>45572</v>
      </c>
      <c r="J1989" s="5">
        <v>100</v>
      </c>
      <c r="K1989" s="25"/>
      <c r="L1989" s="25">
        <f>SUM(Table13[[#This Row],[Company_Size_before_Layoffs]]-Table13[[#This Row],[Laid_Off]])</f>
        <v>0</v>
      </c>
      <c r="M1989" s="4" t="s">
        <v>60</v>
      </c>
      <c r="N1989" s="4" t="s">
        <v>28</v>
      </c>
      <c r="O1989" s="27">
        <v>82</v>
      </c>
      <c r="P1989" s="23">
        <v>2024</v>
      </c>
      <c r="Q1989" s="3">
        <f>VLOOKUP(C1989,layoffs_location!A:F,6,FALSE)</f>
        <v>42.355433400000003</v>
      </c>
      <c r="R1989" s="3">
        <f>VLOOKUP(C1989,layoffs_location!A:G,7,FALSE)</f>
        <v>-71.060511000000005</v>
      </c>
    </row>
    <row r="1990" spans="1:18" ht="16" x14ac:dyDescent="0.2">
      <c r="A1990" s="3">
        <v>1989</v>
      </c>
      <c r="B1990" s="4" t="s">
        <v>2017</v>
      </c>
      <c r="C1990" s="4" t="s">
        <v>13</v>
      </c>
      <c r="D1990" s="3" t="str">
        <f>VLOOKUP(C1990,layoffs_location!A:B,2,FALSE)</f>
        <v>other</v>
      </c>
      <c r="E1990" s="3" t="str">
        <f>VLOOKUP(C1990,layoffs_location!A:C,3,FALSE)</f>
        <v>Karnataka</v>
      </c>
      <c r="F1990" s="3" t="str">
        <f>VLOOKUP(C1990,layoffs_location!A:D,4,FALSE)</f>
        <v>India</v>
      </c>
      <c r="G1990" s="3" t="str">
        <f>VLOOKUP(C1990,layoffs_location!A:E,5,FALSE)</f>
        <v>Asia</v>
      </c>
      <c r="H1990" s="23">
        <v>130</v>
      </c>
      <c r="I1990" s="24">
        <v>45573</v>
      </c>
      <c r="J1990" s="5">
        <v>40</v>
      </c>
      <c r="K1990" s="25">
        <f>SUM((Table13[[#This Row],[Laid_Off]]*100)/Table13[[#This Row],[Percentage]])</f>
        <v>325</v>
      </c>
      <c r="L1990" s="25">
        <f>SUM(Table13[[#This Row],[Company_Size_before_Layoffs]]-Table13[[#This Row],[Laid_Off]])</f>
        <v>195</v>
      </c>
      <c r="M1990" s="4" t="s">
        <v>30</v>
      </c>
      <c r="N1990" s="4" t="s">
        <v>69</v>
      </c>
      <c r="O1990" s="27">
        <v>1</v>
      </c>
      <c r="P1990" s="23">
        <v>2024</v>
      </c>
      <c r="Q1990" s="3">
        <f>VLOOKUP(C1990,layoffs_location!A:F,6,FALSE)</f>
        <v>12.98815675</v>
      </c>
      <c r="R1990" s="3">
        <f>VLOOKUP(C1990,layoffs_location!A:G,7,FALSE)</f>
        <v>77.622600037959998</v>
      </c>
    </row>
    <row r="1991" spans="1:18" ht="16" x14ac:dyDescent="0.2">
      <c r="A1991" s="3">
        <v>1990</v>
      </c>
      <c r="B1991" s="4" t="s">
        <v>2018</v>
      </c>
      <c r="C1991" s="4" t="s">
        <v>58</v>
      </c>
      <c r="D1991" s="3" t="str">
        <f>VLOOKUP(C1991,layoffs_location!A:B,2,FALSE)</f>
        <v>other</v>
      </c>
      <c r="E1991" s="3" t="str">
        <f>VLOOKUP(C1991,layoffs_location!A:C,3,FALSE)</f>
        <v>England</v>
      </c>
      <c r="F1991" s="3" t="str">
        <f>VLOOKUP(C1991,layoffs_location!A:D,4,FALSE)</f>
        <v>UK</v>
      </c>
      <c r="G1991" s="3" t="str">
        <f>VLOOKUP(C1991,layoffs_location!A:E,5,FALSE)</f>
        <v>Europe</v>
      </c>
      <c r="H1991" s="4"/>
      <c r="I1991" s="24">
        <v>45573</v>
      </c>
      <c r="J1991" s="5"/>
      <c r="K1991" s="25"/>
      <c r="L1991" s="25"/>
      <c r="M1991" s="4" t="s">
        <v>77</v>
      </c>
      <c r="N1991" s="4" t="s">
        <v>49</v>
      </c>
      <c r="O1991" s="27">
        <v>300</v>
      </c>
      <c r="P1991" s="23">
        <v>2024</v>
      </c>
      <c r="Q1991" s="3">
        <f>VLOOKUP(C1991,layoffs_location!A:F,6,FALSE)</f>
        <v>51.489333500000001</v>
      </c>
      <c r="R1991" s="3">
        <f>VLOOKUP(C1991,layoffs_location!A:G,7,FALSE)</f>
        <v>-0.14405508452768701</v>
      </c>
    </row>
    <row r="1992" spans="1:18" ht="16" x14ac:dyDescent="0.2">
      <c r="A1992" s="3">
        <v>1991</v>
      </c>
      <c r="B1992" s="4" t="s">
        <v>141</v>
      </c>
      <c r="C1992" s="4" t="s">
        <v>1716</v>
      </c>
      <c r="D1992" s="3" t="str">
        <f>VLOOKUP(C1992,layoffs_location!A:B,2,FALSE)</f>
        <v>San Francisco Bay Area</v>
      </c>
      <c r="E1992" s="3" t="str">
        <f>VLOOKUP(C1992,layoffs_location!A:C,3,FALSE)</f>
        <v>California</v>
      </c>
      <c r="F1992" s="3" t="str">
        <f>VLOOKUP(C1992,layoffs_location!A:D,4,FALSE)</f>
        <v>USA</v>
      </c>
      <c r="G1992" s="3" t="str">
        <f>VLOOKUP(C1992,layoffs_location!A:E,5,FALSE)</f>
        <v>North America</v>
      </c>
      <c r="H1992" s="4"/>
      <c r="I1992" s="24">
        <v>45574</v>
      </c>
      <c r="J1992" s="5">
        <v>100</v>
      </c>
      <c r="K1992" s="25"/>
      <c r="L1992" s="25">
        <f>SUM(Table13[[#This Row],[Company_Size_before_Layoffs]]-Table13[[#This Row],[Laid_Off]])</f>
        <v>0</v>
      </c>
      <c r="M1992" s="4" t="s">
        <v>77</v>
      </c>
      <c r="N1992" s="4" t="s">
        <v>22</v>
      </c>
      <c r="O1992" s="27">
        <v>4</v>
      </c>
      <c r="P1992" s="23">
        <v>2024</v>
      </c>
      <c r="Q1992" s="3">
        <f>VLOOKUP(C1992,layoffs_location!A:F,6,FALSE)</f>
        <v>37.8708393</v>
      </c>
      <c r="R1992" s="3">
        <f>VLOOKUP(C1992,layoffs_location!A:G,7,FALSE)</f>
        <v>-122.272863</v>
      </c>
    </row>
    <row r="1993" spans="1:18" ht="16" x14ac:dyDescent="0.2">
      <c r="A1993" s="3">
        <v>1992</v>
      </c>
      <c r="B1993" s="4" t="s">
        <v>2014</v>
      </c>
      <c r="C1993" s="4" t="s">
        <v>154</v>
      </c>
      <c r="D1993" s="3" t="str">
        <f>VLOOKUP(C1993,layoffs_location!A:B,2,FALSE)</f>
        <v>other</v>
      </c>
      <c r="E1993" s="3" t="str">
        <f>VLOOKUP(C1993,layoffs_location!A:C,3,FALSE)</f>
        <v>Illinois</v>
      </c>
      <c r="F1993" s="3" t="str">
        <f>VLOOKUP(C1993,layoffs_location!A:D,4,FALSE)</f>
        <v>USA</v>
      </c>
      <c r="G1993" s="3" t="str">
        <f>VLOOKUP(C1993,layoffs_location!A:E,5,FALSE)</f>
        <v>North America</v>
      </c>
      <c r="H1993" s="23">
        <v>200</v>
      </c>
      <c r="I1993" s="24">
        <v>45575</v>
      </c>
      <c r="J1993" s="5">
        <v>15</v>
      </c>
      <c r="K1993" s="25">
        <f>SUM((Table13[[#This Row],[Laid_Off]]*100)/Table13[[#This Row],[Percentage]])</f>
        <v>1333.3333333333333</v>
      </c>
      <c r="L1993" s="25">
        <f>SUM(Table13[[#This Row],[Company_Size_before_Layoffs]]-Table13[[#This Row],[Laid_Off]])</f>
        <v>1133.3333333333333</v>
      </c>
      <c r="M1993" s="4" t="s">
        <v>1978</v>
      </c>
      <c r="N1993" s="4" t="s">
        <v>33</v>
      </c>
      <c r="O1993" s="27"/>
      <c r="P1993" s="23">
        <v>2024</v>
      </c>
      <c r="Q1993" s="3">
        <f>VLOOKUP(C1993,layoffs_location!A:F,6,FALSE)</f>
        <v>41.875561599999997</v>
      </c>
      <c r="R1993" s="3">
        <f>VLOOKUP(C1993,layoffs_location!A:G,7,FALSE)</f>
        <v>-87.6244212</v>
      </c>
    </row>
    <row r="1994" spans="1:18" ht="16" x14ac:dyDescent="0.2">
      <c r="A1994" s="3">
        <v>1993</v>
      </c>
      <c r="B1994" s="4" t="s">
        <v>2015</v>
      </c>
      <c r="C1994" s="4" t="s">
        <v>2008</v>
      </c>
      <c r="D1994" s="3" t="str">
        <f>VLOOKUP(C1994,layoffs_location!A:B,2,FALSE)</f>
        <v>other</v>
      </c>
      <c r="E1994" s="3" t="str">
        <f>VLOOKUP(C1994,layoffs_location!A:C,3,FALSE)</f>
        <v>Kentucky</v>
      </c>
      <c r="F1994" s="3" t="str">
        <f>VLOOKUP(C1994,layoffs_location!A:D,4,FALSE)</f>
        <v>USA</v>
      </c>
      <c r="G1994" s="3" t="str">
        <f>VLOOKUP(C1994,layoffs_location!A:E,5,FALSE)</f>
        <v>North America</v>
      </c>
      <c r="H1994" s="4"/>
      <c r="I1994" s="24">
        <v>45575</v>
      </c>
      <c r="J1994" s="5">
        <v>100</v>
      </c>
      <c r="K1994" s="25"/>
      <c r="L1994" s="25">
        <f>SUM(Table13[[#This Row],[Company_Size_before_Layoffs]]-Table13[[#This Row],[Laid_Off]])</f>
        <v>0</v>
      </c>
      <c r="M1994" s="4" t="s">
        <v>30</v>
      </c>
      <c r="N1994" s="4" t="s">
        <v>147</v>
      </c>
      <c r="O1994" s="27">
        <v>8</v>
      </c>
      <c r="P1994" s="23">
        <v>2024</v>
      </c>
      <c r="Q1994" s="3">
        <f>VLOOKUP(C1994,layoffs_location!A:F,6,FALSE)</f>
        <v>38.223999104000001</v>
      </c>
      <c r="R1994" s="3">
        <f>VLOOKUP(C1994,layoffs_location!A:G,7,FALSE)</f>
        <v>-85.742997028000005</v>
      </c>
    </row>
    <row r="1995" spans="1:18" ht="16" x14ac:dyDescent="0.2">
      <c r="A1995" s="3">
        <v>1994</v>
      </c>
      <c r="B1995" s="4" t="s">
        <v>2016</v>
      </c>
      <c r="C1995" s="4" t="s">
        <v>1473</v>
      </c>
      <c r="D1995" s="3" t="str">
        <f>VLOOKUP(C1995,layoffs_location!A:B,2,FALSE)</f>
        <v>San Francisco Bay Area</v>
      </c>
      <c r="E1995" s="3" t="str">
        <f>VLOOKUP(C1995,layoffs_location!A:C,3,FALSE)</f>
        <v>California</v>
      </c>
      <c r="F1995" s="3" t="str">
        <f>VLOOKUP(C1995,layoffs_location!A:D,4,FALSE)</f>
        <v>USA</v>
      </c>
      <c r="G1995" s="3" t="str">
        <f>VLOOKUP(C1995,layoffs_location!A:E,5,FALSE)</f>
        <v>North America</v>
      </c>
      <c r="H1995" s="4"/>
      <c r="I1995" s="24">
        <v>45575</v>
      </c>
      <c r="J1995" s="5"/>
      <c r="K1995" s="25"/>
      <c r="L1995" s="25"/>
      <c r="M1995" s="4" t="s">
        <v>1978</v>
      </c>
      <c r="N1995" s="4" t="s">
        <v>22</v>
      </c>
      <c r="O1995" s="27"/>
      <c r="P1995" s="23">
        <v>2024</v>
      </c>
      <c r="Q1995" s="3">
        <f>VLOOKUP(C1995,layoffs_location!A:F,6,FALSE)</f>
        <v>37.4443293</v>
      </c>
      <c r="R1995" s="3">
        <f>VLOOKUP(C1995,layoffs_location!A:G,7,FALSE)</f>
        <v>-122.1598465</v>
      </c>
    </row>
    <row r="1996" spans="1:18" ht="16" x14ac:dyDescent="0.2">
      <c r="A1996" s="3">
        <v>1995</v>
      </c>
      <c r="B1996" s="4" t="s">
        <v>2011</v>
      </c>
      <c r="C1996" s="4" t="s">
        <v>445</v>
      </c>
      <c r="D1996" s="3" t="str">
        <f>VLOOKUP(C1996,layoffs_location!A:B,2,FALSE)</f>
        <v>other</v>
      </c>
      <c r="E1996" s="3" t="str">
        <f>VLOOKUP(C1996,layoffs_location!A:C,3,FALSE)</f>
        <v>non</v>
      </c>
      <c r="F1996" s="3" t="str">
        <f>VLOOKUP(C1996,layoffs_location!A:D,4,FALSE)</f>
        <v>Indonesia</v>
      </c>
      <c r="G1996" s="3" t="str">
        <f>VLOOKUP(C1996,layoffs_location!A:E,5,FALSE)</f>
        <v>Asia</v>
      </c>
      <c r="H1996" s="23">
        <v>500</v>
      </c>
      <c r="I1996" s="24">
        <v>45576</v>
      </c>
      <c r="J1996" s="5"/>
      <c r="K1996" s="25"/>
      <c r="L1996" s="25"/>
      <c r="M1996" s="4" t="s">
        <v>16</v>
      </c>
      <c r="N1996" s="4" t="s">
        <v>22</v>
      </c>
      <c r="O1996" s="27">
        <v>0.4</v>
      </c>
      <c r="P1996" s="23">
        <v>2024</v>
      </c>
      <c r="Q1996" s="3">
        <f>VLOOKUP(C1996,layoffs_location!A:F,6,FALSE)</f>
        <v>-6.1752469999999997</v>
      </c>
      <c r="R1996" s="3">
        <f>VLOOKUP(C1996,layoffs_location!A:G,7,FALSE)</f>
        <v>106.8270488</v>
      </c>
    </row>
    <row r="1997" spans="1:18" ht="16" x14ac:dyDescent="0.2">
      <c r="A1997" s="3">
        <v>1996</v>
      </c>
      <c r="B1997" s="4" t="s">
        <v>2012</v>
      </c>
      <c r="C1997" s="4" t="s">
        <v>264</v>
      </c>
      <c r="D1997" s="3" t="str">
        <f>VLOOKUP(C1997,layoffs_location!A:B,2,FALSE)</f>
        <v>other</v>
      </c>
      <c r="E1997" s="3" t="str">
        <f>VLOOKUP(C1997,layoffs_location!A:C,3,FALSE)</f>
        <v>Arizona</v>
      </c>
      <c r="F1997" s="3" t="str">
        <f>VLOOKUP(C1997,layoffs_location!A:D,4,FALSE)</f>
        <v>USA</v>
      </c>
      <c r="G1997" s="3" t="str">
        <f>VLOOKUP(C1997,layoffs_location!A:E,5,FALSE)</f>
        <v>North America</v>
      </c>
      <c r="H1997" s="23">
        <v>130</v>
      </c>
      <c r="I1997" s="24">
        <v>45576</v>
      </c>
      <c r="J1997" s="5">
        <v>15</v>
      </c>
      <c r="K1997" s="25">
        <f>SUM((Table13[[#This Row],[Laid_Off]]*100)/Table13[[#This Row],[Percentage]])</f>
        <v>866.66666666666663</v>
      </c>
      <c r="L1997" s="25">
        <f>SUM(Table13[[#This Row],[Company_Size_before_Layoffs]]-Table13[[#This Row],[Laid_Off]])</f>
        <v>736.66666666666663</v>
      </c>
      <c r="M1997" s="4" t="s">
        <v>32</v>
      </c>
      <c r="N1997" s="4" t="s">
        <v>28</v>
      </c>
      <c r="O1997" s="27">
        <v>3.3</v>
      </c>
      <c r="P1997" s="23">
        <v>2024</v>
      </c>
      <c r="Q1997" s="3">
        <f>VLOOKUP(C1997,layoffs_location!A:F,6,FALSE)</f>
        <v>33.448436700000002</v>
      </c>
      <c r="R1997" s="3">
        <f>VLOOKUP(C1997,layoffs_location!A:G,7,FALSE)</f>
        <v>-112.074141</v>
      </c>
    </row>
    <row r="1998" spans="1:18" ht="16" x14ac:dyDescent="0.2">
      <c r="A1998" s="3">
        <v>1997</v>
      </c>
      <c r="B1998" s="4" t="s">
        <v>2013</v>
      </c>
      <c r="C1998" s="4" t="s">
        <v>13</v>
      </c>
      <c r="D1998" s="3" t="str">
        <f>VLOOKUP(C1998,layoffs_location!A:B,2,FALSE)</f>
        <v>other</v>
      </c>
      <c r="E1998" s="3" t="str">
        <f>VLOOKUP(C1998,layoffs_location!A:C,3,FALSE)</f>
        <v>Karnataka</v>
      </c>
      <c r="F1998" s="3" t="str">
        <f>VLOOKUP(C1998,layoffs_location!A:D,4,FALSE)</f>
        <v>India</v>
      </c>
      <c r="G1998" s="3" t="str">
        <f>VLOOKUP(C1998,layoffs_location!A:E,5,FALSE)</f>
        <v>Asia</v>
      </c>
      <c r="H1998" s="4"/>
      <c r="I1998" s="24">
        <v>45576</v>
      </c>
      <c r="J1998" s="5">
        <v>100</v>
      </c>
      <c r="K1998" s="25"/>
      <c r="L1998" s="25">
        <f>SUM(Table13[[#This Row],[Company_Size_before_Layoffs]]-Table13[[#This Row],[Laid_Off]])</f>
        <v>0</v>
      </c>
      <c r="M1998" s="4" t="s">
        <v>92</v>
      </c>
      <c r="N1998" s="4" t="s">
        <v>69</v>
      </c>
      <c r="O1998" s="27">
        <v>17</v>
      </c>
      <c r="P1998" s="23">
        <v>2024</v>
      </c>
      <c r="Q1998" s="3">
        <f>VLOOKUP(C1998,layoffs_location!A:F,6,FALSE)</f>
        <v>12.98815675</v>
      </c>
      <c r="R1998" s="3">
        <f>VLOOKUP(C1998,layoffs_location!A:G,7,FALSE)</f>
        <v>77.622600037959998</v>
      </c>
    </row>
    <row r="1999" spans="1:18" ht="16" x14ac:dyDescent="0.2">
      <c r="A1999" s="3">
        <v>1998</v>
      </c>
      <c r="B1999" s="4" t="s">
        <v>2010</v>
      </c>
      <c r="C1999" s="4" t="s">
        <v>1415</v>
      </c>
      <c r="D1999" s="3" t="str">
        <f>VLOOKUP(C1999,layoffs_location!A:B,2,FALSE)</f>
        <v>San Francisco Bay Area</v>
      </c>
      <c r="E1999" s="3" t="str">
        <f>VLOOKUP(C1999,layoffs_location!A:C,3,FALSE)</f>
        <v>California</v>
      </c>
      <c r="F1999" s="3" t="str">
        <f>VLOOKUP(C1999,layoffs_location!A:D,4,FALSE)</f>
        <v>USA</v>
      </c>
      <c r="G1999" s="3" t="str">
        <f>VLOOKUP(C1999,layoffs_location!A:E,5,FALSE)</f>
        <v>North America</v>
      </c>
      <c r="H1999" s="23">
        <v>6</v>
      </c>
      <c r="I1999" s="24">
        <v>45580</v>
      </c>
      <c r="J1999" s="5"/>
      <c r="K1999" s="25"/>
      <c r="L1999" s="25"/>
      <c r="M1999" s="4" t="s">
        <v>79</v>
      </c>
      <c r="N1999" s="4" t="s">
        <v>33</v>
      </c>
      <c r="O1999" s="27">
        <v>23</v>
      </c>
      <c r="P1999" s="23">
        <v>2024</v>
      </c>
      <c r="Q1999" s="3">
        <f>VLOOKUP(C1999,layoffs_location!A:F,6,FALSE)</f>
        <v>37.354106999999999</v>
      </c>
      <c r="R1999" s="3">
        <f>VLOOKUP(C1999,layoffs_location!A:G,7,FALSE)</f>
        <v>-121.95523799999999</v>
      </c>
    </row>
    <row r="2000" spans="1:18" ht="16" x14ac:dyDescent="0.2">
      <c r="A2000" s="3">
        <v>1999</v>
      </c>
      <c r="B2000" s="4" t="s">
        <v>194</v>
      </c>
      <c r="C2000" s="4" t="s">
        <v>39</v>
      </c>
      <c r="D2000" s="3" t="str">
        <f>VLOOKUP(C2000,layoffs_location!A:B,2,FALSE)</f>
        <v>New York</v>
      </c>
      <c r="E2000" s="3" t="str">
        <f>VLOOKUP(C2000,layoffs_location!A:C,3,FALSE)</f>
        <v>New York</v>
      </c>
      <c r="F2000" s="3" t="str">
        <f>VLOOKUP(C2000,layoffs_location!A:D,4,FALSE)</f>
        <v>USA</v>
      </c>
      <c r="G2000" s="3" t="str">
        <f>VLOOKUP(C2000,layoffs_location!A:E,5,FALSE)</f>
        <v>North America</v>
      </c>
      <c r="H2000" s="4"/>
      <c r="I2000" s="24">
        <v>45580</v>
      </c>
      <c r="J2000" s="5">
        <v>100</v>
      </c>
      <c r="K2000" s="25"/>
      <c r="L2000" s="25">
        <f>SUM(Table13[[#This Row],[Company_Size_before_Layoffs]]-Table13[[#This Row],[Laid_Off]])</f>
        <v>0</v>
      </c>
      <c r="M2000" s="4" t="s">
        <v>48</v>
      </c>
      <c r="N2000" s="4" t="s">
        <v>69</v>
      </c>
      <c r="O2000" s="27">
        <v>1</v>
      </c>
      <c r="P2000" s="23">
        <v>2024</v>
      </c>
      <c r="Q2000" s="3">
        <f>VLOOKUP(C2000,layoffs_location!A:F,6,FALSE)</f>
        <v>40.7127281</v>
      </c>
      <c r="R2000" s="3">
        <f>VLOOKUP(C2000,layoffs_location!A:G,7,FALSE)</f>
        <v>-74.006015199999993</v>
      </c>
    </row>
    <row r="2001" spans="1:18" ht="16" x14ac:dyDescent="0.2">
      <c r="A2001" s="3">
        <v>2000</v>
      </c>
      <c r="B2001" s="4" t="s">
        <v>385</v>
      </c>
      <c r="C2001" s="4" t="s">
        <v>1443</v>
      </c>
      <c r="D2001" s="3" t="str">
        <f>VLOOKUP(C2001,layoffs_location!A:B,2,FALSE)</f>
        <v>San Francisco Bay Area</v>
      </c>
      <c r="E2001" s="3" t="str">
        <f>VLOOKUP(C2001,layoffs_location!A:C,3,FALSE)</f>
        <v>California</v>
      </c>
      <c r="F2001" s="3" t="str">
        <f>VLOOKUP(C2001,layoffs_location!A:D,4,FALSE)</f>
        <v>USA</v>
      </c>
      <c r="G2001" s="3" t="str">
        <f>VLOOKUP(C2001,layoffs_location!A:E,5,FALSE)</f>
        <v>North America</v>
      </c>
      <c r="H2001" s="4"/>
      <c r="I2001" s="24">
        <v>45581</v>
      </c>
      <c r="J2001" s="5"/>
      <c r="K2001" s="25"/>
      <c r="L2001" s="25"/>
      <c r="M2001" s="4" t="s">
        <v>16</v>
      </c>
      <c r="N2001" s="4" t="s">
        <v>28</v>
      </c>
      <c r="O2001" s="27">
        <v>26</v>
      </c>
      <c r="P2001" s="23">
        <v>2024</v>
      </c>
      <c r="Q2001" s="3">
        <f>VLOOKUP(C2001,layoffs_location!A:F,6,FALSE)</f>
        <v>37.451967099999997</v>
      </c>
      <c r="R2001" s="3">
        <f>VLOOKUP(C2001,layoffs_location!A:G,7,FALSE)</f>
        <v>-122.177992</v>
      </c>
    </row>
    <row r="2002" spans="1:18" ht="16" x14ac:dyDescent="0.2">
      <c r="A2002" s="3">
        <v>2001</v>
      </c>
      <c r="B2002" s="4" t="s">
        <v>2009</v>
      </c>
      <c r="C2002" s="4" t="s">
        <v>171</v>
      </c>
      <c r="D2002" s="3" t="str">
        <f>VLOOKUP(C2002,layoffs_location!A:B,2,FALSE)</f>
        <v>other</v>
      </c>
      <c r="E2002" s="3" t="str">
        <f>VLOOKUP(C2002,layoffs_location!A:C,3,FALSE)</f>
        <v>Georgia</v>
      </c>
      <c r="F2002" s="3" t="str">
        <f>VLOOKUP(C2002,layoffs_location!A:D,4,FALSE)</f>
        <v>USA</v>
      </c>
      <c r="G2002" s="3" t="str">
        <f>VLOOKUP(C2002,layoffs_location!A:E,5,FALSE)</f>
        <v>North America</v>
      </c>
      <c r="H2002" s="4"/>
      <c r="I2002" s="24">
        <v>45582</v>
      </c>
      <c r="J2002" s="5">
        <v>100</v>
      </c>
      <c r="K2002" s="25"/>
      <c r="L2002" s="25">
        <f>SUM(Table13[[#This Row],[Company_Size_before_Layoffs]]-Table13[[#This Row],[Laid_Off]])</f>
        <v>0</v>
      </c>
      <c r="M2002" s="4" t="s">
        <v>35</v>
      </c>
      <c r="N2002" s="4" t="s">
        <v>22</v>
      </c>
      <c r="O2002" s="27"/>
      <c r="P2002" s="23">
        <v>2024</v>
      </c>
      <c r="Q2002" s="3">
        <f>VLOOKUP(C2002,layoffs_location!A:F,6,FALSE)</f>
        <v>33.748992399999999</v>
      </c>
      <c r="R2002" s="3">
        <f>VLOOKUP(C2002,layoffs_location!A:G,7,FALSE)</f>
        <v>-84.390264400000007</v>
      </c>
    </row>
    <row r="2003" spans="1:18" ht="16" x14ac:dyDescent="0.2">
      <c r="A2003" s="3">
        <v>2002</v>
      </c>
      <c r="B2003" s="4" t="s">
        <v>323</v>
      </c>
      <c r="C2003" s="4" t="s">
        <v>39</v>
      </c>
      <c r="D2003" s="3" t="str">
        <f>VLOOKUP(C2003,layoffs_location!A:B,2,FALSE)</f>
        <v>New York</v>
      </c>
      <c r="E2003" s="3" t="str">
        <f>VLOOKUP(C2003,layoffs_location!A:C,3,FALSE)</f>
        <v>New York</v>
      </c>
      <c r="F2003" s="3" t="str">
        <f>VLOOKUP(C2003,layoffs_location!A:D,4,FALSE)</f>
        <v>USA</v>
      </c>
      <c r="G2003" s="3" t="str">
        <f>VLOOKUP(C2003,layoffs_location!A:E,5,FALSE)</f>
        <v>North America</v>
      </c>
      <c r="H2003" s="4"/>
      <c r="I2003" s="24">
        <v>45585</v>
      </c>
      <c r="J2003" s="5"/>
      <c r="K2003" s="25"/>
      <c r="L2003" s="25"/>
      <c r="M2003" s="4" t="s">
        <v>84</v>
      </c>
      <c r="N2003" s="4" t="s">
        <v>49</v>
      </c>
      <c r="O2003" s="27">
        <v>140</v>
      </c>
      <c r="P2003" s="23">
        <v>2024</v>
      </c>
      <c r="Q2003" s="3">
        <f>VLOOKUP(C2003,layoffs_location!A:F,6,FALSE)</f>
        <v>40.7127281</v>
      </c>
      <c r="R2003" s="3">
        <f>VLOOKUP(C2003,layoffs_location!A:G,7,FALSE)</f>
        <v>-74.006015199999993</v>
      </c>
    </row>
    <row r="2004" spans="1:18" ht="16" x14ac:dyDescent="0.2">
      <c r="A2004" s="3">
        <v>2003</v>
      </c>
      <c r="B2004" s="4" t="s">
        <v>2007</v>
      </c>
      <c r="C2004" s="4" t="s">
        <v>2008</v>
      </c>
      <c r="D2004" s="3" t="str">
        <f>VLOOKUP(C2004,layoffs_location!A:B,2,FALSE)</f>
        <v>other</v>
      </c>
      <c r="E2004" s="3" t="str">
        <f>VLOOKUP(C2004,layoffs_location!A:C,3,FALSE)</f>
        <v>Kentucky</v>
      </c>
      <c r="F2004" s="3" t="str">
        <f>VLOOKUP(C2004,layoffs_location!A:D,4,FALSE)</f>
        <v>USA</v>
      </c>
      <c r="G2004" s="3" t="str">
        <f>VLOOKUP(C2004,layoffs_location!A:E,5,FALSE)</f>
        <v>North America</v>
      </c>
      <c r="H2004" s="23">
        <v>100</v>
      </c>
      <c r="I2004" s="24">
        <v>45586</v>
      </c>
      <c r="J2004" s="5"/>
      <c r="K2004" s="25"/>
      <c r="L2004" s="25"/>
      <c r="M2004" s="4" t="s">
        <v>139</v>
      </c>
      <c r="N2004" s="4" t="s">
        <v>33</v>
      </c>
      <c r="O2004" s="27">
        <v>4</v>
      </c>
      <c r="P2004" s="23">
        <v>2024</v>
      </c>
      <c r="Q2004" s="3">
        <f>VLOOKUP(C2004,layoffs_location!A:F,6,FALSE)</f>
        <v>38.223999104000001</v>
      </c>
      <c r="R2004" s="3">
        <f>VLOOKUP(C2004,layoffs_location!A:G,7,FALSE)</f>
        <v>-85.742997028000005</v>
      </c>
    </row>
    <row r="2005" spans="1:18" ht="16" x14ac:dyDescent="0.2">
      <c r="A2005" s="3">
        <v>2004</v>
      </c>
      <c r="B2005" s="4" t="s">
        <v>1582</v>
      </c>
      <c r="C2005" s="4" t="s">
        <v>39</v>
      </c>
      <c r="D2005" s="3" t="str">
        <f>VLOOKUP(C2005,layoffs_location!A:B,2,FALSE)</f>
        <v>New York</v>
      </c>
      <c r="E2005" s="3" t="str">
        <f>VLOOKUP(C2005,layoffs_location!A:C,3,FALSE)</f>
        <v>New York</v>
      </c>
      <c r="F2005" s="3" t="str">
        <f>VLOOKUP(C2005,layoffs_location!A:D,4,FALSE)</f>
        <v>USA</v>
      </c>
      <c r="G2005" s="3" t="str">
        <f>VLOOKUP(C2005,layoffs_location!A:E,5,FALSE)</f>
        <v>North America</v>
      </c>
      <c r="H2005" s="23">
        <v>22</v>
      </c>
      <c r="I2005" s="24">
        <v>45586</v>
      </c>
      <c r="J2005" s="5"/>
      <c r="K2005" s="25"/>
      <c r="L2005" s="25"/>
      <c r="M2005" s="4" t="s">
        <v>54</v>
      </c>
      <c r="N2005" s="4" t="s">
        <v>41</v>
      </c>
      <c r="O2005" s="27">
        <v>22</v>
      </c>
      <c r="P2005" s="23">
        <v>2024</v>
      </c>
      <c r="Q2005" s="3">
        <f>VLOOKUP(C2005,layoffs_location!A:F,6,FALSE)</f>
        <v>40.7127281</v>
      </c>
      <c r="R2005" s="3">
        <f>VLOOKUP(C2005,layoffs_location!A:G,7,FALSE)</f>
        <v>-74.006015199999993</v>
      </c>
    </row>
    <row r="2006" spans="1:18" ht="16" x14ac:dyDescent="0.2">
      <c r="A2006" s="3">
        <v>2005</v>
      </c>
      <c r="B2006" s="4" t="s">
        <v>2004</v>
      </c>
      <c r="C2006" s="4" t="s">
        <v>2005</v>
      </c>
      <c r="D2006" s="3" t="str">
        <f>VLOOKUP(C2006,layoffs_location!A:B,2,FALSE)</f>
        <v>other</v>
      </c>
      <c r="E2006" s="3" t="str">
        <f>VLOOKUP(C2006,layoffs_location!A:C,3,FALSE)</f>
        <v>non</v>
      </c>
      <c r="F2006" s="3" t="str">
        <f>VLOOKUP(C2006,layoffs_location!A:D,4,FALSE)</f>
        <v>Malta</v>
      </c>
      <c r="G2006" s="3" t="str">
        <f>VLOOKUP(C2006,layoffs_location!A:E,5,FALSE)</f>
        <v>Europe</v>
      </c>
      <c r="H2006" s="23">
        <v>2</v>
      </c>
      <c r="I2006" s="24">
        <v>45588</v>
      </c>
      <c r="J2006" s="5"/>
      <c r="K2006" s="25"/>
      <c r="L2006" s="25"/>
      <c r="M2006" s="4" t="s">
        <v>130</v>
      </c>
      <c r="N2006" s="4" t="s">
        <v>22</v>
      </c>
      <c r="O2006" s="27"/>
      <c r="P2006" s="23">
        <v>2024</v>
      </c>
      <c r="Q2006" s="3">
        <f>VLOOKUP(C2006,layoffs_location!A:F,6,FALSE)</f>
        <v>35.912500000000001</v>
      </c>
      <c r="R2006" s="3">
        <f>VLOOKUP(C2006,layoffs_location!A:G,7,FALSE)</f>
        <v>14.502219999999999</v>
      </c>
    </row>
    <row r="2007" spans="1:18" ht="16" x14ac:dyDescent="0.2">
      <c r="A2007" s="3">
        <v>2006</v>
      </c>
      <c r="B2007" s="4" t="s">
        <v>308</v>
      </c>
      <c r="C2007" s="4" t="s">
        <v>1370</v>
      </c>
      <c r="D2007" s="3" t="str">
        <f>VLOOKUP(C2007,layoffs_location!A:B,2,FALSE)</f>
        <v>San Francisco Bay Area</v>
      </c>
      <c r="E2007" s="3" t="str">
        <f>VLOOKUP(C2007,layoffs_location!A:C,3,FALSE)</f>
        <v>California</v>
      </c>
      <c r="F2007" s="3" t="str">
        <f>VLOOKUP(C2007,layoffs_location!A:D,4,FALSE)</f>
        <v>USA</v>
      </c>
      <c r="G2007" s="3" t="str">
        <f>VLOOKUP(C2007,layoffs_location!A:E,5,FALSE)</f>
        <v>North America</v>
      </c>
      <c r="H2007" s="4"/>
      <c r="I2007" s="24">
        <v>45588</v>
      </c>
      <c r="J2007" s="5">
        <v>21</v>
      </c>
      <c r="K2007" s="25"/>
      <c r="L2007" s="25"/>
      <c r="M2007" s="4" t="s">
        <v>60</v>
      </c>
      <c r="N2007" s="4" t="s">
        <v>28</v>
      </c>
      <c r="O2007" s="27">
        <v>168</v>
      </c>
      <c r="P2007" s="23">
        <v>2024</v>
      </c>
      <c r="Q2007" s="3">
        <f>VLOOKUP(C2007,layoffs_location!A:F,6,FALSE)</f>
        <v>37.779258800000001</v>
      </c>
      <c r="R2007" s="3">
        <f>VLOOKUP(C2007,layoffs_location!A:G,7,FALSE)</f>
        <v>-122.4193286</v>
      </c>
    </row>
    <row r="2008" spans="1:18" ht="16" x14ac:dyDescent="0.2">
      <c r="A2008" s="3">
        <v>2007</v>
      </c>
      <c r="B2008" s="4" t="s">
        <v>2003</v>
      </c>
      <c r="C2008" s="4" t="s">
        <v>725</v>
      </c>
      <c r="D2008" s="3" t="str">
        <f>VLOOKUP(C2008,layoffs_location!A:B,2,FALSE)</f>
        <v>other</v>
      </c>
      <c r="E2008" s="3" t="str">
        <f>VLOOKUP(C2008,layoffs_location!A:C,3,FALSE)</f>
        <v>non</v>
      </c>
      <c r="F2008" s="3" t="str">
        <f>VLOOKUP(C2008,layoffs_location!A:D,4,FALSE)</f>
        <v>Norway</v>
      </c>
      <c r="G2008" s="3" t="str">
        <f>VLOOKUP(C2008,layoffs_location!A:E,5,FALSE)</f>
        <v>Europe</v>
      </c>
      <c r="H2008" s="4"/>
      <c r="I2008" s="24">
        <v>45589</v>
      </c>
      <c r="J2008" s="5"/>
      <c r="K2008" s="25"/>
      <c r="L2008" s="25"/>
      <c r="M2008" s="4" t="s">
        <v>87</v>
      </c>
      <c r="N2008" s="4" t="s">
        <v>22</v>
      </c>
      <c r="O2008" s="27"/>
      <c r="P2008" s="23">
        <v>2024</v>
      </c>
      <c r="Q2008" s="3">
        <f>VLOOKUP(C2008,layoffs_location!A:F,6,FALSE)</f>
        <v>59.913330100000003</v>
      </c>
      <c r="R2008" s="3">
        <f>VLOOKUP(C2008,layoffs_location!A:G,7,FALSE)</f>
        <v>10.7389701</v>
      </c>
    </row>
    <row r="2009" spans="1:18" ht="16" x14ac:dyDescent="0.2">
      <c r="A2009" s="3">
        <v>2008</v>
      </c>
      <c r="B2009" s="4" t="s">
        <v>2000</v>
      </c>
      <c r="C2009" s="4" t="s">
        <v>1408</v>
      </c>
      <c r="D2009" s="3" t="str">
        <f>VLOOKUP(C2009,layoffs_location!A:B,2,FALSE)</f>
        <v>San Francisco Bay Area</v>
      </c>
      <c r="E2009" s="3" t="str">
        <f>VLOOKUP(C2009,layoffs_location!A:C,3,FALSE)</f>
        <v>California</v>
      </c>
      <c r="F2009" s="3" t="str">
        <f>VLOOKUP(C2009,layoffs_location!A:D,4,FALSE)</f>
        <v>USA</v>
      </c>
      <c r="G2009" s="3" t="str">
        <f>VLOOKUP(C2009,layoffs_location!A:E,5,FALSE)</f>
        <v>North America</v>
      </c>
      <c r="H2009" s="23">
        <v>150</v>
      </c>
      <c r="I2009" s="24">
        <v>45590</v>
      </c>
      <c r="J2009" s="5">
        <v>10</v>
      </c>
      <c r="K2009" s="25">
        <f>SUM((Table13[[#This Row],[Laid_Off]]*100)/Table13[[#This Row],[Percentage]])</f>
        <v>1500</v>
      </c>
      <c r="L2009" s="25">
        <f>SUM(Table13[[#This Row],[Company_Size_before_Layoffs]]-Table13[[#This Row],[Laid_Off]])</f>
        <v>1350</v>
      </c>
      <c r="M2009" s="4" t="s">
        <v>68</v>
      </c>
      <c r="N2009" s="4" t="s">
        <v>28</v>
      </c>
      <c r="O2009" s="27">
        <v>458</v>
      </c>
      <c r="P2009" s="23">
        <v>2024</v>
      </c>
      <c r="Q2009" s="3">
        <f>VLOOKUP(C2009,layoffs_location!A:F,6,FALSE)</f>
        <v>37.3893889</v>
      </c>
      <c r="R2009" s="3">
        <f>VLOOKUP(C2009,layoffs_location!A:G,7,FALSE)</f>
        <v>-122.0832101</v>
      </c>
    </row>
    <row r="2010" spans="1:18" ht="16" x14ac:dyDescent="0.2">
      <c r="A2010" s="3">
        <v>2009</v>
      </c>
      <c r="B2010" s="4" t="s">
        <v>2001</v>
      </c>
      <c r="C2010" s="4" t="s">
        <v>1370</v>
      </c>
      <c r="D2010" s="3" t="str">
        <f>VLOOKUP(C2010,layoffs_location!A:B,2,FALSE)</f>
        <v>San Francisco Bay Area</v>
      </c>
      <c r="E2010" s="3" t="str">
        <f>VLOOKUP(C2010,layoffs_location!A:C,3,FALSE)</f>
        <v>California</v>
      </c>
      <c r="F2010" s="3" t="str">
        <f>VLOOKUP(C2010,layoffs_location!A:D,4,FALSE)</f>
        <v>USA</v>
      </c>
      <c r="G2010" s="3" t="str">
        <f>VLOOKUP(C2010,layoffs_location!A:E,5,FALSE)</f>
        <v>North America</v>
      </c>
      <c r="H2010" s="4"/>
      <c r="I2010" s="24">
        <v>45590</v>
      </c>
      <c r="J2010" s="5">
        <v>40</v>
      </c>
      <c r="K2010" s="25"/>
      <c r="L2010" s="25"/>
      <c r="M2010" s="4" t="s">
        <v>32</v>
      </c>
      <c r="N2010" s="4" t="s">
        <v>22</v>
      </c>
      <c r="O2010" s="27">
        <v>548</v>
      </c>
      <c r="P2010" s="23">
        <v>2024</v>
      </c>
      <c r="Q2010" s="3">
        <f>VLOOKUP(C2010,layoffs_location!A:F,6,FALSE)</f>
        <v>37.779258800000001</v>
      </c>
      <c r="R2010" s="3">
        <f>VLOOKUP(C2010,layoffs_location!A:G,7,FALSE)</f>
        <v>-122.4193286</v>
      </c>
    </row>
    <row r="2011" spans="1:18" ht="16" x14ac:dyDescent="0.2">
      <c r="A2011" s="3">
        <v>2010</v>
      </c>
      <c r="B2011" s="4" t="s">
        <v>2002</v>
      </c>
      <c r="C2011" s="4" t="s">
        <v>1716</v>
      </c>
      <c r="D2011" s="3" t="str">
        <f>VLOOKUP(C2011,layoffs_location!A:B,2,FALSE)</f>
        <v>San Francisco Bay Area</v>
      </c>
      <c r="E2011" s="3" t="str">
        <f>VLOOKUP(C2011,layoffs_location!A:C,3,FALSE)</f>
        <v>California</v>
      </c>
      <c r="F2011" s="3" t="str">
        <f>VLOOKUP(C2011,layoffs_location!A:D,4,FALSE)</f>
        <v>USA</v>
      </c>
      <c r="G2011" s="3" t="str">
        <f>VLOOKUP(C2011,layoffs_location!A:E,5,FALSE)</f>
        <v>North America</v>
      </c>
      <c r="H2011" s="4"/>
      <c r="I2011" s="24">
        <v>45590</v>
      </c>
      <c r="J2011" s="5"/>
      <c r="K2011" s="25"/>
      <c r="L2011" s="25"/>
      <c r="M2011" s="4" t="s">
        <v>27</v>
      </c>
      <c r="N2011" s="4" t="s">
        <v>22</v>
      </c>
      <c r="O2011" s="27">
        <v>844</v>
      </c>
      <c r="P2011" s="23">
        <v>2024</v>
      </c>
      <c r="Q2011" s="3">
        <f>VLOOKUP(C2011,layoffs_location!A:F,6,FALSE)</f>
        <v>37.8708393</v>
      </c>
      <c r="R2011" s="3">
        <f>VLOOKUP(C2011,layoffs_location!A:G,7,FALSE)</f>
        <v>-122.272863</v>
      </c>
    </row>
    <row r="2012" spans="1:18" ht="16" x14ac:dyDescent="0.2">
      <c r="A2012" s="3">
        <v>2011</v>
      </c>
      <c r="B2012" s="4" t="s">
        <v>558</v>
      </c>
      <c r="C2012" s="4" t="s">
        <v>39</v>
      </c>
      <c r="D2012" s="3" t="str">
        <f>VLOOKUP(C2012,layoffs_location!A:B,2,FALSE)</f>
        <v>New York</v>
      </c>
      <c r="E2012" s="3" t="str">
        <f>VLOOKUP(C2012,layoffs_location!A:C,3,FALSE)</f>
        <v>New York</v>
      </c>
      <c r="F2012" s="3" t="str">
        <f>VLOOKUP(C2012,layoffs_location!A:D,4,FALSE)</f>
        <v>USA</v>
      </c>
      <c r="G2012" s="3" t="str">
        <f>VLOOKUP(C2012,layoffs_location!A:E,5,FALSE)</f>
        <v>North America</v>
      </c>
      <c r="H2012" s="23">
        <v>163</v>
      </c>
      <c r="I2012" s="24">
        <v>45594</v>
      </c>
      <c r="J2012" s="5">
        <v>20</v>
      </c>
      <c r="K2012" s="25">
        <f>SUM((Table13[[#This Row],[Laid_Off]]*100)/Table13[[#This Row],[Percentage]])</f>
        <v>815</v>
      </c>
      <c r="L2012" s="25">
        <f>SUM(Table13[[#This Row],[Company_Size_before_Layoffs]]-Table13[[#This Row],[Laid_Off]])</f>
        <v>652</v>
      </c>
      <c r="M2012" s="4" t="s">
        <v>117</v>
      </c>
      <c r="N2012" s="4" t="s">
        <v>108</v>
      </c>
      <c r="O2012" s="27">
        <v>726</v>
      </c>
      <c r="P2012" s="23">
        <v>2024</v>
      </c>
      <c r="Q2012" s="3">
        <f>VLOOKUP(C2012,layoffs_location!A:F,6,FALSE)</f>
        <v>40.7127281</v>
      </c>
      <c r="R2012" s="3">
        <f>VLOOKUP(C2012,layoffs_location!A:G,7,FALSE)</f>
        <v>-74.006015199999993</v>
      </c>
    </row>
    <row r="2013" spans="1:18" ht="16" x14ac:dyDescent="0.2">
      <c r="A2013" s="3">
        <v>2012</v>
      </c>
      <c r="B2013" s="4" t="s">
        <v>1997</v>
      </c>
      <c r="C2013" s="4" t="s">
        <v>43</v>
      </c>
      <c r="D2013" s="3" t="str">
        <f>VLOOKUP(C2013,layoffs_location!A:B,2,FALSE)</f>
        <v>Cascadia</v>
      </c>
      <c r="E2013" s="3" t="str">
        <f>VLOOKUP(C2013,layoffs_location!A:C,3,FALSE)</f>
        <v>Washington</v>
      </c>
      <c r="F2013" s="3" t="str">
        <f>VLOOKUP(C2013,layoffs_location!A:D,4,FALSE)</f>
        <v>USA</v>
      </c>
      <c r="G2013" s="3" t="str">
        <f>VLOOKUP(C2013,layoffs_location!A:E,5,FALSE)</f>
        <v>North America</v>
      </c>
      <c r="H2013" s="23">
        <v>100</v>
      </c>
      <c r="I2013" s="24">
        <v>45594</v>
      </c>
      <c r="J2013" s="5">
        <v>2</v>
      </c>
      <c r="K2013" s="25">
        <f>SUM((Table13[[#This Row],[Laid_Off]]*100)/Table13[[#This Row],[Percentage]])</f>
        <v>5000</v>
      </c>
      <c r="L2013" s="25">
        <f>SUM(Table13[[#This Row],[Company_Size_before_Layoffs]]-Table13[[#This Row],[Laid_Off]])</f>
        <v>4900</v>
      </c>
      <c r="M2013" s="4" t="s">
        <v>139</v>
      </c>
      <c r="N2013" s="4" t="s">
        <v>28</v>
      </c>
      <c r="O2013" s="27"/>
      <c r="P2013" s="23">
        <v>2024</v>
      </c>
      <c r="Q2013" s="3">
        <f>VLOOKUP(C2013,layoffs_location!A:F,6,FALSE)</f>
        <v>47.603832099999998</v>
      </c>
      <c r="R2013" s="3">
        <f>VLOOKUP(C2013,layoffs_location!A:G,7,FALSE)</f>
        <v>-122.330062</v>
      </c>
    </row>
    <row r="2014" spans="1:18" ht="16" x14ac:dyDescent="0.2">
      <c r="A2014" s="3">
        <v>2013</v>
      </c>
      <c r="B2014" s="4" t="s">
        <v>1998</v>
      </c>
      <c r="C2014" s="4" t="s">
        <v>1473</v>
      </c>
      <c r="D2014" s="3" t="str">
        <f>VLOOKUP(C2014,layoffs_location!A:B,2,FALSE)</f>
        <v>San Francisco Bay Area</v>
      </c>
      <c r="E2014" s="3" t="str">
        <f>VLOOKUP(C2014,layoffs_location!A:C,3,FALSE)</f>
        <v>California</v>
      </c>
      <c r="F2014" s="3" t="str">
        <f>VLOOKUP(C2014,layoffs_location!A:D,4,FALSE)</f>
        <v>USA</v>
      </c>
      <c r="G2014" s="3" t="str">
        <f>VLOOKUP(C2014,layoffs_location!A:E,5,FALSE)</f>
        <v>North America</v>
      </c>
      <c r="H2014" s="4"/>
      <c r="I2014" s="24">
        <v>45594</v>
      </c>
      <c r="J2014" s="5">
        <v>10</v>
      </c>
      <c r="K2014" s="25"/>
      <c r="L2014" s="25"/>
      <c r="M2014" s="4" t="s">
        <v>239</v>
      </c>
      <c r="N2014" s="4" t="s">
        <v>41</v>
      </c>
      <c r="O2014" s="27">
        <v>436</v>
      </c>
      <c r="P2014" s="23">
        <v>2024</v>
      </c>
      <c r="Q2014" s="3">
        <f>VLOOKUP(C2014,layoffs_location!A:F,6,FALSE)</f>
        <v>37.4443293</v>
      </c>
      <c r="R2014" s="3">
        <f>VLOOKUP(C2014,layoffs_location!A:G,7,FALSE)</f>
        <v>-122.1598465</v>
      </c>
    </row>
    <row r="2015" spans="1:18" ht="16" x14ac:dyDescent="0.2">
      <c r="A2015" s="3">
        <v>2014</v>
      </c>
      <c r="B2015" s="4" t="s">
        <v>1999</v>
      </c>
      <c r="C2015" s="4" t="s">
        <v>1370</v>
      </c>
      <c r="D2015" s="3" t="str">
        <f>VLOOKUP(C2015,layoffs_location!A:B,2,FALSE)</f>
        <v>San Francisco Bay Area</v>
      </c>
      <c r="E2015" s="3" t="str">
        <f>VLOOKUP(C2015,layoffs_location!A:C,3,FALSE)</f>
        <v>California</v>
      </c>
      <c r="F2015" s="3" t="str">
        <f>VLOOKUP(C2015,layoffs_location!A:D,4,FALSE)</f>
        <v>USA</v>
      </c>
      <c r="G2015" s="3" t="str">
        <f>VLOOKUP(C2015,layoffs_location!A:E,5,FALSE)</f>
        <v>North America</v>
      </c>
      <c r="H2015" s="4"/>
      <c r="I2015" s="24">
        <v>45594</v>
      </c>
      <c r="J2015" s="5">
        <v>35</v>
      </c>
      <c r="K2015" s="25"/>
      <c r="L2015" s="25"/>
      <c r="M2015" s="4" t="s">
        <v>117</v>
      </c>
      <c r="N2015" s="4" t="s">
        <v>41</v>
      </c>
      <c r="O2015" s="27">
        <v>87</v>
      </c>
      <c r="P2015" s="23">
        <v>2024</v>
      </c>
      <c r="Q2015" s="3">
        <f>VLOOKUP(C2015,layoffs_location!A:F,6,FALSE)</f>
        <v>37.779258800000001</v>
      </c>
      <c r="R2015" s="3">
        <f>VLOOKUP(C2015,layoffs_location!A:G,7,FALSE)</f>
        <v>-122.4193286</v>
      </c>
    </row>
    <row r="2016" spans="1:18" ht="16" x14ac:dyDescent="0.2">
      <c r="A2016" s="3">
        <v>2015</v>
      </c>
      <c r="B2016" s="4" t="s">
        <v>316</v>
      </c>
      <c r="C2016" s="4" t="s">
        <v>1370</v>
      </c>
      <c r="D2016" s="3" t="str">
        <f>VLOOKUP(C2016,layoffs_location!A:B,2,FALSE)</f>
        <v>San Francisco Bay Area</v>
      </c>
      <c r="E2016" s="3" t="str">
        <f>VLOOKUP(C2016,layoffs_location!A:C,3,FALSE)</f>
        <v>California</v>
      </c>
      <c r="F2016" s="3" t="str">
        <f>VLOOKUP(C2016,layoffs_location!A:D,4,FALSE)</f>
        <v>USA</v>
      </c>
      <c r="G2016" s="3" t="str">
        <f>VLOOKUP(C2016,layoffs_location!A:E,5,FALSE)</f>
        <v>North America</v>
      </c>
      <c r="H2016" s="23">
        <v>527</v>
      </c>
      <c r="I2016" s="24">
        <v>45595</v>
      </c>
      <c r="J2016" s="5">
        <v>20</v>
      </c>
      <c r="K2016" s="25">
        <f>SUM((Table13[[#This Row],[Laid_Off]]*100)/Table13[[#This Row],[Percentage]])</f>
        <v>2635</v>
      </c>
      <c r="L2016" s="25">
        <f>SUM(Table13[[#This Row],[Company_Size_before_Layoffs]]-Table13[[#This Row],[Laid_Off]])</f>
        <v>2108</v>
      </c>
      <c r="M2016" s="4" t="s">
        <v>60</v>
      </c>
      <c r="N2016" s="4" t="s">
        <v>28</v>
      </c>
      <c r="O2016" s="27">
        <v>1.7</v>
      </c>
      <c r="P2016" s="23">
        <v>2024</v>
      </c>
      <c r="Q2016" s="3">
        <f>VLOOKUP(C2016,layoffs_location!A:F,6,FALSE)</f>
        <v>37.779258800000001</v>
      </c>
      <c r="R2016" s="3">
        <f>VLOOKUP(C2016,layoffs_location!A:G,7,FALSE)</f>
        <v>-122.4193286</v>
      </c>
    </row>
    <row r="2017" spans="1:18" ht="16" x14ac:dyDescent="0.2">
      <c r="A2017" s="3">
        <v>2016</v>
      </c>
      <c r="B2017" s="4" t="s">
        <v>632</v>
      </c>
      <c r="C2017" s="4" t="s">
        <v>1370</v>
      </c>
      <c r="D2017" s="3" t="str">
        <f>VLOOKUP(C2017,layoffs_location!A:B,2,FALSE)</f>
        <v>San Francisco Bay Area</v>
      </c>
      <c r="E2017" s="3" t="str">
        <f>VLOOKUP(C2017,layoffs_location!A:C,3,FALSE)</f>
        <v>California</v>
      </c>
      <c r="F2017" s="3" t="str">
        <f>VLOOKUP(C2017,layoffs_location!A:D,4,FALSE)</f>
        <v>USA</v>
      </c>
      <c r="G2017" s="3" t="str">
        <f>VLOOKUP(C2017,layoffs_location!A:E,5,FALSE)</f>
        <v>North America</v>
      </c>
      <c r="H2017" s="23">
        <v>400</v>
      </c>
      <c r="I2017" s="24">
        <v>45595</v>
      </c>
      <c r="J2017" s="5">
        <v>15</v>
      </c>
      <c r="K2017" s="25">
        <f>SUM((Table13[[#This Row],[Laid_Off]]*100)/Table13[[#This Row],[Percentage]])</f>
        <v>2666.6666666666665</v>
      </c>
      <c r="L2017" s="25">
        <f>SUM(Table13[[#This Row],[Company_Size_before_Layoffs]]-Table13[[#This Row],[Laid_Off]])</f>
        <v>2266.6666666666665</v>
      </c>
      <c r="M2017" s="4" t="s">
        <v>117</v>
      </c>
      <c r="N2017" s="4" t="s">
        <v>22</v>
      </c>
      <c r="O2017" s="27">
        <v>134</v>
      </c>
      <c r="P2017" s="23">
        <v>2024</v>
      </c>
      <c r="Q2017" s="3">
        <f>VLOOKUP(C2017,layoffs_location!A:F,6,FALSE)</f>
        <v>37.779258800000001</v>
      </c>
      <c r="R2017" s="3">
        <f>VLOOKUP(C2017,layoffs_location!A:G,7,FALSE)</f>
        <v>-122.4193286</v>
      </c>
    </row>
    <row r="2018" spans="1:18" ht="16" x14ac:dyDescent="0.2">
      <c r="A2018" s="3">
        <v>2017</v>
      </c>
      <c r="B2018" s="4" t="s">
        <v>473</v>
      </c>
      <c r="C2018" s="4" t="s">
        <v>1370</v>
      </c>
      <c r="D2018" s="3" t="str">
        <f>VLOOKUP(C2018,layoffs_location!A:B,2,FALSE)</f>
        <v>San Francisco Bay Area</v>
      </c>
      <c r="E2018" s="3" t="str">
        <f>VLOOKUP(C2018,layoffs_location!A:C,3,FALSE)</f>
        <v>California</v>
      </c>
      <c r="F2018" s="3" t="str">
        <f>VLOOKUP(C2018,layoffs_location!A:D,4,FALSE)</f>
        <v>USA</v>
      </c>
      <c r="G2018" s="3" t="str">
        <f>VLOOKUP(C2018,layoffs_location!A:E,5,FALSE)</f>
        <v>North America</v>
      </c>
      <c r="H2018" s="23">
        <v>275</v>
      </c>
      <c r="I2018" s="24">
        <v>45595</v>
      </c>
      <c r="J2018" s="5">
        <v>18</v>
      </c>
      <c r="K2018" s="25">
        <f>SUM((Table13[[#This Row],[Laid_Off]]*100)/Table13[[#This Row],[Percentage]])</f>
        <v>1527.7777777777778</v>
      </c>
      <c r="L2018" s="25">
        <f>SUM(Table13[[#This Row],[Company_Size_before_Layoffs]]-Table13[[#This Row],[Laid_Off]])</f>
        <v>1252.7777777777778</v>
      </c>
      <c r="M2018" s="4" t="s">
        <v>60</v>
      </c>
      <c r="N2018" s="4" t="s">
        <v>41</v>
      </c>
      <c r="O2018" s="27">
        <v>476</v>
      </c>
      <c r="P2018" s="23">
        <v>2024</v>
      </c>
      <c r="Q2018" s="3">
        <f>VLOOKUP(C2018,layoffs_location!A:F,6,FALSE)</f>
        <v>37.779258800000001</v>
      </c>
      <c r="R2018" s="3">
        <f>VLOOKUP(C2018,layoffs_location!A:G,7,FALSE)</f>
        <v>-122.4193286</v>
      </c>
    </row>
    <row r="2019" spans="1:18" ht="16" x14ac:dyDescent="0.2">
      <c r="A2019" s="3">
        <v>2018</v>
      </c>
      <c r="B2019" s="4" t="s">
        <v>1996</v>
      </c>
      <c r="C2019" s="4" t="s">
        <v>39</v>
      </c>
      <c r="D2019" s="3" t="str">
        <f>VLOOKUP(C2019,layoffs_location!A:B,2,FALSE)</f>
        <v>New York</v>
      </c>
      <c r="E2019" s="3" t="str">
        <f>VLOOKUP(C2019,layoffs_location!A:C,3,FALSE)</f>
        <v>New York</v>
      </c>
      <c r="F2019" s="3" t="str">
        <f>VLOOKUP(C2019,layoffs_location!A:D,4,FALSE)</f>
        <v>USA</v>
      </c>
      <c r="G2019" s="3" t="str">
        <f>VLOOKUP(C2019,layoffs_location!A:E,5,FALSE)</f>
        <v>North America</v>
      </c>
      <c r="H2019" s="4"/>
      <c r="I2019" s="24">
        <v>45596</v>
      </c>
      <c r="J2019" s="5"/>
      <c r="K2019" s="25"/>
      <c r="L2019" s="25"/>
      <c r="M2019" s="4" t="s">
        <v>16</v>
      </c>
      <c r="N2019" s="4" t="s">
        <v>33</v>
      </c>
      <c r="O2019" s="27"/>
      <c r="P2019" s="23">
        <v>2024</v>
      </c>
      <c r="Q2019" s="3">
        <f>VLOOKUP(C2019,layoffs_location!A:F,6,FALSE)</f>
        <v>40.7127281</v>
      </c>
      <c r="R2019" s="3">
        <f>VLOOKUP(C2019,layoffs_location!A:G,7,FALSE)</f>
        <v>-74.006015199999993</v>
      </c>
    </row>
    <row r="2020" spans="1:18" ht="16" x14ac:dyDescent="0.2">
      <c r="A2020" s="3">
        <v>2019</v>
      </c>
      <c r="B2020" s="4" t="s">
        <v>1994</v>
      </c>
      <c r="C2020" s="4" t="s">
        <v>39</v>
      </c>
      <c r="D2020" s="3" t="str">
        <f>VLOOKUP(C2020,layoffs_location!A:B,2,FALSE)</f>
        <v>New York</v>
      </c>
      <c r="E2020" s="3" t="str">
        <f>VLOOKUP(C2020,layoffs_location!A:C,3,FALSE)</f>
        <v>New York</v>
      </c>
      <c r="F2020" s="3" t="str">
        <f>VLOOKUP(C2020,layoffs_location!A:D,4,FALSE)</f>
        <v>USA</v>
      </c>
      <c r="G2020" s="3" t="str">
        <f>VLOOKUP(C2020,layoffs_location!A:E,5,FALSE)</f>
        <v>North America</v>
      </c>
      <c r="H2020" s="23">
        <v>60</v>
      </c>
      <c r="I2020" s="24">
        <v>45597</v>
      </c>
      <c r="J2020" s="5">
        <v>10</v>
      </c>
      <c r="K2020" s="25">
        <f>SUM((Table13[[#This Row],[Laid_Off]]*100)/Table13[[#This Row],[Percentage]])</f>
        <v>600</v>
      </c>
      <c r="L2020" s="25">
        <f>SUM(Table13[[#This Row],[Company_Size_before_Layoffs]]-Table13[[#This Row],[Laid_Off]])</f>
        <v>540</v>
      </c>
      <c r="M2020" s="4" t="s">
        <v>21</v>
      </c>
      <c r="N2020" s="4" t="s">
        <v>63</v>
      </c>
      <c r="O2020" s="27">
        <v>417</v>
      </c>
      <c r="P2020" s="23">
        <v>2024</v>
      </c>
      <c r="Q2020" s="3">
        <f>VLOOKUP(C2020,layoffs_location!A:F,6,FALSE)</f>
        <v>40.7127281</v>
      </c>
      <c r="R2020" s="3">
        <f>VLOOKUP(C2020,layoffs_location!A:G,7,FALSE)</f>
        <v>-74.006015199999993</v>
      </c>
    </row>
    <row r="2021" spans="1:18" ht="16" x14ac:dyDescent="0.2">
      <c r="A2021" s="3">
        <v>2020</v>
      </c>
      <c r="B2021" s="4" t="s">
        <v>1995</v>
      </c>
      <c r="C2021" s="4" t="s">
        <v>39</v>
      </c>
      <c r="D2021" s="3" t="str">
        <f>VLOOKUP(C2021,layoffs_location!A:B,2,FALSE)</f>
        <v>New York</v>
      </c>
      <c r="E2021" s="3" t="str">
        <f>VLOOKUP(C2021,layoffs_location!A:C,3,FALSE)</f>
        <v>New York</v>
      </c>
      <c r="F2021" s="3" t="str">
        <f>VLOOKUP(C2021,layoffs_location!A:D,4,FALSE)</f>
        <v>USA</v>
      </c>
      <c r="G2021" s="3" t="str">
        <f>VLOOKUP(C2021,layoffs_location!A:E,5,FALSE)</f>
        <v>North America</v>
      </c>
      <c r="H2021" s="4"/>
      <c r="I2021" s="24">
        <v>45597</v>
      </c>
      <c r="J2021" s="5">
        <v>100</v>
      </c>
      <c r="K2021" s="25">
        <f>SUM((Table13[[#This Row],[Laid_Off]]*100)/Table13[[#This Row],[Percentage]])</f>
        <v>0</v>
      </c>
      <c r="L2021" s="25">
        <f>SUM(Table13[[#This Row],[Company_Size_before_Layoffs]]-Table13[[#This Row],[Laid_Off]])</f>
        <v>0</v>
      </c>
      <c r="M2021" s="4" t="s">
        <v>77</v>
      </c>
      <c r="N2021" s="4" t="s">
        <v>22</v>
      </c>
      <c r="O2021" s="27">
        <v>626</v>
      </c>
      <c r="P2021" s="23">
        <v>2024</v>
      </c>
      <c r="Q2021" s="3">
        <f>VLOOKUP(C2021,layoffs_location!A:F,6,FALSE)</f>
        <v>40.7127281</v>
      </c>
      <c r="R2021" s="3">
        <f>VLOOKUP(C2021,layoffs_location!A:G,7,FALSE)</f>
        <v>-74.006015199999993</v>
      </c>
    </row>
    <row r="2022" spans="1:18" ht="16" x14ac:dyDescent="0.2">
      <c r="A2022" s="3">
        <v>2021</v>
      </c>
      <c r="B2022" s="4" t="s">
        <v>1993</v>
      </c>
      <c r="C2022" s="4" t="s">
        <v>47</v>
      </c>
      <c r="D2022" s="3" t="str">
        <f>VLOOKUP(C2022,layoffs_location!A:B,2,FALSE)</f>
        <v>other</v>
      </c>
      <c r="E2022" s="3" t="str">
        <f>VLOOKUP(C2022,layoffs_location!A:C,3,FALSE)</f>
        <v>non</v>
      </c>
      <c r="F2022" s="3" t="str">
        <f>VLOOKUP(C2022,layoffs_location!A:D,4,FALSE)</f>
        <v>Israel</v>
      </c>
      <c r="G2022" s="3" t="str">
        <f>VLOOKUP(C2022,layoffs_location!A:E,5,FALSE)</f>
        <v>Asia</v>
      </c>
      <c r="H2022" s="23">
        <v>20</v>
      </c>
      <c r="I2022" s="24">
        <v>45599</v>
      </c>
      <c r="J2022" s="5">
        <v>6</v>
      </c>
      <c r="K2022" s="25">
        <f>SUM((Table13[[#This Row],[Laid_Off]]*100)/Table13[[#This Row],[Percentage]])</f>
        <v>333.33333333333331</v>
      </c>
      <c r="L2022" s="25">
        <f>SUM(Table13[[#This Row],[Company_Size_before_Layoffs]]-Table13[[#This Row],[Laid_Off]])</f>
        <v>313.33333333333331</v>
      </c>
      <c r="M2022" s="4" t="s">
        <v>60</v>
      </c>
      <c r="N2022" s="4" t="s">
        <v>49</v>
      </c>
      <c r="O2022" s="27">
        <v>102</v>
      </c>
      <c r="P2022" s="23">
        <v>2024</v>
      </c>
      <c r="Q2022" s="3">
        <f>VLOOKUP(C2022,layoffs_location!A:F,6,FALSE)</f>
        <v>32.0852997</v>
      </c>
      <c r="R2022" s="3">
        <f>VLOOKUP(C2022,layoffs_location!A:G,7,FALSE)</f>
        <v>34.781806400000001</v>
      </c>
    </row>
    <row r="2023" spans="1:18" ht="16" x14ac:dyDescent="0.2">
      <c r="A2023" s="3">
        <v>2022</v>
      </c>
      <c r="B2023" s="4" t="s">
        <v>46</v>
      </c>
      <c r="C2023" s="4" t="s">
        <v>47</v>
      </c>
      <c r="D2023" s="3" t="str">
        <f>VLOOKUP(C2023,layoffs_location!A:B,2,FALSE)</f>
        <v>other</v>
      </c>
      <c r="E2023" s="3" t="str">
        <f>VLOOKUP(C2023,layoffs_location!A:C,3,FALSE)</f>
        <v>non</v>
      </c>
      <c r="F2023" s="3" t="str">
        <f>VLOOKUP(C2023,layoffs_location!A:D,4,FALSE)</f>
        <v>Israel</v>
      </c>
      <c r="G2023" s="3" t="str">
        <f>VLOOKUP(C2023,layoffs_location!A:E,5,FALSE)</f>
        <v>Asia</v>
      </c>
      <c r="H2023" s="23">
        <v>18</v>
      </c>
      <c r="I2023" s="24">
        <v>45600</v>
      </c>
      <c r="J2023" s="5">
        <v>11</v>
      </c>
      <c r="K2023" s="25">
        <f>SUM((Table13[[#This Row],[Laid_Off]]*100)/Table13[[#This Row],[Percentage]])</f>
        <v>163.63636363636363</v>
      </c>
      <c r="L2023" s="25">
        <f>SUM(Table13[[#This Row],[Company_Size_before_Layoffs]]-Table13[[#This Row],[Laid_Off]])</f>
        <v>145.63636363636363</v>
      </c>
      <c r="M2023" s="4" t="s">
        <v>48</v>
      </c>
      <c r="N2023" s="4" t="s">
        <v>33</v>
      </c>
      <c r="O2023" s="27">
        <v>35</v>
      </c>
      <c r="P2023" s="23">
        <v>2024</v>
      </c>
      <c r="Q2023" s="3">
        <f>VLOOKUP(C2023,layoffs_location!A:F,6,FALSE)</f>
        <v>32.0852997</v>
      </c>
      <c r="R2023" s="3">
        <f>VLOOKUP(C2023,layoffs_location!A:G,7,FALSE)</f>
        <v>34.781806400000001</v>
      </c>
    </row>
    <row r="2024" spans="1:18" ht="16" x14ac:dyDescent="0.2">
      <c r="A2024" s="3">
        <v>2023</v>
      </c>
      <c r="B2024" s="4" t="s">
        <v>1084</v>
      </c>
      <c r="C2024" s="4" t="s">
        <v>1370</v>
      </c>
      <c r="D2024" s="3" t="str">
        <f>VLOOKUP(C2024,layoffs_location!A:B,2,FALSE)</f>
        <v>San Francisco Bay Area</v>
      </c>
      <c r="E2024" s="3" t="str">
        <f>VLOOKUP(C2024,layoffs_location!A:C,3,FALSE)</f>
        <v>California</v>
      </c>
      <c r="F2024" s="3" t="str">
        <f>VLOOKUP(C2024,layoffs_location!A:D,4,FALSE)</f>
        <v>USA</v>
      </c>
      <c r="G2024" s="3" t="str">
        <f>VLOOKUP(C2024,layoffs_location!A:E,5,FALSE)</f>
        <v>North America</v>
      </c>
      <c r="H2024" s="4"/>
      <c r="I2024" s="24">
        <v>45601</v>
      </c>
      <c r="J2024" s="5">
        <v>30</v>
      </c>
      <c r="K2024" s="25">
        <f>SUM((Table13[[#This Row],[Laid_Off]]*100)/Table13[[#This Row],[Percentage]])</f>
        <v>0</v>
      </c>
      <c r="L2024" s="25">
        <f>SUM(Table13[[#This Row],[Company_Size_before_Layoffs]]-Table13[[#This Row],[Laid_Off]])</f>
        <v>0</v>
      </c>
      <c r="M2024" s="4" t="s">
        <v>16</v>
      </c>
      <c r="N2024" s="4" t="s">
        <v>1697</v>
      </c>
      <c r="O2024" s="27">
        <v>2</v>
      </c>
      <c r="P2024" s="23">
        <v>2024</v>
      </c>
      <c r="Q2024" s="3">
        <f>VLOOKUP(C2024,layoffs_location!A:F,6,FALSE)</f>
        <v>37.779258800000001</v>
      </c>
      <c r="R2024" s="3">
        <f>VLOOKUP(C2024,layoffs_location!A:G,7,FALSE)</f>
        <v>-122.4193286</v>
      </c>
    </row>
    <row r="2025" spans="1:18" ht="16" x14ac:dyDescent="0.2">
      <c r="A2025" s="3">
        <v>2024</v>
      </c>
      <c r="B2025" s="4" t="s">
        <v>443</v>
      </c>
      <c r="C2025" s="4" t="s">
        <v>71</v>
      </c>
      <c r="D2025" s="3" t="str">
        <f>VLOOKUP(C2025,layoffs_location!A:B,2,FALSE)</f>
        <v>other</v>
      </c>
      <c r="E2025" s="3" t="str">
        <f>VLOOKUP(C2025,layoffs_location!A:C,3,FALSE)</f>
        <v>Massachusetts</v>
      </c>
      <c r="F2025" s="3" t="str">
        <f>VLOOKUP(C2025,layoffs_location!A:D,4,FALSE)</f>
        <v>USA</v>
      </c>
      <c r="G2025" s="3" t="str">
        <f>VLOOKUP(C2025,layoffs_location!A:E,5,FALSE)</f>
        <v>North America</v>
      </c>
      <c r="H2025" s="23">
        <v>105</v>
      </c>
      <c r="I2025" s="24">
        <v>45602</v>
      </c>
      <c r="J2025" s="5">
        <v>16</v>
      </c>
      <c r="K2025" s="25">
        <f>SUM((Table13[[#This Row],[Laid_Off]]*100)/Table13[[#This Row],[Percentage]])</f>
        <v>656.25</v>
      </c>
      <c r="L2025" s="25">
        <f>SUM(Table13[[#This Row],[Company_Size_before_Layoffs]]-Table13[[#This Row],[Laid_Off]])</f>
        <v>551.25</v>
      </c>
      <c r="M2025" s="4" t="s">
        <v>16</v>
      </c>
      <c r="N2025" s="4" t="s">
        <v>28</v>
      </c>
      <c r="O2025" s="27">
        <v>30</v>
      </c>
      <c r="P2025" s="23">
        <v>2024</v>
      </c>
      <c r="Q2025" s="3">
        <f>VLOOKUP(C2025,layoffs_location!A:F,6,FALSE)</f>
        <v>42.355433400000003</v>
      </c>
      <c r="R2025" s="3">
        <f>VLOOKUP(C2025,layoffs_location!A:G,7,FALSE)</f>
        <v>-71.060511000000005</v>
      </c>
    </row>
    <row r="2026" spans="1:18" ht="16" x14ac:dyDescent="0.2">
      <c r="A2026" s="3">
        <v>2025</v>
      </c>
      <c r="B2026" s="4" t="s">
        <v>416</v>
      </c>
      <c r="C2026" s="4" t="s">
        <v>43</v>
      </c>
      <c r="D2026" s="3" t="str">
        <f>VLOOKUP(C2026,layoffs_location!A:B,2,FALSE)</f>
        <v>Cascadia</v>
      </c>
      <c r="E2026" s="3" t="str">
        <f>VLOOKUP(C2026,layoffs_location!A:C,3,FALSE)</f>
        <v>Washington</v>
      </c>
      <c r="F2026" s="3" t="str">
        <f>VLOOKUP(C2026,layoffs_location!A:D,4,FALSE)</f>
        <v>USA</v>
      </c>
      <c r="G2026" s="3" t="str">
        <f>VLOOKUP(C2026,layoffs_location!A:E,5,FALSE)</f>
        <v>North America</v>
      </c>
      <c r="H2026" s="23">
        <v>67</v>
      </c>
      <c r="I2026" s="24">
        <v>45602</v>
      </c>
      <c r="J2026" s="5"/>
      <c r="K2026" s="25"/>
      <c r="L2026" s="25"/>
      <c r="M2026" s="4" t="s">
        <v>92</v>
      </c>
      <c r="N2026" s="4" t="s">
        <v>81</v>
      </c>
      <c r="O2026" s="27">
        <v>48</v>
      </c>
      <c r="P2026" s="23">
        <v>2024</v>
      </c>
      <c r="Q2026" s="3">
        <f>VLOOKUP(C2026,layoffs_location!A:F,6,FALSE)</f>
        <v>47.603832099999998</v>
      </c>
      <c r="R2026" s="3">
        <f>VLOOKUP(C2026,layoffs_location!A:G,7,FALSE)</f>
        <v>-122.330062</v>
      </c>
    </row>
    <row r="2027" spans="1:18" ht="16" x14ac:dyDescent="0.2">
      <c r="A2027" s="3">
        <v>2026</v>
      </c>
      <c r="B2027" s="4" t="s">
        <v>1992</v>
      </c>
      <c r="C2027" s="4" t="s">
        <v>1391</v>
      </c>
      <c r="D2027" s="3" t="str">
        <f>VLOOKUP(C2027,layoffs_location!A:B,2,FALSE)</f>
        <v>other</v>
      </c>
      <c r="E2027" s="3" t="str">
        <f>VLOOKUP(C2027,layoffs_location!A:C,3,FALSE)</f>
        <v>North Carolina</v>
      </c>
      <c r="F2027" s="3" t="str">
        <f>VLOOKUP(C2027,layoffs_location!A:D,4,FALSE)</f>
        <v>USA</v>
      </c>
      <c r="G2027" s="3" t="str">
        <f>VLOOKUP(C2027,layoffs_location!A:E,5,FALSE)</f>
        <v>North America</v>
      </c>
      <c r="H2027" s="4"/>
      <c r="I2027" s="24">
        <v>45602</v>
      </c>
      <c r="J2027" s="5"/>
      <c r="K2027" s="25"/>
      <c r="L2027" s="25"/>
      <c r="M2027" s="4" t="s">
        <v>60</v>
      </c>
      <c r="N2027" s="4" t="s">
        <v>28</v>
      </c>
      <c r="O2027" s="27">
        <v>700</v>
      </c>
      <c r="P2027" s="23">
        <v>2024</v>
      </c>
      <c r="Q2027" s="3">
        <f>VLOOKUP(C2027,layoffs_location!A:F,6,FALSE)</f>
        <v>35.996653000000002</v>
      </c>
      <c r="R2027" s="3">
        <f>VLOOKUP(C2027,layoffs_location!A:G,7,FALSE)</f>
        <v>-78.901805300000007</v>
      </c>
    </row>
    <row r="2028" spans="1:18" ht="16" x14ac:dyDescent="0.2">
      <c r="A2028" s="3">
        <v>2027</v>
      </c>
      <c r="B2028" s="4" t="s">
        <v>379</v>
      </c>
      <c r="C2028" s="4" t="s">
        <v>1713</v>
      </c>
      <c r="D2028" s="3" t="str">
        <f>VLOOKUP(C2028,layoffs_location!A:B,2,FALSE)</f>
        <v>San Francisco Bay Area</v>
      </c>
      <c r="E2028" s="3" t="str">
        <f>VLOOKUP(C2028,layoffs_location!A:C,3,FALSE)</f>
        <v>California</v>
      </c>
      <c r="F2028" s="3" t="str">
        <f>VLOOKUP(C2028,layoffs_location!A:D,4,FALSE)</f>
        <v>USA</v>
      </c>
      <c r="G2028" s="3" t="str">
        <f>VLOOKUP(C2028,layoffs_location!A:E,5,FALSE)</f>
        <v>North America</v>
      </c>
      <c r="H2028" s="23">
        <v>660</v>
      </c>
      <c r="I2028" s="24">
        <v>45603</v>
      </c>
      <c r="J2028" s="5">
        <v>13</v>
      </c>
      <c r="K2028" s="25">
        <f>SUM((Table13[[#This Row],[Laid_Off]]*100)/Table13[[#This Row],[Percentage]])</f>
        <v>5076.9230769230771</v>
      </c>
      <c r="L2028" s="25">
        <f>SUM(Table13[[#This Row],[Company_Size_before_Layoffs]]-Table13[[#This Row],[Laid_Off]])</f>
        <v>4416.9230769230771</v>
      </c>
      <c r="M2028" s="4" t="s">
        <v>274</v>
      </c>
      <c r="N2028" s="4" t="s">
        <v>28</v>
      </c>
      <c r="O2028" s="27">
        <v>484</v>
      </c>
      <c r="P2028" s="23">
        <v>2024</v>
      </c>
      <c r="Q2028" s="3">
        <f>VLOOKUP(C2028,layoffs_location!A:F,6,FALSE)</f>
        <v>37.496904000000001</v>
      </c>
      <c r="R2028" s="3">
        <f>VLOOKUP(C2028,layoffs_location!A:G,7,FALSE)</f>
        <v>-122.33305729999999</v>
      </c>
    </row>
    <row r="2029" spans="1:18" ht="16" x14ac:dyDescent="0.2">
      <c r="A2029" s="3">
        <v>2028</v>
      </c>
      <c r="B2029" s="4" t="s">
        <v>1990</v>
      </c>
      <c r="C2029" s="4" t="s">
        <v>99</v>
      </c>
      <c r="D2029" s="3" t="str">
        <f>VLOOKUP(C2029,layoffs_location!A:B,2,FALSE)</f>
        <v>other</v>
      </c>
      <c r="E2029" s="3" t="str">
        <f>VLOOKUP(C2029,layoffs_location!A:C,3,FALSE)</f>
        <v>non</v>
      </c>
      <c r="F2029" s="3" t="str">
        <f>VLOOKUP(C2029,layoffs_location!A:D,4,FALSE)</f>
        <v>Netherlands</v>
      </c>
      <c r="G2029" s="3" t="str">
        <f>VLOOKUP(C2029,layoffs_location!A:E,5,FALSE)</f>
        <v>Europe</v>
      </c>
      <c r="H2029" s="23">
        <v>300</v>
      </c>
      <c r="I2029" s="24">
        <v>45603</v>
      </c>
      <c r="J2029" s="5">
        <v>2</v>
      </c>
      <c r="K2029" s="25">
        <f>SUM((Table13[[#This Row],[Laid_Off]]*100)/Table13[[#This Row],[Percentage]])</f>
        <v>15000</v>
      </c>
      <c r="L2029" s="25">
        <f>SUM(Table13[[#This Row],[Company_Size_before_Layoffs]]-Table13[[#This Row],[Laid_Off]])</f>
        <v>14700</v>
      </c>
      <c r="M2029" s="4" t="s">
        <v>77</v>
      </c>
      <c r="N2029" s="4" t="s">
        <v>33</v>
      </c>
      <c r="O2029" s="27">
        <v>12</v>
      </c>
      <c r="P2029" s="23">
        <v>2024</v>
      </c>
      <c r="Q2029" s="3">
        <f>VLOOKUP(C2029,layoffs_location!A:F,6,FALSE)</f>
        <v>52.373079599999997</v>
      </c>
      <c r="R2029" s="3">
        <f>VLOOKUP(C2029,layoffs_location!A:G,7,FALSE)</f>
        <v>4.8924534</v>
      </c>
    </row>
    <row r="2030" spans="1:18" ht="16" x14ac:dyDescent="0.2">
      <c r="A2030" s="3">
        <v>2029</v>
      </c>
      <c r="B2030" s="4" t="s">
        <v>334</v>
      </c>
      <c r="C2030" s="4" t="s">
        <v>1370</v>
      </c>
      <c r="D2030" s="3" t="str">
        <f>VLOOKUP(C2030,layoffs_location!A:B,2,FALSE)</f>
        <v>San Francisco Bay Area</v>
      </c>
      <c r="E2030" s="3" t="str">
        <f>VLOOKUP(C2030,layoffs_location!A:C,3,FALSE)</f>
        <v>California</v>
      </c>
      <c r="F2030" s="3" t="str">
        <f>VLOOKUP(C2030,layoffs_location!A:D,4,FALSE)</f>
        <v>USA</v>
      </c>
      <c r="G2030" s="3" t="str">
        <f>VLOOKUP(C2030,layoffs_location!A:E,5,FALSE)</f>
        <v>North America</v>
      </c>
      <c r="H2030" s="23">
        <v>300</v>
      </c>
      <c r="I2030" s="24">
        <v>45603</v>
      </c>
      <c r="J2030" s="5">
        <v>17</v>
      </c>
      <c r="K2030" s="25">
        <f>SUM((Table13[[#This Row],[Laid_Off]]*100)/Table13[[#This Row],[Percentage]])</f>
        <v>1764.7058823529412</v>
      </c>
      <c r="L2030" s="25">
        <f>SUM(Table13[[#This Row],[Company_Size_before_Layoffs]]-Table13[[#This Row],[Laid_Off]])</f>
        <v>1464.7058823529412</v>
      </c>
      <c r="M2030" s="4" t="s">
        <v>137</v>
      </c>
      <c r="N2030" s="4" t="s">
        <v>28</v>
      </c>
      <c r="O2030" s="27">
        <v>1</v>
      </c>
      <c r="P2030" s="23">
        <v>2024</v>
      </c>
      <c r="Q2030" s="3">
        <f>VLOOKUP(C2030,layoffs_location!A:F,6,FALSE)</f>
        <v>37.779258800000001</v>
      </c>
      <c r="R2030" s="3">
        <f>VLOOKUP(C2030,layoffs_location!A:G,7,FALSE)</f>
        <v>-122.4193286</v>
      </c>
    </row>
    <row r="2031" spans="1:18" ht="16" x14ac:dyDescent="0.2">
      <c r="A2031" s="3">
        <v>2030</v>
      </c>
      <c r="B2031" s="4" t="s">
        <v>297</v>
      </c>
      <c r="C2031" s="4" t="s">
        <v>71</v>
      </c>
      <c r="D2031" s="3" t="str">
        <f>VLOOKUP(C2031,layoffs_location!A:B,2,FALSE)</f>
        <v>other</v>
      </c>
      <c r="E2031" s="3" t="str">
        <f>VLOOKUP(C2031,layoffs_location!A:C,3,FALSE)</f>
        <v>Massachusetts</v>
      </c>
      <c r="F2031" s="3" t="str">
        <f>VLOOKUP(C2031,layoffs_location!A:D,4,FALSE)</f>
        <v>USA</v>
      </c>
      <c r="G2031" s="3" t="str">
        <f>VLOOKUP(C2031,layoffs_location!A:E,5,FALSE)</f>
        <v>North America</v>
      </c>
      <c r="H2031" s="23">
        <v>250</v>
      </c>
      <c r="I2031" s="24">
        <v>45603</v>
      </c>
      <c r="J2031" s="5">
        <v>2</v>
      </c>
      <c r="K2031" s="25">
        <f>SUM((Table13[[#This Row],[Laid_Off]]*100)/Table13[[#This Row],[Percentage]])</f>
        <v>12500</v>
      </c>
      <c r="L2031" s="25">
        <f>SUM(Table13[[#This Row],[Company_Size_before_Layoffs]]-Table13[[#This Row],[Laid_Off]])</f>
        <v>12250</v>
      </c>
      <c r="M2031" s="4" t="s">
        <v>139</v>
      </c>
      <c r="N2031" s="4" t="s">
        <v>28</v>
      </c>
      <c r="O2031" s="27">
        <v>35</v>
      </c>
      <c r="P2031" s="23">
        <v>2024</v>
      </c>
      <c r="Q2031" s="3">
        <f>VLOOKUP(C2031,layoffs_location!A:F,6,FALSE)</f>
        <v>42.355433400000003</v>
      </c>
      <c r="R2031" s="3">
        <f>VLOOKUP(C2031,layoffs_location!A:G,7,FALSE)</f>
        <v>-71.060511000000005</v>
      </c>
    </row>
    <row r="2032" spans="1:18" ht="16" x14ac:dyDescent="0.2">
      <c r="A2032" s="3">
        <v>2031</v>
      </c>
      <c r="B2032" s="4" t="s">
        <v>1991</v>
      </c>
      <c r="C2032" s="4" t="s">
        <v>121</v>
      </c>
      <c r="D2032" s="3" t="str">
        <f>VLOOKUP(C2032,layoffs_location!A:B,2,FALSE)</f>
        <v>other</v>
      </c>
      <c r="E2032" s="3" t="str">
        <f>VLOOKUP(C2032,layoffs_location!A:C,3,FALSE)</f>
        <v>North Carolina</v>
      </c>
      <c r="F2032" s="3" t="str">
        <f>VLOOKUP(C2032,layoffs_location!A:D,4,FALSE)</f>
        <v>USA</v>
      </c>
      <c r="G2032" s="3" t="str">
        <f>VLOOKUP(C2032,layoffs_location!A:E,5,FALSE)</f>
        <v>North America</v>
      </c>
      <c r="H2032" s="23">
        <v>1</v>
      </c>
      <c r="I2032" s="24">
        <v>45603</v>
      </c>
      <c r="J2032" s="5"/>
      <c r="K2032" s="25"/>
      <c r="L2032" s="25"/>
      <c r="M2032" s="4" t="s">
        <v>60</v>
      </c>
      <c r="N2032" s="4" t="s">
        <v>33</v>
      </c>
      <c r="O2032" s="27"/>
      <c r="P2032" s="23">
        <v>2024</v>
      </c>
      <c r="Q2032" s="3">
        <f>VLOOKUP(C2032,layoffs_location!A:F,6,FALSE)</f>
        <v>35.780397700000002</v>
      </c>
      <c r="R2032" s="3">
        <f>VLOOKUP(C2032,layoffs_location!A:G,7,FALSE)</f>
        <v>-78.639098899999993</v>
      </c>
    </row>
    <row r="2033" spans="1:18" ht="16" x14ac:dyDescent="0.2">
      <c r="A2033" s="3">
        <v>2032</v>
      </c>
      <c r="B2033" s="4" t="s">
        <v>1618</v>
      </c>
      <c r="C2033" s="4" t="s">
        <v>600</v>
      </c>
      <c r="D2033" s="3" t="str">
        <f>VLOOKUP(C2033,layoffs_location!A:B,2,FALSE)</f>
        <v>other</v>
      </c>
      <c r="E2033" s="3" t="str">
        <f>VLOOKUP(C2033,layoffs_location!A:C,3,FALSE)</f>
        <v>Bayern</v>
      </c>
      <c r="F2033" s="3" t="str">
        <f>VLOOKUP(C2033,layoffs_location!A:D,4,FALSE)</f>
        <v>Germany</v>
      </c>
      <c r="G2033" s="3" t="str">
        <f>VLOOKUP(C2033,layoffs_location!A:E,5,FALSE)</f>
        <v>Europe</v>
      </c>
      <c r="H2033" s="23">
        <v>115</v>
      </c>
      <c r="I2033" s="24">
        <v>45603</v>
      </c>
      <c r="J2033" s="5">
        <v>6</v>
      </c>
      <c r="K2033" s="25">
        <f>SUM((Table13[[#This Row],[Laid_Off]]*100)/Table13[[#This Row],[Percentage]])</f>
        <v>1916.6666666666667</v>
      </c>
      <c r="L2033" s="25">
        <f>SUM(Table13[[#This Row],[Company_Size_before_Layoffs]]-Table13[[#This Row],[Laid_Off]])</f>
        <v>1801.6666666666667</v>
      </c>
      <c r="M2033" s="4" t="s">
        <v>84</v>
      </c>
      <c r="N2033" s="4" t="s">
        <v>36</v>
      </c>
      <c r="O2033" s="27">
        <v>724</v>
      </c>
      <c r="P2033" s="23">
        <v>2024</v>
      </c>
      <c r="Q2033" s="3">
        <f>VLOOKUP(C2033,layoffs_location!A:F,6,FALSE)</f>
        <v>48.137107899999997</v>
      </c>
      <c r="R2033" s="3">
        <f>VLOOKUP(C2033,layoffs_location!A:G,7,FALSE)</f>
        <v>11.5753822</v>
      </c>
    </row>
    <row r="2034" spans="1:18" ht="16" x14ac:dyDescent="0.2">
      <c r="A2034" s="3">
        <v>2033</v>
      </c>
      <c r="B2034" s="4" t="s">
        <v>1985</v>
      </c>
      <c r="C2034" s="4" t="s">
        <v>1986</v>
      </c>
      <c r="D2034" s="3" t="str">
        <f>VLOOKUP(C2034,layoffs_location!A:B,2,FALSE)</f>
        <v>San Francisco Bay Area</v>
      </c>
      <c r="E2034" s="3" t="str">
        <f>VLOOKUP(C2034,layoffs_location!A:C,3,FALSE)</f>
        <v>California</v>
      </c>
      <c r="F2034" s="3" t="str">
        <f>VLOOKUP(C2034,layoffs_location!A:D,4,FALSE)</f>
        <v>USA</v>
      </c>
      <c r="G2034" s="3" t="str">
        <f>VLOOKUP(C2034,layoffs_location!A:E,5,FALSE)</f>
        <v>North America</v>
      </c>
      <c r="H2034" s="23">
        <v>35</v>
      </c>
      <c r="I2034" s="24">
        <v>45604</v>
      </c>
      <c r="J2034" s="5">
        <v>10</v>
      </c>
      <c r="K2034" s="25">
        <f>SUM((Table13[[#This Row],[Laid_Off]]*100)/Table13[[#This Row],[Percentage]])</f>
        <v>350</v>
      </c>
      <c r="L2034" s="25">
        <f>SUM(Table13[[#This Row],[Company_Size_before_Layoffs]]-Table13[[#This Row],[Laid_Off]])</f>
        <v>315</v>
      </c>
      <c r="M2034" s="4" t="s">
        <v>60</v>
      </c>
      <c r="N2034" s="4" t="s">
        <v>22</v>
      </c>
      <c r="O2034" s="27">
        <v>214</v>
      </c>
      <c r="P2034" s="23">
        <v>2024</v>
      </c>
      <c r="Q2034" s="3">
        <f>VLOOKUP(C2034,layoffs_location!A:F,6,FALSE)</f>
        <v>37.684023374031</v>
      </c>
      <c r="R2034" s="3">
        <f>VLOOKUP(C2034,layoffs_location!A:G,7,FALSE)</f>
        <v>-121.771291918299</v>
      </c>
    </row>
    <row r="2035" spans="1:18" ht="16" x14ac:dyDescent="0.2">
      <c r="A2035" s="3">
        <v>2034</v>
      </c>
      <c r="B2035" s="4" t="s">
        <v>590</v>
      </c>
      <c r="C2035" s="4" t="s">
        <v>83</v>
      </c>
      <c r="D2035" s="3" t="str">
        <f>VLOOKUP(C2035,layoffs_location!A:B,2,FALSE)</f>
        <v>other</v>
      </c>
      <c r="E2035" s="3" t="str">
        <f>VLOOKUP(C2035,layoffs_location!A:C,3,FALSE)</f>
        <v>Texas</v>
      </c>
      <c r="F2035" s="3" t="str">
        <f>VLOOKUP(C2035,layoffs_location!A:D,4,FALSE)</f>
        <v>USA</v>
      </c>
      <c r="G2035" s="3" t="str">
        <f>VLOOKUP(C2035,layoffs_location!A:E,5,FALSE)</f>
        <v>North America</v>
      </c>
      <c r="H2035" s="4"/>
      <c r="I2035" s="24">
        <v>45604</v>
      </c>
      <c r="J2035" s="5"/>
      <c r="K2035" s="25"/>
      <c r="L2035" s="25"/>
      <c r="M2035" s="4" t="s">
        <v>30</v>
      </c>
      <c r="N2035" s="4" t="s">
        <v>28</v>
      </c>
      <c r="O2035" s="27">
        <v>224</v>
      </c>
      <c r="P2035" s="23">
        <v>2024</v>
      </c>
      <c r="Q2035" s="3">
        <f>VLOOKUP(C2035,layoffs_location!A:F,6,FALSE)</f>
        <v>30.271128600000001</v>
      </c>
      <c r="R2035" s="3">
        <f>VLOOKUP(C2035,layoffs_location!A:G,7,FALSE)</f>
        <v>-97.743699500000005</v>
      </c>
    </row>
    <row r="2036" spans="1:18" ht="16" x14ac:dyDescent="0.2">
      <c r="A2036" s="3">
        <v>2035</v>
      </c>
      <c r="B2036" s="4" t="s">
        <v>1987</v>
      </c>
      <c r="C2036" s="4" t="s">
        <v>1988</v>
      </c>
      <c r="D2036" s="3" t="str">
        <f>VLOOKUP(C2036,layoffs_location!A:B,2,FALSE)</f>
        <v>other</v>
      </c>
      <c r="E2036" s="3" t="str">
        <f>VLOOKUP(C2036,layoffs_location!A:C,3,FALSE)</f>
        <v>Michigan</v>
      </c>
      <c r="F2036" s="3" t="str">
        <f>VLOOKUP(C2036,layoffs_location!A:D,4,FALSE)</f>
        <v>USA</v>
      </c>
      <c r="G2036" s="3" t="str">
        <f>VLOOKUP(C2036,layoffs_location!A:E,5,FALSE)</f>
        <v>North America</v>
      </c>
      <c r="H2036" s="4"/>
      <c r="I2036" s="24">
        <v>45604</v>
      </c>
      <c r="J2036" s="5"/>
      <c r="K2036" s="25"/>
      <c r="L2036" s="25"/>
      <c r="M2036" s="4" t="s">
        <v>72</v>
      </c>
      <c r="N2036" s="4" t="s">
        <v>33</v>
      </c>
      <c r="O2036" s="27"/>
      <c r="P2036" s="23">
        <v>2024</v>
      </c>
      <c r="Q2036" s="3">
        <f>VLOOKUP(C2036,layoffs_location!A:F,6,FALSE)</f>
        <v>42.966872187679101</v>
      </c>
      <c r="R2036" s="3">
        <f>VLOOKUP(C2036,layoffs_location!A:G,7,FALSE)</f>
        <v>-85.658255274960297</v>
      </c>
    </row>
    <row r="2037" spans="1:18" ht="16" x14ac:dyDescent="0.2">
      <c r="A2037" s="3">
        <v>2036</v>
      </c>
      <c r="B2037" s="4" t="s">
        <v>1989</v>
      </c>
      <c r="C2037" s="4" t="s">
        <v>76</v>
      </c>
      <c r="D2037" s="3" t="str">
        <f>VLOOKUP(C2037,layoffs_location!A:B,2,FALSE)</f>
        <v>other</v>
      </c>
      <c r="E2037" s="3" t="str">
        <f>VLOOKUP(C2037,layoffs_location!A:C,3,FALSE)</f>
        <v>California</v>
      </c>
      <c r="F2037" s="3" t="str">
        <f>VLOOKUP(C2037,layoffs_location!A:D,4,FALSE)</f>
        <v>USA</v>
      </c>
      <c r="G2037" s="3" t="str">
        <f>VLOOKUP(C2037,layoffs_location!A:E,5,FALSE)</f>
        <v>North America</v>
      </c>
      <c r="H2037" s="4"/>
      <c r="I2037" s="24">
        <v>45604</v>
      </c>
      <c r="J2037" s="5">
        <v>100</v>
      </c>
      <c r="K2037" s="25">
        <f>SUM((Table13[[#This Row],[Laid_Off]]*100)/Table13[[#This Row],[Percentage]])</f>
        <v>0</v>
      </c>
      <c r="L2037" s="25">
        <f>SUM(Table13[[#This Row],[Company_Size_before_Layoffs]]-Table13[[#This Row],[Laid_Off]])</f>
        <v>0</v>
      </c>
      <c r="M2037" s="4" t="s">
        <v>192</v>
      </c>
      <c r="N2037" s="4" t="s">
        <v>147</v>
      </c>
      <c r="O2037" s="27">
        <v>4</v>
      </c>
      <c r="P2037" s="23">
        <v>2024</v>
      </c>
      <c r="Q2037" s="3">
        <f>VLOOKUP(C2037,layoffs_location!A:F,6,FALSE)</f>
        <v>34.053690899999999</v>
      </c>
      <c r="R2037" s="3">
        <f>VLOOKUP(C2037,layoffs_location!A:G,7,FALSE)</f>
        <v>-118.242766</v>
      </c>
    </row>
    <row r="2038" spans="1:18" ht="16" x14ac:dyDescent="0.2">
      <c r="A2038" s="3">
        <v>2037</v>
      </c>
      <c r="B2038" s="4" t="s">
        <v>23</v>
      </c>
      <c r="C2038" s="4" t="s">
        <v>1329</v>
      </c>
      <c r="D2038" s="3" t="str">
        <f>VLOOKUP(C2038,layoffs_location!A:B,2,FALSE)</f>
        <v>San Francisco Bay Area</v>
      </c>
      <c r="E2038" s="3" t="str">
        <f>VLOOKUP(C2038,layoffs_location!A:C,3,FALSE)</f>
        <v>California</v>
      </c>
      <c r="F2038" s="3" t="str">
        <f>VLOOKUP(C2038,layoffs_location!A:D,4,FALSE)</f>
        <v>USA</v>
      </c>
      <c r="G2038" s="3" t="str">
        <f>VLOOKUP(C2038,layoffs_location!A:E,5,FALSE)</f>
        <v>North America</v>
      </c>
      <c r="H2038" s="23">
        <v>500</v>
      </c>
      <c r="I2038" s="24">
        <v>45607</v>
      </c>
      <c r="J2038" s="5">
        <v>17</v>
      </c>
      <c r="K2038" s="25">
        <f>SUM((Table13[[#This Row],[Laid_Off]]*100)/Table13[[#This Row],[Percentage]])</f>
        <v>2941.1764705882351</v>
      </c>
      <c r="L2038" s="25">
        <f>SUM(Table13[[#This Row],[Company_Size_before_Layoffs]]-Table13[[#This Row],[Laid_Off]])</f>
        <v>2441.1764705882351</v>
      </c>
      <c r="M2038" s="4" t="s">
        <v>27</v>
      </c>
      <c r="N2038" s="4" t="s">
        <v>28</v>
      </c>
      <c r="O2038" s="27">
        <v>116</v>
      </c>
      <c r="P2038" s="23">
        <v>2024</v>
      </c>
      <c r="Q2038" s="3">
        <f>VLOOKUP(C2038,layoffs_location!A:F,6,FALSE)</f>
        <v>37.548269699999999</v>
      </c>
      <c r="R2038" s="3">
        <f>VLOOKUP(C2038,layoffs_location!A:G,7,FALSE)</f>
        <v>-121.98857099999999</v>
      </c>
    </row>
    <row r="2039" spans="1:18" ht="16" x14ac:dyDescent="0.2">
      <c r="A2039" s="3">
        <v>2038</v>
      </c>
      <c r="B2039" s="4" t="s">
        <v>177</v>
      </c>
      <c r="C2039" s="4" t="s">
        <v>1370</v>
      </c>
      <c r="D2039" s="3" t="str">
        <f>VLOOKUP(C2039,layoffs_location!A:B,2,FALSE)</f>
        <v>San Francisco Bay Area</v>
      </c>
      <c r="E2039" s="3" t="str">
        <f>VLOOKUP(C2039,layoffs_location!A:C,3,FALSE)</f>
        <v>California</v>
      </c>
      <c r="F2039" s="3" t="str">
        <f>VLOOKUP(C2039,layoffs_location!A:D,4,FALSE)</f>
        <v>USA</v>
      </c>
      <c r="G2039" s="3" t="str">
        <f>VLOOKUP(C2039,layoffs_location!A:E,5,FALSE)</f>
        <v>North America</v>
      </c>
      <c r="H2039" s="23">
        <v>200</v>
      </c>
      <c r="I2039" s="24">
        <v>45607</v>
      </c>
      <c r="J2039" s="5">
        <v>40</v>
      </c>
      <c r="K2039" s="25">
        <f>SUM((Table13[[#This Row],[Laid_Off]]*100)/Table13[[#This Row],[Percentage]])</f>
        <v>500</v>
      </c>
      <c r="L2039" s="25">
        <f>SUM(Table13[[#This Row],[Company_Size_before_Layoffs]]-Table13[[#This Row],[Laid_Off]])</f>
        <v>300</v>
      </c>
      <c r="M2039" s="4" t="s">
        <v>21</v>
      </c>
      <c r="N2039" s="4" t="s">
        <v>28</v>
      </c>
      <c r="O2039" s="27">
        <v>1.1000000000000001</v>
      </c>
      <c r="P2039" s="23">
        <v>2024</v>
      </c>
      <c r="Q2039" s="3">
        <f>VLOOKUP(C2039,layoffs_location!A:F,6,FALSE)</f>
        <v>37.779258800000001</v>
      </c>
      <c r="R2039" s="3">
        <f>VLOOKUP(C2039,layoffs_location!A:G,7,FALSE)</f>
        <v>-122.4193286</v>
      </c>
    </row>
    <row r="2040" spans="1:18" ht="16" x14ac:dyDescent="0.2">
      <c r="A2040" s="3">
        <v>2039</v>
      </c>
      <c r="B2040" s="4" t="s">
        <v>1984</v>
      </c>
      <c r="C2040" s="4" t="s">
        <v>39</v>
      </c>
      <c r="D2040" s="3" t="str">
        <f>VLOOKUP(C2040,layoffs_location!A:B,2,FALSE)</f>
        <v>New York</v>
      </c>
      <c r="E2040" s="3" t="str">
        <f>VLOOKUP(C2040,layoffs_location!A:C,3,FALSE)</f>
        <v>New York</v>
      </c>
      <c r="F2040" s="3" t="str">
        <f>VLOOKUP(C2040,layoffs_location!A:D,4,FALSE)</f>
        <v>USA</v>
      </c>
      <c r="G2040" s="3" t="str">
        <f>VLOOKUP(C2040,layoffs_location!A:E,5,FALSE)</f>
        <v>North America</v>
      </c>
      <c r="H2040" s="23">
        <v>13</v>
      </c>
      <c r="I2040" s="24">
        <v>45607</v>
      </c>
      <c r="J2040" s="5"/>
      <c r="K2040" s="25"/>
      <c r="L2040" s="25"/>
      <c r="M2040" s="4" t="s">
        <v>21</v>
      </c>
      <c r="N2040" s="4" t="s">
        <v>22</v>
      </c>
      <c r="O2040" s="27">
        <v>450</v>
      </c>
      <c r="P2040" s="23">
        <v>2024</v>
      </c>
      <c r="Q2040" s="3">
        <f>VLOOKUP(C2040,layoffs_location!A:F,6,FALSE)</f>
        <v>40.7127281</v>
      </c>
      <c r="R2040" s="3">
        <f>VLOOKUP(C2040,layoffs_location!A:G,7,FALSE)</f>
        <v>-74.006015199999993</v>
      </c>
    </row>
    <row r="2041" spans="1:18" ht="16" x14ac:dyDescent="0.2">
      <c r="A2041" s="3">
        <v>2040</v>
      </c>
      <c r="B2041" s="4" t="s">
        <v>256</v>
      </c>
      <c r="C2041" s="4" t="s">
        <v>1415</v>
      </c>
      <c r="D2041" s="3" t="str">
        <f>VLOOKUP(C2041,layoffs_location!A:B,2,FALSE)</f>
        <v>San Francisco Bay Area</v>
      </c>
      <c r="E2041" s="3" t="str">
        <f>VLOOKUP(C2041,layoffs_location!A:C,3,FALSE)</f>
        <v>California</v>
      </c>
      <c r="F2041" s="3" t="str">
        <f>VLOOKUP(C2041,layoffs_location!A:D,4,FALSE)</f>
        <v>USA</v>
      </c>
      <c r="G2041" s="3" t="str">
        <f>VLOOKUP(C2041,layoffs_location!A:E,5,FALSE)</f>
        <v>North America</v>
      </c>
      <c r="H2041" s="23">
        <v>31</v>
      </c>
      <c r="I2041" s="24">
        <v>45608</v>
      </c>
      <c r="J2041" s="5">
        <v>21</v>
      </c>
      <c r="K2041" s="25">
        <f>SUM((Table13[[#This Row],[Laid_Off]]*100)/Table13[[#This Row],[Percentage]])</f>
        <v>147.61904761904762</v>
      </c>
      <c r="L2041" s="25">
        <f>SUM(Table13[[#This Row],[Company_Size_before_Layoffs]]-Table13[[#This Row],[Laid_Off]])</f>
        <v>116.61904761904762</v>
      </c>
      <c r="M2041" s="4" t="s">
        <v>68</v>
      </c>
      <c r="N2041" s="4" t="s">
        <v>28</v>
      </c>
      <c r="O2041" s="27">
        <v>227</v>
      </c>
      <c r="P2041" s="23">
        <v>2024</v>
      </c>
      <c r="Q2041" s="3">
        <f>VLOOKUP(C2041,layoffs_location!A:F,6,FALSE)</f>
        <v>37.354106999999999</v>
      </c>
      <c r="R2041" s="3">
        <f>VLOOKUP(C2041,layoffs_location!A:G,7,FALSE)</f>
        <v>-121.95523799999999</v>
      </c>
    </row>
    <row r="2042" spans="1:18" ht="16" x14ac:dyDescent="0.2">
      <c r="A2042" s="3">
        <v>2041</v>
      </c>
      <c r="B2042" s="4" t="s">
        <v>1189</v>
      </c>
      <c r="C2042" s="4" t="s">
        <v>1370</v>
      </c>
      <c r="D2042" s="3" t="str">
        <f>VLOOKUP(C2042,layoffs_location!A:B,2,FALSE)</f>
        <v>San Francisco Bay Area</v>
      </c>
      <c r="E2042" s="3" t="str">
        <f>VLOOKUP(C2042,layoffs_location!A:C,3,FALSE)</f>
        <v>California</v>
      </c>
      <c r="F2042" s="3" t="str">
        <f>VLOOKUP(C2042,layoffs_location!A:D,4,FALSE)</f>
        <v>USA</v>
      </c>
      <c r="G2042" s="3" t="str">
        <f>VLOOKUP(C2042,layoffs_location!A:E,5,FALSE)</f>
        <v>North America</v>
      </c>
      <c r="H2042" s="23">
        <v>200</v>
      </c>
      <c r="I2042" s="24">
        <v>45608</v>
      </c>
      <c r="J2042" s="5">
        <v>100</v>
      </c>
      <c r="K2042" s="25">
        <f>SUM((Table13[[#This Row],[Laid_Off]]*100)/Table13[[#This Row],[Percentage]])</f>
        <v>200</v>
      </c>
      <c r="L2042" s="25">
        <f>SUM(Table13[[#This Row],[Company_Size_before_Layoffs]]-Table13[[#This Row],[Laid_Off]])</f>
        <v>0</v>
      </c>
      <c r="M2042" s="4" t="s">
        <v>21</v>
      </c>
      <c r="N2042" s="4" t="s">
        <v>36</v>
      </c>
      <c r="O2042" s="27">
        <v>325</v>
      </c>
      <c r="P2042" s="23">
        <v>2024</v>
      </c>
      <c r="Q2042" s="3">
        <f>VLOOKUP(C2042,layoffs_location!A:F,6,FALSE)</f>
        <v>37.779258800000001</v>
      </c>
      <c r="R2042" s="3">
        <f>VLOOKUP(C2042,layoffs_location!A:G,7,FALSE)</f>
        <v>-122.4193286</v>
      </c>
    </row>
    <row r="2043" spans="1:18" ht="16" x14ac:dyDescent="0.2">
      <c r="A2043" s="3">
        <v>2042</v>
      </c>
      <c r="B2043" s="4" t="s">
        <v>1982</v>
      </c>
      <c r="C2043" s="4" t="s">
        <v>1718</v>
      </c>
      <c r="D2043" s="3" t="str">
        <f>VLOOKUP(C2043,layoffs_location!A:B,2,FALSE)</f>
        <v>San Francisco Bay Area</v>
      </c>
      <c r="E2043" s="3" t="str">
        <f>VLOOKUP(C2043,layoffs_location!A:C,3,FALSE)</f>
        <v>California</v>
      </c>
      <c r="F2043" s="3" t="str">
        <f>VLOOKUP(C2043,layoffs_location!A:D,4,FALSE)</f>
        <v>USA</v>
      </c>
      <c r="G2043" s="3" t="str">
        <f>VLOOKUP(C2043,layoffs_location!A:E,5,FALSE)</f>
        <v>North America</v>
      </c>
      <c r="H2043" s="23">
        <v>77</v>
      </c>
      <c r="I2043" s="24">
        <v>45608</v>
      </c>
      <c r="J2043" s="5">
        <v>2</v>
      </c>
      <c r="K2043" s="25">
        <f>SUM((Table13[[#This Row],[Laid_Off]]*100)/Table13[[#This Row],[Percentage]])</f>
        <v>3850</v>
      </c>
      <c r="L2043" s="25">
        <f>SUM(Table13[[#This Row],[Company_Size_before_Layoffs]]-Table13[[#This Row],[Laid_Off]])</f>
        <v>3773</v>
      </c>
      <c r="M2043" s="4" t="s">
        <v>21</v>
      </c>
      <c r="N2043" s="4" t="s">
        <v>63</v>
      </c>
      <c r="O2043" s="27">
        <v>10</v>
      </c>
      <c r="P2043" s="23">
        <v>2024</v>
      </c>
      <c r="Q2043" s="3">
        <f>VLOOKUP(C2043,layoffs_location!A:F,6,FALSE)</f>
        <v>37.578096500000001</v>
      </c>
      <c r="R2043" s="3">
        <f>VLOOKUP(C2043,layoffs_location!A:G,7,FALSE)</f>
        <v>-122.3473099</v>
      </c>
    </row>
    <row r="2044" spans="1:18" ht="16" x14ac:dyDescent="0.2">
      <c r="A2044" s="3">
        <v>2043</v>
      </c>
      <c r="B2044" s="4" t="s">
        <v>238</v>
      </c>
      <c r="C2044" s="4" t="s">
        <v>1370</v>
      </c>
      <c r="D2044" s="3" t="str">
        <f>VLOOKUP(C2044,layoffs_location!A:B,2,FALSE)</f>
        <v>San Francisco Bay Area</v>
      </c>
      <c r="E2044" s="3" t="str">
        <f>VLOOKUP(C2044,layoffs_location!A:C,3,FALSE)</f>
        <v>California</v>
      </c>
      <c r="F2044" s="3" t="str">
        <f>VLOOKUP(C2044,layoffs_location!A:D,4,FALSE)</f>
        <v>USA</v>
      </c>
      <c r="G2044" s="3" t="str">
        <f>VLOOKUP(C2044,layoffs_location!A:E,5,FALSE)</f>
        <v>North America</v>
      </c>
      <c r="H2044" s="4"/>
      <c r="I2044" s="24">
        <v>45608</v>
      </c>
      <c r="J2044" s="5"/>
      <c r="K2044" s="25"/>
      <c r="L2044" s="25"/>
      <c r="M2044" s="4" t="s">
        <v>239</v>
      </c>
      <c r="N2044" s="4" t="s">
        <v>33</v>
      </c>
      <c r="O2044" s="27">
        <v>214</v>
      </c>
      <c r="P2044" s="23">
        <v>2024</v>
      </c>
      <c r="Q2044" s="3">
        <f>VLOOKUP(C2044,layoffs_location!A:F,6,FALSE)</f>
        <v>37.779258800000001</v>
      </c>
      <c r="R2044" s="3">
        <f>VLOOKUP(C2044,layoffs_location!A:G,7,FALSE)</f>
        <v>-122.4193286</v>
      </c>
    </row>
    <row r="2045" spans="1:18" ht="16" x14ac:dyDescent="0.2">
      <c r="A2045" s="3">
        <v>2044</v>
      </c>
      <c r="B2045" s="4" t="s">
        <v>1983</v>
      </c>
      <c r="C2045" s="4" t="s">
        <v>13</v>
      </c>
      <c r="D2045" s="3" t="str">
        <f>VLOOKUP(C2045,layoffs_location!A:B,2,FALSE)</f>
        <v>other</v>
      </c>
      <c r="E2045" s="3" t="str">
        <f>VLOOKUP(C2045,layoffs_location!A:C,3,FALSE)</f>
        <v>Karnataka</v>
      </c>
      <c r="F2045" s="3" t="str">
        <f>VLOOKUP(C2045,layoffs_location!A:D,4,FALSE)</f>
        <v>India</v>
      </c>
      <c r="G2045" s="3" t="str">
        <f>VLOOKUP(C2045,layoffs_location!A:E,5,FALSE)</f>
        <v>Asia</v>
      </c>
      <c r="H2045" s="4"/>
      <c r="I2045" s="24">
        <v>45608</v>
      </c>
      <c r="J2045" s="5">
        <v>100</v>
      </c>
      <c r="K2045" s="25">
        <f>SUM((Table13[[#This Row],[Laid_Off]]*100)/Table13[[#This Row],[Percentage]])</f>
        <v>0</v>
      </c>
      <c r="L2045" s="25">
        <f>SUM(Table13[[#This Row],[Company_Size_before_Layoffs]]-Table13[[#This Row],[Laid_Off]])</f>
        <v>0</v>
      </c>
      <c r="M2045" s="4" t="s">
        <v>68</v>
      </c>
      <c r="N2045" s="4" t="s">
        <v>147</v>
      </c>
      <c r="O2045" s="27"/>
      <c r="P2045" s="23">
        <v>2024</v>
      </c>
      <c r="Q2045" s="3">
        <f>VLOOKUP(C2045,layoffs_location!A:F,6,FALSE)</f>
        <v>12.98815675</v>
      </c>
      <c r="R2045" s="3">
        <f>VLOOKUP(C2045,layoffs_location!A:G,7,FALSE)</f>
        <v>77.622600037959998</v>
      </c>
    </row>
    <row r="2046" spans="1:18" ht="16" x14ac:dyDescent="0.2">
      <c r="A2046" s="3">
        <v>2045</v>
      </c>
      <c r="B2046" s="4" t="s">
        <v>1981</v>
      </c>
      <c r="C2046" s="4" t="s">
        <v>1415</v>
      </c>
      <c r="D2046" s="3" t="str">
        <f>VLOOKUP(C2046,layoffs_location!A:B,2,FALSE)</f>
        <v>San Francisco Bay Area</v>
      </c>
      <c r="E2046" s="3" t="str">
        <f>VLOOKUP(C2046,layoffs_location!A:C,3,FALSE)</f>
        <v>California</v>
      </c>
      <c r="F2046" s="3" t="str">
        <f>VLOOKUP(C2046,layoffs_location!A:D,4,FALSE)</f>
        <v>USA</v>
      </c>
      <c r="G2046" s="3" t="str">
        <f>VLOOKUP(C2046,layoffs_location!A:E,5,FALSE)</f>
        <v>North America</v>
      </c>
      <c r="H2046" s="23">
        <v>1000</v>
      </c>
      <c r="I2046" s="24">
        <v>45609</v>
      </c>
      <c r="J2046" s="5">
        <v>4</v>
      </c>
      <c r="K2046" s="25">
        <f>SUM((Table13[[#This Row],[Laid_Off]]*100)/Table13[[#This Row],[Percentage]])</f>
        <v>25000</v>
      </c>
      <c r="L2046" s="25">
        <f>SUM(Table13[[#This Row],[Company_Size_before_Layoffs]]-Table13[[#This Row],[Laid_Off]])</f>
        <v>24000</v>
      </c>
      <c r="M2046" s="4" t="s">
        <v>87</v>
      </c>
      <c r="N2046" s="4" t="s">
        <v>28</v>
      </c>
      <c r="O2046" s="27"/>
      <c r="P2046" s="23">
        <v>2024</v>
      </c>
      <c r="Q2046" s="3">
        <f>VLOOKUP(C2046,layoffs_location!A:F,6,FALSE)</f>
        <v>37.354106999999999</v>
      </c>
      <c r="R2046" s="3">
        <f>VLOOKUP(C2046,layoffs_location!A:G,7,FALSE)</f>
        <v>-121.95523799999999</v>
      </c>
    </row>
    <row r="2047" spans="1:18" ht="16" x14ac:dyDescent="0.2">
      <c r="A2047" s="3">
        <v>2046</v>
      </c>
      <c r="B2047" s="4" t="s">
        <v>933</v>
      </c>
      <c r="C2047" s="4" t="s">
        <v>1473</v>
      </c>
      <c r="D2047" s="3" t="str">
        <f>VLOOKUP(C2047,layoffs_location!A:B,2,FALSE)</f>
        <v>San Francisco Bay Area</v>
      </c>
      <c r="E2047" s="3" t="str">
        <f>VLOOKUP(C2047,layoffs_location!A:C,3,FALSE)</f>
        <v>California</v>
      </c>
      <c r="F2047" s="3" t="str">
        <f>VLOOKUP(C2047,layoffs_location!A:D,4,FALSE)</f>
        <v>USA</v>
      </c>
      <c r="G2047" s="3" t="str">
        <f>VLOOKUP(C2047,layoffs_location!A:E,5,FALSE)</f>
        <v>North America</v>
      </c>
      <c r="H2047" s="23">
        <v>120</v>
      </c>
      <c r="I2047" s="24">
        <v>45609</v>
      </c>
      <c r="J2047" s="5"/>
      <c r="K2047" s="25"/>
      <c r="L2047" s="25"/>
      <c r="M2047" s="4" t="s">
        <v>130</v>
      </c>
      <c r="N2047" s="4" t="s">
        <v>28</v>
      </c>
      <c r="O2047" s="27">
        <v>1.6</v>
      </c>
      <c r="P2047" s="23">
        <v>2024</v>
      </c>
      <c r="Q2047" s="3">
        <f>VLOOKUP(C2047,layoffs_location!A:F,6,FALSE)</f>
        <v>37.4443293</v>
      </c>
      <c r="R2047" s="3">
        <f>VLOOKUP(C2047,layoffs_location!A:G,7,FALSE)</f>
        <v>-122.1598465</v>
      </c>
    </row>
    <row r="2048" spans="1:18" ht="16" x14ac:dyDescent="0.2">
      <c r="A2048" s="3">
        <v>2047</v>
      </c>
      <c r="B2048" s="4" t="s">
        <v>1980</v>
      </c>
      <c r="C2048" s="4" t="s">
        <v>56</v>
      </c>
      <c r="D2048" s="3" t="str">
        <f>VLOOKUP(C2048,layoffs_location!A:B,2,FALSE)</f>
        <v>other</v>
      </c>
      <c r="E2048" s="3" t="str">
        <f>VLOOKUP(C2048,layoffs_location!A:C,3,FALSE)</f>
        <v>Maharashtra</v>
      </c>
      <c r="F2048" s="3" t="str">
        <f>VLOOKUP(C2048,layoffs_location!A:D,4,FALSE)</f>
        <v>India</v>
      </c>
      <c r="G2048" s="3" t="str">
        <f>VLOOKUP(C2048,layoffs_location!A:E,5,FALSE)</f>
        <v>Asia</v>
      </c>
      <c r="H2048" s="23">
        <v>80</v>
      </c>
      <c r="I2048" s="24">
        <v>45610</v>
      </c>
      <c r="J2048" s="5"/>
      <c r="K2048" s="25"/>
      <c r="L2048" s="25"/>
      <c r="M2048" s="4" t="s">
        <v>54</v>
      </c>
      <c r="N2048" s="4" t="s">
        <v>41</v>
      </c>
      <c r="O2048" s="27">
        <v>71</v>
      </c>
      <c r="P2048" s="23">
        <v>2024</v>
      </c>
      <c r="Q2048" s="3">
        <f>VLOOKUP(C2048,layoffs_location!A:F,6,FALSE)</f>
        <v>19.078545099999999</v>
      </c>
      <c r="R2048" s="3">
        <f>VLOOKUP(C2048,layoffs_location!A:G,7,FALSE)</f>
        <v>72.878175999999996</v>
      </c>
    </row>
    <row r="2049" spans="1:18" ht="16" x14ac:dyDescent="0.2">
      <c r="A2049" s="3">
        <v>2048</v>
      </c>
      <c r="B2049" s="4" t="s">
        <v>783</v>
      </c>
      <c r="C2049" s="4" t="s">
        <v>58</v>
      </c>
      <c r="D2049" s="3" t="str">
        <f>VLOOKUP(C2049,layoffs_location!A:B,2,FALSE)</f>
        <v>other</v>
      </c>
      <c r="E2049" s="3" t="str">
        <f>VLOOKUP(C2049,layoffs_location!A:C,3,FALSE)</f>
        <v>England</v>
      </c>
      <c r="F2049" s="3" t="str">
        <f>VLOOKUP(C2049,layoffs_location!A:D,4,FALSE)</f>
        <v>UK</v>
      </c>
      <c r="G2049" s="3" t="str">
        <f>VLOOKUP(C2049,layoffs_location!A:E,5,FALSE)</f>
        <v>Europe</v>
      </c>
      <c r="H2049" s="23">
        <v>71</v>
      </c>
      <c r="I2049" s="24">
        <v>45611</v>
      </c>
      <c r="J2049" s="5">
        <v>25</v>
      </c>
      <c r="K2049" s="25">
        <f>SUM((Table13[[#This Row],[Laid_Off]]*100)/Table13[[#This Row],[Percentage]])</f>
        <v>284</v>
      </c>
      <c r="L2049" s="25">
        <f>SUM(Table13[[#This Row],[Company_Size_before_Layoffs]]-Table13[[#This Row],[Laid_Off]])</f>
        <v>213</v>
      </c>
      <c r="M2049" s="4" t="s">
        <v>35</v>
      </c>
      <c r="N2049" s="4" t="s">
        <v>36</v>
      </c>
      <c r="O2049" s="27">
        <v>321</v>
      </c>
      <c r="P2049" s="23">
        <v>2024</v>
      </c>
      <c r="Q2049" s="3">
        <f>VLOOKUP(C2049,layoffs_location!A:F,6,FALSE)</f>
        <v>51.489333500000001</v>
      </c>
      <c r="R2049" s="3">
        <f>VLOOKUP(C2049,layoffs_location!A:G,7,FALSE)</f>
        <v>-0.14405508452768701</v>
      </c>
    </row>
    <row r="2050" spans="1:18" ht="16" x14ac:dyDescent="0.2">
      <c r="A2050" s="3">
        <v>2049</v>
      </c>
      <c r="B2050" s="4" t="s">
        <v>1979</v>
      </c>
      <c r="C2050" s="4" t="s">
        <v>39</v>
      </c>
      <c r="D2050" s="3" t="str">
        <f>VLOOKUP(C2050,layoffs_location!A:B,2,FALSE)</f>
        <v>New York</v>
      </c>
      <c r="E2050" s="3" t="str">
        <f>VLOOKUP(C2050,layoffs_location!A:C,3,FALSE)</f>
        <v>New York</v>
      </c>
      <c r="F2050" s="3" t="str">
        <f>VLOOKUP(C2050,layoffs_location!A:D,4,FALSE)</f>
        <v>USA</v>
      </c>
      <c r="G2050" s="3" t="str">
        <f>VLOOKUP(C2050,layoffs_location!A:E,5,FALSE)</f>
        <v>North America</v>
      </c>
      <c r="H2050" s="4"/>
      <c r="I2050" s="24">
        <v>45615</v>
      </c>
      <c r="J2050" s="5"/>
      <c r="K2050" s="25"/>
      <c r="L2050" s="25"/>
      <c r="M2050" s="4" t="s">
        <v>79</v>
      </c>
      <c r="N2050" s="4" t="s">
        <v>33</v>
      </c>
      <c r="O2050" s="27">
        <v>507</v>
      </c>
      <c r="P2050" s="23">
        <v>2024</v>
      </c>
      <c r="Q2050" s="3">
        <f>VLOOKUP(C2050,layoffs_location!A:F,6,FALSE)</f>
        <v>40.7127281</v>
      </c>
      <c r="R2050" s="3">
        <f>VLOOKUP(C2050,layoffs_location!A:G,7,FALSE)</f>
        <v>-74.006015199999993</v>
      </c>
    </row>
    <row r="2051" spans="1:18" ht="16" x14ac:dyDescent="0.2">
      <c r="A2051" s="3">
        <v>2050</v>
      </c>
      <c r="B2051" s="4" t="s">
        <v>232</v>
      </c>
      <c r="C2051" s="4" t="s">
        <v>76</v>
      </c>
      <c r="D2051" s="3" t="str">
        <f>VLOOKUP(C2051,layoffs_location!A:B,2,FALSE)</f>
        <v>other</v>
      </c>
      <c r="E2051" s="3" t="str">
        <f>VLOOKUP(C2051,layoffs_location!A:C,3,FALSE)</f>
        <v>California</v>
      </c>
      <c r="F2051" s="3" t="str">
        <f>VLOOKUP(C2051,layoffs_location!A:D,4,FALSE)</f>
        <v>USA</v>
      </c>
      <c r="G2051" s="3" t="str">
        <f>VLOOKUP(C2051,layoffs_location!A:E,5,FALSE)</f>
        <v>North America</v>
      </c>
      <c r="H2051" s="4"/>
      <c r="I2051" s="24">
        <v>45616</v>
      </c>
      <c r="J2051" s="5">
        <v>13</v>
      </c>
      <c r="K2051" s="25">
        <f>SUM((Table13[[#This Row],[Laid_Off]]*100)/Table13[[#This Row],[Percentage]])</f>
        <v>0</v>
      </c>
      <c r="L2051" s="25">
        <f>SUM(Table13[[#This Row],[Company_Size_before_Layoffs]]-Table13[[#This Row],[Laid_Off]])</f>
        <v>0</v>
      </c>
      <c r="M2051" s="4" t="s">
        <v>21</v>
      </c>
      <c r="N2051" s="4" t="s">
        <v>22</v>
      </c>
      <c r="O2051" s="27">
        <v>216</v>
      </c>
      <c r="P2051" s="23">
        <v>2024</v>
      </c>
      <c r="Q2051" s="3">
        <f>VLOOKUP(C2051,layoffs_location!A:F,6,FALSE)</f>
        <v>34.053690899999999</v>
      </c>
      <c r="R2051" s="3">
        <f>VLOOKUP(C2051,layoffs_location!A:G,7,FALSE)</f>
        <v>-118.242766</v>
      </c>
    </row>
    <row r="2052" spans="1:18" ht="16" x14ac:dyDescent="0.2">
      <c r="A2052" s="3">
        <v>2051</v>
      </c>
      <c r="B2052" s="4" t="s">
        <v>101</v>
      </c>
      <c r="C2052" s="4" t="s">
        <v>1720</v>
      </c>
      <c r="D2052" s="3" t="str">
        <f>VLOOKUP(C2052,layoffs_location!A:B,2,FALSE)</f>
        <v>San Francisco Bay Area</v>
      </c>
      <c r="E2052" s="3" t="str">
        <f>VLOOKUP(C2052,layoffs_location!A:C,3,FALSE)</f>
        <v>California</v>
      </c>
      <c r="F2052" s="3" t="str">
        <f>VLOOKUP(C2052,layoffs_location!A:D,4,FALSE)</f>
        <v>USA</v>
      </c>
      <c r="G2052" s="3" t="str">
        <f>VLOOKUP(C2052,layoffs_location!A:E,5,FALSE)</f>
        <v>North America</v>
      </c>
      <c r="H2052" s="23">
        <v>202</v>
      </c>
      <c r="I2052" s="24">
        <v>45617</v>
      </c>
      <c r="J2052" s="5">
        <v>1</v>
      </c>
      <c r="K2052" s="25">
        <f>SUM((Table13[[#This Row],[Laid_Off]]*100)/Table13[[#This Row],[Percentage]])</f>
        <v>20200</v>
      </c>
      <c r="L2052" s="25">
        <f>SUM(Table13[[#This Row],[Company_Size_before_Layoffs]]-Table13[[#This Row],[Laid_Off]])</f>
        <v>19998</v>
      </c>
      <c r="M2052" s="4" t="s">
        <v>1978</v>
      </c>
      <c r="N2052" s="4" t="s">
        <v>33</v>
      </c>
      <c r="O2052" s="27">
        <v>154</v>
      </c>
      <c r="P2052" s="23">
        <v>2024</v>
      </c>
      <c r="Q2052" s="3">
        <f>VLOOKUP(C2052,layoffs_location!A:F,6,FALSE)</f>
        <v>37.368830099999997</v>
      </c>
      <c r="R2052" s="3">
        <f>VLOOKUP(C2052,layoffs_location!A:G,7,FALSE)</f>
        <v>-122.036349</v>
      </c>
    </row>
    <row r="2053" spans="1:18" ht="16" x14ac:dyDescent="0.2">
      <c r="A2053" s="3">
        <v>2052</v>
      </c>
      <c r="B2053" s="4" t="s">
        <v>1976</v>
      </c>
      <c r="C2053" s="4" t="s">
        <v>13</v>
      </c>
      <c r="D2053" s="3" t="str">
        <f>VLOOKUP(C2053,layoffs_location!A:B,2,FALSE)</f>
        <v>other</v>
      </c>
      <c r="E2053" s="3" t="str">
        <f>VLOOKUP(C2053,layoffs_location!A:C,3,FALSE)</f>
        <v>Karnataka</v>
      </c>
      <c r="F2053" s="3" t="str">
        <f>VLOOKUP(C2053,layoffs_location!A:D,4,FALSE)</f>
        <v>India</v>
      </c>
      <c r="G2053" s="3" t="str">
        <f>VLOOKUP(C2053,layoffs_location!A:E,5,FALSE)</f>
        <v>Asia</v>
      </c>
      <c r="H2053" s="23">
        <v>500</v>
      </c>
      <c r="I2053" s="24">
        <v>45618</v>
      </c>
      <c r="J2053" s="5"/>
      <c r="K2053" s="25"/>
      <c r="L2053" s="25"/>
      <c r="M2053" s="4" t="s">
        <v>32</v>
      </c>
      <c r="N2053" s="4" t="s">
        <v>28</v>
      </c>
      <c r="O2053" s="27">
        <v>1.7</v>
      </c>
      <c r="P2053" s="23">
        <v>2024</v>
      </c>
      <c r="Q2053" s="3">
        <f>VLOOKUP(C2053,layoffs_location!A:F,6,FALSE)</f>
        <v>12.98815675</v>
      </c>
      <c r="R2053" s="3">
        <f>VLOOKUP(C2053,layoffs_location!A:G,7,FALSE)</f>
        <v>77.622600037959998</v>
      </c>
    </row>
    <row r="2054" spans="1:18" ht="16" x14ac:dyDescent="0.2">
      <c r="A2054" s="3">
        <v>2053</v>
      </c>
      <c r="B2054" s="4" t="s">
        <v>1977</v>
      </c>
      <c r="C2054" s="4" t="s">
        <v>135</v>
      </c>
      <c r="D2054" s="3" t="str">
        <f>VLOOKUP(C2054,layoffs_location!A:B,2,FALSE)</f>
        <v>other</v>
      </c>
      <c r="E2054" s="3" t="str">
        <f>VLOOKUP(C2054,layoffs_location!A:C,3,FALSE)</f>
        <v>Berlin</v>
      </c>
      <c r="F2054" s="3" t="str">
        <f>VLOOKUP(C2054,layoffs_location!A:D,4,FALSE)</f>
        <v>Germany</v>
      </c>
      <c r="G2054" s="3" t="str">
        <f>VLOOKUP(C2054,layoffs_location!A:E,5,FALSE)</f>
        <v>Europe</v>
      </c>
      <c r="H2054" s="23">
        <v>304</v>
      </c>
      <c r="I2054" s="24">
        <v>45618</v>
      </c>
      <c r="J2054" s="5"/>
      <c r="K2054" s="25"/>
      <c r="L2054" s="25"/>
      <c r="M2054" s="4" t="s">
        <v>130</v>
      </c>
      <c r="N2054" s="4" t="s">
        <v>33</v>
      </c>
      <c r="O2054" s="27">
        <v>256</v>
      </c>
      <c r="P2054" s="23">
        <v>2024</v>
      </c>
      <c r="Q2054" s="3">
        <f>VLOOKUP(C2054,layoffs_location!A:F,6,FALSE)</f>
        <v>52.517036500000003</v>
      </c>
      <c r="R2054" s="3">
        <f>VLOOKUP(C2054,layoffs_location!A:G,7,FALSE)</f>
        <v>13.3888599</v>
      </c>
    </row>
    <row r="2055" spans="1:18" ht="16" x14ac:dyDescent="0.2">
      <c r="A2055" s="3">
        <v>2054</v>
      </c>
      <c r="B2055" s="4" t="s">
        <v>114</v>
      </c>
      <c r="C2055" s="4" t="s">
        <v>115</v>
      </c>
      <c r="D2055" s="3" t="str">
        <f>VLOOKUP(C2055,layoffs_location!A:B,2,FALSE)</f>
        <v>other</v>
      </c>
      <c r="E2055" s="3" t="str">
        <f>VLOOKUP(C2055,layoffs_location!A:C,3,FALSE)</f>
        <v>Quebec</v>
      </c>
      <c r="F2055" s="3" t="str">
        <f>VLOOKUP(C2055,layoffs_location!A:D,4,FALSE)</f>
        <v>Canada</v>
      </c>
      <c r="G2055" s="3" t="str">
        <f>VLOOKUP(C2055,layoffs_location!A:E,5,FALSE)</f>
        <v>North America</v>
      </c>
      <c r="H2055" s="4"/>
      <c r="I2055" s="24">
        <v>45618</v>
      </c>
      <c r="J2055" s="5"/>
      <c r="K2055" s="25"/>
      <c r="L2055" s="25"/>
      <c r="M2055" s="4" t="s">
        <v>72</v>
      </c>
      <c r="N2055" s="4" t="s">
        <v>22</v>
      </c>
      <c r="O2055" s="27">
        <v>730</v>
      </c>
      <c r="P2055" s="23">
        <v>2024</v>
      </c>
      <c r="Q2055" s="3">
        <f>VLOOKUP(C2055,layoffs_location!A:F,6,FALSE)</f>
        <v>45.5031824</v>
      </c>
      <c r="R2055" s="3">
        <f>VLOOKUP(C2055,layoffs_location!A:G,7,FALSE)</f>
        <v>-73.569806499999999</v>
      </c>
    </row>
    <row r="2056" spans="1:18" ht="16" x14ac:dyDescent="0.2">
      <c r="A2056" s="3">
        <v>2055</v>
      </c>
      <c r="B2056" s="4" t="s">
        <v>1975</v>
      </c>
      <c r="C2056" s="4" t="s">
        <v>154</v>
      </c>
      <c r="D2056" s="3" t="str">
        <f>VLOOKUP(C2056,layoffs_location!A:B,2,FALSE)</f>
        <v>other</v>
      </c>
      <c r="E2056" s="3" t="str">
        <f>VLOOKUP(C2056,layoffs_location!A:C,3,FALSE)</f>
        <v>Illinois</v>
      </c>
      <c r="F2056" s="3" t="str">
        <f>VLOOKUP(C2056,layoffs_location!A:D,4,FALSE)</f>
        <v>USA</v>
      </c>
      <c r="G2056" s="3" t="str">
        <f>VLOOKUP(C2056,layoffs_location!A:E,5,FALSE)</f>
        <v>North America</v>
      </c>
      <c r="H2056" s="4"/>
      <c r="I2056" s="24">
        <v>45621</v>
      </c>
      <c r="J2056" s="5"/>
      <c r="K2056" s="25"/>
      <c r="L2056" s="25"/>
      <c r="M2056" s="4" t="s">
        <v>130</v>
      </c>
      <c r="N2056" s="4" t="s">
        <v>28</v>
      </c>
      <c r="O2056" s="27">
        <v>111</v>
      </c>
      <c r="P2056" s="23">
        <v>2024</v>
      </c>
      <c r="Q2056" s="3">
        <f>VLOOKUP(C2056,layoffs_location!A:F,6,FALSE)</f>
        <v>41.875561599999997</v>
      </c>
      <c r="R2056" s="3">
        <f>VLOOKUP(C2056,layoffs_location!A:G,7,FALSE)</f>
        <v>-87.6244212</v>
      </c>
    </row>
    <row r="2057" spans="1:18" ht="16" x14ac:dyDescent="0.2">
      <c r="A2057" s="3">
        <v>2056</v>
      </c>
      <c r="B2057" s="4" t="s">
        <v>1974</v>
      </c>
      <c r="C2057" s="4" t="s">
        <v>39</v>
      </c>
      <c r="D2057" s="3" t="str">
        <f>VLOOKUP(C2057,layoffs_location!A:B,2,FALSE)</f>
        <v>New York</v>
      </c>
      <c r="E2057" s="3" t="str">
        <f>VLOOKUP(C2057,layoffs_location!A:C,3,FALSE)</f>
        <v>New York</v>
      </c>
      <c r="F2057" s="3" t="str">
        <f>VLOOKUP(C2057,layoffs_location!A:D,4,FALSE)</f>
        <v>USA</v>
      </c>
      <c r="G2057" s="3" t="str">
        <f>VLOOKUP(C2057,layoffs_location!A:E,5,FALSE)</f>
        <v>North America</v>
      </c>
      <c r="H2057" s="23">
        <v>150</v>
      </c>
      <c r="I2057" s="24">
        <v>45623</v>
      </c>
      <c r="J2057" s="5">
        <v>8</v>
      </c>
      <c r="K2057" s="25">
        <f>SUM((Table13[[#This Row],[Laid_Off]]*100)/Table13[[#This Row],[Percentage]])</f>
        <v>1875</v>
      </c>
      <c r="L2057" s="25">
        <f>SUM(Table13[[#This Row],[Company_Size_before_Layoffs]]-Table13[[#This Row],[Laid_Off]])</f>
        <v>1725</v>
      </c>
      <c r="M2057" s="4" t="s">
        <v>60</v>
      </c>
      <c r="N2057" s="4" t="s">
        <v>63</v>
      </c>
      <c r="O2057" s="27">
        <v>1.4</v>
      </c>
      <c r="P2057" s="23">
        <v>2024</v>
      </c>
      <c r="Q2057" s="3">
        <f>VLOOKUP(C2057,layoffs_location!A:F,6,FALSE)</f>
        <v>40.7127281</v>
      </c>
      <c r="R2057" s="3">
        <f>VLOOKUP(C2057,layoffs_location!A:G,7,FALSE)</f>
        <v>-74.006015199999993</v>
      </c>
    </row>
    <row r="2058" spans="1:18" ht="16" x14ac:dyDescent="0.2">
      <c r="A2058" s="3">
        <v>2057</v>
      </c>
      <c r="B2058" s="4" t="s">
        <v>1973</v>
      </c>
      <c r="C2058" s="4" t="s">
        <v>13</v>
      </c>
      <c r="D2058" s="3" t="str">
        <f>VLOOKUP(C2058,layoffs_location!A:B,2,FALSE)</f>
        <v>other</v>
      </c>
      <c r="E2058" s="3" t="str">
        <f>VLOOKUP(C2058,layoffs_location!A:C,3,FALSE)</f>
        <v>Karnataka</v>
      </c>
      <c r="F2058" s="3" t="str">
        <f>VLOOKUP(C2058,layoffs_location!A:D,4,FALSE)</f>
        <v>India</v>
      </c>
      <c r="G2058" s="3" t="str">
        <f>VLOOKUP(C2058,layoffs_location!A:E,5,FALSE)</f>
        <v>Asia</v>
      </c>
      <c r="H2058" s="23">
        <v>60</v>
      </c>
      <c r="I2058" s="24">
        <v>45625</v>
      </c>
      <c r="J2058" s="5"/>
      <c r="K2058" s="25"/>
      <c r="L2058" s="25"/>
      <c r="M2058" s="4" t="s">
        <v>35</v>
      </c>
      <c r="N2058" s="4" t="s">
        <v>22</v>
      </c>
      <c r="O2058" s="27">
        <v>35</v>
      </c>
      <c r="P2058" s="23">
        <v>2024</v>
      </c>
      <c r="Q2058" s="3">
        <f>VLOOKUP(C2058,layoffs_location!A:F,6,FALSE)</f>
        <v>12.98815675</v>
      </c>
      <c r="R2058" s="3">
        <f>VLOOKUP(C2058,layoffs_location!A:G,7,FALSE)</f>
        <v>77.622600037959998</v>
      </c>
    </row>
    <row r="2059" spans="1:18" ht="16" x14ac:dyDescent="0.2">
      <c r="A2059" s="3">
        <v>2058</v>
      </c>
      <c r="B2059" s="4" t="s">
        <v>1395</v>
      </c>
      <c r="C2059" s="4" t="s">
        <v>115</v>
      </c>
      <c r="D2059" s="3" t="str">
        <f>VLOOKUP(C2059,layoffs_location!A:B,2,FALSE)</f>
        <v>other</v>
      </c>
      <c r="E2059" s="3" t="str">
        <f>VLOOKUP(C2059,layoffs_location!A:C,3,FALSE)</f>
        <v>Quebec</v>
      </c>
      <c r="F2059" s="3" t="str">
        <f>VLOOKUP(C2059,layoffs_location!A:D,4,FALSE)</f>
        <v>Canada</v>
      </c>
      <c r="G2059" s="3" t="str">
        <f>VLOOKUP(C2059,layoffs_location!A:E,5,FALSE)</f>
        <v>North America</v>
      </c>
      <c r="H2059" s="23">
        <v>200</v>
      </c>
      <c r="I2059" s="24">
        <v>45628</v>
      </c>
      <c r="J2059" s="5"/>
      <c r="K2059" s="25"/>
      <c r="L2059" s="25"/>
      <c r="M2059" s="4" t="s">
        <v>30</v>
      </c>
      <c r="N2059" s="4" t="s">
        <v>28</v>
      </c>
      <c r="O2059" s="27">
        <v>1.2</v>
      </c>
      <c r="P2059" s="23">
        <v>2024</v>
      </c>
      <c r="Q2059" s="3">
        <f>VLOOKUP(C2059,layoffs_location!A:F,6,FALSE)</f>
        <v>45.5031824</v>
      </c>
      <c r="R2059" s="3">
        <f>VLOOKUP(C2059,layoffs_location!A:G,7,FALSE)</f>
        <v>-73.569806499999999</v>
      </c>
    </row>
    <row r="2060" spans="1:18" ht="16" x14ac:dyDescent="0.2">
      <c r="A2060" s="3">
        <v>2059</v>
      </c>
      <c r="B2060" s="4" t="s">
        <v>860</v>
      </c>
      <c r="C2060" s="4" t="s">
        <v>47</v>
      </c>
      <c r="D2060" s="3" t="str">
        <f>VLOOKUP(C2060,layoffs_location!A:B,2,FALSE)</f>
        <v>other</v>
      </c>
      <c r="E2060" s="3" t="str">
        <f>VLOOKUP(C2060,layoffs_location!A:C,3,FALSE)</f>
        <v>non</v>
      </c>
      <c r="F2060" s="3" t="str">
        <f>VLOOKUP(C2060,layoffs_location!A:D,4,FALSE)</f>
        <v>Israel</v>
      </c>
      <c r="G2060" s="3" t="str">
        <f>VLOOKUP(C2060,layoffs_location!A:E,5,FALSE)</f>
        <v>Asia</v>
      </c>
      <c r="H2060" s="23">
        <v>80</v>
      </c>
      <c r="I2060" s="24">
        <v>45629</v>
      </c>
      <c r="J2060" s="5">
        <v>14</v>
      </c>
      <c r="K2060" s="25">
        <f>SUM((Table13[[#This Row],[Laid_Off]]*100)/Table13[[#This Row],[Percentage]])</f>
        <v>571.42857142857144</v>
      </c>
      <c r="L2060" s="25">
        <f>SUM(Table13[[#This Row],[Company_Size_before_Layoffs]]-Table13[[#This Row],[Laid_Off]])</f>
        <v>491.42857142857144</v>
      </c>
      <c r="M2060" s="4" t="s">
        <v>130</v>
      </c>
      <c r="N2060" s="4" t="s">
        <v>36</v>
      </c>
      <c r="O2060" s="27">
        <v>60</v>
      </c>
      <c r="P2060" s="23">
        <v>2024</v>
      </c>
      <c r="Q2060" s="3">
        <f>VLOOKUP(C2060,layoffs_location!A:F,6,FALSE)</f>
        <v>32.0852997</v>
      </c>
      <c r="R2060" s="3">
        <f>VLOOKUP(C2060,layoffs_location!A:G,7,FALSE)</f>
        <v>34.781806400000001</v>
      </c>
    </row>
    <row r="2061" spans="1:18" ht="16" x14ac:dyDescent="0.2">
      <c r="A2061" s="3">
        <v>2060</v>
      </c>
      <c r="B2061" s="4" t="s">
        <v>287</v>
      </c>
      <c r="C2061" s="4" t="s">
        <v>39</v>
      </c>
      <c r="D2061" s="3" t="str">
        <f>VLOOKUP(C2061,layoffs_location!A:B,2,FALSE)</f>
        <v>New York</v>
      </c>
      <c r="E2061" s="3" t="str">
        <f>VLOOKUP(C2061,layoffs_location!A:C,3,FALSE)</f>
        <v>New York</v>
      </c>
      <c r="F2061" s="3" t="str">
        <f>VLOOKUP(C2061,layoffs_location!A:D,4,FALSE)</f>
        <v>USA</v>
      </c>
      <c r="G2061" s="3" t="str">
        <f>VLOOKUP(C2061,layoffs_location!A:E,5,FALSE)</f>
        <v>North America</v>
      </c>
      <c r="H2061" s="23">
        <v>88</v>
      </c>
      <c r="I2061" s="24">
        <v>45630</v>
      </c>
      <c r="J2061" s="5">
        <v>40</v>
      </c>
      <c r="K2061" s="25">
        <f>SUM((Table13[[#This Row],[Laid_Off]]*100)/Table13[[#This Row],[Percentage]])</f>
        <v>220</v>
      </c>
      <c r="L2061" s="25">
        <f>SUM(Table13[[#This Row],[Company_Size_before_Layoffs]]-Table13[[#This Row],[Laid_Off]])</f>
        <v>132</v>
      </c>
      <c r="M2061" s="4" t="s">
        <v>35</v>
      </c>
      <c r="N2061" s="4" t="s">
        <v>22</v>
      </c>
      <c r="O2061" s="27">
        <v>480</v>
      </c>
      <c r="P2061" s="23">
        <v>2024</v>
      </c>
      <c r="Q2061" s="3">
        <f>VLOOKUP(C2061,layoffs_location!A:F,6,FALSE)</f>
        <v>40.7127281</v>
      </c>
      <c r="R2061" s="3">
        <f>VLOOKUP(C2061,layoffs_location!A:G,7,FALSE)</f>
        <v>-74.006015199999993</v>
      </c>
    </row>
    <row r="2062" spans="1:18" ht="16" x14ac:dyDescent="0.2">
      <c r="A2062" s="3">
        <v>2061</v>
      </c>
      <c r="B2062" s="4" t="s">
        <v>1972</v>
      </c>
      <c r="C2062" s="4" t="s">
        <v>1347</v>
      </c>
      <c r="D2062" s="3" t="str">
        <f>VLOOKUP(C2062,layoffs_location!A:B,2,FALSE)</f>
        <v>other</v>
      </c>
      <c r="E2062" s="3" t="str">
        <f>VLOOKUP(C2062,layoffs_location!A:C,3,FALSE)</f>
        <v>Connecticut</v>
      </c>
      <c r="F2062" s="3" t="str">
        <f>VLOOKUP(C2062,layoffs_location!A:D,4,FALSE)</f>
        <v>USA</v>
      </c>
      <c r="G2062" s="3" t="str">
        <f>VLOOKUP(C2062,layoffs_location!A:E,5,FALSE)</f>
        <v>North America</v>
      </c>
      <c r="H2062" s="23">
        <v>60</v>
      </c>
      <c r="I2062" s="24">
        <v>45630</v>
      </c>
      <c r="J2062" s="5"/>
      <c r="K2062" s="25"/>
      <c r="L2062" s="25"/>
      <c r="M2062" s="4" t="s">
        <v>72</v>
      </c>
      <c r="N2062" s="4" t="s">
        <v>28</v>
      </c>
      <c r="O2062" s="27">
        <v>2.8</v>
      </c>
      <c r="P2062" s="23">
        <v>2024</v>
      </c>
      <c r="Q2062" s="3">
        <f>VLOOKUP(C2062,layoffs_location!A:F,6,FALSE)</f>
        <v>41.117596599999999</v>
      </c>
      <c r="R2062" s="3">
        <f>VLOOKUP(C2062,layoffs_location!A:G,7,FALSE)</f>
        <v>-73.407896800000003</v>
      </c>
    </row>
    <row r="2063" spans="1:18" ht="16" x14ac:dyDescent="0.2">
      <c r="A2063" s="3">
        <v>2062</v>
      </c>
      <c r="B2063" s="4" t="s">
        <v>1501</v>
      </c>
      <c r="C2063" s="4" t="s">
        <v>260</v>
      </c>
      <c r="D2063" s="3" t="str">
        <f>VLOOKUP(C2063,layoffs_location!A:B,2,FALSE)</f>
        <v>other</v>
      </c>
      <c r="E2063" s="3" t="str">
        <f>VLOOKUP(C2063,layoffs_location!A:C,3,FALSE)</f>
        <v>District of Columbia</v>
      </c>
      <c r="F2063" s="3" t="str">
        <f>VLOOKUP(C2063,layoffs_location!A:D,4,FALSE)</f>
        <v>USA</v>
      </c>
      <c r="G2063" s="3" t="str">
        <f>VLOOKUP(C2063,layoffs_location!A:E,5,FALSE)</f>
        <v>North America</v>
      </c>
      <c r="H2063" s="4"/>
      <c r="I2063" s="24">
        <v>45630</v>
      </c>
      <c r="J2063" s="5"/>
      <c r="K2063" s="25"/>
      <c r="L2063" s="25"/>
      <c r="M2063" s="4" t="s">
        <v>68</v>
      </c>
      <c r="N2063" s="4" t="s">
        <v>28</v>
      </c>
      <c r="O2063" s="27">
        <v>426</v>
      </c>
      <c r="P2063" s="23">
        <v>2024</v>
      </c>
      <c r="Q2063" s="3">
        <f>VLOOKUP(C2063,layoffs_location!A:F,6,FALSE)</f>
        <v>38.8950368</v>
      </c>
      <c r="R2063" s="3">
        <f>VLOOKUP(C2063,layoffs_location!A:G,7,FALSE)</f>
        <v>-77.036542699999998</v>
      </c>
    </row>
    <row r="2064" spans="1:18" ht="16" x14ac:dyDescent="0.2">
      <c r="A2064" s="3">
        <v>2063</v>
      </c>
      <c r="B2064" s="4" t="s">
        <v>1971</v>
      </c>
      <c r="C2064" s="4" t="s">
        <v>71</v>
      </c>
      <c r="D2064" s="3" t="str">
        <f>VLOOKUP(C2064,layoffs_location!A:B,2,FALSE)</f>
        <v>other</v>
      </c>
      <c r="E2064" s="3" t="str">
        <f>VLOOKUP(C2064,layoffs_location!A:C,3,FALSE)</f>
        <v>Massachusetts</v>
      </c>
      <c r="F2064" s="3" t="str">
        <f>VLOOKUP(C2064,layoffs_location!A:D,4,FALSE)</f>
        <v>USA</v>
      </c>
      <c r="G2064" s="3" t="str">
        <f>VLOOKUP(C2064,layoffs_location!A:E,5,FALSE)</f>
        <v>North America</v>
      </c>
      <c r="H2064" s="23">
        <v>50</v>
      </c>
      <c r="I2064" s="24">
        <v>45631</v>
      </c>
      <c r="J2064" s="5">
        <v>6</v>
      </c>
      <c r="K2064" s="25">
        <f>SUM((Table13[[#This Row],[Laid_Off]]*100)/Table13[[#This Row],[Percentage]])</f>
        <v>833.33333333333337</v>
      </c>
      <c r="L2064" s="25">
        <f>SUM(Table13[[#This Row],[Company_Size_before_Layoffs]]-Table13[[#This Row],[Laid_Off]])</f>
        <v>783.33333333333337</v>
      </c>
      <c r="M2064" s="4" t="s">
        <v>117</v>
      </c>
      <c r="N2064" s="4" t="s">
        <v>1696</v>
      </c>
      <c r="O2064" s="27">
        <v>1.1000000000000001</v>
      </c>
      <c r="P2064" s="23">
        <v>2024</v>
      </c>
      <c r="Q2064" s="3">
        <f>VLOOKUP(C2064,layoffs_location!A:F,6,FALSE)</f>
        <v>42.355433400000003</v>
      </c>
      <c r="R2064" s="3">
        <f>VLOOKUP(C2064,layoffs_location!A:G,7,FALSE)</f>
        <v>-71.060511000000005</v>
      </c>
    </row>
    <row r="2065" spans="1:18" ht="16" x14ac:dyDescent="0.2">
      <c r="A2065" s="3">
        <v>2064</v>
      </c>
      <c r="B2065" s="4" t="s">
        <v>517</v>
      </c>
      <c r="C2065" s="4" t="s">
        <v>260</v>
      </c>
      <c r="D2065" s="3" t="str">
        <f>VLOOKUP(C2065,layoffs_location!A:B,2,FALSE)</f>
        <v>other</v>
      </c>
      <c r="E2065" s="3" t="str">
        <f>VLOOKUP(C2065,layoffs_location!A:C,3,FALSE)</f>
        <v>District of Columbia</v>
      </c>
      <c r="F2065" s="3" t="str">
        <f>VLOOKUP(C2065,layoffs_location!A:D,4,FALSE)</f>
        <v>USA</v>
      </c>
      <c r="G2065" s="3" t="str">
        <f>VLOOKUP(C2065,layoffs_location!A:E,5,FALSE)</f>
        <v>North America</v>
      </c>
      <c r="H2065" s="4"/>
      <c r="I2065" s="24">
        <v>45631</v>
      </c>
      <c r="J2065" s="5"/>
      <c r="K2065" s="25"/>
      <c r="L2065" s="25"/>
      <c r="M2065" s="4" t="s">
        <v>54</v>
      </c>
      <c r="N2065" s="4" t="s">
        <v>63</v>
      </c>
      <c r="O2065" s="27">
        <v>307</v>
      </c>
      <c r="P2065" s="23">
        <v>2024</v>
      </c>
      <c r="Q2065" s="3">
        <f>VLOOKUP(C2065,layoffs_location!A:F,6,FALSE)</f>
        <v>38.8950368</v>
      </c>
      <c r="R2065" s="3">
        <f>VLOOKUP(C2065,layoffs_location!A:G,7,FALSE)</f>
        <v>-77.036542699999998</v>
      </c>
    </row>
    <row r="2066" spans="1:18" ht="16" x14ac:dyDescent="0.2">
      <c r="A2066" s="3">
        <v>2065</v>
      </c>
      <c r="B2066" s="4" t="s">
        <v>627</v>
      </c>
      <c r="C2066" s="4" t="s">
        <v>244</v>
      </c>
      <c r="D2066" s="3" t="str">
        <f>VLOOKUP(C2066,layoffs_location!A:B,2,FALSE)</f>
        <v>other</v>
      </c>
      <c r="E2066" s="3" t="str">
        <f>VLOOKUP(C2066,layoffs_location!A:C,3,FALSE)</f>
        <v>non</v>
      </c>
      <c r="F2066" s="3" t="str">
        <f>VLOOKUP(C2066,layoffs_location!A:D,4,FALSE)</f>
        <v>Singapore</v>
      </c>
      <c r="G2066" s="3" t="str">
        <f>VLOOKUP(C2066,layoffs_location!A:E,5,FALSE)</f>
        <v>Asia</v>
      </c>
      <c r="H2066" s="23">
        <v>76</v>
      </c>
      <c r="I2066" s="24">
        <v>45632</v>
      </c>
      <c r="J2066" s="5">
        <v>7</v>
      </c>
      <c r="K2066" s="25">
        <f>SUM((Table13[[#This Row],[Laid_Off]]*100)/Table13[[#This Row],[Percentage]])</f>
        <v>1085.7142857142858</v>
      </c>
      <c r="L2066" s="25">
        <f>SUM(Table13[[#This Row],[Company_Size_before_Layoffs]]-Table13[[#This Row],[Laid_Off]])</f>
        <v>1009.7142857142858</v>
      </c>
      <c r="M2066" s="4" t="s">
        <v>30</v>
      </c>
      <c r="N2066" s="4" t="s">
        <v>22</v>
      </c>
      <c r="O2066" s="27">
        <v>375</v>
      </c>
      <c r="P2066" s="23">
        <v>2024</v>
      </c>
      <c r="Q2066" s="3">
        <f>VLOOKUP(C2066,layoffs_location!A:F,6,FALSE)</f>
        <v>1.2899175000000001</v>
      </c>
      <c r="R2066" s="3">
        <f>VLOOKUP(C2066,layoffs_location!A:G,7,FALSE)</f>
        <v>103.8519072</v>
      </c>
    </row>
    <row r="2067" spans="1:18" ht="16" x14ac:dyDescent="0.2">
      <c r="A2067" s="3">
        <v>2066</v>
      </c>
      <c r="B2067" s="4" t="s">
        <v>1969</v>
      </c>
      <c r="C2067" s="4" t="s">
        <v>1970</v>
      </c>
      <c r="D2067" s="3" t="str">
        <f>VLOOKUP(C2067,layoffs_location!A:B,2,FALSE)</f>
        <v>other</v>
      </c>
      <c r="E2067" s="3" t="str">
        <f>VLOOKUP(C2067,layoffs_location!A:C,3,FALSE)</f>
        <v>Alabama</v>
      </c>
      <c r="F2067" s="3" t="str">
        <f>VLOOKUP(C2067,layoffs_location!A:D,4,FALSE)</f>
        <v>USA</v>
      </c>
      <c r="G2067" s="3" t="str">
        <f>VLOOKUP(C2067,layoffs_location!A:E,5,FALSE)</f>
        <v>North America</v>
      </c>
      <c r="H2067" s="4"/>
      <c r="I2067" s="24">
        <v>45632</v>
      </c>
      <c r="J2067" s="5">
        <v>100</v>
      </c>
      <c r="K2067" s="25">
        <f>SUM((Table13[[#This Row],[Laid_Off]]*100)/Table13[[#This Row],[Percentage]])</f>
        <v>0</v>
      </c>
      <c r="L2067" s="25">
        <f>SUM(Table13[[#This Row],[Company_Size_before_Layoffs]]-Table13[[#This Row],[Laid_Off]])</f>
        <v>0</v>
      </c>
      <c r="M2067" s="4" t="s">
        <v>60</v>
      </c>
      <c r="N2067" s="4" t="s">
        <v>147</v>
      </c>
      <c r="O2067" s="27">
        <v>2</v>
      </c>
      <c r="P2067" s="23">
        <v>2024</v>
      </c>
      <c r="Q2067" s="3">
        <f>VLOOKUP(C2067,layoffs_location!A:F,6,FALSE)</f>
        <v>33.516664599999999</v>
      </c>
      <c r="R2067" s="3">
        <f>VLOOKUP(C2067,layoffs_location!A:G,7,FALSE)</f>
        <v>-86.799996800000002</v>
      </c>
    </row>
    <row r="2068" spans="1:18" ht="16" x14ac:dyDescent="0.2">
      <c r="A2068" s="3">
        <v>2067</v>
      </c>
      <c r="B2068" s="4" t="s">
        <v>1968</v>
      </c>
      <c r="C2068" s="4" t="s">
        <v>39</v>
      </c>
      <c r="D2068" s="3" t="str">
        <f>VLOOKUP(C2068,layoffs_location!A:B,2,FALSE)</f>
        <v>New York</v>
      </c>
      <c r="E2068" s="3" t="str">
        <f>VLOOKUP(C2068,layoffs_location!A:C,3,FALSE)</f>
        <v>New York</v>
      </c>
      <c r="F2068" s="3" t="str">
        <f>VLOOKUP(C2068,layoffs_location!A:D,4,FALSE)</f>
        <v>USA</v>
      </c>
      <c r="G2068" s="3" t="str">
        <f>VLOOKUP(C2068,layoffs_location!A:E,5,FALSE)</f>
        <v>North America</v>
      </c>
      <c r="H2068" s="4"/>
      <c r="I2068" s="24">
        <v>45635</v>
      </c>
      <c r="J2068" s="5">
        <v>100</v>
      </c>
      <c r="K2068" s="25">
        <f>SUM((Table13[[#This Row],[Laid_Off]]*100)/Table13[[#This Row],[Percentage]])</f>
        <v>0</v>
      </c>
      <c r="L2068" s="25">
        <f>SUM(Table13[[#This Row],[Company_Size_before_Layoffs]]-Table13[[#This Row],[Laid_Off]])</f>
        <v>0</v>
      </c>
      <c r="M2068" s="4" t="s">
        <v>137</v>
      </c>
      <c r="N2068" s="4" t="s">
        <v>108</v>
      </c>
      <c r="O2068" s="27">
        <v>440</v>
      </c>
      <c r="P2068" s="23">
        <v>2024</v>
      </c>
      <c r="Q2068" s="3">
        <f>VLOOKUP(C2068,layoffs_location!A:F,6,FALSE)</f>
        <v>40.7127281</v>
      </c>
      <c r="R2068" s="3">
        <f>VLOOKUP(C2068,layoffs_location!A:G,7,FALSE)</f>
        <v>-74.006015199999993</v>
      </c>
    </row>
    <row r="2069" spans="1:18" ht="16" x14ac:dyDescent="0.2">
      <c r="A2069" s="3">
        <v>2068</v>
      </c>
      <c r="B2069" s="4" t="s">
        <v>1424</v>
      </c>
      <c r="C2069" s="4" t="s">
        <v>47</v>
      </c>
      <c r="D2069" s="3" t="str">
        <f>VLOOKUP(C2069,layoffs_location!A:B,2,FALSE)</f>
        <v>other</v>
      </c>
      <c r="E2069" s="3" t="str">
        <f>VLOOKUP(C2069,layoffs_location!A:C,3,FALSE)</f>
        <v>non</v>
      </c>
      <c r="F2069" s="3" t="str">
        <f>VLOOKUP(C2069,layoffs_location!A:D,4,FALSE)</f>
        <v>Israel</v>
      </c>
      <c r="G2069" s="3" t="str">
        <f>VLOOKUP(C2069,layoffs_location!A:E,5,FALSE)</f>
        <v>Asia</v>
      </c>
      <c r="H2069" s="23">
        <v>100</v>
      </c>
      <c r="I2069" s="24">
        <v>45636</v>
      </c>
      <c r="J2069" s="5">
        <v>18</v>
      </c>
      <c r="K2069" s="25">
        <f>SUM((Table13[[#This Row],[Laid_Off]]*100)/Table13[[#This Row],[Percentage]])</f>
        <v>555.55555555555554</v>
      </c>
      <c r="L2069" s="25">
        <f>SUM(Table13[[#This Row],[Company_Size_before_Layoffs]]-Table13[[#This Row],[Laid_Off]])</f>
        <v>455.55555555555554</v>
      </c>
      <c r="M2069" s="4" t="s">
        <v>35</v>
      </c>
      <c r="N2069" s="4" t="s">
        <v>22</v>
      </c>
      <c r="O2069" s="27">
        <v>76</v>
      </c>
      <c r="P2069" s="23">
        <v>2024</v>
      </c>
      <c r="Q2069" s="3">
        <f>VLOOKUP(C2069,layoffs_location!A:F,6,FALSE)</f>
        <v>32.0852997</v>
      </c>
      <c r="R2069" s="3">
        <f>VLOOKUP(C2069,layoffs_location!A:G,7,FALSE)</f>
        <v>34.781806400000001</v>
      </c>
    </row>
    <row r="2070" spans="1:18" ht="16" x14ac:dyDescent="0.2">
      <c r="A2070" s="3">
        <v>2069</v>
      </c>
      <c r="B2070" s="4" t="s">
        <v>1967</v>
      </c>
      <c r="C2070" s="4" t="s">
        <v>135</v>
      </c>
      <c r="D2070" s="3" t="str">
        <f>VLOOKUP(C2070,layoffs_location!A:B,2,FALSE)</f>
        <v>other</v>
      </c>
      <c r="E2070" s="3" t="str">
        <f>VLOOKUP(C2070,layoffs_location!A:C,3,FALSE)</f>
        <v>Berlin</v>
      </c>
      <c r="F2070" s="3" t="str">
        <f>VLOOKUP(C2070,layoffs_location!A:D,4,FALSE)</f>
        <v>Germany</v>
      </c>
      <c r="G2070" s="3" t="str">
        <f>VLOOKUP(C2070,layoffs_location!A:E,5,FALSE)</f>
        <v>Europe</v>
      </c>
      <c r="H2070" s="4"/>
      <c r="I2070" s="24">
        <v>45636</v>
      </c>
      <c r="J2070" s="5"/>
      <c r="K2070" s="25"/>
      <c r="L2070" s="25"/>
      <c r="M2070" s="4" t="s">
        <v>130</v>
      </c>
      <c r="N2070" s="4" t="s">
        <v>49</v>
      </c>
      <c r="O2070" s="27">
        <v>11</v>
      </c>
      <c r="P2070" s="23">
        <v>2024</v>
      </c>
      <c r="Q2070" s="3">
        <f>VLOOKUP(C2070,layoffs_location!A:F,6,FALSE)</f>
        <v>52.517036500000003</v>
      </c>
      <c r="R2070" s="3">
        <f>VLOOKUP(C2070,layoffs_location!A:G,7,FALSE)</f>
        <v>13.3888599</v>
      </c>
    </row>
    <row r="2071" spans="1:18" ht="16" x14ac:dyDescent="0.2">
      <c r="A2071" s="3">
        <v>2070</v>
      </c>
      <c r="B2071" s="4" t="s">
        <v>1964</v>
      </c>
      <c r="C2071" s="4" t="s">
        <v>71</v>
      </c>
      <c r="D2071" s="3" t="str">
        <f>VLOOKUP(C2071,layoffs_location!A:B,2,FALSE)</f>
        <v>other</v>
      </c>
      <c r="E2071" s="3" t="str">
        <f>VLOOKUP(C2071,layoffs_location!A:C,3,FALSE)</f>
        <v>Massachusetts</v>
      </c>
      <c r="F2071" s="3" t="str">
        <f>VLOOKUP(C2071,layoffs_location!A:D,4,FALSE)</f>
        <v>USA</v>
      </c>
      <c r="G2071" s="3" t="str">
        <f>VLOOKUP(C2071,layoffs_location!A:E,5,FALSE)</f>
        <v>North America</v>
      </c>
      <c r="H2071" s="23">
        <v>74</v>
      </c>
      <c r="I2071" s="24">
        <v>45637</v>
      </c>
      <c r="J2071" s="5">
        <v>27</v>
      </c>
      <c r="K2071" s="25">
        <f>SUM((Table13[[#This Row],[Laid_Off]]*100)/Table13[[#This Row],[Percentage]])</f>
        <v>274.07407407407408</v>
      </c>
      <c r="L2071" s="25">
        <f>SUM(Table13[[#This Row],[Company_Size_before_Layoffs]]-Table13[[#This Row],[Laid_Off]])</f>
        <v>200.07407407407408</v>
      </c>
      <c r="M2071" s="4" t="s">
        <v>117</v>
      </c>
      <c r="N2071" s="4" t="s">
        <v>1697</v>
      </c>
      <c r="O2071" s="27"/>
      <c r="P2071" s="23">
        <v>2024</v>
      </c>
      <c r="Q2071" s="3">
        <f>VLOOKUP(C2071,layoffs_location!A:F,6,FALSE)</f>
        <v>42.355433400000003</v>
      </c>
      <c r="R2071" s="3">
        <f>VLOOKUP(C2071,layoffs_location!A:G,7,FALSE)</f>
        <v>-71.060511000000005</v>
      </c>
    </row>
    <row r="2072" spans="1:18" ht="16" x14ac:dyDescent="0.2">
      <c r="A2072" s="3">
        <v>2071</v>
      </c>
      <c r="B2072" s="4" t="s">
        <v>206</v>
      </c>
      <c r="C2072" s="4" t="s">
        <v>171</v>
      </c>
      <c r="D2072" s="3" t="str">
        <f>VLOOKUP(C2072,layoffs_location!A:B,2,FALSE)</f>
        <v>other</v>
      </c>
      <c r="E2072" s="3" t="str">
        <f>VLOOKUP(C2072,layoffs_location!A:C,3,FALSE)</f>
        <v>Georgia</v>
      </c>
      <c r="F2072" s="3" t="str">
        <f>VLOOKUP(C2072,layoffs_location!A:D,4,FALSE)</f>
        <v>USA</v>
      </c>
      <c r="G2072" s="3" t="str">
        <f>VLOOKUP(C2072,layoffs_location!A:E,5,FALSE)</f>
        <v>North America</v>
      </c>
      <c r="H2072" s="23">
        <v>70</v>
      </c>
      <c r="I2072" s="24">
        <v>45637</v>
      </c>
      <c r="J2072" s="5">
        <v>13</v>
      </c>
      <c r="K2072" s="25">
        <f>SUM((Table13[[#This Row],[Laid_Off]]*100)/Table13[[#This Row],[Percentage]])</f>
        <v>538.46153846153845</v>
      </c>
      <c r="L2072" s="25">
        <f>SUM(Table13[[#This Row],[Company_Size_before_Layoffs]]-Table13[[#This Row],[Laid_Off]])</f>
        <v>468.46153846153845</v>
      </c>
      <c r="M2072" s="4" t="s">
        <v>60</v>
      </c>
      <c r="N2072" s="4" t="s">
        <v>49</v>
      </c>
      <c r="O2072" s="27">
        <v>351</v>
      </c>
      <c r="P2072" s="23">
        <v>2024</v>
      </c>
      <c r="Q2072" s="3">
        <f>VLOOKUP(C2072,layoffs_location!A:F,6,FALSE)</f>
        <v>33.748992399999999</v>
      </c>
      <c r="R2072" s="3">
        <f>VLOOKUP(C2072,layoffs_location!A:G,7,FALSE)</f>
        <v>-84.390264400000007</v>
      </c>
    </row>
    <row r="2073" spans="1:18" ht="16" x14ac:dyDescent="0.2">
      <c r="A2073" s="3">
        <v>2072</v>
      </c>
      <c r="B2073" s="4" t="s">
        <v>912</v>
      </c>
      <c r="C2073" s="4" t="s">
        <v>76</v>
      </c>
      <c r="D2073" s="3" t="str">
        <f>VLOOKUP(C2073,layoffs_location!A:B,2,FALSE)</f>
        <v>other</v>
      </c>
      <c r="E2073" s="3" t="str">
        <f>VLOOKUP(C2073,layoffs_location!A:C,3,FALSE)</f>
        <v>California</v>
      </c>
      <c r="F2073" s="3" t="str">
        <f>VLOOKUP(C2073,layoffs_location!A:D,4,FALSE)</f>
        <v>USA</v>
      </c>
      <c r="G2073" s="3" t="str">
        <f>VLOOKUP(C2073,layoffs_location!A:E,5,FALSE)</f>
        <v>North America</v>
      </c>
      <c r="H2073" s="23">
        <v>20</v>
      </c>
      <c r="I2073" s="24">
        <v>45637</v>
      </c>
      <c r="J2073" s="5"/>
      <c r="K2073" s="25"/>
      <c r="L2073" s="25"/>
      <c r="M2073" s="4" t="s">
        <v>32</v>
      </c>
      <c r="N2073" s="4" t="s">
        <v>28</v>
      </c>
      <c r="O2073" s="27">
        <v>300</v>
      </c>
      <c r="P2073" s="23">
        <v>2024</v>
      </c>
      <c r="Q2073" s="3">
        <f>VLOOKUP(C2073,layoffs_location!A:F,6,FALSE)</f>
        <v>34.053690899999999</v>
      </c>
      <c r="R2073" s="3">
        <f>VLOOKUP(C2073,layoffs_location!A:G,7,FALSE)</f>
        <v>-118.242766</v>
      </c>
    </row>
    <row r="2074" spans="1:18" ht="16" x14ac:dyDescent="0.2">
      <c r="A2074" s="3">
        <v>2073</v>
      </c>
      <c r="B2074" s="4" t="s">
        <v>1965</v>
      </c>
      <c r="C2074" s="4" t="s">
        <v>43</v>
      </c>
      <c r="D2074" s="3" t="str">
        <f>VLOOKUP(C2074,layoffs_location!A:B,2,FALSE)</f>
        <v>Cascadia</v>
      </c>
      <c r="E2074" s="3" t="str">
        <f>VLOOKUP(C2074,layoffs_location!A:C,3,FALSE)</f>
        <v>Washington</v>
      </c>
      <c r="F2074" s="3" t="str">
        <f>VLOOKUP(C2074,layoffs_location!A:D,4,FALSE)</f>
        <v>USA</v>
      </c>
      <c r="G2074" s="3" t="str">
        <f>VLOOKUP(C2074,layoffs_location!A:E,5,FALSE)</f>
        <v>North America</v>
      </c>
      <c r="H2074" s="4"/>
      <c r="I2074" s="24">
        <v>45637</v>
      </c>
      <c r="J2074" s="5">
        <v>22</v>
      </c>
      <c r="K2074" s="25">
        <f>SUM((Table13[[#This Row],[Laid_Off]]*100)/Table13[[#This Row],[Percentage]])</f>
        <v>0</v>
      </c>
      <c r="L2074" s="25">
        <f>SUM(Table13[[#This Row],[Company_Size_before_Layoffs]]-Table13[[#This Row],[Laid_Off]])</f>
        <v>0</v>
      </c>
      <c r="M2074" s="4" t="s">
        <v>30</v>
      </c>
      <c r="N2074" s="4" t="s">
        <v>22</v>
      </c>
      <c r="O2074" s="27">
        <v>381</v>
      </c>
      <c r="P2074" s="23">
        <v>2024</v>
      </c>
      <c r="Q2074" s="3">
        <f>VLOOKUP(C2074,layoffs_location!A:F,6,FALSE)</f>
        <v>47.603832099999998</v>
      </c>
      <c r="R2074" s="3">
        <f>VLOOKUP(C2074,layoffs_location!A:G,7,FALSE)</f>
        <v>-122.330062</v>
      </c>
    </row>
    <row r="2075" spans="1:18" ht="16" x14ac:dyDescent="0.2">
      <c r="A2075" s="3">
        <v>2074</v>
      </c>
      <c r="B2075" s="4" t="s">
        <v>1966</v>
      </c>
      <c r="C2075" s="4" t="s">
        <v>76</v>
      </c>
      <c r="D2075" s="3" t="str">
        <f>VLOOKUP(C2075,layoffs_location!A:B,2,FALSE)</f>
        <v>other</v>
      </c>
      <c r="E2075" s="3" t="str">
        <f>VLOOKUP(C2075,layoffs_location!A:C,3,FALSE)</f>
        <v>California</v>
      </c>
      <c r="F2075" s="3" t="str">
        <f>VLOOKUP(C2075,layoffs_location!A:D,4,FALSE)</f>
        <v>USA</v>
      </c>
      <c r="G2075" s="3" t="str">
        <f>VLOOKUP(C2075,layoffs_location!A:E,5,FALSE)</f>
        <v>North America</v>
      </c>
      <c r="H2075" s="4"/>
      <c r="I2075" s="24">
        <v>45637</v>
      </c>
      <c r="J2075" s="5"/>
      <c r="K2075" s="25"/>
      <c r="L2075" s="25"/>
      <c r="M2075" s="4" t="s">
        <v>60</v>
      </c>
      <c r="N2075" s="4" t="s">
        <v>22</v>
      </c>
      <c r="O2075" s="27">
        <v>238</v>
      </c>
      <c r="P2075" s="23">
        <v>2024</v>
      </c>
      <c r="Q2075" s="3">
        <f>VLOOKUP(C2075,layoffs_location!A:F,6,FALSE)</f>
        <v>34.053690899999999</v>
      </c>
      <c r="R2075" s="3">
        <f>VLOOKUP(C2075,layoffs_location!A:G,7,FALSE)</f>
        <v>-118.242766</v>
      </c>
    </row>
    <row r="2076" spans="1:18" ht="16" x14ac:dyDescent="0.2">
      <c r="A2076" s="3">
        <v>2075</v>
      </c>
      <c r="B2076" s="4" t="s">
        <v>449</v>
      </c>
      <c r="C2076" s="4" t="s">
        <v>1720</v>
      </c>
      <c r="D2076" s="3" t="str">
        <f>VLOOKUP(C2076,layoffs_location!A:B,2,FALSE)</f>
        <v>San Francisco Bay Area</v>
      </c>
      <c r="E2076" s="3" t="str">
        <f>VLOOKUP(C2076,layoffs_location!A:C,3,FALSE)</f>
        <v>California</v>
      </c>
      <c r="F2076" s="3" t="str">
        <f>VLOOKUP(C2076,layoffs_location!A:D,4,FALSE)</f>
        <v>USA</v>
      </c>
      <c r="G2076" s="3" t="str">
        <f>VLOOKUP(C2076,layoffs_location!A:E,5,FALSE)</f>
        <v>North America</v>
      </c>
      <c r="H2076" s="4"/>
      <c r="I2076" s="24">
        <v>45638</v>
      </c>
      <c r="J2076" s="5"/>
      <c r="K2076" s="25"/>
      <c r="L2076" s="25"/>
      <c r="M2076" s="4" t="s">
        <v>16</v>
      </c>
      <c r="N2076" s="4" t="s">
        <v>33</v>
      </c>
      <c r="O2076" s="27">
        <v>6</v>
      </c>
      <c r="P2076" s="23">
        <v>2024</v>
      </c>
      <c r="Q2076" s="3">
        <f>VLOOKUP(C2076,layoffs_location!A:F,6,FALSE)</f>
        <v>37.368830099999997</v>
      </c>
      <c r="R2076" s="3">
        <f>VLOOKUP(C2076,layoffs_location!A:G,7,FALSE)</f>
        <v>-122.036349</v>
      </c>
    </row>
    <row r="2077" spans="1:18" ht="16" x14ac:dyDescent="0.2">
      <c r="A2077" s="3">
        <v>2076</v>
      </c>
      <c r="B2077" s="4" t="s">
        <v>1963</v>
      </c>
      <c r="C2077" s="4" t="s">
        <v>56</v>
      </c>
      <c r="D2077" s="3" t="str">
        <f>VLOOKUP(C2077,layoffs_location!A:B,2,FALSE)</f>
        <v>other</v>
      </c>
      <c r="E2077" s="3" t="str">
        <f>VLOOKUP(C2077,layoffs_location!A:C,3,FALSE)</f>
        <v>Maharashtra</v>
      </c>
      <c r="F2077" s="3" t="str">
        <f>VLOOKUP(C2077,layoffs_location!A:D,4,FALSE)</f>
        <v>India</v>
      </c>
      <c r="G2077" s="3" t="str">
        <f>VLOOKUP(C2077,layoffs_location!A:E,5,FALSE)</f>
        <v>Asia</v>
      </c>
      <c r="H2077" s="4"/>
      <c r="I2077" s="24">
        <v>45640</v>
      </c>
      <c r="J2077" s="5">
        <v>100</v>
      </c>
      <c r="K2077" s="25">
        <f>SUM((Table13[[#This Row],[Laid_Off]]*100)/Table13[[#This Row],[Percentage]])</f>
        <v>0</v>
      </c>
      <c r="L2077" s="25">
        <f>SUM(Table13[[#This Row],[Company_Size_before_Layoffs]]-Table13[[#This Row],[Laid_Off]])</f>
        <v>0</v>
      </c>
      <c r="M2077" s="4" t="s">
        <v>77</v>
      </c>
      <c r="N2077" s="4" t="s">
        <v>69</v>
      </c>
      <c r="O2077" s="27"/>
      <c r="P2077" s="23">
        <v>2024</v>
      </c>
      <c r="Q2077" s="3">
        <f>VLOOKUP(C2077,layoffs_location!A:F,6,FALSE)</f>
        <v>19.078545099999999</v>
      </c>
      <c r="R2077" s="3">
        <f>VLOOKUP(C2077,layoffs_location!A:G,7,FALSE)</f>
        <v>72.878175999999996</v>
      </c>
    </row>
    <row r="2078" spans="1:18" ht="16" x14ac:dyDescent="0.2">
      <c r="A2078" s="3">
        <v>2077</v>
      </c>
      <c r="B2078" s="36" t="s">
        <v>1962</v>
      </c>
      <c r="C2078" s="36" t="s">
        <v>39</v>
      </c>
      <c r="D2078" s="3" t="str">
        <f>VLOOKUP(C2078,layoffs_location!A:B,2,FALSE)</f>
        <v>New York</v>
      </c>
      <c r="E2078" s="3" t="str">
        <f>VLOOKUP(C2078,layoffs_location!A:C,3,FALSE)</f>
        <v>New York</v>
      </c>
      <c r="F2078" s="3" t="str">
        <f>VLOOKUP(C2078,layoffs_location!A:D,4,FALSE)</f>
        <v>USA</v>
      </c>
      <c r="G2078" s="3" t="str">
        <f>VLOOKUP(C2078,layoffs_location!A:E,5,FALSE)</f>
        <v>North America</v>
      </c>
      <c r="H2078" s="36"/>
      <c r="I2078" s="43">
        <v>45643</v>
      </c>
      <c r="J2078" s="44"/>
      <c r="K2078" s="25"/>
      <c r="L2078" s="25"/>
      <c r="M2078" s="36" t="s">
        <v>54</v>
      </c>
      <c r="N2078" s="36" t="s">
        <v>33</v>
      </c>
      <c r="O2078" s="45">
        <v>134</v>
      </c>
      <c r="P2078" s="42">
        <v>2024</v>
      </c>
      <c r="Q2078" s="3">
        <f>VLOOKUP(C2078,layoffs_location!A:F,6,FALSE)</f>
        <v>40.7127281</v>
      </c>
      <c r="R2078" s="3">
        <f>VLOOKUP(C2078,layoffs_location!A:G,7,FALSE)</f>
        <v>-74.006015199999993</v>
      </c>
    </row>
    <row r="2079" spans="1:18" ht="16" x14ac:dyDescent="0.2">
      <c r="A2079" s="3">
        <v>2078</v>
      </c>
      <c r="B2079" s="7" t="s">
        <v>1960</v>
      </c>
      <c r="C2079" s="7" t="s">
        <v>1961</v>
      </c>
      <c r="D2079" s="3" t="str">
        <f>VLOOKUP(C2079,layoffs_location!A:B,2,FALSE)</f>
        <v>other</v>
      </c>
      <c r="E2079" s="3" t="str">
        <f>VLOOKUP(C2079,layoffs_location!A:C,3,FALSE)</f>
        <v>non</v>
      </c>
      <c r="F2079" s="3" t="str">
        <f>VLOOKUP(C2079,layoffs_location!A:D,4,FALSE)</f>
        <v>Israel</v>
      </c>
      <c r="G2079" s="3" t="str">
        <f>VLOOKUP(C2079,layoffs_location!A:E,5,FALSE)</f>
        <v>Asia</v>
      </c>
      <c r="H2079" s="7"/>
      <c r="I2079" s="13">
        <v>45648</v>
      </c>
      <c r="J2079" s="14">
        <v>100</v>
      </c>
      <c r="K2079" s="25">
        <f>SUM((Table13[[#This Row],[Laid_Off]]*100)/Table13[[#This Row],[Percentage]])</f>
        <v>0</v>
      </c>
      <c r="L2079" s="25">
        <f>SUM(Table13[[#This Row],[Company_Size_before_Layoffs]]-Table13[[#This Row],[Laid_Off]])</f>
        <v>0</v>
      </c>
      <c r="M2079" s="7" t="s">
        <v>87</v>
      </c>
      <c r="N2079" s="7" t="s">
        <v>22</v>
      </c>
      <c r="O2079" s="16"/>
      <c r="P2079" s="12">
        <v>2024</v>
      </c>
      <c r="Q2079" s="3">
        <f>VLOOKUP(C2079,layoffs_location!A:F,6,FALSE)</f>
        <v>31.526886990008499</v>
      </c>
      <c r="R2079" s="3">
        <f>VLOOKUP(C2079,layoffs_location!A:G,7,FALSE)</f>
        <v>34.5947951673419</v>
      </c>
    </row>
    <row r="2080" spans="1:18" ht="16" x14ac:dyDescent="0.2">
      <c r="A2080" s="3">
        <v>2079</v>
      </c>
      <c r="B2080" s="7" t="s">
        <v>1959</v>
      </c>
      <c r="C2080" s="7" t="s">
        <v>600</v>
      </c>
      <c r="D2080" s="3" t="str">
        <f>VLOOKUP(C2080,layoffs_location!A:B,2,FALSE)</f>
        <v>other</v>
      </c>
      <c r="E2080" s="3" t="str">
        <f>VLOOKUP(C2080,layoffs_location!A:C,3,FALSE)</f>
        <v>Bayern</v>
      </c>
      <c r="F2080" s="3" t="str">
        <f>VLOOKUP(C2080,layoffs_location!A:D,4,FALSE)</f>
        <v>Germany</v>
      </c>
      <c r="G2080" s="3" t="str">
        <f>VLOOKUP(C2080,layoffs_location!A:E,5,FALSE)</f>
        <v>Europe</v>
      </c>
      <c r="H2080" s="12">
        <v>1000</v>
      </c>
      <c r="I2080" s="13">
        <v>45649</v>
      </c>
      <c r="J2080" s="14">
        <v>100</v>
      </c>
      <c r="K2080" s="28">
        <f>SUM((Table13[[#This Row],[Laid_Off]]*100)/Table13[[#This Row],[Percentage]])</f>
        <v>1000</v>
      </c>
      <c r="L2080" s="25">
        <f>SUM(Table13[[#This Row],[Company_Size_before_Layoffs]]-Table13[[#This Row],[Laid_Off]])</f>
        <v>0</v>
      </c>
      <c r="M2080" s="7" t="s">
        <v>192</v>
      </c>
      <c r="N2080" s="7" t="s">
        <v>28</v>
      </c>
      <c r="O2080" s="16">
        <v>1.4</v>
      </c>
      <c r="P2080" s="12">
        <v>2024</v>
      </c>
      <c r="Q2080" s="3">
        <f>VLOOKUP(C2080,layoffs_location!A:F,6,FALSE)</f>
        <v>48.137107899999997</v>
      </c>
      <c r="R2080" s="3">
        <f>VLOOKUP(C2080,layoffs_location!A:G,7,FALSE)</f>
        <v>11.5753822</v>
      </c>
    </row>
    <row r="2081" spans="1:18" ht="16" x14ac:dyDescent="0.2">
      <c r="A2081" s="3">
        <v>2080</v>
      </c>
      <c r="B2081" s="7" t="s">
        <v>1299</v>
      </c>
      <c r="C2081" s="7" t="s">
        <v>271</v>
      </c>
      <c r="D2081" s="3" t="str">
        <f>VLOOKUP(C2081,layoffs_location!A:B,2,FALSE)</f>
        <v>Cascadia</v>
      </c>
      <c r="E2081" s="3" t="str">
        <f>VLOOKUP(C2081,layoffs_location!A:C,3,FALSE)</f>
        <v>British Columbia</v>
      </c>
      <c r="F2081" s="3" t="str">
        <f>VLOOKUP(C2081,layoffs_location!A:D,4,FALSE)</f>
        <v>Canada</v>
      </c>
      <c r="G2081" s="3" t="str">
        <f>VLOOKUP(C2081,layoffs_location!A:E,5,FALSE)</f>
        <v>North America</v>
      </c>
      <c r="H2081" s="12">
        <v>450</v>
      </c>
      <c r="I2081" s="13">
        <v>45653</v>
      </c>
      <c r="J2081" s="14">
        <v>100</v>
      </c>
      <c r="K2081" s="25">
        <f>SUM((Table13[[#This Row],[Laid_Off]]*100)/Table13[[#This Row],[Percentage]])</f>
        <v>450</v>
      </c>
      <c r="L2081" s="25">
        <f>SUM(Table13[[#This Row],[Company_Size_before_Layoffs]]-Table13[[#This Row],[Laid_Off]])</f>
        <v>0</v>
      </c>
      <c r="M2081" s="7" t="s">
        <v>35</v>
      </c>
      <c r="N2081" s="7" t="s">
        <v>41</v>
      </c>
      <c r="O2081" s="16">
        <v>10</v>
      </c>
      <c r="P2081" s="12">
        <v>2024</v>
      </c>
      <c r="Q2081" s="3">
        <f>VLOOKUP(C2081,layoffs_location!A:F,6,FALSE)</f>
        <v>49.260872399999997</v>
      </c>
      <c r="R2081" s="3">
        <f>VLOOKUP(C2081,layoffs_location!A:G,7,FALSE)</f>
        <v>-123.113952</v>
      </c>
    </row>
    <row r="2082" spans="1:18" x14ac:dyDescent="0.2">
      <c r="A2082" s="3">
        <v>2081</v>
      </c>
      <c r="B2082" s="3" t="s">
        <v>2080</v>
      </c>
      <c r="C2082" s="3" t="s">
        <v>39</v>
      </c>
      <c r="D2082" s="3" t="str">
        <f>VLOOKUP(C2082,layoffs_location!A:B,2,FALSE)</f>
        <v>New York</v>
      </c>
      <c r="E2082" s="3" t="str">
        <f>VLOOKUP(C2082,layoffs_location!A:C,3,FALSE)</f>
        <v>New York</v>
      </c>
      <c r="F2082" s="3" t="str">
        <f>VLOOKUP(C2082,layoffs_location!A:D,4,FALSE)</f>
        <v>USA</v>
      </c>
      <c r="G2082" s="3" t="str">
        <f>VLOOKUP(C2082,layoffs_location!A:E,5,FALSE)</f>
        <v>North America</v>
      </c>
      <c r="I2082" s="8">
        <v>45659</v>
      </c>
      <c r="J2082" s="9">
        <v>100</v>
      </c>
      <c r="K2082" s="28"/>
      <c r="L2082" s="25">
        <f>SUM(Table13[[#This Row],[Company_Size_before_Layoffs]]-Table13[[#This Row],[Laid_Off]])</f>
        <v>0</v>
      </c>
      <c r="M2082" s="3" t="s">
        <v>35</v>
      </c>
      <c r="N2082" s="3" t="s">
        <v>49</v>
      </c>
      <c r="O2082" s="34">
        <v>27</v>
      </c>
      <c r="P2082" s="3">
        <v>2025</v>
      </c>
      <c r="Q2082" s="3">
        <f>VLOOKUP(C2082,layoffs_location!A:F,6,FALSE)</f>
        <v>40.7127281</v>
      </c>
      <c r="R2082" s="3">
        <f>VLOOKUP(C2082,layoffs_location!A:G,7,FALSE)</f>
        <v>-74.006015199999993</v>
      </c>
    </row>
    <row r="2083" spans="1:18" x14ac:dyDescent="0.2">
      <c r="A2083" s="3">
        <v>2082</v>
      </c>
      <c r="B2083" s="3" t="s">
        <v>1644</v>
      </c>
      <c r="C2083" s="3" t="s">
        <v>47</v>
      </c>
      <c r="D2083" s="3" t="str">
        <f>VLOOKUP(C2083,layoffs_location!A:B,2,FALSE)</f>
        <v>other</v>
      </c>
      <c r="E2083" s="3" t="str">
        <f>VLOOKUP(C2083,layoffs_location!A:C,3,FALSE)</f>
        <v>non</v>
      </c>
      <c r="F2083" s="3" t="str">
        <f>VLOOKUP(C2083,layoffs_location!A:D,4,FALSE)</f>
        <v>Israel</v>
      </c>
      <c r="G2083" s="3" t="str">
        <f>VLOOKUP(C2083,layoffs_location!A:E,5,FALSE)</f>
        <v>Asia</v>
      </c>
      <c r="H2083" s="3">
        <v>400</v>
      </c>
      <c r="I2083" s="8">
        <v>45663</v>
      </c>
      <c r="J2083" s="9"/>
      <c r="K2083" s="28"/>
      <c r="L2083" s="25"/>
      <c r="M2083" s="3" t="s">
        <v>27</v>
      </c>
      <c r="N2083" s="3" t="s">
        <v>28</v>
      </c>
      <c r="O2083" s="34">
        <v>155</v>
      </c>
      <c r="P2083" s="3">
        <v>2025</v>
      </c>
      <c r="Q2083" s="3">
        <f>VLOOKUP(C2083,layoffs_location!A:F,6,FALSE)</f>
        <v>32.0852997</v>
      </c>
      <c r="R2083" s="3">
        <f>VLOOKUP(C2083,layoffs_location!A:G,7,FALSE)</f>
        <v>34.781806400000001</v>
      </c>
    </row>
    <row r="2084" spans="1:18" x14ac:dyDescent="0.2">
      <c r="A2084" s="3">
        <v>2083</v>
      </c>
      <c r="B2084" s="3" t="s">
        <v>2078</v>
      </c>
      <c r="C2084" s="3" t="s">
        <v>1370</v>
      </c>
      <c r="D2084" s="3" t="str">
        <f>VLOOKUP(C2084,layoffs_location!A:B,2,FALSE)</f>
        <v>San Francisco Bay Area</v>
      </c>
      <c r="E2084" s="3" t="str">
        <f>VLOOKUP(C2084,layoffs_location!A:C,3,FALSE)</f>
        <v>California</v>
      </c>
      <c r="F2084" s="3" t="str">
        <f>VLOOKUP(C2084,layoffs_location!A:D,4,FALSE)</f>
        <v>USA</v>
      </c>
      <c r="G2084" s="3" t="str">
        <f>VLOOKUP(C2084,layoffs_location!A:E,5,FALSE)</f>
        <v>North America</v>
      </c>
      <c r="H2084" s="3">
        <v>37</v>
      </c>
      <c r="I2084" s="8">
        <v>45664</v>
      </c>
      <c r="J2084" s="9">
        <v>10</v>
      </c>
      <c r="K2084" s="25">
        <f>SUM((Table13[[#This Row],[Laid_Off]]*100)/Table13[[#This Row],[Percentage]])</f>
        <v>370</v>
      </c>
      <c r="L2084" s="25">
        <f>SUM(Table13[[#This Row],[Company_Size_before_Layoffs]]-Table13[[#This Row],[Laid_Off]])</f>
        <v>333</v>
      </c>
      <c r="M2084" s="3" t="s">
        <v>35</v>
      </c>
      <c r="N2084" s="3" t="s">
        <v>36</v>
      </c>
      <c r="O2084" s="34">
        <v>449</v>
      </c>
      <c r="P2084" s="3">
        <v>2025</v>
      </c>
      <c r="Q2084" s="3">
        <f>VLOOKUP(C2084,layoffs_location!A:F,6,FALSE)</f>
        <v>37.779258800000001</v>
      </c>
      <c r="R2084" s="3">
        <f>VLOOKUP(C2084,layoffs_location!A:G,7,FALSE)</f>
        <v>-122.4193286</v>
      </c>
    </row>
    <row r="2085" spans="1:18" x14ac:dyDescent="0.2">
      <c r="A2085" s="3">
        <v>2084</v>
      </c>
      <c r="B2085" s="3" t="s">
        <v>623</v>
      </c>
      <c r="C2085" s="3" t="s">
        <v>71</v>
      </c>
      <c r="D2085" s="3" t="str">
        <f>VLOOKUP(C2085,layoffs_location!A:B,2,FALSE)</f>
        <v>other</v>
      </c>
      <c r="E2085" s="3" t="str">
        <f>VLOOKUP(C2085,layoffs_location!A:C,3,FALSE)</f>
        <v>Massachusetts</v>
      </c>
      <c r="F2085" s="3" t="str">
        <f>VLOOKUP(C2085,layoffs_location!A:D,4,FALSE)</f>
        <v>USA</v>
      </c>
      <c r="G2085" s="3" t="str">
        <f>VLOOKUP(C2085,layoffs_location!A:E,5,FALSE)</f>
        <v>North America</v>
      </c>
      <c r="I2085" s="8">
        <v>45664</v>
      </c>
      <c r="J2085" s="9"/>
      <c r="K2085" s="28"/>
      <c r="L2085" s="25"/>
      <c r="M2085" s="3" t="s">
        <v>139</v>
      </c>
      <c r="N2085" s="3" t="s">
        <v>36</v>
      </c>
      <c r="O2085" s="34">
        <v>325</v>
      </c>
      <c r="P2085" s="3">
        <v>2025</v>
      </c>
      <c r="Q2085" s="3">
        <f>VLOOKUP(C2085,layoffs_location!A:F,6,FALSE)</f>
        <v>42.355433400000003</v>
      </c>
      <c r="R2085" s="3">
        <f>VLOOKUP(C2085,layoffs_location!A:G,7,FALSE)</f>
        <v>-71.060511000000005</v>
      </c>
    </row>
    <row r="2086" spans="1:18" x14ac:dyDescent="0.2">
      <c r="A2086" s="3">
        <v>2085</v>
      </c>
      <c r="B2086" s="3" t="s">
        <v>2079</v>
      </c>
      <c r="C2086" s="3" t="s">
        <v>1415</v>
      </c>
      <c r="D2086" s="3" t="str">
        <f>VLOOKUP(C2086,layoffs_location!A:B,2,FALSE)</f>
        <v>San Francisco Bay Area</v>
      </c>
      <c r="E2086" s="3" t="str">
        <f>VLOOKUP(C2086,layoffs_location!A:C,3,FALSE)</f>
        <v>California</v>
      </c>
      <c r="F2086" s="3" t="str">
        <f>VLOOKUP(C2086,layoffs_location!A:D,4,FALSE)</f>
        <v>USA</v>
      </c>
      <c r="G2086" s="3" t="str">
        <f>VLOOKUP(C2086,layoffs_location!A:E,5,FALSE)</f>
        <v>North America</v>
      </c>
      <c r="I2086" s="8">
        <v>45664</v>
      </c>
      <c r="J2086" s="9"/>
      <c r="K2086" s="28"/>
      <c r="L2086" s="25"/>
      <c r="M2086" s="3" t="s">
        <v>60</v>
      </c>
      <c r="N2086" s="3" t="s">
        <v>22</v>
      </c>
      <c r="P2086" s="3">
        <v>2025</v>
      </c>
      <c r="Q2086" s="3">
        <f>VLOOKUP(C2086,layoffs_location!A:F,6,FALSE)</f>
        <v>37.354106999999999</v>
      </c>
      <c r="R2086" s="3">
        <f>VLOOKUP(C2086,layoffs_location!A:G,7,FALSE)</f>
        <v>-121.95523799999999</v>
      </c>
    </row>
    <row r="2087" spans="1:18" x14ac:dyDescent="0.2">
      <c r="A2087" s="3">
        <v>2086</v>
      </c>
      <c r="B2087" s="3" t="s">
        <v>523</v>
      </c>
      <c r="C2087" s="3" t="s">
        <v>4589</v>
      </c>
      <c r="D2087" s="3" t="str">
        <f>VLOOKUP(C2087,layoffs_location!A:B,2,FALSE)</f>
        <v>Cascadia</v>
      </c>
      <c r="E2087" s="3" t="str">
        <f>VLOOKUP(C2087,layoffs_location!A:C,3,FALSE)</f>
        <v>Washington</v>
      </c>
      <c r="F2087" s="3" t="str">
        <f>VLOOKUP(C2087,layoffs_location!A:D,4,FALSE)</f>
        <v>USA</v>
      </c>
      <c r="G2087" s="3" t="str">
        <f>VLOOKUP(C2087,layoffs_location!A:E,5,FALSE)</f>
        <v>Asia</v>
      </c>
      <c r="I2087" s="8">
        <v>45664</v>
      </c>
      <c r="J2087" s="9"/>
      <c r="K2087" s="25"/>
      <c r="L2087" s="25"/>
      <c r="M2087" s="3" t="s">
        <v>60</v>
      </c>
      <c r="N2087" s="3" t="s">
        <v>28</v>
      </c>
      <c r="O2087" s="34">
        <v>1</v>
      </c>
      <c r="P2087" s="3">
        <v>2025</v>
      </c>
      <c r="Q2087" s="3">
        <f>VLOOKUP(C2087,layoffs_location!A:F,6,FALSE)</f>
        <v>47.645404522430098</v>
      </c>
      <c r="R2087" s="3">
        <f>VLOOKUP(C2087,layoffs_location!A:G,7,FALSE)</f>
        <v>-122.13299976733499</v>
      </c>
    </row>
    <row r="2088" spans="1:18" x14ac:dyDescent="0.2">
      <c r="A2088" s="3">
        <v>2087</v>
      </c>
      <c r="B2088" s="3" t="s">
        <v>343</v>
      </c>
      <c r="C2088" s="3" t="s">
        <v>43</v>
      </c>
      <c r="D2088" s="3" t="str">
        <f>VLOOKUP(C2088,layoffs_location!A:B,2,FALSE)</f>
        <v>Cascadia</v>
      </c>
      <c r="E2088" s="3" t="str">
        <f>VLOOKUP(C2088,layoffs_location!A:C,3,FALSE)</f>
        <v>Washington</v>
      </c>
      <c r="F2088" s="3" t="str">
        <f>VLOOKUP(C2088,layoffs_location!A:D,4,FALSE)</f>
        <v>USA</v>
      </c>
      <c r="G2088" s="3" t="str">
        <f>VLOOKUP(C2088,layoffs_location!A:E,5,FALSE)</f>
        <v>North America</v>
      </c>
      <c r="H2088" s="3">
        <v>450</v>
      </c>
      <c r="I2088" s="8">
        <v>45666</v>
      </c>
      <c r="J2088" s="9"/>
      <c r="K2088" s="20"/>
      <c r="L2088" s="25"/>
      <c r="M2088" s="3" t="s">
        <v>137</v>
      </c>
      <c r="N2088" s="3" t="s">
        <v>28</v>
      </c>
      <c r="O2088" s="34">
        <v>320</v>
      </c>
      <c r="P2088" s="3">
        <v>2025</v>
      </c>
      <c r="Q2088" s="3">
        <f>VLOOKUP(C2088,layoffs_location!A:F,6,FALSE)</f>
        <v>47.603832099999998</v>
      </c>
      <c r="R2088" s="3">
        <f>VLOOKUP(C2088,layoffs_location!A:G,7,FALSE)</f>
        <v>-122.330062</v>
      </c>
    </row>
    <row r="2089" spans="1:18" x14ac:dyDescent="0.2">
      <c r="A2089" s="3">
        <v>2088</v>
      </c>
      <c r="B2089" s="3" t="s">
        <v>2077</v>
      </c>
      <c r="C2089" s="3" t="s">
        <v>83</v>
      </c>
      <c r="D2089" s="3" t="str">
        <f>VLOOKUP(C2089,layoffs_location!A:B,2,FALSE)</f>
        <v>other</v>
      </c>
      <c r="E2089" s="3" t="str">
        <f>VLOOKUP(C2089,layoffs_location!A:C,3,FALSE)</f>
        <v>Texas</v>
      </c>
      <c r="F2089" s="3" t="str">
        <f>VLOOKUP(C2089,layoffs_location!A:D,4,FALSE)</f>
        <v>USA</v>
      </c>
      <c r="G2089" s="3" t="str">
        <f>VLOOKUP(C2089,layoffs_location!A:E,5,FALSE)</f>
        <v>North America</v>
      </c>
      <c r="H2089" s="3">
        <v>114</v>
      </c>
      <c r="I2089" s="8">
        <v>45666</v>
      </c>
      <c r="J2089" s="9"/>
      <c r="K2089" s="10"/>
      <c r="L2089" s="25"/>
      <c r="M2089" s="3" t="s">
        <v>622</v>
      </c>
      <c r="N2089" s="3" t="s">
        <v>49</v>
      </c>
      <c r="O2089" s="34">
        <v>451</v>
      </c>
      <c r="P2089" s="3">
        <v>2025</v>
      </c>
      <c r="Q2089" s="3">
        <f>VLOOKUP(C2089,layoffs_location!A:F,6,FALSE)</f>
        <v>30.271128600000001</v>
      </c>
      <c r="R2089" s="3">
        <f>VLOOKUP(C2089,layoffs_location!A:G,7,FALSE)</f>
        <v>-97.743699500000005</v>
      </c>
    </row>
    <row r="2090" spans="1:18" x14ac:dyDescent="0.2">
      <c r="A2090" s="3">
        <v>2089</v>
      </c>
      <c r="B2090" s="3" t="s">
        <v>514</v>
      </c>
      <c r="C2090" s="3" t="s">
        <v>135</v>
      </c>
      <c r="D2090" s="3" t="str">
        <f>VLOOKUP(C2090,layoffs_location!A:B,2,FALSE)</f>
        <v>other</v>
      </c>
      <c r="E2090" s="3" t="str">
        <f>VLOOKUP(C2090,layoffs_location!A:C,3,FALSE)</f>
        <v>Berlin</v>
      </c>
      <c r="F2090" s="3" t="str">
        <f>VLOOKUP(C2090,layoffs_location!A:D,4,FALSE)</f>
        <v>Germany</v>
      </c>
      <c r="G2090" s="3" t="str">
        <f>VLOOKUP(C2090,layoffs_location!A:E,5,FALSE)</f>
        <v>Europe</v>
      </c>
      <c r="H2090" s="3">
        <v>730</v>
      </c>
      <c r="I2090" s="8">
        <v>45667</v>
      </c>
      <c r="J2090" s="9">
        <v>3</v>
      </c>
      <c r="K2090" s="25">
        <f>SUM((Table13[[#This Row],[Laid_Off]]*100)/Table13[[#This Row],[Percentage]])</f>
        <v>24333.333333333332</v>
      </c>
      <c r="L2090" s="25">
        <f>SUM(Table13[[#This Row],[Company_Size_before_Layoffs]]-Table13[[#This Row],[Laid_Off]])</f>
        <v>23603.333333333332</v>
      </c>
      <c r="M2090" s="3" t="s">
        <v>30</v>
      </c>
      <c r="N2090" s="3" t="s">
        <v>28</v>
      </c>
      <c r="O2090" s="34">
        <v>1700</v>
      </c>
      <c r="P2090" s="3">
        <v>2025</v>
      </c>
      <c r="Q2090" s="3">
        <f>VLOOKUP(C2090,layoffs_location!A:F,6,FALSE)</f>
        <v>52.517036500000003</v>
      </c>
      <c r="R2090" s="3">
        <f>VLOOKUP(C2090,layoffs_location!A:G,7,FALSE)</f>
        <v>13.3888599</v>
      </c>
    </row>
    <row r="2091" spans="1:18" x14ac:dyDescent="0.2">
      <c r="A2091" s="3">
        <v>2090</v>
      </c>
      <c r="B2091" s="3" t="s">
        <v>2076</v>
      </c>
      <c r="C2091" s="3" t="s">
        <v>43</v>
      </c>
      <c r="D2091" s="3" t="str">
        <f>VLOOKUP(C2091,layoffs_location!A:B,2,FALSE)</f>
        <v>Cascadia</v>
      </c>
      <c r="E2091" s="3" t="str">
        <f>VLOOKUP(C2091,layoffs_location!A:C,3,FALSE)</f>
        <v>Washington</v>
      </c>
      <c r="F2091" s="3" t="str">
        <f>VLOOKUP(C2091,layoffs_location!A:D,4,FALSE)</f>
        <v>USA</v>
      </c>
      <c r="G2091" s="3" t="str">
        <f>VLOOKUP(C2091,layoffs_location!A:E,5,FALSE)</f>
        <v>North America</v>
      </c>
      <c r="H2091" s="3">
        <v>63</v>
      </c>
      <c r="I2091" s="8">
        <v>45667</v>
      </c>
      <c r="J2091" s="9">
        <v>100</v>
      </c>
      <c r="K2091" s="25">
        <f>SUM((Table13[[#This Row],[Laid_Off]]*100)/Table13[[#This Row],[Percentage]])</f>
        <v>63</v>
      </c>
      <c r="L2091" s="25">
        <f>SUM(Table13[[#This Row],[Company_Size_before_Layoffs]]-Table13[[#This Row],[Laid_Off]])</f>
        <v>0</v>
      </c>
      <c r="M2091" s="3" t="s">
        <v>90</v>
      </c>
      <c r="N2091" s="3" t="s">
        <v>49</v>
      </c>
      <c r="O2091" s="34">
        <v>76</v>
      </c>
      <c r="P2091" s="3">
        <v>2025</v>
      </c>
      <c r="Q2091" s="3">
        <f>VLOOKUP(C2091,layoffs_location!A:F,6,FALSE)</f>
        <v>47.603832099999998</v>
      </c>
      <c r="R2091" s="3">
        <f>VLOOKUP(C2091,layoffs_location!A:G,7,FALSE)</f>
        <v>-122.330062</v>
      </c>
    </row>
    <row r="2092" spans="1:18" x14ac:dyDescent="0.2">
      <c r="A2092" s="3">
        <v>2091</v>
      </c>
      <c r="B2092" s="3" t="s">
        <v>735</v>
      </c>
      <c r="C2092" s="3" t="s">
        <v>43</v>
      </c>
      <c r="D2092" s="3" t="str">
        <f>VLOOKUP(C2092,layoffs_location!A:B,2,FALSE)</f>
        <v>Cascadia</v>
      </c>
      <c r="E2092" s="3" t="str">
        <f>VLOOKUP(C2092,layoffs_location!A:C,3,FALSE)</f>
        <v>Washington</v>
      </c>
      <c r="F2092" s="3" t="str">
        <f>VLOOKUP(C2092,layoffs_location!A:D,4,FALSE)</f>
        <v>USA</v>
      </c>
      <c r="G2092" s="3" t="str">
        <f>VLOOKUP(C2092,layoffs_location!A:E,5,FALSE)</f>
        <v>North America</v>
      </c>
      <c r="I2092" s="8">
        <v>45667</v>
      </c>
      <c r="J2092" s="9"/>
      <c r="K2092" s="20"/>
      <c r="L2092" s="25"/>
      <c r="M2092" s="3" t="s">
        <v>137</v>
      </c>
      <c r="N2092" s="3" t="s">
        <v>28</v>
      </c>
      <c r="O2092" s="34">
        <v>97</v>
      </c>
      <c r="P2092" s="3">
        <v>2025</v>
      </c>
      <c r="Q2092" s="3">
        <f>VLOOKUP(C2092,layoffs_location!A:F,6,FALSE)</f>
        <v>47.603832099999998</v>
      </c>
      <c r="R2092" s="3">
        <f>VLOOKUP(C2092,layoffs_location!A:G,7,FALSE)</f>
        <v>-122.330062</v>
      </c>
    </row>
    <row r="2093" spans="1:18" x14ac:dyDescent="0.2">
      <c r="A2093" s="3">
        <v>2092</v>
      </c>
      <c r="B2093" s="3" t="s">
        <v>2075</v>
      </c>
      <c r="C2093" s="3" t="s">
        <v>39</v>
      </c>
      <c r="D2093" s="3" t="str">
        <f>VLOOKUP(C2093,layoffs_location!A:B,2,FALSE)</f>
        <v>New York</v>
      </c>
      <c r="E2093" s="3" t="str">
        <f>VLOOKUP(C2093,layoffs_location!A:C,3,FALSE)</f>
        <v>New York</v>
      </c>
      <c r="F2093" s="3" t="str">
        <f>VLOOKUP(C2093,layoffs_location!A:D,4,FALSE)</f>
        <v>USA</v>
      </c>
      <c r="G2093" s="3" t="str">
        <f>VLOOKUP(C2093,layoffs_location!A:E,5,FALSE)</f>
        <v>North America</v>
      </c>
      <c r="I2093" s="8">
        <v>45670</v>
      </c>
      <c r="J2093" s="9">
        <v>100</v>
      </c>
      <c r="K2093" s="10"/>
      <c r="L2093" s="25">
        <f>SUM(Table13[[#This Row],[Company_Size_before_Layoffs]]-Table13[[#This Row],[Laid_Off]])</f>
        <v>0</v>
      </c>
      <c r="M2093" s="3" t="s">
        <v>35</v>
      </c>
      <c r="N2093" s="3" t="s">
        <v>147</v>
      </c>
      <c r="O2093" s="34">
        <v>7</v>
      </c>
      <c r="P2093" s="3">
        <v>2025</v>
      </c>
      <c r="Q2093" s="3">
        <f>VLOOKUP(C2093,layoffs_location!A:F,6,FALSE)</f>
        <v>40.7127281</v>
      </c>
      <c r="R2093" s="3">
        <f>VLOOKUP(C2093,layoffs_location!A:G,7,FALSE)</f>
        <v>-74.006015199999993</v>
      </c>
    </row>
    <row r="2094" spans="1:18" x14ac:dyDescent="0.2">
      <c r="A2094" s="3">
        <v>2093</v>
      </c>
      <c r="B2094" s="3" t="s">
        <v>986</v>
      </c>
      <c r="C2094" s="3" t="s">
        <v>987</v>
      </c>
      <c r="D2094" s="3" t="str">
        <f>VLOOKUP(C2094,layoffs_location!A:B,2,FALSE)</f>
        <v>other</v>
      </c>
      <c r="E2094" s="3" t="str">
        <f>VLOOKUP(C2094,layoffs_location!A:C,3,FALSE)</f>
        <v>non</v>
      </c>
      <c r="F2094" s="3" t="str">
        <f>VLOOKUP(C2094,layoffs_location!A:D,4,FALSE)</f>
        <v>Sweden</v>
      </c>
      <c r="G2094" s="3" t="str">
        <f>VLOOKUP(C2094,layoffs_location!A:E,5,FALSE)</f>
        <v>Europe</v>
      </c>
      <c r="I2094" s="8">
        <v>45670</v>
      </c>
      <c r="J2094" s="9">
        <v>10</v>
      </c>
      <c r="K2094" s="10"/>
      <c r="L2094" s="25"/>
      <c r="M2094" s="3" t="s">
        <v>30</v>
      </c>
      <c r="N2094" s="3" t="s">
        <v>28</v>
      </c>
      <c r="O2094" s="34">
        <v>56</v>
      </c>
      <c r="P2094" s="3">
        <v>2025</v>
      </c>
      <c r="Q2094" s="3">
        <f>VLOOKUP(C2094,layoffs_location!A:F,6,FALSE)</f>
        <v>55.605293099999997</v>
      </c>
      <c r="R2094" s="3">
        <f>VLOOKUP(C2094,layoffs_location!A:G,7,FALSE)</f>
        <v>13.0001566</v>
      </c>
    </row>
    <row r="2095" spans="1:18" x14ac:dyDescent="0.2">
      <c r="A2095" s="3">
        <v>2094</v>
      </c>
      <c r="B2095" s="3" t="s">
        <v>2074</v>
      </c>
      <c r="C2095" s="3" t="s">
        <v>362</v>
      </c>
      <c r="D2095" s="3" t="str">
        <f>VLOOKUP(C2095,layoffs_location!A:B,2,FALSE)</f>
        <v>other</v>
      </c>
      <c r="E2095" s="3" t="str">
        <f>VLOOKUP(C2095,layoffs_location!A:C,3,FALSE)</f>
        <v>Pennsylvania</v>
      </c>
      <c r="F2095" s="3" t="str">
        <f>VLOOKUP(C2095,layoffs_location!A:D,4,FALSE)</f>
        <v>USA</v>
      </c>
      <c r="G2095" s="3" t="str">
        <f>VLOOKUP(C2095,layoffs_location!A:E,5,FALSE)</f>
        <v>North America</v>
      </c>
      <c r="I2095" s="8">
        <v>45671</v>
      </c>
      <c r="J2095" s="9">
        <v>100</v>
      </c>
      <c r="K2095" s="10"/>
      <c r="L2095" s="25">
        <f>SUM(Table13[[#This Row],[Company_Size_before_Layoffs]]-Table13[[#This Row],[Laid_Off]])</f>
        <v>0</v>
      </c>
      <c r="M2095" s="3" t="s">
        <v>35</v>
      </c>
      <c r="N2095" s="3" t="s">
        <v>22</v>
      </c>
      <c r="O2095" s="34">
        <v>31</v>
      </c>
      <c r="P2095" s="3">
        <v>2025</v>
      </c>
      <c r="Q2095" s="3">
        <f>VLOOKUP(C2095,layoffs_location!A:F,6,FALSE)</f>
        <v>39.9527237</v>
      </c>
      <c r="R2095" s="3">
        <f>VLOOKUP(C2095,layoffs_location!A:G,7,FALSE)</f>
        <v>-75.163526200000007</v>
      </c>
    </row>
    <row r="2096" spans="1:18" x14ac:dyDescent="0.2">
      <c r="A2096" s="3">
        <v>2095</v>
      </c>
      <c r="B2096" s="3" t="s">
        <v>1654</v>
      </c>
      <c r="C2096" s="3" t="s">
        <v>1370</v>
      </c>
      <c r="D2096" s="3" t="str">
        <f>VLOOKUP(C2096,layoffs_location!A:B,2,FALSE)</f>
        <v>San Francisco Bay Area</v>
      </c>
      <c r="E2096" s="3" t="str">
        <f>VLOOKUP(C2096,layoffs_location!A:C,3,FALSE)</f>
        <v>California</v>
      </c>
      <c r="F2096" s="3" t="str">
        <f>VLOOKUP(C2096,layoffs_location!A:D,4,FALSE)</f>
        <v>USA</v>
      </c>
      <c r="G2096" s="3" t="str">
        <f>VLOOKUP(C2096,layoffs_location!A:E,5,FALSE)</f>
        <v>North America</v>
      </c>
      <c r="I2096" s="8">
        <v>45671</v>
      </c>
      <c r="J2096" s="9"/>
      <c r="K2096" s="20"/>
      <c r="L2096" s="25"/>
      <c r="M2096" s="3" t="s">
        <v>54</v>
      </c>
      <c r="N2096" s="3" t="s">
        <v>33</v>
      </c>
      <c r="P2096" s="3">
        <v>2025</v>
      </c>
      <c r="Q2096" s="3">
        <f>VLOOKUP(C2096,layoffs_location!A:F,6,FALSE)</f>
        <v>37.779258800000001</v>
      </c>
      <c r="R2096" s="3">
        <f>VLOOKUP(C2096,layoffs_location!A:G,7,FALSE)</f>
        <v>-122.4193286</v>
      </c>
    </row>
    <row r="2097" spans="1:18" x14ac:dyDescent="0.2">
      <c r="A2097" s="3">
        <v>2096</v>
      </c>
      <c r="B2097" s="3" t="s">
        <v>2073</v>
      </c>
      <c r="C2097" s="3" t="s">
        <v>135</v>
      </c>
      <c r="D2097" s="3" t="str">
        <f>VLOOKUP(C2097,layoffs_location!A:B,2,FALSE)</f>
        <v>other</v>
      </c>
      <c r="E2097" s="3" t="str">
        <f>VLOOKUP(C2097,layoffs_location!A:C,3,FALSE)</f>
        <v>Berlin</v>
      </c>
      <c r="F2097" s="3" t="str">
        <f>VLOOKUP(C2097,layoffs_location!A:D,4,FALSE)</f>
        <v>Germany</v>
      </c>
      <c r="G2097" s="3" t="str">
        <f>VLOOKUP(C2097,layoffs_location!A:E,5,FALSE)</f>
        <v>Europe</v>
      </c>
      <c r="H2097" s="3">
        <v>90</v>
      </c>
      <c r="I2097" s="8">
        <v>45672</v>
      </c>
      <c r="J2097" s="9"/>
      <c r="K2097" s="10"/>
      <c r="L2097" s="25"/>
      <c r="M2097" s="3" t="s">
        <v>1978</v>
      </c>
      <c r="N2097" s="3" t="s">
        <v>49</v>
      </c>
      <c r="O2097" s="34">
        <v>62</v>
      </c>
      <c r="P2097" s="3">
        <v>2025</v>
      </c>
      <c r="Q2097" s="3">
        <f>VLOOKUP(C2097,layoffs_location!A:F,6,FALSE)</f>
        <v>52.517036500000003</v>
      </c>
      <c r="R2097" s="3">
        <f>VLOOKUP(C2097,layoffs_location!A:G,7,FALSE)</f>
        <v>13.3888599</v>
      </c>
    </row>
    <row r="2098" spans="1:18" x14ac:dyDescent="0.2">
      <c r="A2098" s="3">
        <v>2097</v>
      </c>
      <c r="B2098" s="3" t="s">
        <v>12</v>
      </c>
      <c r="C2098" s="3" t="s">
        <v>13</v>
      </c>
      <c r="D2098" s="3" t="str">
        <f>VLOOKUP(C2098,layoffs_location!A:B,2,FALSE)</f>
        <v>other</v>
      </c>
      <c r="E2098" s="3" t="str">
        <f>VLOOKUP(C2098,layoffs_location!A:C,3,FALSE)</f>
        <v>Karnataka</v>
      </c>
      <c r="F2098" s="3" t="str">
        <f>VLOOKUP(C2098,layoffs_location!A:D,4,FALSE)</f>
        <v>India</v>
      </c>
      <c r="G2098" s="3" t="str">
        <f>VLOOKUP(C2098,layoffs_location!A:E,5,FALSE)</f>
        <v>Asia</v>
      </c>
      <c r="H2098" s="3">
        <v>27</v>
      </c>
      <c r="I2098" s="8">
        <v>45672</v>
      </c>
      <c r="J2098" s="9">
        <v>5</v>
      </c>
      <c r="K2098" s="25">
        <f>SUM((Table13[[#This Row],[Laid_Off]]*100)/Table13[[#This Row],[Percentage]])</f>
        <v>540</v>
      </c>
      <c r="L2098" s="25">
        <f>SUM(Table13[[#This Row],[Company_Size_before_Layoffs]]-Table13[[#This Row],[Laid_Off]])</f>
        <v>513</v>
      </c>
      <c r="M2098" s="3" t="s">
        <v>130</v>
      </c>
      <c r="N2098" s="3" t="s">
        <v>108</v>
      </c>
      <c r="O2098" s="34">
        <v>222</v>
      </c>
      <c r="P2098" s="3">
        <v>2025</v>
      </c>
      <c r="Q2098" s="3">
        <f>VLOOKUP(C2098,layoffs_location!A:F,6,FALSE)</f>
        <v>12.98815675</v>
      </c>
      <c r="R2098" s="3">
        <f>VLOOKUP(C2098,layoffs_location!A:G,7,FALSE)</f>
        <v>77.622600037959998</v>
      </c>
    </row>
    <row r="2099" spans="1:18" x14ac:dyDescent="0.2">
      <c r="A2099" s="3">
        <v>2098</v>
      </c>
      <c r="B2099" s="3" t="s">
        <v>355</v>
      </c>
      <c r="C2099" s="3" t="s">
        <v>43</v>
      </c>
      <c r="D2099" s="3" t="str">
        <f>VLOOKUP(C2099,layoffs_location!A:B,2,FALSE)</f>
        <v>Cascadia</v>
      </c>
      <c r="E2099" s="3" t="str">
        <f>VLOOKUP(C2099,layoffs_location!A:C,3,FALSE)</f>
        <v>Washington</v>
      </c>
      <c r="F2099" s="3" t="str">
        <f>VLOOKUP(C2099,layoffs_location!A:D,4,FALSE)</f>
        <v>USA</v>
      </c>
      <c r="G2099" s="3" t="str">
        <f>VLOOKUP(C2099,layoffs_location!A:E,5,FALSE)</f>
        <v>North America</v>
      </c>
      <c r="H2099" s="3">
        <v>15</v>
      </c>
      <c r="I2099" s="8">
        <v>45672</v>
      </c>
      <c r="J2099" s="9"/>
      <c r="K2099" s="10"/>
      <c r="L2099" s="25"/>
      <c r="M2099" s="3" t="s">
        <v>1978</v>
      </c>
      <c r="N2099" s="3" t="s">
        <v>22</v>
      </c>
      <c r="O2099" s="34">
        <v>42</v>
      </c>
      <c r="P2099" s="3">
        <v>2025</v>
      </c>
      <c r="Q2099" s="3">
        <f>VLOOKUP(C2099,layoffs_location!A:F,6,FALSE)</f>
        <v>47.603832099999998</v>
      </c>
      <c r="R2099" s="3">
        <f>VLOOKUP(C2099,layoffs_location!A:G,7,FALSE)</f>
        <v>-122.330062</v>
      </c>
    </row>
    <row r="2100" spans="1:18" x14ac:dyDescent="0.2">
      <c r="A2100" s="3">
        <v>2099</v>
      </c>
      <c r="B2100" s="3" t="s">
        <v>490</v>
      </c>
      <c r="C2100" s="3" t="s">
        <v>491</v>
      </c>
      <c r="D2100" s="3" t="str">
        <f>VLOOKUP(C2100,layoffs_location!A:B,2,FALSE)</f>
        <v>other</v>
      </c>
      <c r="E2100" s="3" t="str">
        <f>VLOOKUP(C2100,layoffs_location!A:C,3,FALSE)</f>
        <v>Baden-Würtemberg</v>
      </c>
      <c r="F2100" s="3" t="str">
        <f>VLOOKUP(C2100,layoffs_location!A:D,4,FALSE)</f>
        <v>Germany</v>
      </c>
      <c r="G2100" s="3" t="str">
        <f>VLOOKUP(C2100,layoffs_location!A:E,5,FALSE)</f>
        <v>Europe</v>
      </c>
      <c r="H2100" s="3">
        <v>110</v>
      </c>
      <c r="I2100" s="8">
        <v>45673</v>
      </c>
      <c r="J2100" s="9">
        <v>24</v>
      </c>
      <c r="K2100" s="25">
        <f>SUM((Table13[[#This Row],[Laid_Off]]*100)/Table13[[#This Row],[Percentage]])</f>
        <v>458.33333333333331</v>
      </c>
      <c r="L2100" s="25">
        <f>SUM(Table13[[#This Row],[Company_Size_before_Layoffs]]-Table13[[#This Row],[Laid_Off]])</f>
        <v>348.33333333333331</v>
      </c>
      <c r="M2100" s="3" t="s">
        <v>30</v>
      </c>
      <c r="N2100" s="3" t="s">
        <v>41</v>
      </c>
      <c r="O2100" s="34">
        <v>205</v>
      </c>
      <c r="P2100" s="3">
        <v>2025</v>
      </c>
      <c r="Q2100" s="3">
        <f>VLOOKUP(C2100,layoffs_location!A:F,6,FALSE)</f>
        <v>49.006870499999998</v>
      </c>
      <c r="R2100" s="3">
        <f>VLOOKUP(C2100,layoffs_location!A:G,7,FALSE)</f>
        <v>8.4034195</v>
      </c>
    </row>
    <row r="2101" spans="1:18" x14ac:dyDescent="0.2">
      <c r="A2101" s="3">
        <v>2100</v>
      </c>
      <c r="B2101" s="3" t="s">
        <v>2072</v>
      </c>
      <c r="C2101" s="3" t="s">
        <v>13</v>
      </c>
      <c r="D2101" s="3" t="str">
        <f>VLOOKUP(C2101,layoffs_location!A:B,2,FALSE)</f>
        <v>other</v>
      </c>
      <c r="E2101" s="3" t="str">
        <f>VLOOKUP(C2101,layoffs_location!A:C,3,FALSE)</f>
        <v>Karnataka</v>
      </c>
      <c r="F2101" s="3" t="str">
        <f>VLOOKUP(C2101,layoffs_location!A:D,4,FALSE)</f>
        <v>India</v>
      </c>
      <c r="G2101" s="3" t="str">
        <f>VLOOKUP(C2101,layoffs_location!A:E,5,FALSE)</f>
        <v>Asia</v>
      </c>
      <c r="H2101" s="3">
        <v>75</v>
      </c>
      <c r="I2101" s="8">
        <v>45673</v>
      </c>
      <c r="J2101" s="9"/>
      <c r="K2101" s="10"/>
      <c r="L2101" s="25"/>
      <c r="M2101" s="3" t="s">
        <v>54</v>
      </c>
      <c r="N2101" s="3" t="s">
        <v>108</v>
      </c>
      <c r="O2101" s="34">
        <v>212</v>
      </c>
      <c r="P2101" s="3">
        <v>2025</v>
      </c>
      <c r="Q2101" s="3">
        <f>VLOOKUP(C2101,layoffs_location!A:F,6,FALSE)</f>
        <v>12.98815675</v>
      </c>
      <c r="R2101" s="3">
        <f>VLOOKUP(C2101,layoffs_location!A:G,7,FALSE)</f>
        <v>77.622600037959998</v>
      </c>
    </row>
    <row r="2102" spans="1:18" x14ac:dyDescent="0.2">
      <c r="A2102" s="3">
        <v>2101</v>
      </c>
      <c r="B2102" s="3" t="s">
        <v>1515</v>
      </c>
      <c r="C2102" s="3" t="s">
        <v>1370</v>
      </c>
      <c r="D2102" s="3" t="str">
        <f>VLOOKUP(C2102,layoffs_location!A:B,2,FALSE)</f>
        <v>San Francisco Bay Area</v>
      </c>
      <c r="E2102" s="3" t="str">
        <f>VLOOKUP(C2102,layoffs_location!A:C,3,FALSE)</f>
        <v>California</v>
      </c>
      <c r="F2102" s="3" t="str">
        <f>VLOOKUP(C2102,layoffs_location!A:D,4,FALSE)</f>
        <v>USA</v>
      </c>
      <c r="G2102" s="3" t="str">
        <f>VLOOKUP(C2102,layoffs_location!A:E,5,FALSE)</f>
        <v>North America</v>
      </c>
      <c r="H2102" s="3">
        <v>58</v>
      </c>
      <c r="I2102" s="8">
        <v>45673</v>
      </c>
      <c r="J2102" s="9"/>
      <c r="K2102" s="10"/>
      <c r="L2102" s="25"/>
      <c r="M2102" s="3" t="s">
        <v>27</v>
      </c>
      <c r="N2102" s="3" t="s">
        <v>108</v>
      </c>
      <c r="O2102" s="34">
        <v>523</v>
      </c>
      <c r="P2102" s="3">
        <v>2025</v>
      </c>
      <c r="Q2102" s="3">
        <f>VLOOKUP(C2102,layoffs_location!A:F,6,FALSE)</f>
        <v>37.779258800000001</v>
      </c>
      <c r="R2102" s="3">
        <f>VLOOKUP(C2102,layoffs_location!A:G,7,FALSE)</f>
        <v>-122.4193286</v>
      </c>
    </row>
    <row r="2103" spans="1:18" x14ac:dyDescent="0.2">
      <c r="A2103" s="3">
        <v>2102</v>
      </c>
      <c r="B2103" s="3" t="s">
        <v>1224</v>
      </c>
      <c r="C2103" s="3" t="s">
        <v>1225</v>
      </c>
      <c r="D2103" s="3" t="str">
        <f>VLOOKUP(C2103,layoffs_location!A:B,2,FALSE)</f>
        <v>other</v>
      </c>
      <c r="E2103" s="3" t="str">
        <f>VLOOKUP(C2103,layoffs_location!A:C,3,FALSE)</f>
        <v>non</v>
      </c>
      <c r="F2103" s="3" t="str">
        <f>VLOOKUP(C2103,layoffs_location!A:D,4,FALSE)</f>
        <v>Portugal</v>
      </c>
      <c r="G2103" s="3" t="str">
        <f>VLOOKUP(C2103,layoffs_location!A:E,5,FALSE)</f>
        <v>Europe</v>
      </c>
      <c r="H2103" s="3">
        <v>66</v>
      </c>
      <c r="I2103" s="8">
        <v>45677</v>
      </c>
      <c r="J2103" s="9">
        <v>25</v>
      </c>
      <c r="K2103" s="25">
        <f>SUM((Table13[[#This Row],[Laid_Off]]*100)/Table13[[#This Row],[Percentage]])</f>
        <v>264</v>
      </c>
      <c r="L2103" s="25">
        <f>SUM(Table13[[#This Row],[Company_Size_before_Layoffs]]-Table13[[#This Row],[Laid_Off]])</f>
        <v>198</v>
      </c>
      <c r="M2103" s="3" t="s">
        <v>274</v>
      </c>
      <c r="N2103" s="3" t="s">
        <v>41</v>
      </c>
      <c r="O2103" s="34">
        <v>91</v>
      </c>
      <c r="P2103" s="3">
        <v>2025</v>
      </c>
      <c r="Q2103" s="3">
        <f>VLOOKUP(C2103,layoffs_location!A:F,6,FALSE)</f>
        <v>38.707750699999998</v>
      </c>
      <c r="R2103" s="3">
        <f>VLOOKUP(C2103,layoffs_location!A:G,7,FALSE)</f>
        <v>-9.1365919000000009</v>
      </c>
    </row>
    <row r="2104" spans="1:18" x14ac:dyDescent="0.2">
      <c r="A2104" s="3">
        <v>2103</v>
      </c>
      <c r="B2104" s="3" t="s">
        <v>713</v>
      </c>
      <c r="C2104" s="3" t="s">
        <v>1370</v>
      </c>
      <c r="D2104" s="3" t="str">
        <f>VLOOKUP(C2104,layoffs_location!A:B,2,FALSE)</f>
        <v>San Francisco Bay Area</v>
      </c>
      <c r="E2104" s="3" t="str">
        <f>VLOOKUP(C2104,layoffs_location!A:C,3,FALSE)</f>
        <v>California</v>
      </c>
      <c r="F2104" s="3" t="str">
        <f>VLOOKUP(C2104,layoffs_location!A:D,4,FALSE)</f>
        <v>USA</v>
      </c>
      <c r="G2104" s="3" t="str">
        <f>VLOOKUP(C2104,layoffs_location!A:E,5,FALSE)</f>
        <v>North America</v>
      </c>
      <c r="H2104" s="3">
        <v>300</v>
      </c>
      <c r="I2104" s="8">
        <v>45678</v>
      </c>
      <c r="J2104" s="9">
        <v>3</v>
      </c>
      <c r="K2104" s="25">
        <f>SUM((Table13[[#This Row],[Laid_Off]]*100)/Table13[[#This Row],[Percentage]])</f>
        <v>10000</v>
      </c>
      <c r="L2104" s="25">
        <f>SUM(Table13[[#This Row],[Company_Size_before_Layoffs]]-Table13[[#This Row],[Laid_Off]])</f>
        <v>9700</v>
      </c>
      <c r="M2104" s="3" t="s">
        <v>35</v>
      </c>
      <c r="N2104" s="3" t="s">
        <v>567</v>
      </c>
      <c r="O2104" s="34">
        <v>8700</v>
      </c>
      <c r="P2104" s="3">
        <v>2025</v>
      </c>
      <c r="Q2104" s="3">
        <f>VLOOKUP(C2104,layoffs_location!A:F,6,FALSE)</f>
        <v>37.779258800000001</v>
      </c>
      <c r="R2104" s="3">
        <f>VLOOKUP(C2104,layoffs_location!A:G,7,FALSE)</f>
        <v>-122.4193286</v>
      </c>
    </row>
    <row r="2105" spans="1:18" x14ac:dyDescent="0.2">
      <c r="A2105" s="3">
        <v>2104</v>
      </c>
      <c r="B2105" s="3" t="s">
        <v>2071</v>
      </c>
      <c r="C2105" s="3" t="s">
        <v>58</v>
      </c>
      <c r="D2105" s="3" t="str">
        <f>VLOOKUP(C2105,layoffs_location!A:B,2,FALSE)</f>
        <v>other</v>
      </c>
      <c r="E2105" s="3" t="str">
        <f>VLOOKUP(C2105,layoffs_location!A:C,3,FALSE)</f>
        <v>England</v>
      </c>
      <c r="F2105" s="3" t="str">
        <f>VLOOKUP(C2105,layoffs_location!A:D,4,FALSE)</f>
        <v>UK</v>
      </c>
      <c r="G2105" s="3" t="str">
        <f>VLOOKUP(C2105,layoffs_location!A:E,5,FALSE)</f>
        <v>Europe</v>
      </c>
      <c r="I2105" s="8">
        <v>45678</v>
      </c>
      <c r="J2105" s="9"/>
      <c r="K2105" s="20"/>
      <c r="L2105" s="25"/>
      <c r="M2105" s="3" t="s">
        <v>48</v>
      </c>
      <c r="N2105" s="3" t="s">
        <v>147</v>
      </c>
      <c r="O2105" s="34">
        <v>7</v>
      </c>
      <c r="P2105" s="3">
        <v>2025</v>
      </c>
      <c r="Q2105" s="3">
        <f>VLOOKUP(C2105,layoffs_location!A:F,6,FALSE)</f>
        <v>51.489333500000001</v>
      </c>
      <c r="R2105" s="3">
        <f>VLOOKUP(C2105,layoffs_location!A:G,7,FALSE)</f>
        <v>-0.14405508452768701</v>
      </c>
    </row>
    <row r="2106" spans="1:18" x14ac:dyDescent="0.2">
      <c r="A2106" s="3">
        <v>2105</v>
      </c>
      <c r="B2106" s="3" t="s">
        <v>2070</v>
      </c>
      <c r="C2106" s="3" t="s">
        <v>47</v>
      </c>
      <c r="D2106" s="3" t="str">
        <f>VLOOKUP(C2106,layoffs_location!A:B,2,FALSE)</f>
        <v>other</v>
      </c>
      <c r="E2106" s="3" t="str">
        <f>VLOOKUP(C2106,layoffs_location!A:C,3,FALSE)</f>
        <v>non</v>
      </c>
      <c r="F2106" s="3" t="str">
        <f>VLOOKUP(C2106,layoffs_location!A:D,4,FALSE)</f>
        <v>Israel</v>
      </c>
      <c r="G2106" s="3" t="str">
        <f>VLOOKUP(C2106,layoffs_location!A:E,5,FALSE)</f>
        <v>Asia</v>
      </c>
      <c r="I2106" s="8">
        <v>45684</v>
      </c>
      <c r="J2106" s="9"/>
      <c r="K2106" s="10"/>
      <c r="L2106" s="25"/>
      <c r="M2106" s="3" t="s">
        <v>16</v>
      </c>
      <c r="N2106" s="3" t="s">
        <v>22</v>
      </c>
      <c r="O2106" s="34">
        <v>425</v>
      </c>
      <c r="P2106" s="3">
        <v>2025</v>
      </c>
      <c r="Q2106" s="3">
        <f>VLOOKUP(C2106,layoffs_location!A:F,6,FALSE)</f>
        <v>32.0852997</v>
      </c>
      <c r="R2106" s="3">
        <f>VLOOKUP(C2106,layoffs_location!A:G,7,FALSE)</f>
        <v>34.781806400000001</v>
      </c>
    </row>
    <row r="2107" spans="1:18" x14ac:dyDescent="0.2">
      <c r="A2107" s="3">
        <v>2106</v>
      </c>
      <c r="B2107" s="3" t="s">
        <v>376</v>
      </c>
      <c r="C2107" s="3" t="s">
        <v>43</v>
      </c>
      <c r="D2107" s="3" t="str">
        <f>VLOOKUP(C2107,layoffs_location!A:B,2,FALSE)</f>
        <v>Cascadia</v>
      </c>
      <c r="E2107" s="3" t="str">
        <f>VLOOKUP(C2107,layoffs_location!A:C,3,FALSE)</f>
        <v>Washington</v>
      </c>
      <c r="F2107" s="3" t="str">
        <f>VLOOKUP(C2107,layoffs_location!A:D,4,FALSE)</f>
        <v>USA</v>
      </c>
      <c r="G2107" s="3" t="str">
        <f>VLOOKUP(C2107,layoffs_location!A:E,5,FALSE)</f>
        <v>North America</v>
      </c>
      <c r="I2107" s="8">
        <v>45685</v>
      </c>
      <c r="J2107" s="9"/>
      <c r="K2107" s="10"/>
      <c r="L2107" s="25"/>
      <c r="M2107" s="3" t="s">
        <v>30</v>
      </c>
      <c r="N2107" s="3" t="s">
        <v>28</v>
      </c>
      <c r="O2107" s="34">
        <v>8100</v>
      </c>
      <c r="P2107" s="3">
        <v>2025</v>
      </c>
      <c r="Q2107" s="3">
        <f>VLOOKUP(C2107,layoffs_location!A:F,6,FALSE)</f>
        <v>47.603832099999998</v>
      </c>
      <c r="R2107" s="3">
        <f>VLOOKUP(C2107,layoffs_location!A:G,7,FALSE)</f>
        <v>-122.330062</v>
      </c>
    </row>
    <row r="2108" spans="1:18" x14ac:dyDescent="0.2">
      <c r="A2108" s="3">
        <v>2107</v>
      </c>
      <c r="B2108" s="3" t="s">
        <v>2069</v>
      </c>
      <c r="C2108" s="3" t="s">
        <v>392</v>
      </c>
      <c r="D2108" s="3" t="str">
        <f>VLOOKUP(C2108,layoffs_location!A:B,2,FALSE)</f>
        <v>other</v>
      </c>
      <c r="E2108" s="3" t="str">
        <f>VLOOKUP(C2108,layoffs_location!A:C,3,FALSE)</f>
        <v>Minnesota</v>
      </c>
      <c r="F2108" s="3" t="str">
        <f>VLOOKUP(C2108,layoffs_location!A:D,4,FALSE)</f>
        <v>USA</v>
      </c>
      <c r="G2108" s="3" t="str">
        <f>VLOOKUP(C2108,layoffs_location!A:E,5,FALSE)</f>
        <v>North America</v>
      </c>
      <c r="H2108" s="3">
        <v>122</v>
      </c>
      <c r="I2108" s="8">
        <v>45685</v>
      </c>
      <c r="J2108" s="9"/>
      <c r="K2108" s="10"/>
      <c r="L2108" s="25"/>
      <c r="M2108" s="3" t="s">
        <v>30</v>
      </c>
      <c r="N2108" s="3" t="s">
        <v>1696</v>
      </c>
      <c r="O2108" s="34">
        <v>50</v>
      </c>
      <c r="P2108" s="3">
        <v>2025</v>
      </c>
      <c r="Q2108" s="3">
        <f>VLOOKUP(C2108,layoffs_location!A:F,6,FALSE)</f>
        <v>44.977299500000001</v>
      </c>
      <c r="R2108" s="3">
        <f>VLOOKUP(C2108,layoffs_location!A:G,7,FALSE)</f>
        <v>-93.265469199999998</v>
      </c>
    </row>
    <row r="2109" spans="1:18" x14ac:dyDescent="0.2">
      <c r="A2109" s="3">
        <v>2108</v>
      </c>
      <c r="B2109" s="3" t="s">
        <v>2068</v>
      </c>
      <c r="C2109" s="3" t="s">
        <v>2083</v>
      </c>
      <c r="D2109" s="3" t="str">
        <f>VLOOKUP(C2109,layoffs_location!A:B,2,FALSE)</f>
        <v>San Francisco Bay Area</v>
      </c>
      <c r="E2109" s="3" t="str">
        <f>VLOOKUP(C2109,layoffs_location!A:C,3,FALSE)</f>
        <v>California</v>
      </c>
      <c r="F2109" s="3" t="str">
        <f>VLOOKUP(C2109,layoffs_location!A:D,4,FALSE)</f>
        <v>USA</v>
      </c>
      <c r="G2109" s="3" t="str">
        <f>VLOOKUP(C2109,layoffs_location!A:E,5,FALSE)</f>
        <v>North America</v>
      </c>
      <c r="H2109" s="3">
        <v>150</v>
      </c>
      <c r="I2109" s="8">
        <v>45686</v>
      </c>
      <c r="J2109" s="9">
        <v>18</v>
      </c>
      <c r="K2109" s="28">
        <f>SUM((Table13[[#This Row],[Laid_Off]]*100)/Table13[[#This Row],[Percentage]])</f>
        <v>833.33333333333337</v>
      </c>
      <c r="L2109" s="25">
        <f>SUM(Table13[[#This Row],[Company_Size_before_Layoffs]]-Table13[[#This Row],[Laid_Off]])</f>
        <v>683.33333333333337</v>
      </c>
      <c r="M2109" s="3" t="s">
        <v>79</v>
      </c>
      <c r="N2109" s="3" t="s">
        <v>22</v>
      </c>
      <c r="O2109" s="34">
        <v>267</v>
      </c>
      <c r="P2109" s="3">
        <v>2025</v>
      </c>
      <c r="Q2109" s="3">
        <f>VLOOKUP(C2109,layoffs_location!A:F,6,FALSE)</f>
        <v>37.385219999999997</v>
      </c>
      <c r="R2109" s="3">
        <f>VLOOKUP(C2109,layoffs_location!A:G,7,FALSE)</f>
        <v>-122.11413</v>
      </c>
    </row>
    <row r="2110" spans="1:18" x14ac:dyDescent="0.2">
      <c r="A2110" s="3">
        <v>2109</v>
      </c>
      <c r="B2110" s="3" t="s">
        <v>2067</v>
      </c>
      <c r="C2110" s="3" t="s">
        <v>1370</v>
      </c>
      <c r="D2110" s="3" t="str">
        <f>VLOOKUP(C2110,layoffs_location!A:B,2,FALSE)</f>
        <v>San Francisco Bay Area</v>
      </c>
      <c r="E2110" s="3" t="str">
        <f>VLOOKUP(C2110,layoffs_location!A:C,3,FALSE)</f>
        <v>California</v>
      </c>
      <c r="F2110" s="3" t="str">
        <f>VLOOKUP(C2110,layoffs_location!A:D,4,FALSE)</f>
        <v>USA</v>
      </c>
      <c r="G2110" s="3" t="str">
        <f>VLOOKUP(C2110,layoffs_location!A:E,5,FALSE)</f>
        <v>North America</v>
      </c>
      <c r="I2110" s="8">
        <v>45687</v>
      </c>
      <c r="J2110" s="9">
        <v>100</v>
      </c>
      <c r="K2110" s="10"/>
      <c r="L2110" s="25">
        <f>SUM(Table13[[#This Row],[Company_Size_before_Layoffs]]-Table13[[#This Row],[Laid_Off]])</f>
        <v>0</v>
      </c>
      <c r="M2110" s="3" t="s">
        <v>35</v>
      </c>
      <c r="N2110" s="3" t="s">
        <v>69</v>
      </c>
      <c r="O2110" s="34">
        <v>20</v>
      </c>
      <c r="P2110" s="3">
        <v>2025</v>
      </c>
      <c r="Q2110" s="3">
        <f>VLOOKUP(C2110,layoffs_location!A:F,6,FALSE)</f>
        <v>37.779258800000001</v>
      </c>
      <c r="R2110" s="3">
        <f>VLOOKUP(C2110,layoffs_location!A:G,7,FALSE)</f>
        <v>-122.4193286</v>
      </c>
    </row>
    <row r="2111" spans="1:18" x14ac:dyDescent="0.2">
      <c r="A2111" s="3">
        <v>2110</v>
      </c>
      <c r="B2111" s="3" t="s">
        <v>1636</v>
      </c>
      <c r="C2111" s="3" t="s">
        <v>1370</v>
      </c>
      <c r="D2111" s="3" t="str">
        <f>VLOOKUP(C2111,layoffs_location!A:B,2,FALSE)</f>
        <v>San Francisco Bay Area</v>
      </c>
      <c r="E2111" s="3" t="str">
        <f>VLOOKUP(C2111,layoffs_location!A:C,3,FALSE)</f>
        <v>California</v>
      </c>
      <c r="F2111" s="3" t="str">
        <f>VLOOKUP(C2111,layoffs_location!A:D,4,FALSE)</f>
        <v>USA</v>
      </c>
      <c r="G2111" s="3" t="str">
        <f>VLOOKUP(C2111,layoffs_location!A:E,5,FALSE)</f>
        <v>North America</v>
      </c>
      <c r="H2111" s="3">
        <v>1000</v>
      </c>
      <c r="I2111" s="8">
        <v>45691</v>
      </c>
      <c r="J2111" s="9">
        <v>1</v>
      </c>
      <c r="K2111" s="28">
        <f>SUM((Table13[[#This Row],[Laid_Off]]*100)/Table13[[#This Row],[Percentage]])</f>
        <v>100000</v>
      </c>
      <c r="L2111" s="25">
        <f>SUM(Table13[[#This Row],[Company_Size_before_Layoffs]]-Table13[[#This Row],[Laid_Off]])</f>
        <v>99000</v>
      </c>
      <c r="M2111" s="3" t="s">
        <v>92</v>
      </c>
      <c r="N2111" s="3" t="s">
        <v>28</v>
      </c>
      <c r="O2111" s="34">
        <v>65</v>
      </c>
      <c r="P2111" s="3">
        <v>2025</v>
      </c>
      <c r="Q2111" s="3">
        <f>VLOOKUP(C2111,layoffs_location!A:F,6,FALSE)</f>
        <v>37.779258800000001</v>
      </c>
      <c r="R2111" s="3">
        <f>VLOOKUP(C2111,layoffs_location!A:G,7,FALSE)</f>
        <v>-122.4193286</v>
      </c>
    </row>
    <row r="2112" spans="1:18" x14ac:dyDescent="0.2">
      <c r="A2112" s="3">
        <v>2111</v>
      </c>
      <c r="B2112" s="3" t="s">
        <v>2066</v>
      </c>
      <c r="C2112" s="3" t="s">
        <v>39</v>
      </c>
      <c r="D2112" s="3" t="str">
        <f>VLOOKUP(C2112,layoffs_location!A:B,2,FALSE)</f>
        <v>New York</v>
      </c>
      <c r="E2112" s="3" t="str">
        <f>VLOOKUP(C2112,layoffs_location!A:C,3,FALSE)</f>
        <v>New York</v>
      </c>
      <c r="F2112" s="3" t="str">
        <f>VLOOKUP(C2112,layoffs_location!A:D,4,FALSE)</f>
        <v>USA</v>
      </c>
      <c r="G2112" s="3" t="str">
        <f>VLOOKUP(C2112,layoffs_location!A:E,5,FALSE)</f>
        <v>North America</v>
      </c>
      <c r="H2112" s="3">
        <v>70</v>
      </c>
      <c r="I2112" s="8">
        <v>45691</v>
      </c>
      <c r="J2112" s="9"/>
      <c r="K2112" s="20"/>
      <c r="L2112" s="25"/>
      <c r="M2112" s="3" t="s">
        <v>35</v>
      </c>
      <c r="N2112" s="3" t="s">
        <v>41</v>
      </c>
      <c r="O2112" s="34">
        <v>123</v>
      </c>
      <c r="P2112" s="3">
        <v>2025</v>
      </c>
      <c r="Q2112" s="3">
        <f>VLOOKUP(C2112,layoffs_location!A:F,6,FALSE)</f>
        <v>40.7127281</v>
      </c>
      <c r="R2112" s="3">
        <f>VLOOKUP(C2112,layoffs_location!A:G,7,FALSE)</f>
        <v>-74.006015199999993</v>
      </c>
    </row>
    <row r="2113" spans="1:18" x14ac:dyDescent="0.2">
      <c r="A2113" s="3">
        <v>2112</v>
      </c>
      <c r="B2113" s="3" t="s">
        <v>31</v>
      </c>
      <c r="C2113" s="3" t="s">
        <v>1370</v>
      </c>
      <c r="D2113" s="3" t="str">
        <f>VLOOKUP(C2113,layoffs_location!A:B,2,FALSE)</f>
        <v>San Francisco Bay Area</v>
      </c>
      <c r="E2113" s="3" t="str">
        <f>VLOOKUP(C2113,layoffs_location!A:C,3,FALSE)</f>
        <v>California</v>
      </c>
      <c r="F2113" s="3" t="str">
        <f>VLOOKUP(C2113,layoffs_location!A:D,4,FALSE)</f>
        <v>USA</v>
      </c>
      <c r="G2113" s="3" t="str">
        <f>VLOOKUP(C2113,layoffs_location!A:E,5,FALSE)</f>
        <v>North America</v>
      </c>
      <c r="H2113" s="3">
        <v>1000</v>
      </c>
      <c r="I2113" s="8">
        <v>45692</v>
      </c>
      <c r="J2113" s="9">
        <v>50</v>
      </c>
      <c r="K2113" s="28">
        <f>SUM((Table13[[#This Row],[Laid_Off]]*100)/Table13[[#This Row],[Percentage]])</f>
        <v>2000</v>
      </c>
      <c r="L2113" s="25">
        <f>SUM(Table13[[#This Row],[Company_Size_before_Layoffs]]-Table13[[#This Row],[Laid_Off]])</f>
        <v>1000</v>
      </c>
      <c r="M2113" s="3" t="s">
        <v>32</v>
      </c>
      <c r="N2113" s="3" t="s">
        <v>33</v>
      </c>
      <c r="O2113" s="34">
        <v>15000</v>
      </c>
      <c r="P2113" s="3">
        <v>2025</v>
      </c>
      <c r="Q2113" s="3">
        <f>VLOOKUP(C2113,layoffs_location!A:F,6,FALSE)</f>
        <v>37.779258800000001</v>
      </c>
      <c r="R2113" s="3">
        <f>VLOOKUP(C2113,layoffs_location!A:G,7,FALSE)</f>
        <v>-122.4193286</v>
      </c>
    </row>
    <row r="2114" spans="1:18" x14ac:dyDescent="0.2">
      <c r="A2114" s="3">
        <v>2113</v>
      </c>
      <c r="B2114" s="3" t="s">
        <v>472</v>
      </c>
      <c r="C2114" s="3" t="s">
        <v>1370</v>
      </c>
      <c r="D2114" s="3" t="str">
        <f>VLOOKUP(C2114,layoffs_location!A:B,2,FALSE)</f>
        <v>San Francisco Bay Area</v>
      </c>
      <c r="E2114" s="3" t="str">
        <f>VLOOKUP(C2114,layoffs_location!A:C,3,FALSE)</f>
        <v>California</v>
      </c>
      <c r="F2114" s="3" t="str">
        <f>VLOOKUP(C2114,layoffs_location!A:D,4,FALSE)</f>
        <v>USA</v>
      </c>
      <c r="G2114" s="3" t="str">
        <f>VLOOKUP(C2114,layoffs_location!A:E,5,FALSE)</f>
        <v>North America</v>
      </c>
      <c r="H2114" s="3">
        <v>180</v>
      </c>
      <c r="I2114" s="8">
        <v>45692</v>
      </c>
      <c r="J2114" s="9">
        <v>3</v>
      </c>
      <c r="K2114" s="25">
        <f>SUM((Table13[[#This Row],[Laid_Off]]*100)/Table13[[#This Row],[Percentage]])</f>
        <v>6000</v>
      </c>
      <c r="L2114" s="25">
        <f>SUM(Table13[[#This Row],[Company_Size_before_Layoffs]]-Table13[[#This Row],[Laid_Off]])</f>
        <v>5820</v>
      </c>
      <c r="M2114" s="3" t="s">
        <v>139</v>
      </c>
      <c r="N2114" s="3" t="s">
        <v>28</v>
      </c>
      <c r="O2114" s="34">
        <v>1200</v>
      </c>
      <c r="P2114" s="3">
        <v>2025</v>
      </c>
      <c r="Q2114" s="3">
        <f>VLOOKUP(C2114,layoffs_location!A:F,6,FALSE)</f>
        <v>37.779258800000001</v>
      </c>
      <c r="R2114" s="3">
        <f>VLOOKUP(C2114,layoffs_location!A:G,7,FALSE)</f>
        <v>-122.4193286</v>
      </c>
    </row>
    <row r="2115" spans="1:18" x14ac:dyDescent="0.2">
      <c r="A2115" s="3">
        <v>2114</v>
      </c>
      <c r="B2115" s="3" t="s">
        <v>2065</v>
      </c>
      <c r="C2115" s="3" t="s">
        <v>1370</v>
      </c>
      <c r="D2115" s="3" t="str">
        <f>VLOOKUP(C2115,layoffs_location!A:B,2,FALSE)</f>
        <v>San Francisco Bay Area</v>
      </c>
      <c r="E2115" s="3" t="str">
        <f>VLOOKUP(C2115,layoffs_location!A:C,3,FALSE)</f>
        <v>California</v>
      </c>
      <c r="F2115" s="3" t="str">
        <f>VLOOKUP(C2115,layoffs_location!A:D,4,FALSE)</f>
        <v>USA</v>
      </c>
      <c r="G2115" s="3" t="str">
        <f>VLOOKUP(C2115,layoffs_location!A:E,5,FALSE)</f>
        <v>North America</v>
      </c>
      <c r="H2115" s="3">
        <v>100</v>
      </c>
      <c r="I2115" s="8">
        <v>45692</v>
      </c>
      <c r="J2115" s="9">
        <v>7</v>
      </c>
      <c r="K2115" s="28">
        <f>SUM((Table13[[#This Row],[Laid_Off]]*100)/Table13[[#This Row],[Percentage]])</f>
        <v>1428.5714285714287</v>
      </c>
      <c r="L2115" s="25">
        <f>SUM(Table13[[#This Row],[Company_Size_before_Layoffs]]-Table13[[#This Row],[Laid_Off]])</f>
        <v>1328.5714285714287</v>
      </c>
      <c r="M2115" s="3" t="s">
        <v>79</v>
      </c>
      <c r="N2115" s="3" t="s">
        <v>22</v>
      </c>
      <c r="O2115" s="34">
        <v>293</v>
      </c>
      <c r="P2115" s="3">
        <v>2025</v>
      </c>
      <c r="Q2115" s="3">
        <f>VLOOKUP(C2115,layoffs_location!A:F,6,FALSE)</f>
        <v>37.779258800000001</v>
      </c>
      <c r="R2115" s="3">
        <f>VLOOKUP(C2115,layoffs_location!A:G,7,FALSE)</f>
        <v>-122.4193286</v>
      </c>
    </row>
    <row r="2116" spans="1:18" x14ac:dyDescent="0.2">
      <c r="A2116" s="3">
        <v>2115</v>
      </c>
      <c r="B2116" s="3" t="s">
        <v>681</v>
      </c>
      <c r="C2116" s="3" t="s">
        <v>1370</v>
      </c>
      <c r="D2116" s="3" t="str">
        <f>VLOOKUP(C2116,layoffs_location!A:B,2,FALSE)</f>
        <v>San Francisco Bay Area</v>
      </c>
      <c r="E2116" s="3" t="str">
        <f>VLOOKUP(C2116,layoffs_location!A:C,3,FALSE)</f>
        <v>California</v>
      </c>
      <c r="F2116" s="3" t="str">
        <f>VLOOKUP(C2116,layoffs_location!A:D,4,FALSE)</f>
        <v>USA</v>
      </c>
      <c r="G2116" s="3" t="str">
        <f>VLOOKUP(C2116,layoffs_location!A:E,5,FALSE)</f>
        <v>North America</v>
      </c>
      <c r="H2116" s="3">
        <v>100</v>
      </c>
      <c r="I2116" s="8">
        <v>45692</v>
      </c>
      <c r="J2116" s="9"/>
      <c r="K2116" s="10"/>
      <c r="L2116" s="25"/>
      <c r="M2116" s="3" t="s">
        <v>60</v>
      </c>
      <c r="N2116" s="3" t="s">
        <v>28</v>
      </c>
      <c r="O2116" s="34">
        <v>453</v>
      </c>
      <c r="P2116" s="3">
        <v>2025</v>
      </c>
      <c r="Q2116" s="3">
        <f>VLOOKUP(C2116,layoffs_location!A:F,6,FALSE)</f>
        <v>37.779258800000001</v>
      </c>
      <c r="R2116" s="3">
        <f>VLOOKUP(C2116,layoffs_location!A:G,7,FALSE)</f>
        <v>-122.4193286</v>
      </c>
    </row>
    <row r="2117" spans="1:18" x14ac:dyDescent="0.2">
      <c r="A2117" s="3">
        <v>2116</v>
      </c>
      <c r="B2117" s="3" t="s">
        <v>70</v>
      </c>
      <c r="C2117" s="3" t="s">
        <v>71</v>
      </c>
      <c r="D2117" s="3" t="str">
        <f>VLOOKUP(C2117,layoffs_location!A:B,2,FALSE)</f>
        <v>other</v>
      </c>
      <c r="E2117" s="3" t="str">
        <f>VLOOKUP(C2117,layoffs_location!A:C,3,FALSE)</f>
        <v>Massachusetts</v>
      </c>
      <c r="F2117" s="3" t="str">
        <f>VLOOKUP(C2117,layoffs_location!A:D,4,FALSE)</f>
        <v>USA</v>
      </c>
      <c r="G2117" s="3" t="str">
        <f>VLOOKUP(C2117,layoffs_location!A:E,5,FALSE)</f>
        <v>North America</v>
      </c>
      <c r="H2117" s="3">
        <v>75</v>
      </c>
      <c r="I2117" s="8">
        <v>45692</v>
      </c>
      <c r="J2117" s="9"/>
      <c r="K2117" s="10"/>
      <c r="L2117" s="25"/>
      <c r="M2117" s="3" t="s">
        <v>72</v>
      </c>
      <c r="N2117" s="3" t="s">
        <v>28</v>
      </c>
      <c r="O2117" s="34">
        <v>3</v>
      </c>
      <c r="P2117" s="3">
        <v>2025</v>
      </c>
      <c r="Q2117" s="3">
        <f>VLOOKUP(C2117,layoffs_location!A:F,6,FALSE)</f>
        <v>42.355433400000003</v>
      </c>
      <c r="R2117" s="3">
        <f>VLOOKUP(C2117,layoffs_location!A:G,7,FALSE)</f>
        <v>-71.060511000000005</v>
      </c>
    </row>
    <row r="2118" spans="1:18" x14ac:dyDescent="0.2">
      <c r="A2118" s="3">
        <v>2117</v>
      </c>
      <c r="B2118" s="3" t="s">
        <v>1578</v>
      </c>
      <c r="C2118" s="3" t="s">
        <v>637</v>
      </c>
      <c r="D2118" s="3" t="str">
        <f>VLOOKUP(C2118,layoffs_location!A:B,2,FALSE)</f>
        <v>other</v>
      </c>
      <c r="E2118" s="3" t="str">
        <f>VLOOKUP(C2118,layoffs_location!A:C,3,FALSE)</f>
        <v>California</v>
      </c>
      <c r="F2118" s="3" t="str">
        <f>VLOOKUP(C2118,layoffs_location!A:D,4,FALSE)</f>
        <v>USA</v>
      </c>
      <c r="G2118" s="3" t="str">
        <f>VLOOKUP(C2118,layoffs_location!A:E,5,FALSE)</f>
        <v>North America</v>
      </c>
      <c r="H2118" s="3">
        <v>58</v>
      </c>
      <c r="I2118" s="8">
        <v>45692</v>
      </c>
      <c r="J2118" s="9"/>
      <c r="K2118" s="20"/>
      <c r="L2118" s="25"/>
      <c r="M2118" s="3" t="s">
        <v>87</v>
      </c>
      <c r="N2118" s="3" t="s">
        <v>28</v>
      </c>
      <c r="O2118" s="34">
        <v>12</v>
      </c>
      <c r="P2118" s="3">
        <v>2025</v>
      </c>
      <c r="Q2118" s="3">
        <f>VLOOKUP(C2118,layoffs_location!A:F,6,FALSE)</f>
        <v>38.581060600000001</v>
      </c>
      <c r="R2118" s="3">
        <f>VLOOKUP(C2118,layoffs_location!A:G,7,FALSE)</f>
        <v>-121.49389499999999</v>
      </c>
    </row>
    <row r="2119" spans="1:18" x14ac:dyDescent="0.2">
      <c r="A2119" s="3">
        <v>2118</v>
      </c>
      <c r="B2119" s="3" t="s">
        <v>480</v>
      </c>
      <c r="C2119" s="3" t="s">
        <v>1704</v>
      </c>
      <c r="D2119" s="3" t="str">
        <f>VLOOKUP(C2119,layoffs_location!A:B,2,FALSE)</f>
        <v>San Francisco Bay Area</v>
      </c>
      <c r="E2119" s="3" t="str">
        <f>VLOOKUP(C2119,layoffs_location!A:C,3,FALSE)</f>
        <v>California</v>
      </c>
      <c r="F2119" s="3" t="str">
        <f>VLOOKUP(C2119,layoffs_location!A:D,4,FALSE)</f>
        <v>USA</v>
      </c>
      <c r="G2119" s="3" t="str">
        <f>VLOOKUP(C2119,layoffs_location!A:E,5,FALSE)</f>
        <v>North America</v>
      </c>
      <c r="H2119" s="3">
        <v>1750</v>
      </c>
      <c r="I2119" s="8">
        <v>45693</v>
      </c>
      <c r="J2119" s="9">
        <v>8</v>
      </c>
      <c r="K2119" s="25">
        <f>SUM((Table13[[#This Row],[Laid_Off]]*100)/Table13[[#This Row],[Percentage]])</f>
        <v>21875</v>
      </c>
      <c r="L2119" s="25">
        <f>SUM(Table13[[#This Row],[Company_Size_before_Layoffs]]-Table13[[#This Row],[Laid_Off]])</f>
        <v>20125</v>
      </c>
      <c r="M2119" s="3" t="s">
        <v>84</v>
      </c>
      <c r="N2119" s="3" t="s">
        <v>28</v>
      </c>
      <c r="O2119" s="34">
        <v>230</v>
      </c>
      <c r="P2119" s="3">
        <v>2025</v>
      </c>
      <c r="Q2119" s="3">
        <f>VLOOKUP(C2119,layoffs_location!A:F,6,FALSE)</f>
        <v>37.6624312</v>
      </c>
      <c r="R2119" s="3">
        <f>VLOOKUP(C2119,layoffs_location!A:G,7,FALSE)</f>
        <v>-121.87467890000001</v>
      </c>
    </row>
    <row r="2120" spans="1:18" x14ac:dyDescent="0.2">
      <c r="A2120" s="3">
        <v>2119</v>
      </c>
      <c r="B2120" s="3" t="s">
        <v>272</v>
      </c>
      <c r="C2120" s="3" t="s">
        <v>39</v>
      </c>
      <c r="D2120" s="3" t="str">
        <f>VLOOKUP(C2120,layoffs_location!A:B,2,FALSE)</f>
        <v>New York</v>
      </c>
      <c r="E2120" s="3" t="str">
        <f>VLOOKUP(C2120,layoffs_location!A:C,3,FALSE)</f>
        <v>New York</v>
      </c>
      <c r="F2120" s="3" t="str">
        <f>VLOOKUP(C2120,layoffs_location!A:D,4,FALSE)</f>
        <v>USA</v>
      </c>
      <c r="G2120" s="3" t="str">
        <f>VLOOKUP(C2120,layoffs_location!A:E,5,FALSE)</f>
        <v>North America</v>
      </c>
      <c r="H2120" s="3">
        <v>200</v>
      </c>
      <c r="I2120" s="8">
        <v>45693</v>
      </c>
      <c r="J2120" s="9"/>
      <c r="K2120" s="10"/>
      <c r="L2120" s="25"/>
      <c r="M2120" s="3" t="s">
        <v>130</v>
      </c>
      <c r="N2120" s="3" t="s">
        <v>28</v>
      </c>
      <c r="O2120" s="34">
        <v>394</v>
      </c>
      <c r="P2120" s="3">
        <v>2025</v>
      </c>
      <c r="Q2120" s="3">
        <f>VLOOKUP(C2120,layoffs_location!A:F,6,FALSE)</f>
        <v>40.7127281</v>
      </c>
      <c r="R2120" s="3">
        <f>VLOOKUP(C2120,layoffs_location!A:G,7,FALSE)</f>
        <v>-74.006015199999993</v>
      </c>
    </row>
    <row r="2121" spans="1:18" x14ac:dyDescent="0.2">
      <c r="A2121" s="3">
        <v>2120</v>
      </c>
      <c r="B2121" s="3" t="s">
        <v>250</v>
      </c>
      <c r="C2121" s="3" t="s">
        <v>168</v>
      </c>
      <c r="D2121" s="3" t="str">
        <f>VLOOKUP(C2121,layoffs_location!A:B,2,FALSE)</f>
        <v>other</v>
      </c>
      <c r="E2121" s="3" t="str">
        <f>VLOOKUP(C2121,layoffs_location!A:C,3,FALSE)</f>
        <v>California</v>
      </c>
      <c r="F2121" s="3" t="str">
        <f>VLOOKUP(C2121,layoffs_location!A:D,4,FALSE)</f>
        <v>USA</v>
      </c>
      <c r="G2121" s="3" t="str">
        <f>VLOOKUP(C2121,layoffs_location!A:E,5,FALSE)</f>
        <v>North America</v>
      </c>
      <c r="H2121" s="3">
        <v>200</v>
      </c>
      <c r="I2121" s="8">
        <v>45693</v>
      </c>
      <c r="J2121" s="9">
        <v>12</v>
      </c>
      <c r="K2121" s="25">
        <f>SUM((Table13[[#This Row],[Laid_Off]]*100)/Table13[[#This Row],[Percentage]])</f>
        <v>1666.6666666666667</v>
      </c>
      <c r="L2121" s="25">
        <f>SUM(Table13[[#This Row],[Company_Size_before_Layoffs]]-Table13[[#This Row],[Laid_Off]])</f>
        <v>1466.6666666666667</v>
      </c>
      <c r="M2121" s="3" t="s">
        <v>16</v>
      </c>
      <c r="N2121" s="3" t="s">
        <v>28</v>
      </c>
      <c r="O2121" s="34">
        <v>455</v>
      </c>
      <c r="P2121" s="3">
        <v>2025</v>
      </c>
      <c r="Q2121" s="3">
        <f>VLOOKUP(C2121,layoffs_location!A:F,6,FALSE)</f>
        <v>34.422131899999997</v>
      </c>
      <c r="R2121" s="3">
        <f>VLOOKUP(C2121,layoffs_location!A:G,7,FALSE)</f>
        <v>-119.70266700000001</v>
      </c>
    </row>
    <row r="2122" spans="1:18" x14ac:dyDescent="0.2">
      <c r="A2122" s="3">
        <v>2121</v>
      </c>
      <c r="B2122" s="3" t="s">
        <v>2062</v>
      </c>
      <c r="C2122" s="3" t="s">
        <v>115</v>
      </c>
      <c r="D2122" s="3" t="str">
        <f>VLOOKUP(C2122,layoffs_location!A:B,2,FALSE)</f>
        <v>other</v>
      </c>
      <c r="E2122" s="3" t="str">
        <f>VLOOKUP(C2122,layoffs_location!A:C,3,FALSE)</f>
        <v>Quebec</v>
      </c>
      <c r="F2122" s="3" t="str">
        <f>VLOOKUP(C2122,layoffs_location!A:D,4,FALSE)</f>
        <v>Canada</v>
      </c>
      <c r="G2122" s="3" t="str">
        <f>VLOOKUP(C2122,layoffs_location!A:E,5,FALSE)</f>
        <v>North America</v>
      </c>
      <c r="H2122" s="3">
        <v>140</v>
      </c>
      <c r="I2122" s="8">
        <v>45693</v>
      </c>
      <c r="J2122" s="9"/>
      <c r="K2122" s="10"/>
      <c r="L2122" s="25"/>
      <c r="M2122" s="3" t="s">
        <v>155</v>
      </c>
      <c r="N2122" s="3" t="s">
        <v>22</v>
      </c>
      <c r="O2122" s="34">
        <v>151</v>
      </c>
      <c r="P2122" s="3">
        <v>2025</v>
      </c>
      <c r="Q2122" s="3">
        <f>VLOOKUP(C2122,layoffs_location!A:F,6,FALSE)</f>
        <v>45.5031824</v>
      </c>
      <c r="R2122" s="3">
        <f>VLOOKUP(C2122,layoffs_location!A:G,7,FALSE)</f>
        <v>-73.569806499999999</v>
      </c>
    </row>
    <row r="2123" spans="1:18" x14ac:dyDescent="0.2">
      <c r="A2123" s="3">
        <v>2122</v>
      </c>
      <c r="B2123" s="3" t="s">
        <v>2063</v>
      </c>
      <c r="C2123" s="3" t="s">
        <v>47</v>
      </c>
      <c r="D2123" s="3" t="str">
        <f>VLOOKUP(C2123,layoffs_location!A:B,2,FALSE)</f>
        <v>other</v>
      </c>
      <c r="E2123" s="3" t="str">
        <f>VLOOKUP(C2123,layoffs_location!A:C,3,FALSE)</f>
        <v>non</v>
      </c>
      <c r="F2123" s="3" t="str">
        <f>VLOOKUP(C2123,layoffs_location!A:D,4,FALSE)</f>
        <v>Israel</v>
      </c>
      <c r="G2123" s="3" t="str">
        <f>VLOOKUP(C2123,layoffs_location!A:E,5,FALSE)</f>
        <v>Asia</v>
      </c>
      <c r="H2123" s="3">
        <v>15</v>
      </c>
      <c r="I2123" s="8">
        <v>45693</v>
      </c>
      <c r="J2123" s="9">
        <v>18</v>
      </c>
      <c r="K2123" s="25">
        <f>SUM((Table13[[#This Row],[Laid_Off]]*100)/Table13[[#This Row],[Percentage]])</f>
        <v>83.333333333333329</v>
      </c>
      <c r="L2123" s="25">
        <f>SUM(Table13[[#This Row],[Company_Size_before_Layoffs]]-Table13[[#This Row],[Laid_Off]])</f>
        <v>68.333333333333329</v>
      </c>
      <c r="M2123" s="3" t="s">
        <v>62</v>
      </c>
      <c r="N2123" s="3" t="s">
        <v>49</v>
      </c>
      <c r="O2123" s="34">
        <v>57</v>
      </c>
      <c r="P2123" s="3">
        <v>2025</v>
      </c>
      <c r="Q2123" s="3">
        <f>VLOOKUP(C2123,layoffs_location!A:F,6,FALSE)</f>
        <v>32.0852997</v>
      </c>
      <c r="R2123" s="3">
        <f>VLOOKUP(C2123,layoffs_location!A:G,7,FALSE)</f>
        <v>34.781806400000001</v>
      </c>
    </row>
    <row r="2124" spans="1:18" x14ac:dyDescent="0.2">
      <c r="A2124" s="3">
        <v>2123</v>
      </c>
      <c r="B2124" s="3" t="s">
        <v>2064</v>
      </c>
      <c r="C2124" s="3" t="s">
        <v>39</v>
      </c>
      <c r="D2124" s="3" t="str">
        <f>VLOOKUP(C2124,layoffs_location!A:B,2,FALSE)</f>
        <v>New York</v>
      </c>
      <c r="E2124" s="3" t="str">
        <f>VLOOKUP(C2124,layoffs_location!A:C,3,FALSE)</f>
        <v>New York</v>
      </c>
      <c r="F2124" s="3" t="str">
        <f>VLOOKUP(C2124,layoffs_location!A:D,4,FALSE)</f>
        <v>USA</v>
      </c>
      <c r="G2124" s="3" t="str">
        <f>VLOOKUP(C2124,layoffs_location!A:E,5,FALSE)</f>
        <v>North America</v>
      </c>
      <c r="H2124" s="3">
        <v>10</v>
      </c>
      <c r="I2124" s="8">
        <v>45693</v>
      </c>
      <c r="J2124" s="9">
        <v>4</v>
      </c>
      <c r="K2124" s="28">
        <f>SUM((Table13[[#This Row],[Laid_Off]]*100)/Table13[[#This Row],[Percentage]])</f>
        <v>250</v>
      </c>
      <c r="L2124" s="25">
        <f>SUM(Table13[[#This Row],[Company_Size_before_Layoffs]]-Table13[[#This Row],[Laid_Off]])</f>
        <v>240</v>
      </c>
      <c r="M2124" s="3" t="s">
        <v>62</v>
      </c>
      <c r="N2124" s="3" t="s">
        <v>108</v>
      </c>
      <c r="O2124" s="34">
        <v>395</v>
      </c>
      <c r="P2124" s="3">
        <v>2025</v>
      </c>
      <c r="Q2124" s="3">
        <f>VLOOKUP(C2124,layoffs_location!A:F,6,FALSE)</f>
        <v>40.7127281</v>
      </c>
      <c r="R2124" s="3">
        <f>VLOOKUP(C2124,layoffs_location!A:G,7,FALSE)</f>
        <v>-74.006015199999993</v>
      </c>
    </row>
    <row r="2125" spans="1:18" x14ac:dyDescent="0.2">
      <c r="A2125" s="3">
        <v>2124</v>
      </c>
      <c r="B2125" s="3" t="s">
        <v>439</v>
      </c>
      <c r="C2125" s="3" t="s">
        <v>39</v>
      </c>
      <c r="D2125" s="3" t="str">
        <f>VLOOKUP(C2125,layoffs_location!A:B,2,FALSE)</f>
        <v>New York</v>
      </c>
      <c r="E2125" s="3" t="str">
        <f>VLOOKUP(C2125,layoffs_location!A:C,3,FALSE)</f>
        <v>New York</v>
      </c>
      <c r="F2125" s="3" t="str">
        <f>VLOOKUP(C2125,layoffs_location!A:D,4,FALSE)</f>
        <v>USA</v>
      </c>
      <c r="G2125" s="3" t="str">
        <f>VLOOKUP(C2125,layoffs_location!A:E,5,FALSE)</f>
        <v>North America</v>
      </c>
      <c r="H2125" s="3">
        <v>500</v>
      </c>
      <c r="I2125" s="8">
        <v>45694</v>
      </c>
      <c r="J2125" s="9">
        <v>15</v>
      </c>
      <c r="K2125" s="28">
        <f>SUM((Table13[[#This Row],[Laid_Off]]*100)/Table13[[#This Row],[Percentage]])</f>
        <v>3333.3333333333335</v>
      </c>
      <c r="L2125" s="25">
        <f>SUM(Table13[[#This Row],[Company_Size_before_Layoffs]]-Table13[[#This Row],[Laid_Off]])</f>
        <v>2833.3333333333335</v>
      </c>
      <c r="M2125" s="3" t="s">
        <v>274</v>
      </c>
      <c r="N2125" s="3" t="s">
        <v>28</v>
      </c>
      <c r="O2125" s="34">
        <v>429</v>
      </c>
      <c r="P2125" s="3">
        <v>2025</v>
      </c>
      <c r="Q2125" s="3">
        <f>VLOOKUP(C2125,layoffs_location!A:F,6,FALSE)</f>
        <v>40.7127281</v>
      </c>
      <c r="R2125" s="3">
        <f>VLOOKUP(C2125,layoffs_location!A:G,7,FALSE)</f>
        <v>-74.006015199999993</v>
      </c>
    </row>
    <row r="2126" spans="1:18" x14ac:dyDescent="0.2">
      <c r="A2126" s="3">
        <v>2125</v>
      </c>
      <c r="B2126" s="3" t="s">
        <v>2061</v>
      </c>
      <c r="C2126" s="3" t="s">
        <v>47</v>
      </c>
      <c r="D2126" s="3" t="str">
        <f>VLOOKUP(C2126,layoffs_location!A:B,2,FALSE)</f>
        <v>other</v>
      </c>
      <c r="E2126" s="3" t="str">
        <f>VLOOKUP(C2126,layoffs_location!A:C,3,FALSE)</f>
        <v>non</v>
      </c>
      <c r="F2126" s="3" t="str">
        <f>VLOOKUP(C2126,layoffs_location!A:D,4,FALSE)</f>
        <v>Israel</v>
      </c>
      <c r="G2126" s="3" t="str">
        <f>VLOOKUP(C2126,layoffs_location!A:E,5,FALSE)</f>
        <v>Asia</v>
      </c>
      <c r="I2126" s="8">
        <v>45694</v>
      </c>
      <c r="J2126" s="9">
        <v>100</v>
      </c>
      <c r="K2126" s="10"/>
      <c r="L2126" s="25">
        <v>0</v>
      </c>
      <c r="M2126" s="3" t="s">
        <v>139</v>
      </c>
      <c r="N2126" s="3" t="s">
        <v>49</v>
      </c>
      <c r="O2126" s="34">
        <v>18</v>
      </c>
      <c r="P2126" s="3">
        <v>2025</v>
      </c>
      <c r="Q2126" s="3">
        <f>VLOOKUP(C2126,layoffs_location!A:F,6,FALSE)</f>
        <v>32.0852997</v>
      </c>
      <c r="R2126" s="3">
        <f>VLOOKUP(C2126,layoffs_location!A:G,7,FALSE)</f>
        <v>34.781806400000001</v>
      </c>
    </row>
    <row r="2127" spans="1:18" x14ac:dyDescent="0.2">
      <c r="A2127" s="3">
        <v>2126</v>
      </c>
      <c r="B2127" s="3" t="s">
        <v>385</v>
      </c>
      <c r="C2127" s="3" t="s">
        <v>1443</v>
      </c>
      <c r="D2127" s="3" t="str">
        <f>VLOOKUP(C2127,layoffs_location!A:B,2,FALSE)</f>
        <v>San Francisco Bay Area</v>
      </c>
      <c r="E2127" s="3" t="str">
        <f>VLOOKUP(C2127,layoffs_location!A:C,3,FALSE)</f>
        <v>California</v>
      </c>
      <c r="F2127" s="3" t="str">
        <f>VLOOKUP(C2127,layoffs_location!A:D,4,FALSE)</f>
        <v>USA</v>
      </c>
      <c r="G2127" s="3" t="str">
        <f>VLOOKUP(C2127,layoffs_location!A:E,5,FALSE)</f>
        <v>North America</v>
      </c>
      <c r="H2127" s="3">
        <v>3600</v>
      </c>
      <c r="I2127" s="8">
        <v>45698</v>
      </c>
      <c r="J2127" s="9">
        <v>5</v>
      </c>
      <c r="K2127" s="25">
        <f>SUM((Table13[[#This Row],[Laid_Off]]*100)/Table13[[#This Row],[Percentage]])</f>
        <v>72000</v>
      </c>
      <c r="L2127" s="25">
        <f>SUM(Table13[[#This Row],[Company_Size_before_Layoffs]]-Table13[[#This Row],[Laid_Off]])</f>
        <v>68400</v>
      </c>
      <c r="M2127" s="3" t="s">
        <v>16</v>
      </c>
      <c r="N2127" s="3" t="s">
        <v>28</v>
      </c>
      <c r="O2127" s="34">
        <v>26000</v>
      </c>
      <c r="P2127" s="3">
        <v>2025</v>
      </c>
      <c r="Q2127" s="3">
        <f>VLOOKUP(C2127,layoffs_location!A:F,6,FALSE)</f>
        <v>37.451967099999997</v>
      </c>
      <c r="R2127" s="3">
        <f>VLOOKUP(C2127,layoffs_location!A:G,7,FALSE)</f>
        <v>-122.177992</v>
      </c>
    </row>
    <row r="2128" spans="1:18" x14ac:dyDescent="0.2">
      <c r="A2128" s="3">
        <v>2127</v>
      </c>
      <c r="B2128" s="3" t="s">
        <v>2059</v>
      </c>
      <c r="C2128" s="3" t="s">
        <v>215</v>
      </c>
      <c r="D2128" s="3" t="str">
        <f>VLOOKUP(C2128,layoffs_location!A:B,2,FALSE)</f>
        <v>other</v>
      </c>
      <c r="E2128" s="3" t="str">
        <f>VLOOKUP(C2128,layoffs_location!A:C,3,FALSE)</f>
        <v>Florida</v>
      </c>
      <c r="F2128" s="3" t="str">
        <f>VLOOKUP(C2128,layoffs_location!A:D,4,FALSE)</f>
        <v>USA</v>
      </c>
      <c r="G2128" s="3" t="str">
        <f>VLOOKUP(C2128,layoffs_location!A:E,5,FALSE)</f>
        <v>North America</v>
      </c>
      <c r="H2128" s="3">
        <v>300</v>
      </c>
      <c r="I2128" s="8">
        <v>45698</v>
      </c>
      <c r="J2128" s="9"/>
      <c r="K2128" s="10"/>
      <c r="L2128" s="25"/>
      <c r="M2128" s="3" t="s">
        <v>35</v>
      </c>
      <c r="N2128" s="3" t="s">
        <v>28</v>
      </c>
      <c r="O2128" s="34">
        <v>300</v>
      </c>
      <c r="P2128" s="3">
        <v>2025</v>
      </c>
      <c r="Q2128" s="3">
        <f>VLOOKUP(C2128,layoffs_location!A:F,6,FALSE)</f>
        <v>27.6886419</v>
      </c>
      <c r="R2128" s="3">
        <f>VLOOKUP(C2128,layoffs_location!A:G,7,FALSE)</f>
        <v>-82.572319300000004</v>
      </c>
    </row>
    <row r="2129" spans="1:18" x14ac:dyDescent="0.2">
      <c r="A2129" s="3">
        <v>2128</v>
      </c>
      <c r="B2129" s="3" t="s">
        <v>2060</v>
      </c>
      <c r="C2129" s="3" t="s">
        <v>39</v>
      </c>
      <c r="D2129" s="3" t="str">
        <f>VLOOKUP(C2129,layoffs_location!A:B,2,FALSE)</f>
        <v>New York</v>
      </c>
      <c r="E2129" s="3" t="str">
        <f>VLOOKUP(C2129,layoffs_location!A:C,3,FALSE)</f>
        <v>New York</v>
      </c>
      <c r="F2129" s="3" t="str">
        <f>VLOOKUP(C2129,layoffs_location!A:D,4,FALSE)</f>
        <v>USA</v>
      </c>
      <c r="G2129" s="3" t="str">
        <f>VLOOKUP(C2129,layoffs_location!A:E,5,FALSE)</f>
        <v>North America</v>
      </c>
      <c r="H2129" s="3">
        <v>200</v>
      </c>
      <c r="I2129" s="8">
        <v>45698</v>
      </c>
      <c r="J2129" s="9"/>
      <c r="K2129" s="10"/>
      <c r="L2129" s="25"/>
      <c r="M2129" s="3" t="s">
        <v>84</v>
      </c>
      <c r="N2129" s="3" t="s">
        <v>22</v>
      </c>
      <c r="O2129" s="34">
        <v>160</v>
      </c>
      <c r="P2129" s="3">
        <v>2025</v>
      </c>
      <c r="Q2129" s="3">
        <f>VLOOKUP(C2129,layoffs_location!A:F,6,FALSE)</f>
        <v>40.7127281</v>
      </c>
      <c r="R2129" s="3">
        <f>VLOOKUP(C2129,layoffs_location!A:G,7,FALSE)</f>
        <v>-74.006015199999993</v>
      </c>
    </row>
    <row r="2130" spans="1:18" x14ac:dyDescent="0.2">
      <c r="A2130" s="3">
        <v>2129</v>
      </c>
      <c r="B2130" s="3" t="s">
        <v>1604</v>
      </c>
      <c r="C2130" s="3" t="s">
        <v>99</v>
      </c>
      <c r="D2130" s="3" t="str">
        <f>VLOOKUP(C2130,layoffs_location!A:B,2,FALSE)</f>
        <v>other</v>
      </c>
      <c r="E2130" s="3" t="str">
        <f>VLOOKUP(C2130,layoffs_location!A:C,3,FALSE)</f>
        <v>non</v>
      </c>
      <c r="F2130" s="3" t="str">
        <f>VLOOKUP(C2130,layoffs_location!A:D,4,FALSE)</f>
        <v>Netherlands</v>
      </c>
      <c r="G2130" s="3" t="str">
        <f>VLOOKUP(C2130,layoffs_location!A:E,5,FALSE)</f>
        <v>Europe</v>
      </c>
      <c r="H2130" s="3">
        <v>120</v>
      </c>
      <c r="I2130" s="8">
        <v>45698</v>
      </c>
      <c r="J2130" s="9">
        <v>33</v>
      </c>
      <c r="K2130" s="25">
        <f>SUM((Table13[[#This Row],[Laid_Off]]*100)/Table13[[#This Row],[Percentage]])</f>
        <v>363.63636363636363</v>
      </c>
      <c r="L2130" s="25">
        <f>SUM(Table13[[#This Row],[Company_Size_before_Layoffs]]-Table13[[#This Row],[Laid_Off]])</f>
        <v>243.63636363636363</v>
      </c>
      <c r="M2130" s="3" t="s">
        <v>60</v>
      </c>
      <c r="N2130" s="3" t="s">
        <v>41</v>
      </c>
      <c r="O2130" s="34">
        <v>1100</v>
      </c>
      <c r="P2130" s="3">
        <v>2025</v>
      </c>
      <c r="Q2130" s="3">
        <f>VLOOKUP(C2130,layoffs_location!A:F,6,FALSE)</f>
        <v>52.373079599999997</v>
      </c>
      <c r="R2130" s="3">
        <f>VLOOKUP(C2130,layoffs_location!A:G,7,FALSE)</f>
        <v>4.8924534</v>
      </c>
    </row>
    <row r="2131" spans="1:18" x14ac:dyDescent="0.2">
      <c r="A2131" s="3">
        <v>2130</v>
      </c>
      <c r="B2131" s="3" t="s">
        <v>59</v>
      </c>
      <c r="C2131" s="3" t="s">
        <v>1370</v>
      </c>
      <c r="D2131" s="3" t="str">
        <f>VLOOKUP(C2131,layoffs_location!A:B,2,FALSE)</f>
        <v>San Francisco Bay Area</v>
      </c>
      <c r="E2131" s="3" t="str">
        <f>VLOOKUP(C2131,layoffs_location!A:C,3,FALSE)</f>
        <v>California</v>
      </c>
      <c r="F2131" s="3" t="str">
        <f>VLOOKUP(C2131,layoffs_location!A:D,4,FALSE)</f>
        <v>USA</v>
      </c>
      <c r="G2131" s="3" t="str">
        <f>VLOOKUP(C2131,layoffs_location!A:E,5,FALSE)</f>
        <v>North America</v>
      </c>
      <c r="I2131" s="8">
        <v>45699</v>
      </c>
      <c r="J2131" s="9"/>
      <c r="K2131" s="10"/>
      <c r="L2131" s="25"/>
      <c r="M2131" s="3" t="s">
        <v>60</v>
      </c>
      <c r="N2131" s="3" t="s">
        <v>28</v>
      </c>
      <c r="O2131" s="34">
        <v>1300</v>
      </c>
      <c r="P2131" s="3">
        <v>2025</v>
      </c>
      <c r="Q2131" s="3">
        <f>VLOOKUP(C2131,layoffs_location!A:F,6,FALSE)</f>
        <v>37.779258800000001</v>
      </c>
      <c r="R2131" s="3">
        <f>VLOOKUP(C2131,layoffs_location!A:G,7,FALSE)</f>
        <v>-122.4193286</v>
      </c>
    </row>
    <row r="2132" spans="1:18" x14ac:dyDescent="0.2">
      <c r="A2132" s="3">
        <v>2131</v>
      </c>
      <c r="B2132" s="3" t="s">
        <v>57</v>
      </c>
      <c r="C2132" s="3" t="s">
        <v>58</v>
      </c>
      <c r="D2132" s="3" t="str">
        <f>VLOOKUP(C2132,layoffs_location!A:B,2,FALSE)</f>
        <v>other</v>
      </c>
      <c r="E2132" s="3" t="str">
        <f>VLOOKUP(C2132,layoffs_location!A:C,3,FALSE)</f>
        <v>England</v>
      </c>
      <c r="F2132" s="3" t="str">
        <f>VLOOKUP(C2132,layoffs_location!A:D,4,FALSE)</f>
        <v>UK</v>
      </c>
      <c r="G2132" s="3" t="str">
        <f>VLOOKUP(C2132,layoffs_location!A:E,5,FALSE)</f>
        <v>Europe</v>
      </c>
      <c r="H2132" s="3">
        <v>200</v>
      </c>
      <c r="I2132" s="8">
        <v>45700</v>
      </c>
      <c r="J2132" s="9">
        <v>20</v>
      </c>
      <c r="K2132" s="28">
        <f>SUM((Table13[[#This Row],[Laid_Off]]*100)/Table13[[#This Row],[Percentage]])</f>
        <v>1000</v>
      </c>
      <c r="L2132" s="25">
        <f>SUM(Table13[[#This Row],[Company_Size_before_Layoffs]]-Table13[[#This Row],[Laid_Off]])</f>
        <v>800</v>
      </c>
      <c r="M2132" s="3" t="s">
        <v>35</v>
      </c>
      <c r="N2132" s="3" t="s">
        <v>36</v>
      </c>
      <c r="O2132" s="34">
        <v>700</v>
      </c>
      <c r="P2132" s="3">
        <v>2025</v>
      </c>
      <c r="Q2132" s="3">
        <f>VLOOKUP(C2132,layoffs_location!A:F,6,FALSE)</f>
        <v>51.489333500000001</v>
      </c>
      <c r="R2132" s="3">
        <f>VLOOKUP(C2132,layoffs_location!A:G,7,FALSE)</f>
        <v>-0.14405508452768701</v>
      </c>
    </row>
    <row r="2133" spans="1:18" x14ac:dyDescent="0.2">
      <c r="A2133" s="3">
        <v>2132</v>
      </c>
      <c r="B2133" s="3" t="s">
        <v>1296</v>
      </c>
      <c r="C2133" s="3" t="s">
        <v>1370</v>
      </c>
      <c r="D2133" s="3" t="str">
        <f>VLOOKUP(C2133,layoffs_location!A:B,2,FALSE)</f>
        <v>San Francisco Bay Area</v>
      </c>
      <c r="E2133" s="3" t="str">
        <f>VLOOKUP(C2133,layoffs_location!A:C,3,FALSE)</f>
        <v>California</v>
      </c>
      <c r="F2133" s="3" t="str">
        <f>VLOOKUP(C2133,layoffs_location!A:D,4,FALSE)</f>
        <v>USA</v>
      </c>
      <c r="G2133" s="3" t="str">
        <f>VLOOKUP(C2133,layoffs_location!A:E,5,FALSE)</f>
        <v>North America</v>
      </c>
      <c r="I2133" s="8">
        <v>45700</v>
      </c>
      <c r="J2133" s="9"/>
      <c r="K2133" s="20"/>
      <c r="L2133" s="25"/>
      <c r="M2133" s="3" t="s">
        <v>32</v>
      </c>
      <c r="N2133" s="3" t="s">
        <v>108</v>
      </c>
      <c r="O2133" s="34">
        <v>403</v>
      </c>
      <c r="P2133" s="3">
        <v>2025</v>
      </c>
      <c r="Q2133" s="3">
        <f>VLOOKUP(C2133,layoffs_location!A:F,6,FALSE)</f>
        <v>37.779258800000001</v>
      </c>
      <c r="R2133" s="3">
        <f>VLOOKUP(C2133,layoffs_location!A:G,7,FALSE)</f>
        <v>-122.4193286</v>
      </c>
    </row>
    <row r="2134" spans="1:18" x14ac:dyDescent="0.2">
      <c r="A2134" s="3">
        <v>2133</v>
      </c>
      <c r="B2134" s="3" t="s">
        <v>343</v>
      </c>
      <c r="C2134" s="3" t="s">
        <v>43</v>
      </c>
      <c r="D2134" s="3" t="str">
        <f>VLOOKUP(C2134,layoffs_location!A:B,2,FALSE)</f>
        <v>Cascadia</v>
      </c>
      <c r="E2134" s="3" t="str">
        <f>VLOOKUP(C2134,layoffs_location!A:C,3,FALSE)</f>
        <v>Washington</v>
      </c>
      <c r="F2134" s="3" t="str">
        <f>VLOOKUP(C2134,layoffs_location!A:D,4,FALSE)</f>
        <v>USA</v>
      </c>
      <c r="G2134" s="3" t="str">
        <f>VLOOKUP(C2134,layoffs_location!A:E,5,FALSE)</f>
        <v>North America</v>
      </c>
      <c r="H2134" s="3">
        <v>46</v>
      </c>
      <c r="I2134" s="8">
        <v>45700</v>
      </c>
      <c r="J2134" s="9"/>
      <c r="K2134" s="20"/>
      <c r="L2134" s="25"/>
      <c r="M2134" s="3" t="s">
        <v>137</v>
      </c>
      <c r="N2134" s="3" t="s">
        <v>28</v>
      </c>
      <c r="O2134" s="34">
        <v>320</v>
      </c>
      <c r="P2134" s="3">
        <v>2025</v>
      </c>
      <c r="Q2134" s="3">
        <f>VLOOKUP(C2134,layoffs_location!A:F,6,FALSE)</f>
        <v>47.603832099999998</v>
      </c>
      <c r="R2134" s="3">
        <f>VLOOKUP(C2134,layoffs_location!A:G,7,FALSE)</f>
        <v>-122.330062</v>
      </c>
    </row>
    <row r="2135" spans="1:18" x14ac:dyDescent="0.2">
      <c r="A2135" s="3">
        <v>2134</v>
      </c>
      <c r="B2135" s="3" t="s">
        <v>2057</v>
      </c>
      <c r="C2135" s="3" t="s">
        <v>43</v>
      </c>
      <c r="D2135" s="3" t="str">
        <f>VLOOKUP(C2135,layoffs_location!A:B,2,FALSE)</f>
        <v>Cascadia</v>
      </c>
      <c r="E2135" s="3" t="str">
        <f>VLOOKUP(C2135,layoffs_location!A:C,3,FALSE)</f>
        <v>Washington</v>
      </c>
      <c r="F2135" s="3" t="str">
        <f>VLOOKUP(C2135,layoffs_location!A:D,4,FALSE)</f>
        <v>USA</v>
      </c>
      <c r="G2135" s="3" t="str">
        <f>VLOOKUP(C2135,layoffs_location!A:E,5,FALSE)</f>
        <v>North America</v>
      </c>
      <c r="H2135" s="3">
        <v>1000</v>
      </c>
      <c r="I2135" s="8">
        <v>45701</v>
      </c>
      <c r="J2135" s="9">
        <v>10</v>
      </c>
      <c r="K2135" s="28">
        <f>SUM((Table13[[#This Row],[Laid_Off]]*100)/Table13[[#This Row],[Percentage]])</f>
        <v>10000</v>
      </c>
      <c r="L2135" s="25">
        <f>SUM(Table13[[#This Row],[Company_Size_before_Layoffs]]-Table13[[#This Row],[Laid_Off]])</f>
        <v>9000</v>
      </c>
      <c r="M2135" s="3" t="s">
        <v>192</v>
      </c>
      <c r="N2135" s="3" t="s">
        <v>22</v>
      </c>
      <c r="O2135" s="34">
        <v>167</v>
      </c>
      <c r="P2135" s="3">
        <v>2025</v>
      </c>
      <c r="Q2135" s="3">
        <f>VLOOKUP(C2135,layoffs_location!A:F,6,FALSE)</f>
        <v>47.603832099999998</v>
      </c>
      <c r="R2135" s="3">
        <f>VLOOKUP(C2135,layoffs_location!A:G,7,FALSE)</f>
        <v>-122.330062</v>
      </c>
    </row>
    <row r="2136" spans="1:18" x14ac:dyDescent="0.2">
      <c r="A2136" s="3">
        <v>2135</v>
      </c>
      <c r="B2136" s="3" t="s">
        <v>2058</v>
      </c>
      <c r="C2136" s="3" t="s">
        <v>655</v>
      </c>
      <c r="D2136" s="3" t="str">
        <f>VLOOKUP(C2136,layoffs_location!A:B,2,FALSE)</f>
        <v>other</v>
      </c>
      <c r="E2136" s="3" t="str">
        <f>VLOOKUP(C2136,layoffs_location!A:C,3,FALSE)</f>
        <v>non</v>
      </c>
      <c r="F2136" s="3" t="str">
        <f>VLOOKUP(C2136,layoffs_location!A:D,4,FALSE)</f>
        <v>Nigeria</v>
      </c>
      <c r="G2136" s="3" t="str">
        <f>VLOOKUP(C2136,layoffs_location!A:E,5,FALSE)</f>
        <v>Africa</v>
      </c>
      <c r="H2136" s="3">
        <v>150</v>
      </c>
      <c r="I2136" s="8">
        <v>45701</v>
      </c>
      <c r="J2136" s="9"/>
      <c r="K2136" s="20"/>
      <c r="L2136" s="25"/>
      <c r="M2136" s="3" t="s">
        <v>90</v>
      </c>
      <c r="N2136" s="3" t="s">
        <v>22</v>
      </c>
      <c r="O2136" s="34">
        <v>64</v>
      </c>
      <c r="P2136" s="3">
        <v>2025</v>
      </c>
      <c r="Q2136" s="3">
        <f>VLOOKUP(C2136,layoffs_location!A:F,6,FALSE)</f>
        <v>6.4550574999999997</v>
      </c>
      <c r="R2136" s="3">
        <f>VLOOKUP(C2136,layoffs_location!A:G,7,FALSE)</f>
        <v>3.3941794999999999</v>
      </c>
    </row>
    <row r="2137" spans="1:18" x14ac:dyDescent="0.2">
      <c r="A2137" s="3">
        <v>2136</v>
      </c>
      <c r="B2137" s="3" t="s">
        <v>524</v>
      </c>
      <c r="C2137" s="3" t="s">
        <v>525</v>
      </c>
      <c r="D2137" s="3" t="str">
        <f>VLOOKUP(C2137,layoffs_location!A:B,2,FALSE)</f>
        <v>other</v>
      </c>
      <c r="E2137" s="3" t="str">
        <f>VLOOKUP(C2137,layoffs_location!A:C,3,FALSE)</f>
        <v>England</v>
      </c>
      <c r="F2137" s="3" t="str">
        <f>VLOOKUP(C2137,layoffs_location!A:D,4,FALSE)</f>
        <v>UK</v>
      </c>
      <c r="G2137" s="3" t="str">
        <f>VLOOKUP(C2137,layoffs_location!A:E,5,FALSE)</f>
        <v>Europe</v>
      </c>
      <c r="I2137" s="8">
        <v>45701</v>
      </c>
      <c r="J2137" s="9">
        <v>6</v>
      </c>
      <c r="K2137" s="10"/>
      <c r="L2137" s="25"/>
      <c r="M2137" s="3" t="s">
        <v>139</v>
      </c>
      <c r="N2137" s="3" t="s">
        <v>33</v>
      </c>
      <c r="O2137" s="34">
        <v>125</v>
      </c>
      <c r="P2137" s="3">
        <v>2025</v>
      </c>
      <c r="Q2137" s="3">
        <f>VLOOKUP(C2137,layoffs_location!A:F,6,FALSE)</f>
        <v>51.752013099999999</v>
      </c>
      <c r="R2137" s="3">
        <f>VLOOKUP(C2137,layoffs_location!A:G,7,FALSE)</f>
        <v>-1.2578499000000001</v>
      </c>
    </row>
    <row r="2138" spans="1:18" x14ac:dyDescent="0.2">
      <c r="A2138" s="3">
        <v>2137</v>
      </c>
      <c r="B2138" s="3" t="s">
        <v>2056</v>
      </c>
      <c r="C2138" s="3" t="s">
        <v>47</v>
      </c>
      <c r="D2138" s="3" t="str">
        <f>VLOOKUP(C2138,layoffs_location!A:B,2,FALSE)</f>
        <v>other</v>
      </c>
      <c r="E2138" s="3" t="str">
        <f>VLOOKUP(C2138,layoffs_location!A:C,3,FALSE)</f>
        <v>non</v>
      </c>
      <c r="F2138" s="3" t="str">
        <f>VLOOKUP(C2138,layoffs_location!A:D,4,FALSE)</f>
        <v>Israel</v>
      </c>
      <c r="G2138" s="3" t="str">
        <f>VLOOKUP(C2138,layoffs_location!A:E,5,FALSE)</f>
        <v>Asia</v>
      </c>
      <c r="I2138" s="8">
        <v>45702</v>
      </c>
      <c r="J2138" s="9"/>
      <c r="K2138" s="20"/>
      <c r="L2138" s="25"/>
      <c r="M2138" s="3" t="s">
        <v>192</v>
      </c>
      <c r="N2138" s="3" t="s">
        <v>33</v>
      </c>
      <c r="O2138" s="34">
        <v>140</v>
      </c>
      <c r="P2138" s="3">
        <v>2025</v>
      </c>
      <c r="Q2138" s="3">
        <f>VLOOKUP(C2138,layoffs_location!A:F,6,FALSE)</f>
        <v>32.0852997</v>
      </c>
      <c r="R2138" s="3">
        <f>VLOOKUP(C2138,layoffs_location!A:G,7,FALSE)</f>
        <v>34.781806400000001</v>
      </c>
    </row>
    <row r="2139" spans="1:18" x14ac:dyDescent="0.2">
      <c r="A2139" s="3">
        <v>2138</v>
      </c>
      <c r="B2139" s="3" t="s">
        <v>2055</v>
      </c>
      <c r="C2139" s="3" t="s">
        <v>1335</v>
      </c>
      <c r="D2139" s="3" t="str">
        <f>VLOOKUP(C2139,layoffs_location!A:B,2,FALSE)</f>
        <v>other</v>
      </c>
      <c r="E2139" s="3" t="str">
        <f>VLOOKUP(C2139,layoffs_location!A:C,3,FALSE)</f>
        <v>England</v>
      </c>
      <c r="F2139" s="3" t="str">
        <f>VLOOKUP(C2139,layoffs_location!A:D,4,FALSE)</f>
        <v>UK</v>
      </c>
      <c r="G2139" s="3" t="str">
        <f>VLOOKUP(C2139,layoffs_location!A:E,5,FALSE)</f>
        <v>Europe</v>
      </c>
      <c r="H2139" s="3">
        <v>40</v>
      </c>
      <c r="I2139" s="8">
        <v>45705</v>
      </c>
      <c r="J2139" s="9">
        <v>20</v>
      </c>
      <c r="K2139" s="28">
        <f>SUM((Table13[[#This Row],[Laid_Off]]*100)/Table13[[#This Row],[Percentage]])</f>
        <v>200</v>
      </c>
      <c r="L2139" s="25">
        <f>SUM(Table13[[#This Row],[Company_Size_before_Layoffs]]-Table13[[#This Row],[Laid_Off]])</f>
        <v>160</v>
      </c>
      <c r="M2139" s="3" t="s">
        <v>62</v>
      </c>
      <c r="N2139" s="3" t="s">
        <v>69</v>
      </c>
      <c r="O2139" s="34">
        <v>37</v>
      </c>
      <c r="P2139" s="3">
        <v>2025</v>
      </c>
      <c r="Q2139" s="3">
        <f>VLOOKUP(C2139,layoffs_location!A:F,6,FALSE)</f>
        <v>53.479489200000003</v>
      </c>
      <c r="R2139" s="3">
        <f>VLOOKUP(C2139,layoffs_location!A:G,7,FALSE)</f>
        <v>-2.2451148000000001</v>
      </c>
    </row>
    <row r="2140" spans="1:18" x14ac:dyDescent="0.2">
      <c r="A2140" s="3">
        <v>2139</v>
      </c>
      <c r="B2140" s="3" t="s">
        <v>654</v>
      </c>
      <c r="C2140" s="3" t="s">
        <v>655</v>
      </c>
      <c r="D2140" s="3" t="str">
        <f>VLOOKUP(C2140,layoffs_location!A:B,2,FALSE)</f>
        <v>other</v>
      </c>
      <c r="E2140" s="3" t="str">
        <f>VLOOKUP(C2140,layoffs_location!A:C,3,FALSE)</f>
        <v>non</v>
      </c>
      <c r="F2140" s="3" t="str">
        <f>VLOOKUP(C2140,layoffs_location!A:D,4,FALSE)</f>
        <v>Nigeria</v>
      </c>
      <c r="G2140" s="3" t="str">
        <f>VLOOKUP(C2140,layoffs_location!A:E,5,FALSE)</f>
        <v>Africa</v>
      </c>
      <c r="H2140" s="3">
        <v>120</v>
      </c>
      <c r="I2140" s="8">
        <v>45707</v>
      </c>
      <c r="J2140" s="9">
        <v>44</v>
      </c>
      <c r="K2140" s="25">
        <f>SUM((Table13[[#This Row],[Laid_Off]]*100)/Table13[[#This Row],[Percentage]])</f>
        <v>272.72727272727275</v>
      </c>
      <c r="L2140" s="25">
        <f>SUM(Table13[[#This Row],[Company_Size_before_Layoffs]]-Table13[[#This Row],[Laid_Off]])</f>
        <v>152.72727272727275</v>
      </c>
      <c r="M2140" s="3" t="s">
        <v>77</v>
      </c>
      <c r="N2140" s="3" t="s">
        <v>69</v>
      </c>
      <c r="O2140" s="34">
        <v>43</v>
      </c>
      <c r="P2140" s="3">
        <v>2025</v>
      </c>
      <c r="Q2140" s="3">
        <f>VLOOKUP(C2140,layoffs_location!A:F,6,FALSE)</f>
        <v>6.4550574999999997</v>
      </c>
      <c r="R2140" s="3">
        <f>VLOOKUP(C2140,layoffs_location!A:G,7,FALSE)</f>
        <v>3.3941794999999999</v>
      </c>
    </row>
    <row r="2141" spans="1:18" x14ac:dyDescent="0.2">
      <c r="A2141" s="3">
        <v>2140</v>
      </c>
      <c r="B2141" s="3" t="s">
        <v>1635</v>
      </c>
      <c r="C2141" s="3" t="s">
        <v>39</v>
      </c>
      <c r="D2141" s="3" t="str">
        <f>VLOOKUP(C2141,layoffs_location!A:B,2,FALSE)</f>
        <v>New York</v>
      </c>
      <c r="E2141" s="3" t="str">
        <f>VLOOKUP(C2141,layoffs_location!A:C,3,FALSE)</f>
        <v>New York</v>
      </c>
      <c r="F2141" s="3" t="str">
        <f>VLOOKUP(C2141,layoffs_location!A:D,4,FALSE)</f>
        <v>USA</v>
      </c>
      <c r="G2141" s="3" t="str">
        <f>VLOOKUP(C2141,layoffs_location!A:E,5,FALSE)</f>
        <v>North America</v>
      </c>
      <c r="I2141" s="8">
        <v>45707</v>
      </c>
      <c r="J2141" s="9"/>
      <c r="K2141" s="20"/>
      <c r="L2141" s="25"/>
      <c r="M2141" s="3" t="s">
        <v>30</v>
      </c>
      <c r="N2141" s="3" t="s">
        <v>28</v>
      </c>
      <c r="O2141" s="34">
        <v>229</v>
      </c>
      <c r="P2141" s="3">
        <v>2025</v>
      </c>
      <c r="Q2141" s="3">
        <f>VLOOKUP(C2141,layoffs_location!A:F,6,FALSE)</f>
        <v>40.7127281</v>
      </c>
      <c r="R2141" s="3">
        <f>VLOOKUP(C2141,layoffs_location!A:G,7,FALSE)</f>
        <v>-74.006015199999993</v>
      </c>
    </row>
    <row r="2142" spans="1:18" x14ac:dyDescent="0.2">
      <c r="A2142" s="3">
        <v>2141</v>
      </c>
      <c r="B2142" s="3" t="s">
        <v>2054</v>
      </c>
      <c r="C2142" s="3" t="s">
        <v>39</v>
      </c>
      <c r="D2142" s="3" t="str">
        <f>VLOOKUP(C2142,layoffs_location!A:B,2,FALSE)</f>
        <v>New York</v>
      </c>
      <c r="E2142" s="3" t="str">
        <f>VLOOKUP(C2142,layoffs_location!A:C,3,FALSE)</f>
        <v>New York</v>
      </c>
      <c r="F2142" s="3" t="str">
        <f>VLOOKUP(C2142,layoffs_location!A:D,4,FALSE)</f>
        <v>USA</v>
      </c>
      <c r="G2142" s="3" t="str">
        <f>VLOOKUP(C2142,layoffs_location!A:E,5,FALSE)</f>
        <v>North America</v>
      </c>
      <c r="H2142" s="3">
        <v>150</v>
      </c>
      <c r="I2142" s="8">
        <v>45708</v>
      </c>
      <c r="J2142" s="9">
        <v>15</v>
      </c>
      <c r="K2142" s="25">
        <f>SUM((Table13[[#This Row],[Laid_Off]]*100)/Table13[[#This Row],[Percentage]])</f>
        <v>1000</v>
      </c>
      <c r="L2142" s="25">
        <f>SUM(Table13[[#This Row],[Company_Size_before_Layoffs]]-Table13[[#This Row],[Laid_Off]])</f>
        <v>850</v>
      </c>
      <c r="M2142" s="3" t="s">
        <v>16</v>
      </c>
      <c r="N2142" s="3" t="s">
        <v>36</v>
      </c>
      <c r="O2142" s="34">
        <v>400</v>
      </c>
      <c r="P2142" s="3">
        <v>2025</v>
      </c>
      <c r="Q2142" s="3">
        <f>VLOOKUP(C2142,layoffs_location!A:F,6,FALSE)</f>
        <v>40.7127281</v>
      </c>
      <c r="R2142" s="3">
        <f>VLOOKUP(C2142,layoffs_location!A:G,7,FALSE)</f>
        <v>-74.006015199999993</v>
      </c>
    </row>
    <row r="2143" spans="1:18" x14ac:dyDescent="0.2">
      <c r="A2143" s="3">
        <v>2142</v>
      </c>
      <c r="B2143" s="3" t="s">
        <v>273</v>
      </c>
      <c r="C2143" s="3" t="s">
        <v>1370</v>
      </c>
      <c r="D2143" s="3" t="str">
        <f>VLOOKUP(C2143,layoffs_location!A:B,2,FALSE)</f>
        <v>San Francisco Bay Area</v>
      </c>
      <c r="E2143" s="3" t="str">
        <f>VLOOKUP(C2143,layoffs_location!A:C,3,FALSE)</f>
        <v>California</v>
      </c>
      <c r="F2143" s="3" t="str">
        <f>VLOOKUP(C2143,layoffs_location!A:D,4,FALSE)</f>
        <v>USA</v>
      </c>
      <c r="G2143" s="3" t="str">
        <f>VLOOKUP(C2143,layoffs_location!A:E,5,FALSE)</f>
        <v>North America</v>
      </c>
      <c r="H2143" s="3">
        <v>51</v>
      </c>
      <c r="I2143" s="8">
        <v>45709</v>
      </c>
      <c r="J2143" s="9"/>
      <c r="K2143" s="20"/>
      <c r="L2143" s="25"/>
      <c r="M2143" s="3" t="s">
        <v>274</v>
      </c>
      <c r="N2143" s="3" t="s">
        <v>33</v>
      </c>
      <c r="O2143" s="34">
        <v>85</v>
      </c>
      <c r="P2143" s="3">
        <v>2025</v>
      </c>
      <c r="Q2143" s="3">
        <f>VLOOKUP(C2143,layoffs_location!A:F,6,FALSE)</f>
        <v>37.779258800000001</v>
      </c>
      <c r="R2143" s="3">
        <f>VLOOKUP(C2143,layoffs_location!A:G,7,FALSE)</f>
        <v>-122.4193286</v>
      </c>
    </row>
    <row r="2144" spans="1:18" x14ac:dyDescent="0.2">
      <c r="A2144" s="3">
        <v>2143</v>
      </c>
      <c r="B2144" s="3" t="s">
        <v>2053</v>
      </c>
      <c r="C2144" s="3" t="s">
        <v>47</v>
      </c>
      <c r="D2144" s="3" t="str">
        <f>VLOOKUP(C2144,layoffs_location!A:B,2,FALSE)</f>
        <v>other</v>
      </c>
      <c r="E2144" s="3" t="str">
        <f>VLOOKUP(C2144,layoffs_location!A:C,3,FALSE)</f>
        <v>non</v>
      </c>
      <c r="F2144" s="3" t="str">
        <f>VLOOKUP(C2144,layoffs_location!A:D,4,FALSE)</f>
        <v>Israel</v>
      </c>
      <c r="G2144" s="3" t="str">
        <f>VLOOKUP(C2144,layoffs_location!A:E,5,FALSE)</f>
        <v>Asia</v>
      </c>
      <c r="I2144" s="8">
        <v>45709</v>
      </c>
      <c r="J2144" s="9">
        <v>100</v>
      </c>
      <c r="K2144" s="20"/>
      <c r="L2144" s="25">
        <f>SUM(Table13[[#This Row],[Company_Size_before_Layoffs]]-Table13[[#This Row],[Laid_Off]])</f>
        <v>0</v>
      </c>
      <c r="M2144" s="3" t="s">
        <v>27</v>
      </c>
      <c r="N2144" s="3" t="s">
        <v>22</v>
      </c>
      <c r="O2144" s="34">
        <v>8</v>
      </c>
      <c r="P2144" s="3">
        <v>2025</v>
      </c>
      <c r="Q2144" s="3">
        <f>VLOOKUP(C2144,layoffs_location!A:F,6,FALSE)</f>
        <v>32.0852997</v>
      </c>
      <c r="R2144" s="3">
        <f>VLOOKUP(C2144,layoffs_location!A:G,7,FALSE)</f>
        <v>34.781806400000001</v>
      </c>
    </row>
    <row r="2145" spans="1:18" x14ac:dyDescent="0.2">
      <c r="A2145" s="3">
        <v>2144</v>
      </c>
      <c r="B2145" s="3" t="s">
        <v>1236</v>
      </c>
      <c r="C2145" s="3" t="s">
        <v>132</v>
      </c>
      <c r="D2145" s="3" t="str">
        <f>VLOOKUP(C2145,layoffs_location!A:B,2,FALSE)</f>
        <v>other</v>
      </c>
      <c r="E2145" s="3" t="str">
        <f>VLOOKUP(C2145,layoffs_location!A:C,3,FALSE)</f>
        <v>Colorado</v>
      </c>
      <c r="F2145" s="3" t="str">
        <f>VLOOKUP(C2145,layoffs_location!A:D,4,FALSE)</f>
        <v>USA</v>
      </c>
      <c r="G2145" s="3" t="str">
        <f>VLOOKUP(C2145,layoffs_location!A:E,5,FALSE)</f>
        <v>North America</v>
      </c>
      <c r="H2145" s="3">
        <v>70</v>
      </c>
      <c r="I2145" s="8">
        <v>45710</v>
      </c>
      <c r="J2145" s="9">
        <v>8</v>
      </c>
      <c r="K2145" s="28">
        <f>SUM((Table13[[#This Row],[Laid_Off]]*100)/Table13[[#This Row],[Percentage]])</f>
        <v>875</v>
      </c>
      <c r="L2145" s="25">
        <f>SUM(Table13[[#This Row],[Company_Size_before_Layoffs]]-Table13[[#This Row],[Laid_Off]])</f>
        <v>805</v>
      </c>
      <c r="M2145" s="3" t="s">
        <v>30</v>
      </c>
      <c r="N2145" s="3" t="s">
        <v>28</v>
      </c>
      <c r="O2145" s="34">
        <v>93</v>
      </c>
      <c r="P2145" s="3">
        <v>2025</v>
      </c>
      <c r="Q2145" s="3">
        <f>VLOOKUP(C2145,layoffs_location!A:F,6,FALSE)</f>
        <v>39.739236400000003</v>
      </c>
      <c r="R2145" s="3">
        <f>VLOOKUP(C2145,layoffs_location!A:G,7,FALSE)</f>
        <v>-104.98486200000001</v>
      </c>
    </row>
    <row r="2146" spans="1:18" x14ac:dyDescent="0.2">
      <c r="A2146" s="3">
        <v>2145</v>
      </c>
      <c r="B2146" s="3" t="s">
        <v>2052</v>
      </c>
      <c r="C2146" s="3" t="s">
        <v>547</v>
      </c>
      <c r="D2146" s="3" t="str">
        <f>VLOOKUP(C2146,layoffs_location!A:B,2,FALSE)</f>
        <v>Tokyo</v>
      </c>
      <c r="E2146" s="3" t="str">
        <f>VLOOKUP(C2146,layoffs_location!A:C,3,FALSE)</f>
        <v>Tokyo</v>
      </c>
      <c r="F2146" s="3" t="str">
        <f>VLOOKUP(C2146,layoffs_location!A:D,4,FALSE)</f>
        <v>Japan</v>
      </c>
      <c r="G2146" s="3" t="str">
        <f>VLOOKUP(C2146,layoffs_location!A:E,5,FALSE)</f>
        <v>Asia</v>
      </c>
      <c r="I2146" s="8">
        <v>45710</v>
      </c>
      <c r="J2146" s="9"/>
      <c r="K2146" s="10"/>
      <c r="L2146" s="25"/>
      <c r="M2146" s="3" t="s">
        <v>16</v>
      </c>
      <c r="N2146" s="3" t="s">
        <v>28</v>
      </c>
      <c r="P2146" s="3">
        <v>2025</v>
      </c>
      <c r="Q2146" s="3">
        <f>VLOOKUP(C2146,layoffs_location!A:F,6,FALSE)</f>
        <v>35.682193599999998</v>
      </c>
      <c r="R2146" s="3">
        <f>VLOOKUP(C2146,layoffs_location!A:G,7,FALSE)</f>
        <v>139.76222100000001</v>
      </c>
    </row>
    <row r="2147" spans="1:18" x14ac:dyDescent="0.2">
      <c r="A2147" s="3">
        <v>2146</v>
      </c>
      <c r="B2147" s="3" t="s">
        <v>2050</v>
      </c>
      <c r="C2147" s="3" t="s">
        <v>1694</v>
      </c>
      <c r="D2147" s="3" t="str">
        <f>VLOOKUP(C2147,layoffs_location!A:B,2,FALSE)</f>
        <v>San Francisco Bay Area</v>
      </c>
      <c r="E2147" s="3" t="str">
        <f>VLOOKUP(C2147,layoffs_location!A:C,3,FALSE)</f>
        <v>California</v>
      </c>
      <c r="F2147" s="3" t="str">
        <f>VLOOKUP(C2147,layoffs_location!A:D,4,FALSE)</f>
        <v>USA</v>
      </c>
      <c r="G2147" s="3" t="str">
        <f>VLOOKUP(C2147,layoffs_location!A:E,5,FALSE)</f>
        <v>North America</v>
      </c>
      <c r="H2147" s="3">
        <v>300</v>
      </c>
      <c r="I2147" s="8">
        <v>45712</v>
      </c>
      <c r="J2147" s="9">
        <v>100</v>
      </c>
      <c r="K2147" s="28">
        <f>SUM((Table13[[#This Row],[Laid_Off]]*100)/Table13[[#This Row],[Percentage]])</f>
        <v>300</v>
      </c>
      <c r="L2147" s="25">
        <f>SUM(Table13[[#This Row],[Company_Size_before_Layoffs]]-Table13[[#This Row],[Laid_Off]])</f>
        <v>0</v>
      </c>
      <c r="M2147" s="3" t="s">
        <v>139</v>
      </c>
      <c r="N2147" s="3" t="s">
        <v>1696</v>
      </c>
      <c r="O2147" s="34">
        <v>335</v>
      </c>
      <c r="P2147" s="3">
        <v>2025</v>
      </c>
      <c r="Q2147" s="3">
        <f>VLOOKUP(C2147,layoffs_location!A:F,6,FALSE)</f>
        <v>37.336166300000002</v>
      </c>
      <c r="R2147" s="3">
        <f>VLOOKUP(C2147,layoffs_location!A:G,7,FALSE)</f>
        <v>-121.890591</v>
      </c>
    </row>
    <row r="2148" spans="1:18" x14ac:dyDescent="0.2">
      <c r="A2148" s="3">
        <v>2147</v>
      </c>
      <c r="B2148" s="3" t="s">
        <v>2051</v>
      </c>
      <c r="C2148" s="3" t="s">
        <v>341</v>
      </c>
      <c r="D2148" s="3" t="str">
        <f>VLOOKUP(C2148,layoffs_location!A:B,2,FALSE)</f>
        <v>other</v>
      </c>
      <c r="E2148" s="3" t="str">
        <f>VLOOKUP(C2148,layoffs_location!A:C,3,FALSE)</f>
        <v>Ohio</v>
      </c>
      <c r="F2148" s="3" t="str">
        <f>VLOOKUP(C2148,layoffs_location!A:D,4,FALSE)</f>
        <v>USA</v>
      </c>
      <c r="G2148" s="3" t="str">
        <f>VLOOKUP(C2148,layoffs_location!A:E,5,FALSE)</f>
        <v>North America</v>
      </c>
      <c r="I2148" s="8">
        <v>45712</v>
      </c>
      <c r="J2148" s="9">
        <v>100</v>
      </c>
      <c r="K2148" s="20"/>
      <c r="L2148" s="25">
        <f>SUM(Table13[[#This Row],[Company_Size_before_Layoffs]]-Table13[[#This Row],[Laid_Off]])</f>
        <v>0</v>
      </c>
      <c r="M2148" s="3" t="s">
        <v>21</v>
      </c>
      <c r="N2148" s="3" t="s">
        <v>69</v>
      </c>
      <c r="O2148" s="34">
        <v>28</v>
      </c>
      <c r="P2148" s="3">
        <v>2025</v>
      </c>
      <c r="Q2148" s="3">
        <f>VLOOKUP(C2148,layoffs_location!A:F,6,FALSE)</f>
        <v>39.1014537</v>
      </c>
      <c r="R2148" s="3">
        <f>VLOOKUP(C2148,layoffs_location!A:G,7,FALSE)</f>
        <v>-84.512460200000007</v>
      </c>
    </row>
    <row r="2149" spans="1:18" x14ac:dyDescent="0.2">
      <c r="A2149" s="3">
        <v>2148</v>
      </c>
      <c r="B2149" s="3" t="s">
        <v>1142</v>
      </c>
      <c r="C2149" s="3" t="s">
        <v>71</v>
      </c>
      <c r="D2149" s="3" t="str">
        <f>VLOOKUP(C2149,layoffs_location!A:B,2,FALSE)</f>
        <v>other</v>
      </c>
      <c r="E2149" s="3" t="str">
        <f>VLOOKUP(C2149,layoffs_location!A:C,3,FALSE)</f>
        <v>Massachusetts</v>
      </c>
      <c r="F2149" s="3" t="str">
        <f>VLOOKUP(C2149,layoffs_location!A:D,4,FALSE)</f>
        <v>USA</v>
      </c>
      <c r="G2149" s="3" t="str">
        <f>VLOOKUP(C2149,layoffs_location!A:E,5,FALSE)</f>
        <v>North America</v>
      </c>
      <c r="H2149" s="3">
        <v>125</v>
      </c>
      <c r="I2149" s="8">
        <v>45714</v>
      </c>
      <c r="J2149" s="9"/>
      <c r="K2149" s="10"/>
      <c r="L2149" s="25"/>
      <c r="M2149" s="3" t="s">
        <v>35</v>
      </c>
      <c r="N2149" s="3" t="s">
        <v>36</v>
      </c>
      <c r="O2149" s="34">
        <v>263</v>
      </c>
      <c r="P2149" s="3">
        <v>2025</v>
      </c>
      <c r="Q2149" s="3">
        <f>VLOOKUP(C2149,layoffs_location!A:F,6,FALSE)</f>
        <v>42.355433400000003</v>
      </c>
      <c r="R2149" s="3">
        <f>VLOOKUP(C2149,layoffs_location!A:G,7,FALSE)</f>
        <v>-71.060511000000005</v>
      </c>
    </row>
    <row r="2150" spans="1:18" x14ac:dyDescent="0.2">
      <c r="A2150" s="3">
        <v>2149</v>
      </c>
      <c r="B2150" s="3" t="s">
        <v>463</v>
      </c>
      <c r="C2150" s="3" t="s">
        <v>47</v>
      </c>
      <c r="D2150" s="3" t="str">
        <f>VLOOKUP(C2150,layoffs_location!A:B,2,FALSE)</f>
        <v>other</v>
      </c>
      <c r="E2150" s="3" t="str">
        <f>VLOOKUP(C2150,layoffs_location!A:C,3,FALSE)</f>
        <v>non</v>
      </c>
      <c r="F2150" s="3" t="str">
        <f>VLOOKUP(C2150,layoffs_location!A:D,4,FALSE)</f>
        <v>Israel</v>
      </c>
      <c r="G2150" s="3" t="str">
        <f>VLOOKUP(C2150,layoffs_location!A:E,5,FALSE)</f>
        <v>Asia</v>
      </c>
      <c r="H2150" s="3">
        <v>20</v>
      </c>
      <c r="I2150" s="8">
        <v>45714</v>
      </c>
      <c r="J2150" s="9"/>
      <c r="K2150" s="10"/>
      <c r="L2150" s="25"/>
      <c r="M2150" s="3" t="s">
        <v>30</v>
      </c>
      <c r="N2150" s="3" t="s">
        <v>28</v>
      </c>
      <c r="O2150" s="34">
        <v>1200</v>
      </c>
      <c r="P2150" s="3">
        <v>2025</v>
      </c>
      <c r="Q2150" s="3">
        <f>VLOOKUP(C2150,layoffs_location!A:F,6,FALSE)</f>
        <v>32.0852997</v>
      </c>
      <c r="R2150" s="3">
        <f>VLOOKUP(C2150,layoffs_location!A:G,7,FALSE)</f>
        <v>34.781806400000001</v>
      </c>
    </row>
    <row r="2151" spans="1:18" x14ac:dyDescent="0.2">
      <c r="A2151" s="3">
        <v>2150</v>
      </c>
      <c r="B2151" s="3" t="s">
        <v>2048</v>
      </c>
      <c r="C2151" s="3" t="s">
        <v>600</v>
      </c>
      <c r="D2151" s="3" t="str">
        <f>VLOOKUP(C2151,layoffs_location!A:B,2,FALSE)</f>
        <v>other</v>
      </c>
      <c r="E2151" s="3" t="str">
        <f>VLOOKUP(C2151,layoffs_location!A:C,3,FALSE)</f>
        <v>Bayern</v>
      </c>
      <c r="F2151" s="3" t="str">
        <f>VLOOKUP(C2151,layoffs_location!A:D,4,FALSE)</f>
        <v>Germany</v>
      </c>
      <c r="G2151" s="3" t="str">
        <f>VLOOKUP(C2151,layoffs_location!A:E,5,FALSE)</f>
        <v>Europe</v>
      </c>
      <c r="I2151" s="8">
        <v>45714</v>
      </c>
      <c r="J2151" s="9">
        <v>10</v>
      </c>
      <c r="K2151" s="20"/>
      <c r="L2151" s="25"/>
      <c r="M2151" s="3" t="s">
        <v>30</v>
      </c>
      <c r="N2151" s="3" t="s">
        <v>41</v>
      </c>
      <c r="O2151" s="34">
        <v>119</v>
      </c>
      <c r="P2151" s="3">
        <v>2025</v>
      </c>
      <c r="Q2151" s="3">
        <f>VLOOKUP(C2151,layoffs_location!A:F,6,FALSE)</f>
        <v>48.137107899999997</v>
      </c>
      <c r="R2151" s="3">
        <f>VLOOKUP(C2151,layoffs_location!A:G,7,FALSE)</f>
        <v>11.5753822</v>
      </c>
    </row>
    <row r="2152" spans="1:18" x14ac:dyDescent="0.2">
      <c r="A2152" s="3">
        <v>2151</v>
      </c>
      <c r="B2152" s="3" t="s">
        <v>2049</v>
      </c>
      <c r="C2152" s="3" t="s">
        <v>179</v>
      </c>
      <c r="D2152" s="3" t="str">
        <f>VLOOKUP(C2152,layoffs_location!A:B,2,FALSE)</f>
        <v>other</v>
      </c>
      <c r="E2152" s="3" t="str">
        <f>VLOOKUP(C2152,layoffs_location!A:C,3,FALSE)</f>
        <v>Ontario</v>
      </c>
      <c r="F2152" s="3" t="str">
        <f>VLOOKUP(C2152,layoffs_location!A:D,4,FALSE)</f>
        <v>Canada</v>
      </c>
      <c r="G2152" s="3" t="str">
        <f>VLOOKUP(C2152,layoffs_location!A:E,5,FALSE)</f>
        <v>North America</v>
      </c>
      <c r="I2152" s="8">
        <v>45714</v>
      </c>
      <c r="J2152" s="9">
        <v>5</v>
      </c>
      <c r="K2152" s="10"/>
      <c r="L2152" s="25"/>
      <c r="M2152" s="3" t="s">
        <v>84</v>
      </c>
      <c r="N2152" s="3" t="s">
        <v>28</v>
      </c>
      <c r="O2152" s="34">
        <v>40</v>
      </c>
      <c r="P2152" s="3">
        <v>2025</v>
      </c>
      <c r="Q2152" s="3">
        <f>VLOOKUP(C2152,layoffs_location!A:F,6,FALSE)</f>
        <v>43.6534817</v>
      </c>
      <c r="R2152" s="3">
        <f>VLOOKUP(C2152,layoffs_location!A:G,7,FALSE)</f>
        <v>-79.383934699999998</v>
      </c>
    </row>
    <row r="2153" spans="1:18" x14ac:dyDescent="0.2">
      <c r="A2153" s="3">
        <v>2152</v>
      </c>
      <c r="B2153" s="3" t="s">
        <v>1413</v>
      </c>
      <c r="C2153" s="3" t="s">
        <v>43</v>
      </c>
      <c r="D2153" s="3" t="str">
        <f>VLOOKUP(C2153,layoffs_location!A:B,2,FALSE)</f>
        <v>Cascadia</v>
      </c>
      <c r="E2153" s="3" t="str">
        <f>VLOOKUP(C2153,layoffs_location!A:C,3,FALSE)</f>
        <v>Washington</v>
      </c>
      <c r="F2153" s="3" t="str">
        <f>VLOOKUP(C2153,layoffs_location!A:D,4,FALSE)</f>
        <v>USA</v>
      </c>
      <c r="G2153" s="3" t="str">
        <f>VLOOKUP(C2153,layoffs_location!A:E,5,FALSE)</f>
        <v>North America</v>
      </c>
      <c r="I2153" s="8">
        <v>45714</v>
      </c>
      <c r="J2153" s="9"/>
      <c r="K2153" s="10"/>
      <c r="L2153" s="25"/>
      <c r="M2153" s="3" t="s">
        <v>72</v>
      </c>
      <c r="N2153" s="3" t="s">
        <v>28</v>
      </c>
      <c r="O2153" s="34">
        <v>3300</v>
      </c>
      <c r="P2153" s="3">
        <v>2025</v>
      </c>
      <c r="Q2153" s="3">
        <f>VLOOKUP(C2153,layoffs_location!A:F,6,FALSE)</f>
        <v>47.603832099999998</v>
      </c>
      <c r="R2153" s="3">
        <f>VLOOKUP(C2153,layoffs_location!A:G,7,FALSE)</f>
        <v>-122.330062</v>
      </c>
    </row>
    <row r="2154" spans="1:18" x14ac:dyDescent="0.2">
      <c r="A2154" s="3">
        <v>2153</v>
      </c>
      <c r="B2154" s="3" t="s">
        <v>2046</v>
      </c>
      <c r="C2154" s="3" t="s">
        <v>1370</v>
      </c>
      <c r="D2154" s="3" t="str">
        <f>VLOOKUP(C2154,layoffs_location!A:B,2,FALSE)</f>
        <v>San Francisco Bay Area</v>
      </c>
      <c r="E2154" s="3" t="str">
        <f>VLOOKUP(C2154,layoffs_location!A:C,3,FALSE)</f>
        <v>California</v>
      </c>
      <c r="F2154" s="3" t="str">
        <f>VLOOKUP(C2154,layoffs_location!A:D,4,FALSE)</f>
        <v>USA</v>
      </c>
      <c r="G2154" s="3" t="str">
        <f>VLOOKUP(C2154,layoffs_location!A:E,5,FALSE)</f>
        <v>North America</v>
      </c>
      <c r="H2154" s="3">
        <v>1350</v>
      </c>
      <c r="I2154" s="8">
        <v>45715</v>
      </c>
      <c r="J2154" s="9">
        <v>9</v>
      </c>
      <c r="K2154" s="28">
        <f>SUM((Table13[[#This Row],[Laid_Off]]*100)/Table13[[#This Row],[Percentage]])</f>
        <v>15000</v>
      </c>
      <c r="L2154" s="25">
        <f>SUM(Table13[[#This Row],[Company_Size_before_Layoffs]]-Table13[[#This Row],[Laid_Off]])</f>
        <v>13650</v>
      </c>
      <c r="M2154" s="3" t="s">
        <v>60</v>
      </c>
      <c r="N2154" s="3" t="s">
        <v>28</v>
      </c>
      <c r="P2154" s="3">
        <v>2025</v>
      </c>
      <c r="Q2154" s="3">
        <f>VLOOKUP(C2154,layoffs_location!A:F,6,FALSE)</f>
        <v>37.779258800000001</v>
      </c>
      <c r="R2154" s="3">
        <f>VLOOKUP(C2154,layoffs_location!A:G,7,FALSE)</f>
        <v>-122.4193286</v>
      </c>
    </row>
    <row r="2155" spans="1:18" x14ac:dyDescent="0.2">
      <c r="A2155" s="3">
        <v>2154</v>
      </c>
      <c r="B2155" s="3" t="s">
        <v>2047</v>
      </c>
      <c r="C2155" s="3" t="s">
        <v>145</v>
      </c>
      <c r="D2155" s="3" t="str">
        <f>VLOOKUP(C2155,layoffs_location!A:B,2,FALSE)</f>
        <v>Cascadia</v>
      </c>
      <c r="E2155" s="3" t="str">
        <f>VLOOKUP(C2155,layoffs_location!A:C,3,FALSE)</f>
        <v>Oregon</v>
      </c>
      <c r="F2155" s="3" t="str">
        <f>VLOOKUP(C2155,layoffs_location!A:D,4,FALSE)</f>
        <v>USA</v>
      </c>
      <c r="G2155" s="3" t="str">
        <f>VLOOKUP(C2155,layoffs_location!A:E,5,FALSE)</f>
        <v>North America</v>
      </c>
      <c r="H2155" s="3">
        <v>90</v>
      </c>
      <c r="I2155" s="8">
        <v>45715</v>
      </c>
      <c r="J2155" s="9">
        <v>40</v>
      </c>
      <c r="K2155" s="25">
        <f>SUM((Table13[[#This Row],[Laid_Off]]*100)/Table13[[#This Row],[Percentage]])</f>
        <v>225</v>
      </c>
      <c r="L2155" s="25">
        <f>SUM(Table13[[#This Row],[Company_Size_before_Layoffs]]-Table13[[#This Row],[Laid_Off]])</f>
        <v>135</v>
      </c>
      <c r="M2155" s="3" t="s">
        <v>60</v>
      </c>
      <c r="N2155" s="3" t="s">
        <v>28</v>
      </c>
      <c r="O2155" s="34">
        <v>105</v>
      </c>
      <c r="P2155" s="3">
        <v>2025</v>
      </c>
      <c r="Q2155" s="3">
        <f>VLOOKUP(C2155,layoffs_location!A:F,6,FALSE)</f>
        <v>45.520247099999999</v>
      </c>
      <c r="R2155" s="3">
        <f>VLOOKUP(C2155,layoffs_location!A:G,7,FALSE)</f>
        <v>-122.674194</v>
      </c>
    </row>
    <row r="2156" spans="1:18" x14ac:dyDescent="0.2">
      <c r="A2156" s="3">
        <v>2155</v>
      </c>
      <c r="B2156" s="3" t="s">
        <v>513</v>
      </c>
      <c r="C2156" s="3" t="s">
        <v>1408</v>
      </c>
      <c r="D2156" s="3" t="str">
        <f>VLOOKUP(C2156,layoffs_location!A:B,2,FALSE)</f>
        <v>San Francisco Bay Area</v>
      </c>
      <c r="E2156" s="3" t="str">
        <f>VLOOKUP(C2156,layoffs_location!A:C,3,FALSE)</f>
        <v>California</v>
      </c>
      <c r="F2156" s="3" t="str">
        <f>VLOOKUP(C2156,layoffs_location!A:D,4,FALSE)</f>
        <v>USA</v>
      </c>
      <c r="G2156" s="3" t="str">
        <f>VLOOKUP(C2156,layoffs_location!A:E,5,FALSE)</f>
        <v>North America</v>
      </c>
      <c r="I2156" s="8">
        <v>45715</v>
      </c>
      <c r="J2156" s="9"/>
      <c r="K2156" s="10"/>
      <c r="L2156" s="25"/>
      <c r="M2156" s="3" t="s">
        <v>16</v>
      </c>
      <c r="N2156" s="3" t="s">
        <v>28</v>
      </c>
      <c r="O2156" s="34">
        <v>26</v>
      </c>
      <c r="P2156" s="3">
        <v>2025</v>
      </c>
      <c r="Q2156" s="3">
        <f>VLOOKUP(C2156,layoffs_location!A:F,6,FALSE)</f>
        <v>37.3893889</v>
      </c>
      <c r="R2156" s="3">
        <f>VLOOKUP(C2156,layoffs_location!A:G,7,FALSE)</f>
        <v>-122.0832101</v>
      </c>
    </row>
    <row r="2157" spans="1:18" x14ac:dyDescent="0.2">
      <c r="A2157" s="3">
        <v>2156</v>
      </c>
      <c r="B2157" s="3" t="s">
        <v>2045</v>
      </c>
      <c r="C2157" s="3" t="s">
        <v>1473</v>
      </c>
      <c r="D2157" s="3" t="str">
        <f>VLOOKUP(C2157,layoffs_location!A:B,2,FALSE)</f>
        <v>San Francisco Bay Area</v>
      </c>
      <c r="E2157" s="3" t="str">
        <f>VLOOKUP(C2157,layoffs_location!A:C,3,FALSE)</f>
        <v>California</v>
      </c>
      <c r="F2157" s="3" t="str">
        <f>VLOOKUP(C2157,layoffs_location!A:D,4,FALSE)</f>
        <v>USA</v>
      </c>
      <c r="G2157" s="3" t="str">
        <f>VLOOKUP(C2157,layoffs_location!A:E,5,FALSE)</f>
        <v>North America</v>
      </c>
      <c r="H2157" s="3">
        <v>2000</v>
      </c>
      <c r="I2157" s="8">
        <v>45716</v>
      </c>
      <c r="J2157" s="9"/>
      <c r="K2157" s="20"/>
      <c r="L2157" s="25"/>
      <c r="M2157" s="3" t="s">
        <v>87</v>
      </c>
      <c r="N2157" s="3" t="s">
        <v>28</v>
      </c>
      <c r="P2157" s="3">
        <v>2025</v>
      </c>
      <c r="Q2157" s="3">
        <f>VLOOKUP(C2157,layoffs_location!A:F,6,FALSE)</f>
        <v>37.4443293</v>
      </c>
      <c r="R2157" s="3">
        <f>VLOOKUP(C2157,layoffs_location!A:G,7,FALSE)</f>
        <v>-122.1598465</v>
      </c>
    </row>
    <row r="2158" spans="1:18" x14ac:dyDescent="0.2">
      <c r="A2158" s="3">
        <v>2157</v>
      </c>
      <c r="B2158" s="3" t="s">
        <v>253</v>
      </c>
      <c r="C2158" s="3" t="s">
        <v>1370</v>
      </c>
      <c r="D2158" s="3" t="str">
        <f>VLOOKUP(C2158,layoffs_location!A:B,2,FALSE)</f>
        <v>San Francisco Bay Area</v>
      </c>
      <c r="E2158" s="3" t="str">
        <f>VLOOKUP(C2158,layoffs_location!A:C,3,FALSE)</f>
        <v>California</v>
      </c>
      <c r="F2158" s="3" t="str">
        <f>VLOOKUP(C2158,layoffs_location!A:D,4,FALSE)</f>
        <v>USA</v>
      </c>
      <c r="G2158" s="3" t="str">
        <f>VLOOKUP(C2158,layoffs_location!A:E,5,FALSE)</f>
        <v>North America</v>
      </c>
      <c r="H2158" s="3">
        <v>500</v>
      </c>
      <c r="I2158" s="8">
        <v>45716</v>
      </c>
      <c r="J2158" s="9">
        <v>23</v>
      </c>
      <c r="K2158" s="25">
        <f>SUM((Table13[[#This Row],[Laid_Off]]*100)/Table13[[#This Row],[Percentage]])</f>
        <v>2173.913043478261</v>
      </c>
      <c r="L2158" s="25">
        <f>SUM(Table13[[#This Row],[Company_Size_before_Layoffs]]-Table13[[#This Row],[Laid_Off]])</f>
        <v>1673.913043478261</v>
      </c>
      <c r="M2158" s="3" t="s">
        <v>77</v>
      </c>
      <c r="N2158" s="3" t="s">
        <v>33</v>
      </c>
      <c r="O2158" s="34">
        <v>284</v>
      </c>
      <c r="P2158" s="3">
        <v>2025</v>
      </c>
      <c r="Q2158" s="3">
        <f>VLOOKUP(C2158,layoffs_location!A:F,6,FALSE)</f>
        <v>37.779258800000001</v>
      </c>
      <c r="R2158" s="3">
        <f>VLOOKUP(C2158,layoffs_location!A:G,7,FALSE)</f>
        <v>-122.4193286</v>
      </c>
    </row>
    <row r="2159" spans="1:18" x14ac:dyDescent="0.2">
      <c r="A2159" s="3">
        <v>2158</v>
      </c>
      <c r="B2159" s="3" t="s">
        <v>2029</v>
      </c>
      <c r="C2159" s="3" t="s">
        <v>1370</v>
      </c>
      <c r="D2159" s="3" t="str">
        <f>VLOOKUP(C2159,layoffs_location!A:B,2,FALSE)</f>
        <v>San Francisco Bay Area</v>
      </c>
      <c r="E2159" s="3" t="str">
        <f>VLOOKUP(C2159,layoffs_location!A:C,3,FALSE)</f>
        <v>California</v>
      </c>
      <c r="F2159" s="3" t="str">
        <f>VLOOKUP(C2159,layoffs_location!A:D,4,FALSE)</f>
        <v>USA</v>
      </c>
      <c r="G2159" s="3" t="str">
        <f>VLOOKUP(C2159,layoffs_location!A:E,5,FALSE)</f>
        <v>North America</v>
      </c>
      <c r="H2159" s="3">
        <v>281</v>
      </c>
      <c r="I2159" s="8">
        <v>45718</v>
      </c>
      <c r="J2159" s="9">
        <v>16</v>
      </c>
      <c r="K2159" s="28">
        <f>SUM((Table13[[#This Row],[Laid_Off]]*100)/Table13[[#This Row],[Percentage]])</f>
        <v>1756.25</v>
      </c>
      <c r="L2159" s="25">
        <f>SUM(Table13[[#This Row],[Company_Size_before_Layoffs]]-Table13[[#This Row],[Laid_Off]])</f>
        <v>1475.25</v>
      </c>
      <c r="M2159" s="3" t="s">
        <v>60</v>
      </c>
      <c r="N2159" s="3" t="s">
        <v>36</v>
      </c>
      <c r="O2159" s="34">
        <v>986</v>
      </c>
      <c r="P2159" s="3">
        <v>2025</v>
      </c>
      <c r="Q2159" s="3">
        <f>VLOOKUP(C2159,layoffs_location!A:F,6,FALSE)</f>
        <v>37.779258800000001</v>
      </c>
      <c r="R2159" s="3">
        <f>VLOOKUP(C2159,layoffs_location!A:G,7,FALSE)</f>
        <v>-122.4193286</v>
      </c>
    </row>
    <row r="2160" spans="1:18" x14ac:dyDescent="0.2">
      <c r="A2160" s="3">
        <v>2159</v>
      </c>
      <c r="B2160" s="3" t="s">
        <v>2044</v>
      </c>
      <c r="C2160" s="3" t="s">
        <v>182</v>
      </c>
      <c r="D2160" s="3" t="str">
        <f>VLOOKUP(C2160,layoffs_location!A:B,2,FALSE)</f>
        <v>other</v>
      </c>
      <c r="E2160" s="3" t="str">
        <f>VLOOKUP(C2160,layoffs_location!A:C,3,FALSE)</f>
        <v>Haryana</v>
      </c>
      <c r="F2160" s="3" t="str">
        <f>VLOOKUP(C2160,layoffs_location!A:D,4,FALSE)</f>
        <v>India</v>
      </c>
      <c r="G2160" s="3" t="str">
        <f>VLOOKUP(C2160,layoffs_location!A:E,5,FALSE)</f>
        <v>Asia</v>
      </c>
      <c r="I2160" s="8">
        <v>45718</v>
      </c>
      <c r="J2160" s="9">
        <v>100</v>
      </c>
      <c r="K2160" s="10"/>
      <c r="L2160" s="25">
        <f>SUM(Table13[[#This Row],[Company_Size_before_Layoffs]]-Table13[[#This Row],[Laid_Off]])</f>
        <v>0</v>
      </c>
      <c r="M2160" s="3" t="s">
        <v>30</v>
      </c>
      <c r="N2160" s="3" t="s">
        <v>33</v>
      </c>
      <c r="O2160" s="34">
        <v>2</v>
      </c>
      <c r="P2160" s="3">
        <v>2025</v>
      </c>
      <c r="Q2160" s="3">
        <f>VLOOKUP(C2160,layoffs_location!A:F,6,FALSE)</f>
        <v>28.4646148</v>
      </c>
      <c r="R2160" s="3">
        <f>VLOOKUP(C2160,layoffs_location!A:G,7,FALSE)</f>
        <v>77.029919399999997</v>
      </c>
    </row>
    <row r="2161" spans="1:18" x14ac:dyDescent="0.2">
      <c r="A2161" s="3">
        <v>2160</v>
      </c>
      <c r="B2161" s="3" t="s">
        <v>1976</v>
      </c>
      <c r="C2161" s="3" t="s">
        <v>13</v>
      </c>
      <c r="D2161" s="3" t="str">
        <f>VLOOKUP(C2161,layoffs_location!A:B,2,FALSE)</f>
        <v>other</v>
      </c>
      <c r="E2161" s="3" t="str">
        <f>VLOOKUP(C2161,layoffs_location!A:C,3,FALSE)</f>
        <v>Karnataka</v>
      </c>
      <c r="F2161" s="3" t="str">
        <f>VLOOKUP(C2161,layoffs_location!A:D,4,FALSE)</f>
        <v>India</v>
      </c>
      <c r="G2161" s="3" t="str">
        <f>VLOOKUP(C2161,layoffs_location!A:E,5,FALSE)</f>
        <v>Asia</v>
      </c>
      <c r="H2161" s="3">
        <v>1000</v>
      </c>
      <c r="I2161" s="8">
        <v>45719</v>
      </c>
      <c r="J2161" s="9"/>
      <c r="K2161" s="10"/>
      <c r="L2161" s="25"/>
      <c r="M2161" s="3" t="s">
        <v>32</v>
      </c>
      <c r="N2161" s="3" t="s">
        <v>28</v>
      </c>
      <c r="O2161" s="34">
        <v>1700</v>
      </c>
      <c r="P2161" s="3">
        <v>2025</v>
      </c>
      <c r="Q2161" s="3">
        <f>VLOOKUP(C2161,layoffs_location!A:F,6,FALSE)</f>
        <v>12.98815675</v>
      </c>
      <c r="R2161" s="3">
        <f>VLOOKUP(C2161,layoffs_location!A:G,7,FALSE)</f>
        <v>77.622600037959998</v>
      </c>
    </row>
    <row r="2162" spans="1:18" x14ac:dyDescent="0.2">
      <c r="A2162" s="3">
        <v>2161</v>
      </c>
      <c r="B2162" s="3" t="s">
        <v>2043</v>
      </c>
      <c r="C2162" s="3" t="s">
        <v>43</v>
      </c>
      <c r="D2162" s="3" t="str">
        <f>VLOOKUP(C2162,layoffs_location!A:B,2,FALSE)</f>
        <v>Cascadia</v>
      </c>
      <c r="E2162" s="3" t="str">
        <f>VLOOKUP(C2162,layoffs_location!A:C,3,FALSE)</f>
        <v>Washington</v>
      </c>
      <c r="F2162" s="3" t="str">
        <f>VLOOKUP(C2162,layoffs_location!A:D,4,FALSE)</f>
        <v>USA</v>
      </c>
      <c r="G2162" s="3" t="str">
        <f>VLOOKUP(C2162,layoffs_location!A:E,5,FALSE)</f>
        <v>North America</v>
      </c>
      <c r="I2162" s="8">
        <v>45719</v>
      </c>
      <c r="J2162" s="9">
        <v>16</v>
      </c>
      <c r="K2162" s="25"/>
      <c r="L2162" s="25"/>
      <c r="M2162" s="3" t="s">
        <v>16</v>
      </c>
      <c r="N2162" s="3" t="s">
        <v>63</v>
      </c>
      <c r="O2162" s="34">
        <v>294</v>
      </c>
      <c r="P2162" s="3">
        <v>2025</v>
      </c>
      <c r="Q2162" s="3">
        <f>VLOOKUP(C2162,layoffs_location!A:F,6,FALSE)</f>
        <v>47.603832099999998</v>
      </c>
      <c r="R2162" s="3">
        <f>VLOOKUP(C2162,layoffs_location!A:G,7,FALSE)</f>
        <v>-122.330062</v>
      </c>
    </row>
    <row r="2163" spans="1:18" x14ac:dyDescent="0.2">
      <c r="A2163" s="3">
        <v>2162</v>
      </c>
      <c r="B2163" s="3" t="s">
        <v>2042</v>
      </c>
      <c r="C2163" s="3" t="s">
        <v>1370</v>
      </c>
      <c r="D2163" s="3" t="str">
        <f>VLOOKUP(C2163,layoffs_location!A:B,2,FALSE)</f>
        <v>San Francisco Bay Area</v>
      </c>
      <c r="E2163" s="3" t="str">
        <f>VLOOKUP(C2163,layoffs_location!A:C,3,FALSE)</f>
        <v>California</v>
      </c>
      <c r="F2163" s="3" t="str">
        <f>VLOOKUP(C2163,layoffs_location!A:D,4,FALSE)</f>
        <v>USA</v>
      </c>
      <c r="G2163" s="3" t="str">
        <f>VLOOKUP(C2163,layoffs_location!A:E,5,FALSE)</f>
        <v>North America</v>
      </c>
      <c r="H2163" s="3">
        <v>65</v>
      </c>
      <c r="I2163" s="8">
        <v>45721</v>
      </c>
      <c r="J2163" s="9">
        <v>5</v>
      </c>
      <c r="K2163" s="28">
        <f>SUM((Table13[[#This Row],[Laid_Off]]*100)/Table13[[#This Row],[Percentage]])</f>
        <v>1300</v>
      </c>
      <c r="L2163" s="25">
        <f>SUM(Table13[[#This Row],[Company_Size_before_Layoffs]]-Table13[[#This Row],[Laid_Off]])</f>
        <v>1235</v>
      </c>
      <c r="M2163" s="3" t="s">
        <v>130</v>
      </c>
      <c r="N2163" s="3" t="s">
        <v>28</v>
      </c>
      <c r="O2163" s="34">
        <v>16</v>
      </c>
      <c r="P2163" s="3">
        <v>2025</v>
      </c>
      <c r="Q2163" s="3">
        <f>VLOOKUP(C2163,layoffs_location!A:F,6,FALSE)</f>
        <v>37.779258800000001</v>
      </c>
      <c r="R2163" s="3">
        <f>VLOOKUP(C2163,layoffs_location!A:G,7,FALSE)</f>
        <v>-122.4193286</v>
      </c>
    </row>
    <row r="2164" spans="1:18" x14ac:dyDescent="0.2">
      <c r="A2164" s="3">
        <v>2163</v>
      </c>
      <c r="B2164" s="3" t="s">
        <v>2041</v>
      </c>
      <c r="C2164" s="3" t="s">
        <v>1473</v>
      </c>
      <c r="D2164" s="3" t="str">
        <f>VLOOKUP(C2164,layoffs_location!A:B,2,FALSE)</f>
        <v>San Francisco Bay Area</v>
      </c>
      <c r="E2164" s="3" t="str">
        <f>VLOOKUP(C2164,layoffs_location!A:C,3,FALSE)</f>
        <v>California</v>
      </c>
      <c r="F2164" s="3" t="str">
        <f>VLOOKUP(C2164,layoffs_location!A:D,4,FALSE)</f>
        <v>USA</v>
      </c>
      <c r="G2164" s="3" t="str">
        <f>VLOOKUP(C2164,layoffs_location!A:E,5,FALSE)</f>
        <v>North America</v>
      </c>
      <c r="H2164" s="3">
        <v>2500</v>
      </c>
      <c r="I2164" s="8">
        <v>45722</v>
      </c>
      <c r="J2164" s="9">
        <v>5</v>
      </c>
      <c r="K2164" s="28">
        <f>SUM((Table13[[#This Row],[Laid_Off]]*100)/Table13[[#This Row],[Percentage]])</f>
        <v>50000</v>
      </c>
      <c r="L2164" s="25">
        <f>SUM(Table13[[#This Row],[Company_Size_before_Layoffs]]-Table13[[#This Row],[Laid_Off]])</f>
        <v>47500</v>
      </c>
      <c r="M2164" s="3" t="s">
        <v>87</v>
      </c>
      <c r="N2164" s="3" t="s">
        <v>28</v>
      </c>
      <c r="O2164" s="34">
        <v>1400</v>
      </c>
      <c r="P2164" s="3">
        <v>2025</v>
      </c>
      <c r="Q2164" s="3">
        <f>VLOOKUP(C2164,layoffs_location!A:F,6,FALSE)</f>
        <v>37.4443293</v>
      </c>
      <c r="R2164" s="3">
        <f>VLOOKUP(C2164,layoffs_location!A:G,7,FALSE)</f>
        <v>-122.1598465</v>
      </c>
    </row>
    <row r="2165" spans="1:18" x14ac:dyDescent="0.2">
      <c r="A2165" s="3">
        <v>2164</v>
      </c>
      <c r="B2165" s="3" t="s">
        <v>1375</v>
      </c>
      <c r="C2165" s="3" t="s">
        <v>217</v>
      </c>
      <c r="D2165" s="3" t="str">
        <f>VLOOKUP(C2165,layoffs_location!A:B,2,FALSE)</f>
        <v>other</v>
      </c>
      <c r="E2165" s="3" t="str">
        <f>VLOOKUP(C2165,layoffs_location!A:C,3,FALSE)</f>
        <v>non</v>
      </c>
      <c r="F2165" s="3" t="str">
        <f>VLOOKUP(C2165,layoffs_location!A:D,4,FALSE)</f>
        <v>Ireland</v>
      </c>
      <c r="G2165" s="3" t="str">
        <f>VLOOKUP(C2165,layoffs_location!A:E,5,FALSE)</f>
        <v>Europe</v>
      </c>
      <c r="H2165" s="3">
        <v>300</v>
      </c>
      <c r="I2165" s="8">
        <v>45722</v>
      </c>
      <c r="J2165" s="9"/>
      <c r="K2165" s="10"/>
      <c r="L2165" s="25"/>
      <c r="M2165" s="3" t="s">
        <v>16</v>
      </c>
      <c r="N2165" s="3" t="s">
        <v>33</v>
      </c>
      <c r="P2165" s="3">
        <v>2025</v>
      </c>
      <c r="Q2165" s="3">
        <f>VLOOKUP(C2165,layoffs_location!A:F,6,FALSE)</f>
        <v>53.349379499999998</v>
      </c>
      <c r="R2165" s="3">
        <f>VLOOKUP(C2165,layoffs_location!A:G,7,FALSE)</f>
        <v>-6.2605592999999997</v>
      </c>
    </row>
    <row r="2166" spans="1:18" x14ac:dyDescent="0.2">
      <c r="A2166" s="3">
        <v>2165</v>
      </c>
      <c r="B2166" s="3" t="s">
        <v>2040</v>
      </c>
      <c r="C2166" s="3" t="s">
        <v>71</v>
      </c>
      <c r="D2166" s="3" t="str">
        <f>VLOOKUP(C2166,layoffs_location!A:B,2,FALSE)</f>
        <v>other</v>
      </c>
      <c r="E2166" s="3" t="str">
        <f>VLOOKUP(C2166,layoffs_location!A:C,3,FALSE)</f>
        <v>Massachusetts</v>
      </c>
      <c r="F2166" s="3" t="str">
        <f>VLOOKUP(C2166,layoffs_location!A:D,4,FALSE)</f>
        <v>USA</v>
      </c>
      <c r="G2166" s="3" t="str">
        <f>VLOOKUP(C2166,layoffs_location!A:E,5,FALSE)</f>
        <v>North America</v>
      </c>
      <c r="H2166" s="3">
        <v>340</v>
      </c>
      <c r="I2166" s="8">
        <v>45723</v>
      </c>
      <c r="J2166" s="9"/>
      <c r="K2166" s="10"/>
      <c r="L2166" s="25"/>
      <c r="M2166" s="3" t="s">
        <v>30</v>
      </c>
      <c r="N2166" s="3" t="s">
        <v>28</v>
      </c>
      <c r="O2166" s="34">
        <v>1700</v>
      </c>
      <c r="P2166" s="3">
        <v>2025</v>
      </c>
      <c r="Q2166" s="3">
        <f>VLOOKUP(C2166,layoffs_location!A:F,6,FALSE)</f>
        <v>42.355433400000003</v>
      </c>
      <c r="R2166" s="3">
        <f>VLOOKUP(C2166,layoffs_location!A:G,7,FALSE)</f>
        <v>-71.060511000000005</v>
      </c>
    </row>
    <row r="2167" spans="1:18" x14ac:dyDescent="0.2">
      <c r="A2167" s="3">
        <v>2166</v>
      </c>
      <c r="B2167" s="3" t="s">
        <v>2039</v>
      </c>
      <c r="C2167" s="3" t="s">
        <v>43</v>
      </c>
      <c r="D2167" s="3" t="str">
        <f>VLOOKUP(C2167,layoffs_location!A:B,2,FALSE)</f>
        <v>Cascadia</v>
      </c>
      <c r="E2167" s="3" t="str">
        <f>VLOOKUP(C2167,layoffs_location!A:C,3,FALSE)</f>
        <v>Washington</v>
      </c>
      <c r="F2167" s="3" t="str">
        <f>VLOOKUP(C2167,layoffs_location!A:D,4,FALSE)</f>
        <v>USA</v>
      </c>
      <c r="G2167" s="3" t="str">
        <f>VLOOKUP(C2167,layoffs_location!A:E,5,FALSE)</f>
        <v>North America</v>
      </c>
      <c r="I2167" s="8">
        <v>45725</v>
      </c>
      <c r="J2167" s="9"/>
      <c r="K2167" s="10"/>
      <c r="L2167" s="25"/>
      <c r="M2167" s="3" t="s">
        <v>90</v>
      </c>
      <c r="N2167" s="3" t="s">
        <v>33</v>
      </c>
      <c r="O2167" s="34">
        <v>50</v>
      </c>
      <c r="P2167" s="3">
        <v>2025</v>
      </c>
      <c r="Q2167" s="3">
        <f>VLOOKUP(C2167,layoffs_location!A:F,6,FALSE)</f>
        <v>47.603832099999998</v>
      </c>
      <c r="R2167" s="3">
        <f>VLOOKUP(C2167,layoffs_location!A:G,7,FALSE)</f>
        <v>-122.330062</v>
      </c>
    </row>
    <row r="2168" spans="1:18" x14ac:dyDescent="0.2">
      <c r="A2168" s="3">
        <v>2167</v>
      </c>
      <c r="B2168" s="3" t="s">
        <v>2038</v>
      </c>
      <c r="C2168" s="3" t="s">
        <v>47</v>
      </c>
      <c r="D2168" s="3" t="str">
        <f>VLOOKUP(C2168,layoffs_location!A:B,2,FALSE)</f>
        <v>other</v>
      </c>
      <c r="E2168" s="3" t="str">
        <f>VLOOKUP(C2168,layoffs_location!A:C,3,FALSE)</f>
        <v>non</v>
      </c>
      <c r="F2168" s="3" t="str">
        <f>VLOOKUP(C2168,layoffs_location!A:D,4,FALSE)</f>
        <v>Israel</v>
      </c>
      <c r="G2168" s="3" t="str">
        <f>VLOOKUP(C2168,layoffs_location!A:E,5,FALSE)</f>
        <v>Asia</v>
      </c>
      <c r="H2168" s="3">
        <v>22</v>
      </c>
      <c r="I2168" s="8">
        <v>45726</v>
      </c>
      <c r="J2168" s="9">
        <v>25</v>
      </c>
      <c r="K2168" s="28">
        <f>SUM((Table13[[#This Row],[Laid_Off]]*100)/Table13[[#This Row],[Percentage]])</f>
        <v>88</v>
      </c>
      <c r="L2168" s="25">
        <f>SUM(Table13[[#This Row],[Company_Size_before_Layoffs]]-Table13[[#This Row],[Laid_Off]])</f>
        <v>66</v>
      </c>
      <c r="M2168" s="3" t="s">
        <v>62</v>
      </c>
      <c r="N2168" s="3" t="s">
        <v>49</v>
      </c>
      <c r="O2168" s="34">
        <v>48</v>
      </c>
      <c r="P2168" s="3">
        <v>2025</v>
      </c>
      <c r="Q2168" s="3">
        <f>VLOOKUP(C2168,layoffs_location!A:F,6,FALSE)</f>
        <v>32.0852997</v>
      </c>
      <c r="R2168" s="3">
        <f>VLOOKUP(C2168,layoffs_location!A:G,7,FALSE)</f>
        <v>34.781806400000001</v>
      </c>
    </row>
    <row r="2169" spans="1:18" x14ac:dyDescent="0.2">
      <c r="A2169" s="3">
        <v>2168</v>
      </c>
      <c r="B2169" s="3" t="s">
        <v>111</v>
      </c>
      <c r="C2169" s="3" t="s">
        <v>58</v>
      </c>
      <c r="D2169" s="3" t="str">
        <f>VLOOKUP(C2169,layoffs_location!A:B,2,FALSE)</f>
        <v>other</v>
      </c>
      <c r="E2169" s="3" t="str">
        <f>VLOOKUP(C2169,layoffs_location!A:C,3,FALSE)</f>
        <v>England</v>
      </c>
      <c r="F2169" s="3" t="str">
        <f>VLOOKUP(C2169,layoffs_location!A:D,4,FALSE)</f>
        <v>UK</v>
      </c>
      <c r="G2169" s="3" t="str">
        <f>VLOOKUP(C2169,layoffs_location!A:E,5,FALSE)</f>
        <v>Europe</v>
      </c>
      <c r="I2169" s="8">
        <v>45726</v>
      </c>
      <c r="J2169" s="9">
        <v>100</v>
      </c>
      <c r="K2169" s="20"/>
      <c r="L2169" s="25">
        <f>SUM(Table13[[#This Row],[Company_Size_before_Layoffs]]-Table13[[#This Row],[Laid_Off]])</f>
        <v>0</v>
      </c>
      <c r="M2169" s="3" t="s">
        <v>32</v>
      </c>
      <c r="N2169" s="3" t="s">
        <v>28</v>
      </c>
      <c r="O2169" s="34">
        <v>629</v>
      </c>
      <c r="P2169" s="3">
        <v>2025</v>
      </c>
      <c r="Q2169" s="3">
        <f>VLOOKUP(C2169,layoffs_location!A:F,6,FALSE)</f>
        <v>51.489333500000001</v>
      </c>
      <c r="R2169" s="3">
        <f>VLOOKUP(C2169,layoffs_location!A:G,7,FALSE)</f>
        <v>-0.14405508452768701</v>
      </c>
    </row>
    <row r="2170" spans="1:18" x14ac:dyDescent="0.2">
      <c r="A2170" s="3">
        <v>2169</v>
      </c>
      <c r="B2170" s="3" t="s">
        <v>2037</v>
      </c>
      <c r="C2170" s="3" t="s">
        <v>39</v>
      </c>
      <c r="D2170" s="3" t="str">
        <f>VLOOKUP(C2170,layoffs_location!A:B,2,FALSE)</f>
        <v>New York</v>
      </c>
      <c r="E2170" s="3" t="str">
        <f>VLOOKUP(C2170,layoffs_location!A:C,3,FALSE)</f>
        <v>New York</v>
      </c>
      <c r="F2170" s="3" t="str">
        <f>VLOOKUP(C2170,layoffs_location!A:D,4,FALSE)</f>
        <v>USA</v>
      </c>
      <c r="G2170" s="3" t="str">
        <f>VLOOKUP(C2170,layoffs_location!A:E,5,FALSE)</f>
        <v>North America</v>
      </c>
      <c r="H2170" s="3">
        <v>22</v>
      </c>
      <c r="I2170" s="8">
        <v>45729</v>
      </c>
      <c r="J2170" s="9">
        <v>7</v>
      </c>
      <c r="K2170" s="25">
        <f>SUM((Table13[[#This Row],[Laid_Off]]*100)/Table13[[#This Row],[Percentage]])</f>
        <v>314.28571428571428</v>
      </c>
      <c r="L2170" s="25">
        <f>SUM(Table13[[#This Row],[Company_Size_before_Layoffs]]-Table13[[#This Row],[Laid_Off]])</f>
        <v>292.28571428571428</v>
      </c>
      <c r="M2170" s="3" t="s">
        <v>139</v>
      </c>
      <c r="N2170" s="3" t="s">
        <v>49</v>
      </c>
      <c r="O2170" s="34">
        <v>100</v>
      </c>
      <c r="P2170" s="3">
        <v>2025</v>
      </c>
      <c r="Q2170" s="3">
        <f>VLOOKUP(C2170,layoffs_location!A:F,6,FALSE)</f>
        <v>40.7127281</v>
      </c>
      <c r="R2170" s="3">
        <f>VLOOKUP(C2170,layoffs_location!A:G,7,FALSE)</f>
        <v>-74.006015199999993</v>
      </c>
    </row>
    <row r="2171" spans="1:18" x14ac:dyDescent="0.2">
      <c r="A2171" s="3">
        <v>2170</v>
      </c>
      <c r="B2171" s="3" t="s">
        <v>2035</v>
      </c>
      <c r="C2171" s="3" t="s">
        <v>1704</v>
      </c>
      <c r="D2171" s="3" t="str">
        <f>VLOOKUP(C2171,layoffs_location!A:B,2,FALSE)</f>
        <v>San Francisco Bay Area</v>
      </c>
      <c r="E2171" s="3" t="str">
        <f>VLOOKUP(C2171,layoffs_location!A:C,3,FALSE)</f>
        <v>California</v>
      </c>
      <c r="F2171" s="3" t="str">
        <f>VLOOKUP(C2171,layoffs_location!A:D,4,FALSE)</f>
        <v>USA</v>
      </c>
      <c r="G2171" s="3" t="str">
        <f>VLOOKUP(C2171,layoffs_location!A:E,5,FALSE)</f>
        <v>North America</v>
      </c>
      <c r="H2171" s="3">
        <v>273</v>
      </c>
      <c r="I2171" s="8">
        <v>45733</v>
      </c>
      <c r="J2171" s="9"/>
      <c r="K2171" s="10"/>
      <c r="L2171" s="25"/>
      <c r="M2171" s="3" t="s">
        <v>77</v>
      </c>
      <c r="N2171" s="3" t="s">
        <v>28</v>
      </c>
      <c r="O2171" s="34">
        <v>367</v>
      </c>
      <c r="P2171" s="3">
        <v>2025</v>
      </c>
      <c r="Q2171" s="3">
        <f>VLOOKUP(C2171,layoffs_location!A:F,6,FALSE)</f>
        <v>37.6624312</v>
      </c>
      <c r="R2171" s="3">
        <f>VLOOKUP(C2171,layoffs_location!A:G,7,FALSE)</f>
        <v>-121.87467890000001</v>
      </c>
    </row>
    <row r="2172" spans="1:18" x14ac:dyDescent="0.2">
      <c r="A2172" s="3">
        <v>2171</v>
      </c>
      <c r="B2172" s="3" t="s">
        <v>2036</v>
      </c>
      <c r="C2172" s="3" t="s">
        <v>47</v>
      </c>
      <c r="D2172" s="3" t="str">
        <f>VLOOKUP(C2172,layoffs_location!A:B,2,FALSE)</f>
        <v>other</v>
      </c>
      <c r="E2172" s="3" t="str">
        <f>VLOOKUP(C2172,layoffs_location!A:C,3,FALSE)</f>
        <v>non</v>
      </c>
      <c r="F2172" s="3" t="str">
        <f>VLOOKUP(C2172,layoffs_location!A:D,4,FALSE)</f>
        <v>Israel</v>
      </c>
      <c r="G2172" s="3" t="str">
        <f>VLOOKUP(C2172,layoffs_location!A:E,5,FALSE)</f>
        <v>Asia</v>
      </c>
      <c r="H2172" s="3">
        <v>45</v>
      </c>
      <c r="I2172" s="8">
        <v>45733</v>
      </c>
      <c r="J2172" s="9">
        <v>56</v>
      </c>
      <c r="K2172" s="28">
        <f>SUM((Table13[[#This Row],[Laid_Off]]*100)/Table13[[#This Row],[Percentage]])</f>
        <v>80.357142857142861</v>
      </c>
      <c r="L2172" s="25">
        <f>SUM(Table13[[#This Row],[Company_Size_before_Layoffs]]-Table13[[#This Row],[Laid_Off]])</f>
        <v>35.357142857142861</v>
      </c>
      <c r="M2172" s="3" t="s">
        <v>139</v>
      </c>
      <c r="N2172" s="3" t="s">
        <v>33</v>
      </c>
      <c r="P2172" s="3">
        <v>2025</v>
      </c>
      <c r="Q2172" s="3">
        <f>VLOOKUP(C2172,layoffs_location!A:F,6,FALSE)</f>
        <v>32.0852997</v>
      </c>
      <c r="R2172" s="3">
        <f>VLOOKUP(C2172,layoffs_location!A:G,7,FALSE)</f>
        <v>34.781806400000001</v>
      </c>
    </row>
    <row r="2173" spans="1:18" x14ac:dyDescent="0.2">
      <c r="A2173" s="3">
        <v>2172</v>
      </c>
      <c r="B2173" s="3" t="s">
        <v>309</v>
      </c>
      <c r="C2173" s="3" t="s">
        <v>71</v>
      </c>
      <c r="D2173" s="3" t="str">
        <f>VLOOKUP(C2173,layoffs_location!A:B,2,FALSE)</f>
        <v>other</v>
      </c>
      <c r="E2173" s="3" t="str">
        <f>VLOOKUP(C2173,layoffs_location!A:C,3,FALSE)</f>
        <v>Massachusetts</v>
      </c>
      <c r="F2173" s="3" t="str">
        <f>VLOOKUP(C2173,layoffs_location!A:D,4,FALSE)</f>
        <v>USA</v>
      </c>
      <c r="G2173" s="3" t="str">
        <f>VLOOKUP(C2173,layoffs_location!A:E,5,FALSE)</f>
        <v>North America</v>
      </c>
      <c r="H2173" s="3">
        <v>198</v>
      </c>
      <c r="I2173" s="8">
        <v>45735</v>
      </c>
      <c r="J2173" s="9">
        <v>33</v>
      </c>
      <c r="K2173" s="28">
        <f>SUM((Table13[[#This Row],[Laid_Off]]*100)/Table13[[#This Row],[Percentage]])</f>
        <v>600</v>
      </c>
      <c r="L2173" s="25">
        <f>SUM(Table13[[#This Row],[Company_Size_before_Layoffs]]-Table13[[#This Row],[Laid_Off]])</f>
        <v>402</v>
      </c>
      <c r="M2173" s="3" t="s">
        <v>130</v>
      </c>
      <c r="N2173" s="3" t="s">
        <v>33</v>
      </c>
      <c r="O2173" s="34">
        <v>145</v>
      </c>
      <c r="P2173" s="3">
        <v>2025</v>
      </c>
      <c r="Q2173" s="3">
        <f>VLOOKUP(C2173,layoffs_location!A:F,6,FALSE)</f>
        <v>42.355433400000003</v>
      </c>
      <c r="R2173" s="3">
        <f>VLOOKUP(C2173,layoffs_location!A:G,7,FALSE)</f>
        <v>-71.060511000000005</v>
      </c>
    </row>
    <row r="2174" spans="1:18" x14ac:dyDescent="0.2">
      <c r="A2174" s="3">
        <v>2173</v>
      </c>
      <c r="B2174" s="3" t="s">
        <v>2033</v>
      </c>
      <c r="C2174" s="3" t="s">
        <v>2034</v>
      </c>
      <c r="D2174" s="3" t="str">
        <f>VLOOKUP(C2174,layoffs_location!A:B,2,FALSE)</f>
        <v>other</v>
      </c>
      <c r="E2174" s="3" t="str">
        <f>VLOOKUP(C2174,layoffs_location!A:C,3,FALSE)</f>
        <v>Arkansas</v>
      </c>
      <c r="F2174" s="3" t="str">
        <f>VLOOKUP(C2174,layoffs_location!A:D,4,FALSE)</f>
        <v>USA</v>
      </c>
      <c r="G2174" s="3" t="str">
        <f>VLOOKUP(C2174,layoffs_location!A:E,5,FALSE)</f>
        <v>North America</v>
      </c>
      <c r="H2174" s="3">
        <v>130</v>
      </c>
      <c r="I2174" s="8">
        <v>45735</v>
      </c>
      <c r="J2174" s="9">
        <v>3</v>
      </c>
      <c r="K2174" s="25">
        <f>SUM((Table13[[#This Row],[Laid_Off]]*100)/Table13[[#This Row],[Percentage]])</f>
        <v>4333.333333333333</v>
      </c>
      <c r="L2174" s="25">
        <f>SUM(Table13[[#This Row],[Company_Size_before_Layoffs]]-Table13[[#This Row],[Laid_Off]])</f>
        <v>4203.333333333333</v>
      </c>
      <c r="M2174" s="3" t="s">
        <v>130</v>
      </c>
      <c r="N2174" s="3" t="s">
        <v>28</v>
      </c>
      <c r="P2174" s="3">
        <v>2025</v>
      </c>
      <c r="Q2174" s="3">
        <f>VLOOKUP(C2174,layoffs_location!A:F,6,FALSE)</f>
        <v>34.734997059999998</v>
      </c>
      <c r="R2174" s="3">
        <f>VLOOKUP(C2174,layoffs_location!A:G,7,FALSE)</f>
        <v>-92.325332032000006</v>
      </c>
    </row>
    <row r="2175" spans="1:18" x14ac:dyDescent="0.2">
      <c r="A2175" s="3">
        <v>2174</v>
      </c>
      <c r="B2175" s="3" t="s">
        <v>1520</v>
      </c>
      <c r="C2175" s="3" t="s">
        <v>1726</v>
      </c>
      <c r="D2175" s="3" t="str">
        <f>VLOOKUP(C2175,layoffs_location!A:B,2,FALSE)</f>
        <v>San Francisco Bay Area</v>
      </c>
      <c r="E2175" s="3" t="str">
        <f>VLOOKUP(C2175,layoffs_location!A:C,3,FALSE)</f>
        <v>California</v>
      </c>
      <c r="F2175" s="3" t="str">
        <f>VLOOKUP(C2175,layoffs_location!A:D,4,FALSE)</f>
        <v>USA</v>
      </c>
      <c r="G2175" s="3" t="str">
        <f>VLOOKUP(C2175,layoffs_location!A:E,5,FALSE)</f>
        <v>North America</v>
      </c>
      <c r="H2175" s="3">
        <v>931</v>
      </c>
      <c r="I2175" s="8">
        <v>45741</v>
      </c>
      <c r="J2175" s="9">
        <v>8</v>
      </c>
      <c r="K2175" s="25">
        <f>SUM((Table13[[#This Row],[Laid_Off]]*100)/Table13[[#This Row],[Percentage]])</f>
        <v>11637.5</v>
      </c>
      <c r="L2175" s="25">
        <f>SUM(Table13[[#This Row],[Company_Size_before_Layoffs]]-Table13[[#This Row],[Laid_Off]])</f>
        <v>10706.5</v>
      </c>
      <c r="M2175" s="3" t="s">
        <v>35</v>
      </c>
      <c r="N2175" s="3" t="s">
        <v>28</v>
      </c>
      <c r="O2175" s="34">
        <v>150</v>
      </c>
      <c r="P2175" s="3">
        <v>2025</v>
      </c>
      <c r="Q2175" s="3">
        <f>VLOOKUP(C2175,layoffs_location!A:F,6,FALSE)</f>
        <v>37.804455699999998</v>
      </c>
      <c r="R2175" s="3">
        <f>VLOOKUP(C2175,layoffs_location!A:G,7,FALSE)</f>
        <v>-122.271356</v>
      </c>
    </row>
    <row r="2176" spans="1:18" x14ac:dyDescent="0.2">
      <c r="A2176" s="3">
        <v>2175</v>
      </c>
      <c r="B2176" s="3" t="s">
        <v>921</v>
      </c>
      <c r="C2176" s="3" t="s">
        <v>1370</v>
      </c>
      <c r="D2176" s="3" t="str">
        <f>VLOOKUP(C2176,layoffs_location!A:B,2,FALSE)</f>
        <v>San Francisco Bay Area</v>
      </c>
      <c r="E2176" s="3" t="str">
        <f>VLOOKUP(C2176,layoffs_location!A:C,3,FALSE)</f>
        <v>California</v>
      </c>
      <c r="F2176" s="3" t="str">
        <f>VLOOKUP(C2176,layoffs_location!A:D,4,FALSE)</f>
        <v>USA</v>
      </c>
      <c r="G2176" s="3" t="str">
        <f>VLOOKUP(C2176,layoffs_location!A:E,5,FALSE)</f>
        <v>North America</v>
      </c>
      <c r="H2176" s="3">
        <v>68</v>
      </c>
      <c r="I2176" s="8">
        <v>45741</v>
      </c>
      <c r="J2176" s="9"/>
      <c r="K2176" s="20"/>
      <c r="L2176" s="25"/>
      <c r="M2176" s="3" t="s">
        <v>60</v>
      </c>
      <c r="N2176" s="3" t="s">
        <v>108</v>
      </c>
      <c r="O2176" s="34">
        <v>770</v>
      </c>
      <c r="P2176" s="3">
        <v>2025</v>
      </c>
      <c r="Q2176" s="3">
        <f>VLOOKUP(C2176,layoffs_location!A:F,6,FALSE)</f>
        <v>37.779258800000001</v>
      </c>
      <c r="R2176" s="3">
        <f>VLOOKUP(C2176,layoffs_location!A:G,7,FALSE)</f>
        <v>-122.4193286</v>
      </c>
    </row>
    <row r="2177" spans="1:18" x14ac:dyDescent="0.2">
      <c r="A2177" s="3">
        <v>2176</v>
      </c>
      <c r="B2177" s="3" t="s">
        <v>2032</v>
      </c>
      <c r="C2177" s="3" t="s">
        <v>260</v>
      </c>
      <c r="D2177" s="3" t="str">
        <f>VLOOKUP(C2177,layoffs_location!A:B,2,FALSE)</f>
        <v>other</v>
      </c>
      <c r="E2177" s="3" t="str">
        <f>VLOOKUP(C2177,layoffs_location!A:C,3,FALSE)</f>
        <v>District of Columbia</v>
      </c>
      <c r="F2177" s="3" t="str">
        <f>VLOOKUP(C2177,layoffs_location!A:D,4,FALSE)</f>
        <v>USA</v>
      </c>
      <c r="G2177" s="3" t="str">
        <f>VLOOKUP(C2177,layoffs_location!A:E,5,FALSE)</f>
        <v>North America</v>
      </c>
      <c r="H2177" s="3">
        <v>20</v>
      </c>
      <c r="I2177" s="8">
        <v>45741</v>
      </c>
      <c r="J2177" s="9"/>
      <c r="K2177" s="20"/>
      <c r="L2177" s="25"/>
      <c r="M2177" s="3" t="s">
        <v>79</v>
      </c>
      <c r="N2177" s="3" t="s">
        <v>49</v>
      </c>
      <c r="O2177" s="34">
        <v>47</v>
      </c>
      <c r="P2177" s="3">
        <v>2025</v>
      </c>
      <c r="Q2177" s="3">
        <f>VLOOKUP(C2177,layoffs_location!A:F,6,FALSE)</f>
        <v>38.8950368</v>
      </c>
      <c r="R2177" s="3">
        <f>VLOOKUP(C2177,layoffs_location!A:G,7,FALSE)</f>
        <v>-77.036542699999998</v>
      </c>
    </row>
    <row r="2178" spans="1:18" x14ac:dyDescent="0.2">
      <c r="A2178" s="3">
        <v>2177</v>
      </c>
      <c r="B2178" s="3" t="s">
        <v>415</v>
      </c>
      <c r="C2178" s="3" t="s">
        <v>132</v>
      </c>
      <c r="D2178" s="3" t="str">
        <f>VLOOKUP(C2178,layoffs_location!A:B,2,FALSE)</f>
        <v>other</v>
      </c>
      <c r="E2178" s="3" t="str">
        <f>VLOOKUP(C2178,layoffs_location!A:C,3,FALSE)</f>
        <v>Colorado</v>
      </c>
      <c r="F2178" s="3" t="str">
        <f>VLOOKUP(C2178,layoffs_location!A:D,4,FALSE)</f>
        <v>USA</v>
      </c>
      <c r="G2178" s="3" t="str">
        <f>VLOOKUP(C2178,layoffs_location!A:E,5,FALSE)</f>
        <v>North America</v>
      </c>
      <c r="H2178" s="3">
        <v>120</v>
      </c>
      <c r="I2178" s="8">
        <v>45743</v>
      </c>
      <c r="J2178" s="9"/>
      <c r="K2178" s="20"/>
      <c r="L2178" s="25"/>
      <c r="M2178" s="3" t="s">
        <v>79</v>
      </c>
      <c r="N2178" s="3" t="s">
        <v>28</v>
      </c>
      <c r="O2178" s="34">
        <v>3000</v>
      </c>
      <c r="P2178" s="3">
        <v>2025</v>
      </c>
      <c r="Q2178" s="3">
        <f>VLOOKUP(C2178,layoffs_location!A:F,6,FALSE)</f>
        <v>39.739236400000003</v>
      </c>
      <c r="R2178" s="3">
        <f>VLOOKUP(C2178,layoffs_location!A:G,7,FALSE)</f>
        <v>-104.98486200000001</v>
      </c>
    </row>
    <row r="2179" spans="1:18" x14ac:dyDescent="0.2">
      <c r="A2179" s="3">
        <v>2178</v>
      </c>
      <c r="B2179" s="3" t="s">
        <v>2030</v>
      </c>
      <c r="C2179" s="3" t="s">
        <v>231</v>
      </c>
      <c r="D2179" s="3" t="str">
        <f>VLOOKUP(C2179,layoffs_location!A:B,2,FALSE)</f>
        <v>other</v>
      </c>
      <c r="E2179" s="3" t="str">
        <f>VLOOKUP(C2179,layoffs_location!A:C,3,FALSE)</f>
        <v>New South Wales</v>
      </c>
      <c r="F2179" s="3" t="str">
        <f>VLOOKUP(C2179,layoffs_location!A:D,4,FALSE)</f>
        <v>Australia</v>
      </c>
      <c r="G2179" s="3" t="str">
        <f>VLOOKUP(C2179,layoffs_location!A:E,5,FALSE)</f>
        <v>Oceana</v>
      </c>
      <c r="H2179" s="3">
        <v>10</v>
      </c>
      <c r="I2179" s="8">
        <v>45747</v>
      </c>
      <c r="J2179" s="9"/>
      <c r="K2179" s="20"/>
      <c r="L2179" s="25"/>
      <c r="M2179" s="3" t="s">
        <v>16</v>
      </c>
      <c r="N2179" s="3" t="s">
        <v>22</v>
      </c>
      <c r="O2179" s="34">
        <v>2500</v>
      </c>
      <c r="P2179" s="3">
        <v>2025</v>
      </c>
      <c r="Q2179" s="3">
        <f>VLOOKUP(C2179,layoffs_location!A:F,6,FALSE)</f>
        <v>-33.869843899999999</v>
      </c>
      <c r="R2179" s="3">
        <f>VLOOKUP(C2179,layoffs_location!A:G,7,FALSE)</f>
        <v>151.2082848</v>
      </c>
    </row>
    <row r="2180" spans="1:18" x14ac:dyDescent="0.2">
      <c r="A2180" s="3">
        <v>2179</v>
      </c>
      <c r="B2180" s="3" t="s">
        <v>2031</v>
      </c>
      <c r="C2180" s="3" t="s">
        <v>51</v>
      </c>
      <c r="D2180" s="3" t="str">
        <f>VLOOKUP(C2180,layoffs_location!A:B,2,FALSE)</f>
        <v>other</v>
      </c>
      <c r="E2180" s="3" t="str">
        <f>VLOOKUP(C2180,layoffs_location!A:C,3,FALSE)</f>
        <v>non</v>
      </c>
      <c r="F2180" s="3" t="str">
        <f>VLOOKUP(C2180,layoffs_location!A:D,4,FALSE)</f>
        <v>Sweden</v>
      </c>
      <c r="G2180" s="3" t="str">
        <f>VLOOKUP(C2180,layoffs_location!A:E,5,FALSE)</f>
        <v>Europe</v>
      </c>
      <c r="H2180" s="3">
        <v>2800</v>
      </c>
      <c r="I2180" s="8">
        <v>45747</v>
      </c>
      <c r="J2180" s="9">
        <v>62</v>
      </c>
      <c r="K2180" s="25">
        <f>SUM((Table13[[#This Row],[Laid_Off]]*100)/Table13[[#This Row],[Percentage]])</f>
        <v>4516.1290322580644</v>
      </c>
      <c r="L2180" s="25">
        <f>SUM(Table13[[#This Row],[Company_Size_before_Layoffs]]-Table13[[#This Row],[Laid_Off]])</f>
        <v>1716.1290322580644</v>
      </c>
      <c r="M2180" s="3" t="s">
        <v>27</v>
      </c>
      <c r="N2180" s="3" t="s">
        <v>22</v>
      </c>
      <c r="O2180" s="34">
        <v>13800</v>
      </c>
      <c r="P2180" s="3">
        <v>2025</v>
      </c>
      <c r="Q2180" s="3">
        <f>VLOOKUP(C2180,layoffs_location!A:F,6,FALSE)</f>
        <v>59.325117200000001</v>
      </c>
      <c r="R2180" s="3">
        <f>VLOOKUP(C2180,layoffs_location!A:G,7,FALSE)</f>
        <v>18.0710935</v>
      </c>
    </row>
    <row r="2181" spans="1:18" x14ac:dyDescent="0.2">
      <c r="A2181" s="3">
        <v>2180</v>
      </c>
      <c r="B2181" s="3" t="s">
        <v>1501</v>
      </c>
      <c r="C2181" s="3" t="s">
        <v>260</v>
      </c>
      <c r="D2181" s="3" t="str">
        <f>VLOOKUP(C2181,layoffs_location!A:B,2,FALSE)</f>
        <v>other</v>
      </c>
      <c r="E2181" s="3" t="str">
        <f>VLOOKUP(C2181,layoffs_location!A:C,3,FALSE)</f>
        <v>District of Columbia</v>
      </c>
      <c r="F2181" s="3" t="str">
        <f>VLOOKUP(C2181,layoffs_location!A:D,4,FALSE)</f>
        <v>USA</v>
      </c>
      <c r="G2181" s="3" t="str">
        <f>VLOOKUP(C2181,layoffs_location!A:E,5,FALSE)</f>
        <v>North America</v>
      </c>
      <c r="I2181" s="8">
        <v>45747</v>
      </c>
      <c r="J2181" s="9"/>
      <c r="K2181" s="20"/>
      <c r="L2181" s="25"/>
      <c r="M2181" s="3" t="s">
        <v>68</v>
      </c>
      <c r="N2181" s="3" t="s">
        <v>28</v>
      </c>
      <c r="O2181" s="34">
        <v>426</v>
      </c>
      <c r="P2181" s="3">
        <v>2025</v>
      </c>
      <c r="Q2181" s="3">
        <f>VLOOKUP(C2181,layoffs_location!A:F,6,FALSE)</f>
        <v>38.8950368</v>
      </c>
      <c r="R2181" s="3">
        <f>VLOOKUP(C2181,layoffs_location!A:G,7,FALSE)</f>
        <v>-77.036542699999998</v>
      </c>
    </row>
    <row r="2182" spans="1:18" x14ac:dyDescent="0.2">
      <c r="A2182" s="3">
        <v>2181</v>
      </c>
      <c r="B2182" s="3" t="s">
        <v>2116</v>
      </c>
      <c r="C2182" s="3" t="s">
        <v>267</v>
      </c>
      <c r="D2182" s="3" t="str">
        <f>VLOOKUP(C2182,layoffs_location!A:B,2,FALSE)</f>
        <v>other</v>
      </c>
      <c r="E2182" s="3" t="str">
        <f>VLOOKUP(C2182,layoffs_location!A:C,3,FALSE)</f>
        <v>Victoria</v>
      </c>
      <c r="F2182" s="3" t="str">
        <f>VLOOKUP(C2182,layoffs_location!A:D,4,FALSE)</f>
        <v>Australia</v>
      </c>
      <c r="G2182" s="3" t="str">
        <f>VLOOKUP(C2182,layoffs_location!A:E,5,FALSE)</f>
        <v>Oceana</v>
      </c>
      <c r="I2182" s="64">
        <v>45749</v>
      </c>
      <c r="J2182" s="9">
        <v>100</v>
      </c>
      <c r="K2182" s="25"/>
      <c r="L2182" s="25">
        <f>SUM(Table13[[#This Row],[Company_Size_before_Layoffs]]-Table13[[#This Row],[Laid_Off]])</f>
        <v>0</v>
      </c>
      <c r="M2182" s="3" t="s">
        <v>79</v>
      </c>
      <c r="N2182" s="3" t="s">
        <v>147</v>
      </c>
      <c r="P2182" s="3">
        <v>2025</v>
      </c>
      <c r="Q2182" s="3">
        <f>VLOOKUP(C2182,layoffs_location!A:F,6,FALSE)</f>
        <v>-37.814245399999997</v>
      </c>
      <c r="R2182" s="3">
        <f>VLOOKUP(C2182,layoffs_location!A:G,7,FALSE)</f>
        <v>144.9631732</v>
      </c>
    </row>
    <row r="2183" spans="1:18" x14ac:dyDescent="0.2">
      <c r="A2183" s="3">
        <v>2182</v>
      </c>
      <c r="B2183" s="3" t="s">
        <v>2029</v>
      </c>
      <c r="C2183" s="3" t="s">
        <v>1370</v>
      </c>
      <c r="D2183" s="3" t="str">
        <f>VLOOKUP(C2183,layoffs_location!A:B,2,FALSE)</f>
        <v>San Francisco Bay Area</v>
      </c>
      <c r="E2183" s="3" t="str">
        <f>VLOOKUP(C2183,layoffs_location!A:C,3,FALSE)</f>
        <v>California</v>
      </c>
      <c r="F2183" s="3" t="str">
        <f>VLOOKUP(C2183,layoffs_location!A:D,4,FALSE)</f>
        <v>USA</v>
      </c>
      <c r="G2183" s="3" t="str">
        <f>VLOOKUP(C2183,layoffs_location!A:E,5,FALSE)</f>
        <v>North America</v>
      </c>
      <c r="H2183" s="3">
        <v>281</v>
      </c>
      <c r="I2183" s="64">
        <v>45749</v>
      </c>
      <c r="J2183" s="9">
        <v>16</v>
      </c>
      <c r="K2183" s="25">
        <f>SUM((Table13[[#This Row],[Laid_Off]]*100)/Table13[[#This Row],[Percentage]])</f>
        <v>1756.25</v>
      </c>
      <c r="L2183" s="25">
        <f>SUM(Table13[[#This Row],[Company_Size_before_Layoffs]]-Table13[[#This Row],[Laid_Off]])</f>
        <v>1475.25</v>
      </c>
      <c r="M2183" s="3" t="s">
        <v>60</v>
      </c>
      <c r="N2183" s="3" t="s">
        <v>36</v>
      </c>
      <c r="O2183" s="34">
        <v>986</v>
      </c>
      <c r="P2183" s="3">
        <v>2025</v>
      </c>
      <c r="Q2183" s="3">
        <f>VLOOKUP(C2183,layoffs_location!A:F,6,FALSE)</f>
        <v>37.779258800000001</v>
      </c>
      <c r="R2183" s="3">
        <f>VLOOKUP(C2183,layoffs_location!A:G,7,FALSE)</f>
        <v>-122.4193286</v>
      </c>
    </row>
    <row r="2184" spans="1:18" x14ac:dyDescent="0.2">
      <c r="A2184" s="3">
        <v>2183</v>
      </c>
      <c r="B2184" s="3" t="s">
        <v>2030</v>
      </c>
      <c r="C2184" s="3" t="s">
        <v>231</v>
      </c>
      <c r="D2184" s="3" t="str">
        <f>VLOOKUP(C2184,layoffs_location!A:B,2,FALSE)</f>
        <v>other</v>
      </c>
      <c r="E2184" s="3" t="str">
        <f>VLOOKUP(C2184,layoffs_location!A:C,3,FALSE)</f>
        <v>New South Wales</v>
      </c>
      <c r="F2184" s="3" t="str">
        <f>VLOOKUP(C2184,layoffs_location!A:D,4,FALSE)</f>
        <v>Australia</v>
      </c>
      <c r="G2184" s="3" t="str">
        <f>VLOOKUP(C2184,layoffs_location!A:E,5,FALSE)</f>
        <v>Oceana</v>
      </c>
      <c r="H2184" s="3">
        <v>10</v>
      </c>
      <c r="I2184" s="64">
        <v>45749</v>
      </c>
      <c r="J2184" s="9"/>
      <c r="K2184" s="25"/>
      <c r="L2184" s="25"/>
      <c r="M2184" s="3" t="s">
        <v>16</v>
      </c>
      <c r="N2184" s="3" t="s">
        <v>22</v>
      </c>
      <c r="O2184" s="34">
        <v>2500</v>
      </c>
      <c r="P2184" s="3">
        <v>2025</v>
      </c>
      <c r="Q2184" s="3">
        <f>VLOOKUP(C2184,layoffs_location!A:F,6,FALSE)</f>
        <v>-33.869843899999999</v>
      </c>
      <c r="R2184" s="3">
        <f>VLOOKUP(C2184,layoffs_location!A:G,7,FALSE)</f>
        <v>151.2082848</v>
      </c>
    </row>
    <row r="2185" spans="1:18" x14ac:dyDescent="0.2">
      <c r="A2185" s="3">
        <v>2184</v>
      </c>
      <c r="B2185" s="3" t="s">
        <v>2114</v>
      </c>
      <c r="C2185" s="3" t="s">
        <v>1741</v>
      </c>
      <c r="D2185" s="3" t="str">
        <f>VLOOKUP(C2185,layoffs_location!A:B,2,FALSE)</f>
        <v>San Francisco Bay Area</v>
      </c>
      <c r="E2185" s="3" t="str">
        <f>VLOOKUP(C2185,layoffs_location!A:C,3,FALSE)</f>
        <v>California</v>
      </c>
      <c r="F2185" s="3" t="str">
        <f>VLOOKUP(C2185,layoffs_location!A:D,4,FALSE)</f>
        <v>USA</v>
      </c>
      <c r="G2185" s="3" t="str">
        <f>VLOOKUP(C2185,layoffs_location!A:E,5,FALSE)</f>
        <v>North America</v>
      </c>
      <c r="H2185" s="3">
        <v>123</v>
      </c>
      <c r="I2185" s="64">
        <v>45750</v>
      </c>
      <c r="J2185" s="9">
        <v>4</v>
      </c>
      <c r="K2185" s="25">
        <f>SUM((Table13[[#This Row],[Laid_Off]]*100)/Table13[[#This Row],[Percentage]])</f>
        <v>3075</v>
      </c>
      <c r="L2185" s="25">
        <f>SUM(Table13[[#This Row],[Company_Size_before_Layoffs]]-Table13[[#This Row],[Laid_Off]])</f>
        <v>2952</v>
      </c>
      <c r="M2185" s="3" t="s">
        <v>274</v>
      </c>
      <c r="N2185" s="3" t="s">
        <v>28</v>
      </c>
      <c r="O2185" s="34">
        <v>862</v>
      </c>
      <c r="P2185" s="3">
        <v>2025</v>
      </c>
      <c r="Q2185" s="3">
        <f>VLOOKUP(C2185,layoffs_location!A:F,6,FALSE)</f>
        <v>37.774663568000001</v>
      </c>
      <c r="R2185" s="3">
        <f>VLOOKUP(C2185,layoffs_location!A:G,7,FALSE)</f>
        <v>-121.973496106</v>
      </c>
    </row>
    <row r="2186" spans="1:18" x14ac:dyDescent="0.2">
      <c r="A2186" s="3">
        <v>2185</v>
      </c>
      <c r="B2186" s="3" t="s">
        <v>2115</v>
      </c>
      <c r="C2186" s="3" t="s">
        <v>58</v>
      </c>
      <c r="D2186" s="3" t="str">
        <f>VLOOKUP(C2186,layoffs_location!A:B,2,FALSE)</f>
        <v>other</v>
      </c>
      <c r="E2186" s="3" t="str">
        <f>VLOOKUP(C2186,layoffs_location!A:C,3,FALSE)</f>
        <v>England</v>
      </c>
      <c r="F2186" s="3" t="str">
        <f>VLOOKUP(C2186,layoffs_location!A:D,4,FALSE)</f>
        <v>UK</v>
      </c>
      <c r="G2186" s="3" t="str">
        <f>VLOOKUP(C2186,layoffs_location!A:E,5,FALSE)</f>
        <v>Europe</v>
      </c>
      <c r="I2186" s="64">
        <v>45750</v>
      </c>
      <c r="J2186" s="9"/>
      <c r="K2186" s="25"/>
      <c r="L2186" s="25"/>
      <c r="M2186" s="3" t="s">
        <v>137</v>
      </c>
      <c r="N2186" s="3" t="s">
        <v>22</v>
      </c>
      <c r="P2186" s="3">
        <v>2025</v>
      </c>
      <c r="Q2186" s="3">
        <f>VLOOKUP(C2186,layoffs_location!A:F,6,FALSE)</f>
        <v>51.489333500000001</v>
      </c>
      <c r="R2186" s="3">
        <f>VLOOKUP(C2186,layoffs_location!A:G,7,FALSE)</f>
        <v>-0.14405508452768701</v>
      </c>
    </row>
    <row r="2187" spans="1:18" x14ac:dyDescent="0.2">
      <c r="A2187" s="3">
        <v>2186</v>
      </c>
      <c r="B2187" s="3" t="s">
        <v>2113</v>
      </c>
      <c r="C2187" s="3" t="s">
        <v>47</v>
      </c>
      <c r="D2187" s="3" t="str">
        <f>VLOOKUP(C2187,layoffs_location!A:B,2,FALSE)</f>
        <v>other</v>
      </c>
      <c r="E2187" s="3" t="str">
        <f>VLOOKUP(C2187,layoffs_location!A:C,3,FALSE)</f>
        <v>non</v>
      </c>
      <c r="F2187" s="3" t="str">
        <f>VLOOKUP(C2187,layoffs_location!A:D,4,FALSE)</f>
        <v>Israel</v>
      </c>
      <c r="G2187" s="3" t="str">
        <f>VLOOKUP(C2187,layoffs_location!A:E,5,FALSE)</f>
        <v>Asia</v>
      </c>
      <c r="I2187" s="64">
        <v>45753</v>
      </c>
      <c r="J2187" s="9">
        <v>100</v>
      </c>
      <c r="K2187" s="25"/>
      <c r="L2187" s="25">
        <f>SUM(Table13[[#This Row],[Company_Size_before_Layoffs]]-Table13[[#This Row],[Laid_Off]])</f>
        <v>0</v>
      </c>
      <c r="M2187" s="3" t="s">
        <v>92</v>
      </c>
      <c r="N2187" s="3" t="s">
        <v>147</v>
      </c>
      <c r="O2187" s="34">
        <v>8</v>
      </c>
      <c r="P2187" s="3">
        <v>2025</v>
      </c>
      <c r="Q2187" s="3">
        <f>VLOOKUP(C2187,layoffs_location!A:F,6,FALSE)</f>
        <v>32.0852997</v>
      </c>
      <c r="R2187" s="3">
        <f>VLOOKUP(C2187,layoffs_location!A:G,7,FALSE)</f>
        <v>34.781806400000001</v>
      </c>
    </row>
    <row r="2188" spans="1:18" x14ac:dyDescent="0.2">
      <c r="A2188" s="3">
        <v>2187</v>
      </c>
      <c r="B2188" s="3" t="s">
        <v>2112</v>
      </c>
      <c r="C2188" s="3" t="s">
        <v>47</v>
      </c>
      <c r="D2188" s="3" t="str">
        <f>VLOOKUP(C2188,layoffs_location!A:B,2,FALSE)</f>
        <v>other</v>
      </c>
      <c r="E2188" s="3" t="str">
        <f>VLOOKUP(C2188,layoffs_location!A:C,3,FALSE)</f>
        <v>non</v>
      </c>
      <c r="F2188" s="3" t="str">
        <f>VLOOKUP(C2188,layoffs_location!A:D,4,FALSE)</f>
        <v>Israel</v>
      </c>
      <c r="G2188" s="3" t="str">
        <f>VLOOKUP(C2188,layoffs_location!A:E,5,FALSE)</f>
        <v>Asia</v>
      </c>
      <c r="I2188" s="64">
        <v>45756</v>
      </c>
      <c r="J2188" s="9">
        <v>100</v>
      </c>
      <c r="K2188" s="25"/>
      <c r="L2188" s="25">
        <f>SUM(Table13[[#This Row],[Company_Size_before_Layoffs]]-Table13[[#This Row],[Laid_Off]])</f>
        <v>0</v>
      </c>
      <c r="M2188" s="3" t="s">
        <v>239</v>
      </c>
      <c r="N2188" s="3" t="s">
        <v>147</v>
      </c>
      <c r="P2188" s="3">
        <v>2025</v>
      </c>
      <c r="Q2188" s="3">
        <f>VLOOKUP(C2188,layoffs_location!A:F,6,FALSE)</f>
        <v>32.0852997</v>
      </c>
      <c r="R2188" s="3">
        <f>VLOOKUP(C2188,layoffs_location!A:G,7,FALSE)</f>
        <v>34.781806400000001</v>
      </c>
    </row>
    <row r="2189" spans="1:18" x14ac:dyDescent="0.2">
      <c r="A2189" s="3">
        <v>2188</v>
      </c>
      <c r="B2189" s="3" t="s">
        <v>2105</v>
      </c>
      <c r="C2189" s="3" t="s">
        <v>1694</v>
      </c>
      <c r="D2189" s="3" t="str">
        <f>VLOOKUP(C2189,layoffs_location!A:B,2,FALSE)</f>
        <v>San Francisco Bay Area</v>
      </c>
      <c r="E2189" s="3" t="str">
        <f>VLOOKUP(C2189,layoffs_location!A:C,3,FALSE)</f>
        <v>California</v>
      </c>
      <c r="F2189" s="3" t="str">
        <f>VLOOKUP(C2189,layoffs_location!A:D,4,FALSE)</f>
        <v>USA</v>
      </c>
      <c r="G2189" s="3" t="str">
        <f>VLOOKUP(C2189,layoffs_location!A:E,5,FALSE)</f>
        <v>North America</v>
      </c>
      <c r="H2189" s="3">
        <v>700</v>
      </c>
      <c r="I2189" s="64">
        <v>45767</v>
      </c>
      <c r="J2189" s="9">
        <v>6</v>
      </c>
      <c r="K2189" s="25">
        <f>SUM((Table13[[#This Row],[Laid_Off]]*100)/Table13[[#This Row],[Percentage]])</f>
        <v>11666.666666666666</v>
      </c>
      <c r="L2189" s="25">
        <f>SUM(Table13[[#This Row],[Company_Size_before_Layoffs]]-Table13[[#This Row],[Laid_Off]])</f>
        <v>10966.666666666666</v>
      </c>
      <c r="M2189" s="3" t="s">
        <v>79</v>
      </c>
      <c r="N2189" s="3" t="s">
        <v>28</v>
      </c>
      <c r="P2189" s="3">
        <v>2025</v>
      </c>
      <c r="Q2189" s="3">
        <f>VLOOKUP(C2189,layoffs_location!A:F,6,FALSE)</f>
        <v>37.336166300000002</v>
      </c>
      <c r="R2189" s="3">
        <f>VLOOKUP(C2189,layoffs_location!A:G,7,FALSE)</f>
        <v>-121.890591</v>
      </c>
    </row>
    <row r="2190" spans="1:18" x14ac:dyDescent="0.2">
      <c r="A2190" s="3">
        <v>2189</v>
      </c>
      <c r="B2190" s="3" t="s">
        <v>2111</v>
      </c>
      <c r="C2190" s="3" t="s">
        <v>1370</v>
      </c>
      <c r="D2190" s="3" t="str">
        <f>VLOOKUP(C2190,layoffs_location!A:B,2,FALSE)</f>
        <v>San Francisco Bay Area</v>
      </c>
      <c r="E2190" s="3" t="str">
        <f>VLOOKUP(C2190,layoffs_location!A:C,3,FALSE)</f>
        <v>California</v>
      </c>
      <c r="F2190" s="3" t="str">
        <f>VLOOKUP(C2190,layoffs_location!A:D,4,FALSE)</f>
        <v>USA</v>
      </c>
      <c r="G2190" s="3" t="str">
        <f>VLOOKUP(C2190,layoffs_location!A:E,5,FALSE)</f>
        <v>North America</v>
      </c>
      <c r="I2190" s="64">
        <v>45767</v>
      </c>
      <c r="J2190" s="9">
        <v>100</v>
      </c>
      <c r="K2190" s="25"/>
      <c r="L2190" s="25">
        <f>SUM(Table13[[#This Row],[Company_Size_before_Layoffs]]-Table13[[#This Row],[Laid_Off]])</f>
        <v>0</v>
      </c>
      <c r="M2190" s="3" t="s">
        <v>130</v>
      </c>
      <c r="N2190" s="3" t="s">
        <v>28</v>
      </c>
      <c r="O2190" s="34">
        <v>99</v>
      </c>
      <c r="P2190" s="3">
        <v>2025</v>
      </c>
      <c r="Q2190" s="3">
        <f>VLOOKUP(C2190,layoffs_location!A:F,6,FALSE)</f>
        <v>37.779258800000001</v>
      </c>
      <c r="R2190" s="3">
        <f>VLOOKUP(C2190,layoffs_location!A:G,7,FALSE)</f>
        <v>-122.4193286</v>
      </c>
    </row>
    <row r="2191" spans="1:18" x14ac:dyDescent="0.2">
      <c r="A2191" s="3">
        <v>2190</v>
      </c>
      <c r="B2191" s="3" t="s">
        <v>513</v>
      </c>
      <c r="C2191" s="3" t="s">
        <v>1408</v>
      </c>
      <c r="D2191" s="3" t="str">
        <f>VLOOKUP(C2191,layoffs_location!A:B,2,FALSE)</f>
        <v>San Francisco Bay Area</v>
      </c>
      <c r="E2191" s="3" t="str">
        <f>VLOOKUP(C2191,layoffs_location!A:C,3,FALSE)</f>
        <v>California</v>
      </c>
      <c r="F2191" s="3" t="str">
        <f>VLOOKUP(C2191,layoffs_location!A:D,4,FALSE)</f>
        <v>USA</v>
      </c>
      <c r="G2191" s="3" t="str">
        <f>VLOOKUP(C2191,layoffs_location!A:E,5,FALSE)</f>
        <v>North America</v>
      </c>
      <c r="I2191" s="64">
        <v>45768</v>
      </c>
      <c r="J2191" s="9"/>
      <c r="K2191" s="25"/>
      <c r="L2191" s="25"/>
      <c r="M2191" s="3" t="s">
        <v>16</v>
      </c>
      <c r="N2191" s="3" t="s">
        <v>28</v>
      </c>
      <c r="O2191" s="34">
        <v>26</v>
      </c>
      <c r="P2191" s="3">
        <v>2025</v>
      </c>
      <c r="Q2191" s="3">
        <f>VLOOKUP(C2191,layoffs_location!A:F,6,FALSE)</f>
        <v>37.3893889</v>
      </c>
      <c r="R2191" s="3">
        <f>VLOOKUP(C2191,layoffs_location!A:G,7,FALSE)</f>
        <v>-122.0832101</v>
      </c>
    </row>
    <row r="2192" spans="1:18" x14ac:dyDescent="0.2">
      <c r="A2192" s="3">
        <v>2191</v>
      </c>
      <c r="B2192" s="3" t="s">
        <v>694</v>
      </c>
      <c r="C2192" s="3" t="s">
        <v>135</v>
      </c>
      <c r="D2192" s="3" t="str">
        <f>VLOOKUP(C2192,layoffs_location!A:B,2,FALSE)</f>
        <v>other</v>
      </c>
      <c r="E2192" s="3" t="str">
        <f>VLOOKUP(C2192,layoffs_location!A:C,3,FALSE)</f>
        <v>Berlin</v>
      </c>
      <c r="F2192" s="3" t="str">
        <f>VLOOKUP(C2192,layoffs_location!A:D,4,FALSE)</f>
        <v>Germany</v>
      </c>
      <c r="G2192" s="3" t="str">
        <f>VLOOKUP(C2192,layoffs_location!A:E,5,FALSE)</f>
        <v>Europe</v>
      </c>
      <c r="H2192" s="3">
        <v>200</v>
      </c>
      <c r="I2192" s="64">
        <v>45769</v>
      </c>
      <c r="J2192" s="9"/>
      <c r="K2192" s="25"/>
      <c r="L2192" s="25"/>
      <c r="M2192" s="3" t="s">
        <v>90</v>
      </c>
      <c r="N2192" s="3" t="s">
        <v>108</v>
      </c>
      <c r="O2192" s="34">
        <v>593</v>
      </c>
      <c r="P2192" s="3">
        <v>2025</v>
      </c>
      <c r="Q2192" s="3">
        <f>VLOOKUP(C2192,layoffs_location!A:F,6,FALSE)</f>
        <v>52.517036500000003</v>
      </c>
      <c r="R2192" s="3">
        <f>VLOOKUP(C2192,layoffs_location!A:G,7,FALSE)</f>
        <v>13.3888599</v>
      </c>
    </row>
    <row r="2193" spans="1:18" x14ac:dyDescent="0.2">
      <c r="A2193" s="3">
        <v>2192</v>
      </c>
      <c r="B2193" s="3" t="s">
        <v>1578</v>
      </c>
      <c r="C2193" s="3" t="s">
        <v>637</v>
      </c>
      <c r="D2193" s="3" t="str">
        <f>VLOOKUP(C2193,layoffs_location!A:B,2,FALSE)</f>
        <v>other</v>
      </c>
      <c r="E2193" s="3" t="str">
        <f>VLOOKUP(C2193,layoffs_location!A:C,3,FALSE)</f>
        <v>California</v>
      </c>
      <c r="F2193" s="3" t="str">
        <f>VLOOKUP(C2193,layoffs_location!A:D,4,FALSE)</f>
        <v>USA</v>
      </c>
      <c r="G2193" s="3" t="str">
        <f>VLOOKUP(C2193,layoffs_location!A:E,5,FALSE)</f>
        <v>North America</v>
      </c>
      <c r="H2193" s="3">
        <v>22000</v>
      </c>
      <c r="I2193" s="64">
        <v>45770</v>
      </c>
      <c r="J2193" s="9">
        <v>20</v>
      </c>
      <c r="K2193" s="25">
        <f>SUM((Table13[[#This Row],[Laid_Off]]*100)/Table13[[#This Row],[Percentage]])</f>
        <v>110000</v>
      </c>
      <c r="L2193" s="25">
        <f>SUM(Table13[[#This Row],[Company_Size_before_Layoffs]]-Table13[[#This Row],[Laid_Off]])</f>
        <v>88000</v>
      </c>
      <c r="M2193" s="3" t="s">
        <v>87</v>
      </c>
      <c r="N2193" s="3" t="s">
        <v>28</v>
      </c>
      <c r="O2193" s="34">
        <v>12</v>
      </c>
      <c r="P2193" s="3">
        <v>2025</v>
      </c>
      <c r="Q2193" s="3">
        <f>VLOOKUP(C2193,layoffs_location!A:F,6,FALSE)</f>
        <v>38.581060600000001</v>
      </c>
      <c r="R2193" s="3">
        <f>VLOOKUP(C2193,layoffs_location!A:G,7,FALSE)</f>
        <v>-121.49389499999999</v>
      </c>
    </row>
    <row r="2194" spans="1:18" x14ac:dyDescent="0.2">
      <c r="A2194" s="3">
        <v>2193</v>
      </c>
      <c r="B2194" s="3" t="s">
        <v>385</v>
      </c>
      <c r="C2194" s="3" t="s">
        <v>1443</v>
      </c>
      <c r="D2194" s="3" t="str">
        <f>VLOOKUP(C2194,layoffs_location!A:B,2,FALSE)</f>
        <v>San Francisco Bay Area</v>
      </c>
      <c r="E2194" s="3" t="str">
        <f>VLOOKUP(C2194,layoffs_location!A:C,3,FALSE)</f>
        <v>California</v>
      </c>
      <c r="F2194" s="3" t="str">
        <f>VLOOKUP(C2194,layoffs_location!A:D,4,FALSE)</f>
        <v>USA</v>
      </c>
      <c r="G2194" s="3" t="str">
        <f>VLOOKUP(C2194,layoffs_location!A:E,5,FALSE)</f>
        <v>North America</v>
      </c>
      <c r="H2194" s="3">
        <v>100</v>
      </c>
      <c r="I2194" s="64">
        <v>45771</v>
      </c>
      <c r="J2194" s="9"/>
      <c r="K2194" s="25"/>
      <c r="L2194" s="25"/>
      <c r="M2194" s="3" t="s">
        <v>16</v>
      </c>
      <c r="N2194" s="3" t="s">
        <v>28</v>
      </c>
      <c r="O2194" s="34">
        <v>26000</v>
      </c>
      <c r="P2194" s="3">
        <v>2025</v>
      </c>
      <c r="Q2194" s="3">
        <f>VLOOKUP(C2194,layoffs_location!A:F,6,FALSE)</f>
        <v>37.451967099999997</v>
      </c>
      <c r="R2194" s="3">
        <f>VLOOKUP(C2194,layoffs_location!A:G,7,FALSE)</f>
        <v>-122.177992</v>
      </c>
    </row>
    <row r="2195" spans="1:18" x14ac:dyDescent="0.2">
      <c r="A2195" s="3">
        <v>2194</v>
      </c>
      <c r="B2195" s="3" t="s">
        <v>411</v>
      </c>
      <c r="C2195" s="3" t="s">
        <v>1370</v>
      </c>
      <c r="D2195" s="3" t="str">
        <f>VLOOKUP(C2195,layoffs_location!A:B,2,FALSE)</f>
        <v>San Francisco Bay Area</v>
      </c>
      <c r="E2195" s="3" t="str">
        <f>VLOOKUP(C2195,layoffs_location!A:C,3,FALSE)</f>
        <v>California</v>
      </c>
      <c r="F2195" s="3" t="str">
        <f>VLOOKUP(C2195,layoffs_location!A:D,4,FALSE)</f>
        <v>USA</v>
      </c>
      <c r="G2195" s="3" t="str">
        <f>VLOOKUP(C2195,layoffs_location!A:E,5,FALSE)</f>
        <v>North America</v>
      </c>
      <c r="I2195" s="64">
        <v>45771</v>
      </c>
      <c r="J2195" s="9"/>
      <c r="K2195" s="25"/>
      <c r="L2195" s="25"/>
      <c r="M2195" s="3" t="s">
        <v>72</v>
      </c>
      <c r="N2195" s="3" t="s">
        <v>28</v>
      </c>
      <c r="O2195" s="34">
        <v>839</v>
      </c>
      <c r="P2195" s="3">
        <v>2025</v>
      </c>
      <c r="Q2195" s="3">
        <f>VLOOKUP(C2195,layoffs_location!A:F,6,FALSE)</f>
        <v>37.779258800000001</v>
      </c>
      <c r="R2195" s="3">
        <f>VLOOKUP(C2195,layoffs_location!A:G,7,FALSE)</f>
        <v>-122.4193286</v>
      </c>
    </row>
    <row r="2196" spans="1:18" x14ac:dyDescent="0.2">
      <c r="A2196" s="3">
        <v>2195</v>
      </c>
      <c r="B2196" s="3" t="s">
        <v>2107</v>
      </c>
      <c r="C2196" s="3" t="s">
        <v>1473</v>
      </c>
      <c r="D2196" s="3" t="str">
        <f>VLOOKUP(C2196,layoffs_location!A:B,2,FALSE)</f>
        <v>San Francisco Bay Area</v>
      </c>
      <c r="E2196" s="3" t="str">
        <f>VLOOKUP(C2196,layoffs_location!A:C,3,FALSE)</f>
        <v>California</v>
      </c>
      <c r="F2196" s="3" t="str">
        <f>VLOOKUP(C2196,layoffs_location!A:D,4,FALSE)</f>
        <v>USA</v>
      </c>
      <c r="G2196" s="3" t="str">
        <f>VLOOKUP(C2196,layoffs_location!A:E,5,FALSE)</f>
        <v>North America</v>
      </c>
      <c r="H2196" s="3">
        <v>77</v>
      </c>
      <c r="I2196" s="64">
        <v>45772</v>
      </c>
      <c r="J2196" s="9">
        <v>15</v>
      </c>
      <c r="K2196" s="25">
        <f>SUM((Table13[[#This Row],[Laid_Off]]*100)/Table13[[#This Row],[Percentage]])</f>
        <v>513.33333333333337</v>
      </c>
      <c r="L2196" s="25">
        <f>SUM(Table13[[#This Row],[Company_Size_before_Layoffs]]-Table13[[#This Row],[Laid_Off]])</f>
        <v>436.33333333333337</v>
      </c>
      <c r="M2196" s="3" t="s">
        <v>62</v>
      </c>
      <c r="N2196" s="3" t="s">
        <v>108</v>
      </c>
      <c r="O2196" s="34">
        <v>1100</v>
      </c>
      <c r="P2196" s="3">
        <v>2025</v>
      </c>
      <c r="Q2196" s="3">
        <f>VLOOKUP(C2196,layoffs_location!A:F,6,FALSE)</f>
        <v>37.4443293</v>
      </c>
      <c r="R2196" s="3">
        <f>VLOOKUP(C2196,layoffs_location!A:G,7,FALSE)</f>
        <v>-122.1598465</v>
      </c>
    </row>
    <row r="2197" spans="1:18" x14ac:dyDescent="0.2">
      <c r="A2197" s="3">
        <v>2196</v>
      </c>
      <c r="B2197" s="3" t="s">
        <v>2110</v>
      </c>
      <c r="C2197" s="3" t="s">
        <v>1329</v>
      </c>
      <c r="D2197" s="3" t="str">
        <f>VLOOKUP(C2197,layoffs_location!A:B,2,FALSE)</f>
        <v>San Francisco Bay Area</v>
      </c>
      <c r="E2197" s="3" t="str">
        <f>VLOOKUP(C2197,layoffs_location!A:C,3,FALSE)</f>
        <v>California</v>
      </c>
      <c r="F2197" s="3" t="str">
        <f>VLOOKUP(C2197,layoffs_location!A:D,4,FALSE)</f>
        <v>USA</v>
      </c>
      <c r="G2197" s="3" t="str">
        <f>VLOOKUP(C2197,layoffs_location!A:E,5,FALSE)</f>
        <v>North America</v>
      </c>
      <c r="H2197" s="3">
        <v>200</v>
      </c>
      <c r="I2197" s="64">
        <v>45772</v>
      </c>
      <c r="J2197" s="9"/>
      <c r="K2197" s="25"/>
      <c r="L2197" s="25"/>
      <c r="M2197" s="3" t="s">
        <v>60</v>
      </c>
      <c r="N2197" s="3" t="s">
        <v>63</v>
      </c>
      <c r="O2197" s="34">
        <v>484</v>
      </c>
      <c r="P2197" s="3">
        <v>2025</v>
      </c>
      <c r="Q2197" s="3">
        <f>VLOOKUP(C2197,layoffs_location!A:F,6,FALSE)</f>
        <v>37.548269699999999</v>
      </c>
      <c r="R2197" s="3">
        <f>VLOOKUP(C2197,layoffs_location!A:G,7,FALSE)</f>
        <v>-121.98857099999999</v>
      </c>
    </row>
    <row r="2198" spans="1:18" x14ac:dyDescent="0.2">
      <c r="A2198" s="3">
        <v>2197</v>
      </c>
      <c r="B2198" s="3" t="s">
        <v>1031</v>
      </c>
      <c r="C2198" s="3" t="s">
        <v>182</v>
      </c>
      <c r="D2198" s="3" t="str">
        <f>VLOOKUP(C2198,layoffs_location!A:B,2,FALSE)</f>
        <v>other</v>
      </c>
      <c r="E2198" s="3" t="str">
        <f>VLOOKUP(C2198,layoffs_location!A:C,3,FALSE)</f>
        <v>Haryana</v>
      </c>
      <c r="F2198" s="3" t="str">
        <f>VLOOKUP(C2198,layoffs_location!A:D,4,FALSE)</f>
        <v>India</v>
      </c>
      <c r="G2198" s="3" t="str">
        <f>VLOOKUP(C2198,layoffs_location!A:E,5,FALSE)</f>
        <v>Asia</v>
      </c>
      <c r="H2198" s="3">
        <v>200</v>
      </c>
      <c r="I2198" s="64">
        <v>45773</v>
      </c>
      <c r="J2198" s="9"/>
      <c r="K2198" s="25"/>
      <c r="L2198" s="25"/>
      <c r="M2198" s="3" t="s">
        <v>32</v>
      </c>
      <c r="N2198" s="3" t="s">
        <v>81</v>
      </c>
      <c r="O2198" s="34">
        <v>1300</v>
      </c>
      <c r="P2198" s="3">
        <v>2025</v>
      </c>
      <c r="Q2198" s="3">
        <f>VLOOKUP(C2198,layoffs_location!A:F,6,FALSE)</f>
        <v>28.4646148</v>
      </c>
      <c r="R2198" s="3">
        <f>VLOOKUP(C2198,layoffs_location!A:G,7,FALSE)</f>
        <v>77.029919399999997</v>
      </c>
    </row>
    <row r="2199" spans="1:18" x14ac:dyDescent="0.2">
      <c r="A2199" s="3">
        <v>2198</v>
      </c>
      <c r="B2199" s="3" t="s">
        <v>1280</v>
      </c>
      <c r="C2199" s="3" t="s">
        <v>1370</v>
      </c>
      <c r="D2199" s="3" t="str">
        <f>VLOOKUP(C2199,layoffs_location!A:B,2,FALSE)</f>
        <v>San Francisco Bay Area</v>
      </c>
      <c r="E2199" s="3" t="str">
        <f>VLOOKUP(C2199,layoffs_location!A:C,3,FALSE)</f>
        <v>California</v>
      </c>
      <c r="F2199" s="3" t="str">
        <f>VLOOKUP(C2199,layoffs_location!A:D,4,FALSE)</f>
        <v>USA</v>
      </c>
      <c r="G2199" s="3" t="str">
        <f>VLOOKUP(C2199,layoffs_location!A:E,5,FALSE)</f>
        <v>North America</v>
      </c>
      <c r="H2199" s="3">
        <v>150</v>
      </c>
      <c r="I2199" s="64">
        <v>45773</v>
      </c>
      <c r="J2199" s="9">
        <v>17</v>
      </c>
      <c r="K2199" s="25">
        <f>SUM((Table13[[#This Row],[Laid_Off]]*100)/Table13[[#This Row],[Percentage]])</f>
        <v>882.35294117647061</v>
      </c>
      <c r="L2199" s="25">
        <f>SUM(Table13[[#This Row],[Company_Size_before_Layoffs]]-Table13[[#This Row],[Laid_Off]])</f>
        <v>732.35294117647061</v>
      </c>
      <c r="M2199" s="3" t="s">
        <v>32</v>
      </c>
      <c r="N2199" s="3" t="s">
        <v>36</v>
      </c>
      <c r="O2199" s="34">
        <v>467</v>
      </c>
      <c r="P2199" s="3">
        <v>2025</v>
      </c>
      <c r="Q2199" s="3">
        <f>VLOOKUP(C2199,layoffs_location!A:F,6,FALSE)</f>
        <v>37.779258800000001</v>
      </c>
      <c r="R2199" s="3">
        <f>VLOOKUP(C2199,layoffs_location!A:G,7,FALSE)</f>
        <v>-122.4193286</v>
      </c>
    </row>
    <row r="2200" spans="1:18" x14ac:dyDescent="0.2">
      <c r="A2200" s="3">
        <v>2199</v>
      </c>
      <c r="B2200" s="3" t="s">
        <v>933</v>
      </c>
      <c r="C2200" s="3" t="s">
        <v>1473</v>
      </c>
      <c r="D2200" s="3" t="str">
        <f>VLOOKUP(C2200,layoffs_location!A:B,2,FALSE)</f>
        <v>San Francisco Bay Area</v>
      </c>
      <c r="E2200" s="3" t="str">
        <f>VLOOKUP(C2200,layoffs_location!A:C,3,FALSE)</f>
        <v>California</v>
      </c>
      <c r="F2200" s="3" t="str">
        <f>VLOOKUP(C2200,layoffs_location!A:D,4,FALSE)</f>
        <v>USA</v>
      </c>
      <c r="G2200" s="3" t="str">
        <f>VLOOKUP(C2200,layoffs_location!A:E,5,FALSE)</f>
        <v>North America</v>
      </c>
      <c r="H2200" s="3">
        <v>97</v>
      </c>
      <c r="I2200" s="64">
        <v>45773</v>
      </c>
      <c r="J2200" s="9"/>
      <c r="K2200" s="25"/>
      <c r="L2200" s="25"/>
      <c r="M2200" s="3" t="s">
        <v>130</v>
      </c>
      <c r="N2200" s="3" t="s">
        <v>28</v>
      </c>
      <c r="O2200" s="34">
        <v>1600</v>
      </c>
      <c r="P2200" s="3">
        <v>2025</v>
      </c>
      <c r="Q2200" s="3">
        <f>VLOOKUP(C2200,layoffs_location!A:F,6,FALSE)</f>
        <v>37.4443293</v>
      </c>
      <c r="R2200" s="3">
        <f>VLOOKUP(C2200,layoffs_location!A:G,7,FALSE)</f>
        <v>-122.1598465</v>
      </c>
    </row>
    <row r="2201" spans="1:18" x14ac:dyDescent="0.2">
      <c r="A2201" s="3">
        <v>2200</v>
      </c>
      <c r="B2201" s="3" t="s">
        <v>2109</v>
      </c>
      <c r="C2201" s="3" t="s">
        <v>1370</v>
      </c>
      <c r="D2201" s="3" t="str">
        <f>VLOOKUP(C2201,layoffs_location!A:B,2,FALSE)</f>
        <v>San Francisco Bay Area</v>
      </c>
      <c r="E2201" s="3" t="str">
        <f>VLOOKUP(C2201,layoffs_location!A:C,3,FALSE)</f>
        <v>California</v>
      </c>
      <c r="F2201" s="3" t="str">
        <f>VLOOKUP(C2201,layoffs_location!A:D,4,FALSE)</f>
        <v>USA</v>
      </c>
      <c r="G2201" s="3" t="str">
        <f>VLOOKUP(C2201,layoffs_location!A:E,5,FALSE)</f>
        <v>North America</v>
      </c>
      <c r="H2201" s="3">
        <v>7</v>
      </c>
      <c r="I2201" s="64">
        <v>45773</v>
      </c>
      <c r="J2201" s="9">
        <v>100</v>
      </c>
      <c r="K2201" s="25">
        <f>SUM((Table13[[#This Row],[Laid_Off]]*100)/Table13[[#This Row],[Percentage]])</f>
        <v>7</v>
      </c>
      <c r="L2201" s="25">
        <f>SUM(Table13[[#This Row],[Company_Size_before_Layoffs]]-Table13[[#This Row],[Laid_Off]])</f>
        <v>0</v>
      </c>
      <c r="M2201" s="3" t="s">
        <v>16</v>
      </c>
      <c r="N2201" s="3" t="s">
        <v>147</v>
      </c>
      <c r="O2201" s="34">
        <v>3</v>
      </c>
      <c r="P2201" s="3">
        <v>2025</v>
      </c>
      <c r="Q2201" s="3">
        <f>VLOOKUP(C2201,layoffs_location!A:F,6,FALSE)</f>
        <v>37.779258800000001</v>
      </c>
      <c r="R2201" s="3">
        <f>VLOOKUP(C2201,layoffs_location!A:G,7,FALSE)</f>
        <v>-122.4193286</v>
      </c>
    </row>
    <row r="2202" spans="1:18" x14ac:dyDescent="0.2">
      <c r="A2202" s="3">
        <v>2201</v>
      </c>
      <c r="B2202" s="3" t="s">
        <v>2108</v>
      </c>
      <c r="C2202" s="3" t="s">
        <v>67</v>
      </c>
      <c r="D2202" s="3" t="str">
        <f>VLOOKUP(C2202,layoffs_location!A:B,2,FALSE)</f>
        <v>other</v>
      </c>
      <c r="E2202" s="3" t="str">
        <f>VLOOKUP(C2202,layoffs_location!A:C,3,FALSE)</f>
        <v>Uttar Pradesh</v>
      </c>
      <c r="F2202" s="3" t="str">
        <f>VLOOKUP(C2202,layoffs_location!A:D,4,FALSE)</f>
        <v>India</v>
      </c>
      <c r="G2202" s="3" t="str">
        <f>VLOOKUP(C2202,layoffs_location!A:E,5,FALSE)</f>
        <v>Asia</v>
      </c>
      <c r="H2202" s="3">
        <v>100</v>
      </c>
      <c r="I2202" s="64">
        <v>45774</v>
      </c>
      <c r="J2202" s="9"/>
      <c r="K2202" s="25"/>
      <c r="L2202" s="25"/>
      <c r="M2202" s="3" t="s">
        <v>35</v>
      </c>
      <c r="N2202" s="3" t="s">
        <v>108</v>
      </c>
      <c r="O2202" s="34">
        <v>125</v>
      </c>
      <c r="P2202" s="3">
        <v>2025</v>
      </c>
      <c r="Q2202" s="3">
        <f>VLOOKUP(C2202,layoffs_location!A:F,6,FALSE)</f>
        <v>28.570633300000001</v>
      </c>
      <c r="R2202" s="3">
        <f>VLOOKUP(C2202,layoffs_location!A:G,7,FALSE)</f>
        <v>77.327214699999999</v>
      </c>
    </row>
    <row r="2203" spans="1:18" x14ac:dyDescent="0.2">
      <c r="A2203" s="3">
        <v>2202</v>
      </c>
      <c r="B2203" s="3" t="s">
        <v>1413</v>
      </c>
      <c r="C2203" s="3" t="s">
        <v>43</v>
      </c>
      <c r="D2203" s="3" t="str">
        <f>VLOOKUP(C2203,layoffs_location!A:B,2,FALSE)</f>
        <v>Cascadia</v>
      </c>
      <c r="E2203" s="3" t="str">
        <f>VLOOKUP(C2203,layoffs_location!A:C,3,FALSE)</f>
        <v>Washington</v>
      </c>
      <c r="F2203" s="3" t="str">
        <f>VLOOKUP(C2203,layoffs_location!A:D,4,FALSE)</f>
        <v>USA</v>
      </c>
      <c r="G2203" s="3" t="str">
        <f>VLOOKUP(C2203,layoffs_location!A:E,5,FALSE)</f>
        <v>North America</v>
      </c>
      <c r="I2203" s="64">
        <v>45775</v>
      </c>
      <c r="J2203" s="9">
        <v>3</v>
      </c>
      <c r="K2203" s="25"/>
      <c r="L2203" s="25"/>
      <c r="M2203" s="3" t="s">
        <v>72</v>
      </c>
      <c r="N2203" s="3" t="s">
        <v>28</v>
      </c>
      <c r="O2203" s="34">
        <v>3300</v>
      </c>
      <c r="P2203" s="3">
        <v>2025</v>
      </c>
      <c r="Q2203" s="3">
        <f>VLOOKUP(C2203,layoffs_location!A:F,6,FALSE)</f>
        <v>47.603832099999998</v>
      </c>
      <c r="R2203" s="3">
        <f>VLOOKUP(C2203,layoffs_location!A:G,7,FALSE)</f>
        <v>-122.330062</v>
      </c>
    </row>
    <row r="2204" spans="1:18" x14ac:dyDescent="0.2">
      <c r="A2204" s="3">
        <v>2203</v>
      </c>
      <c r="B2204" s="3" t="s">
        <v>1966</v>
      </c>
      <c r="C2204" s="3" t="s">
        <v>76</v>
      </c>
      <c r="D2204" s="3" t="str">
        <f>VLOOKUP(C2204,layoffs_location!A:B,2,FALSE)</f>
        <v>other</v>
      </c>
      <c r="E2204" s="3" t="str">
        <f>VLOOKUP(C2204,layoffs_location!A:C,3,FALSE)</f>
        <v>California</v>
      </c>
      <c r="F2204" s="3" t="str">
        <f>VLOOKUP(C2204,layoffs_location!A:D,4,FALSE)</f>
        <v>USA</v>
      </c>
      <c r="G2204" s="3" t="str">
        <f>VLOOKUP(C2204,layoffs_location!A:E,5,FALSE)</f>
        <v>North America</v>
      </c>
      <c r="I2204" s="64">
        <v>45775</v>
      </c>
      <c r="J2204" s="9"/>
      <c r="K2204" s="25"/>
      <c r="L2204" s="25"/>
      <c r="M2204" s="3" t="s">
        <v>60</v>
      </c>
      <c r="N2204" s="3" t="s">
        <v>22</v>
      </c>
      <c r="O2204" s="34">
        <v>238</v>
      </c>
      <c r="P2204" s="3">
        <v>2025</v>
      </c>
      <c r="Q2204" s="3">
        <f>VLOOKUP(C2204,layoffs_location!A:F,6,FALSE)</f>
        <v>34.053690899999999</v>
      </c>
      <c r="R2204" s="3">
        <f>VLOOKUP(C2204,layoffs_location!A:G,7,FALSE)</f>
        <v>-118.242766</v>
      </c>
    </row>
    <row r="2205" spans="1:18" x14ac:dyDescent="0.2">
      <c r="A2205" s="3">
        <v>2204</v>
      </c>
      <c r="B2205" s="3" t="s">
        <v>587</v>
      </c>
      <c r="C2205" s="3" t="s">
        <v>43</v>
      </c>
      <c r="D2205" s="3" t="str">
        <f>VLOOKUP(C2205,layoffs_location!A:B,2,FALSE)</f>
        <v>Cascadia</v>
      </c>
      <c r="E2205" s="3" t="str">
        <f>VLOOKUP(C2205,layoffs_location!A:C,3,FALSE)</f>
        <v>Washington</v>
      </c>
      <c r="F2205" s="3" t="str">
        <f>VLOOKUP(C2205,layoffs_location!A:D,4,FALSE)</f>
        <v>USA</v>
      </c>
      <c r="G2205" s="3" t="str">
        <f>VLOOKUP(C2205,layoffs_location!A:E,5,FALSE)</f>
        <v>North America</v>
      </c>
      <c r="I2205" s="64">
        <v>45775</v>
      </c>
      <c r="J2205" s="9">
        <v>100</v>
      </c>
      <c r="K2205" s="25"/>
      <c r="L2205" s="25">
        <f>SUM(Table13[[#This Row],[Company_Size_before_Layoffs]]-Table13[[#This Row],[Laid_Off]])</f>
        <v>0</v>
      </c>
      <c r="M2205" s="3" t="s">
        <v>87</v>
      </c>
      <c r="N2205" s="3" t="s">
        <v>22</v>
      </c>
      <c r="P2205" s="3">
        <v>2025</v>
      </c>
      <c r="Q2205" s="3">
        <f>VLOOKUP(C2205,layoffs_location!A:F,6,FALSE)</f>
        <v>47.603832099999998</v>
      </c>
      <c r="R2205" s="3">
        <f>VLOOKUP(C2205,layoffs_location!A:G,7,FALSE)</f>
        <v>-122.330062</v>
      </c>
    </row>
    <row r="2206" spans="1:18" x14ac:dyDescent="0.2">
      <c r="A2206" s="3">
        <v>2205</v>
      </c>
      <c r="B2206" s="3" t="s">
        <v>363</v>
      </c>
      <c r="C2206" s="3" t="s">
        <v>1710</v>
      </c>
      <c r="D2206" s="3" t="str">
        <f>VLOOKUP(C2206,layoffs_location!A:B,2,FALSE)</f>
        <v>San Francisco Bay Area</v>
      </c>
      <c r="E2206" s="3" t="str">
        <f>VLOOKUP(C2206,layoffs_location!A:C,3,FALSE)</f>
        <v>California</v>
      </c>
      <c r="F2206" s="3" t="str">
        <f>VLOOKUP(C2206,layoffs_location!A:D,4,FALSE)</f>
        <v>USA</v>
      </c>
      <c r="G2206" s="3" t="str">
        <f>VLOOKUP(C2206,layoffs_location!A:E,5,FALSE)</f>
        <v>North America</v>
      </c>
      <c r="H2206" s="3">
        <v>300</v>
      </c>
      <c r="I2206" s="64">
        <v>45776</v>
      </c>
      <c r="J2206" s="9"/>
      <c r="K2206" s="25"/>
      <c r="L2206" s="25"/>
      <c r="M2206" s="3" t="s">
        <v>16</v>
      </c>
      <c r="N2206" s="3" t="s">
        <v>28</v>
      </c>
      <c r="O2206" s="34">
        <v>2</v>
      </c>
      <c r="P2206" s="3">
        <v>2025</v>
      </c>
      <c r="Q2206" s="3">
        <f>VLOOKUP(C2206,layoffs_location!A:F,6,FALSE)</f>
        <v>37.486323900000002</v>
      </c>
      <c r="R2206" s="3">
        <f>VLOOKUP(C2206,layoffs_location!A:G,7,FALSE)</f>
        <v>-122.232523</v>
      </c>
    </row>
    <row r="2207" spans="1:18" x14ac:dyDescent="0.2">
      <c r="A2207" s="3">
        <v>2206</v>
      </c>
      <c r="B2207" s="3" t="s">
        <v>2106</v>
      </c>
      <c r="C2207" s="3" t="s">
        <v>1370</v>
      </c>
      <c r="D2207" s="3" t="str">
        <f>VLOOKUP(C2207,layoffs_location!A:B,2,FALSE)</f>
        <v>San Francisco Bay Area</v>
      </c>
      <c r="E2207" s="3" t="str">
        <f>VLOOKUP(C2207,layoffs_location!A:C,3,FALSE)</f>
        <v>California</v>
      </c>
      <c r="F2207" s="3" t="str">
        <f>VLOOKUP(C2207,layoffs_location!A:D,4,FALSE)</f>
        <v>USA</v>
      </c>
      <c r="G2207" s="3" t="str">
        <f>VLOOKUP(C2207,layoffs_location!A:E,5,FALSE)</f>
        <v>North America</v>
      </c>
      <c r="I2207" s="64">
        <v>45776</v>
      </c>
      <c r="J2207" s="9">
        <v>27</v>
      </c>
      <c r="K2207" s="25"/>
      <c r="L2207" s="25"/>
      <c r="M2207" s="3" t="s">
        <v>27</v>
      </c>
      <c r="N2207" s="3" t="s">
        <v>28</v>
      </c>
      <c r="O2207" s="34">
        <v>583</v>
      </c>
      <c r="P2207" s="3">
        <v>2025</v>
      </c>
      <c r="Q2207" s="3">
        <f>VLOOKUP(C2207,layoffs_location!A:F,6,FALSE)</f>
        <v>37.779258800000001</v>
      </c>
      <c r="R2207" s="3">
        <f>VLOOKUP(C2207,layoffs_location!A:G,7,FALSE)</f>
        <v>-122.4193286</v>
      </c>
    </row>
    <row r="2208" spans="1:18" x14ac:dyDescent="0.2">
      <c r="A2208" s="3">
        <v>2207</v>
      </c>
      <c r="B2208" s="3" t="s">
        <v>2104</v>
      </c>
      <c r="C2208" s="3" t="s">
        <v>808</v>
      </c>
      <c r="D2208" s="3" t="str">
        <f>VLOOKUP(C2208,layoffs_location!A:B,2,FALSE)</f>
        <v>other</v>
      </c>
      <c r="E2208" s="3" t="str">
        <f>VLOOKUP(C2208,layoffs_location!A:C,3,FALSE)</f>
        <v>England</v>
      </c>
      <c r="F2208" s="3" t="str">
        <f>VLOOKUP(C2208,layoffs_location!A:D,4,FALSE)</f>
        <v>UK</v>
      </c>
      <c r="G2208" s="3" t="str">
        <f>VLOOKUP(C2208,layoffs_location!A:E,5,FALSE)</f>
        <v>Europe</v>
      </c>
      <c r="H2208" s="3">
        <v>200</v>
      </c>
      <c r="I2208" s="64">
        <v>45778</v>
      </c>
      <c r="J2208" s="9">
        <v>100</v>
      </c>
      <c r="K2208" s="25">
        <f>SUM((Table13[[#This Row],[Laid_Off]]*100)/Table13[[#This Row],[Percentage]])</f>
        <v>200</v>
      </c>
      <c r="L2208" s="25">
        <f>SUM(Table13[[#This Row],[Company_Size_before_Layoffs]]-Table13[[#This Row],[Laid_Off]])</f>
        <v>0</v>
      </c>
      <c r="M2208" s="3" t="s">
        <v>60</v>
      </c>
      <c r="N2208" s="3" t="s">
        <v>22</v>
      </c>
      <c r="P2208" s="3">
        <v>2025</v>
      </c>
      <c r="Q2208" s="3">
        <f>VLOOKUP(C2208,layoffs_location!A:F,6,FALSE)</f>
        <v>51.453802199999998</v>
      </c>
      <c r="R2208" s="3">
        <f>VLOOKUP(C2208,layoffs_location!A:G,7,FALSE)</f>
        <v>-2.5972985</v>
      </c>
    </row>
    <row r="2209" spans="1:18" x14ac:dyDescent="0.2">
      <c r="A2209" s="3">
        <v>2208</v>
      </c>
      <c r="B2209" s="3" t="s">
        <v>1299</v>
      </c>
      <c r="C2209" s="3" t="s">
        <v>1370</v>
      </c>
      <c r="D2209" s="3" t="str">
        <f>VLOOKUP(C2209,layoffs_location!A:B,2,FALSE)</f>
        <v>San Francisco Bay Area</v>
      </c>
      <c r="E2209" s="3" t="str">
        <f>VLOOKUP(C2209,layoffs_location!A:C,3,FALSE)</f>
        <v>California</v>
      </c>
      <c r="F2209" s="3" t="str">
        <f>VLOOKUP(C2209,layoffs_location!A:D,4,FALSE)</f>
        <v>USA</v>
      </c>
      <c r="G2209" s="3" t="str">
        <f>VLOOKUP(C2209,layoffs_location!A:E,5,FALSE)</f>
        <v>North America</v>
      </c>
      <c r="I2209" s="64">
        <v>45778</v>
      </c>
      <c r="J2209" s="9"/>
      <c r="K2209" s="25"/>
      <c r="L2209" s="25"/>
      <c r="M2209" s="3" t="s">
        <v>35</v>
      </c>
      <c r="N2209" s="3" t="s">
        <v>33</v>
      </c>
      <c r="O2209" s="34">
        <v>109</v>
      </c>
      <c r="P2209" s="3">
        <v>2025</v>
      </c>
      <c r="Q2209" s="3">
        <f>VLOOKUP(C2209,layoffs_location!A:F,6,FALSE)</f>
        <v>37.779258800000001</v>
      </c>
      <c r="R2209" s="3">
        <f>VLOOKUP(C2209,layoffs_location!A:G,7,FALSE)</f>
        <v>-122.4193286</v>
      </c>
    </row>
    <row r="2210" spans="1:18" x14ac:dyDescent="0.2">
      <c r="A2210" s="3">
        <v>2209</v>
      </c>
      <c r="B2210" s="3" t="s">
        <v>2103</v>
      </c>
      <c r="C2210" s="3" t="s">
        <v>13</v>
      </c>
      <c r="D2210" s="3" t="str">
        <f>VLOOKUP(C2210,layoffs_location!A:B,2,FALSE)</f>
        <v>other</v>
      </c>
      <c r="E2210" s="3" t="str">
        <f>VLOOKUP(C2210,layoffs_location!A:C,3,FALSE)</f>
        <v>Karnataka</v>
      </c>
      <c r="F2210" s="3" t="str">
        <f>VLOOKUP(C2210,layoffs_location!A:D,4,FALSE)</f>
        <v>India</v>
      </c>
      <c r="G2210" s="3" t="str">
        <f>VLOOKUP(C2210,layoffs_location!A:E,5,FALSE)</f>
        <v>Asia</v>
      </c>
      <c r="I2210" s="64">
        <v>45779</v>
      </c>
      <c r="J2210" s="9">
        <v>100</v>
      </c>
      <c r="K2210" s="25"/>
      <c r="L2210" s="25">
        <f>SUM(Table13[[#This Row],[Company_Size_before_Layoffs]]-Table13[[#This Row],[Laid_Off]])</f>
        <v>0</v>
      </c>
      <c r="M2210" s="3" t="s">
        <v>155</v>
      </c>
      <c r="N2210" s="3" t="s">
        <v>49</v>
      </c>
      <c r="O2210" s="34">
        <v>32</v>
      </c>
      <c r="P2210" s="3">
        <v>2025</v>
      </c>
      <c r="Q2210" s="3">
        <f>VLOOKUP(C2210,layoffs_location!A:F,6,FALSE)</f>
        <v>12.98815675</v>
      </c>
      <c r="R2210" s="3">
        <f>VLOOKUP(C2210,layoffs_location!A:G,7,FALSE)</f>
        <v>77.622600037959998</v>
      </c>
    </row>
    <row r="2211" spans="1:18" x14ac:dyDescent="0.2">
      <c r="A2211" s="3">
        <v>2210</v>
      </c>
      <c r="B2211" s="3" t="s">
        <v>2102</v>
      </c>
      <c r="C2211" s="3" t="s">
        <v>47</v>
      </c>
      <c r="D2211" s="3" t="str">
        <f>VLOOKUP(C2211,layoffs_location!A:B,2,FALSE)</f>
        <v>other</v>
      </c>
      <c r="E2211" s="3" t="str">
        <f>VLOOKUP(C2211,layoffs_location!A:C,3,FALSE)</f>
        <v>non</v>
      </c>
      <c r="F2211" s="3" t="str">
        <f>VLOOKUP(C2211,layoffs_location!A:D,4,FALSE)</f>
        <v>Israel</v>
      </c>
      <c r="G2211" s="3" t="str">
        <f>VLOOKUP(C2211,layoffs_location!A:E,5,FALSE)</f>
        <v>Asia</v>
      </c>
      <c r="H2211" s="3">
        <v>20</v>
      </c>
      <c r="I2211" s="64">
        <v>45781</v>
      </c>
      <c r="J2211" s="9">
        <v>10</v>
      </c>
      <c r="K2211" s="25">
        <f>SUM((Table13[[#This Row],[Laid_Off]]*100)/Table13[[#This Row],[Percentage]])</f>
        <v>200</v>
      </c>
      <c r="L2211" s="25">
        <f>SUM(Table13[[#This Row],[Company_Size_before_Layoffs]]-Table13[[#This Row],[Laid_Off]])</f>
        <v>180</v>
      </c>
      <c r="M2211" s="3" t="s">
        <v>139</v>
      </c>
      <c r="N2211" s="3" t="s">
        <v>22</v>
      </c>
      <c r="O2211" s="34">
        <v>322</v>
      </c>
      <c r="P2211" s="3">
        <v>2025</v>
      </c>
      <c r="Q2211" s="3">
        <f>VLOOKUP(C2211,layoffs_location!A:F,6,FALSE)</f>
        <v>32.0852997</v>
      </c>
      <c r="R2211" s="3">
        <f>VLOOKUP(C2211,layoffs_location!A:G,7,FALSE)</f>
        <v>34.781806400000001</v>
      </c>
    </row>
    <row r="2212" spans="1:18" x14ac:dyDescent="0.2">
      <c r="A2212" s="3">
        <v>2211</v>
      </c>
      <c r="B2212" s="3" t="s">
        <v>2100</v>
      </c>
      <c r="C2212" s="3" t="s">
        <v>748</v>
      </c>
      <c r="D2212" s="3" t="str">
        <f>VLOOKUP(C2212,layoffs_location!A:B,2,FALSE)</f>
        <v>other</v>
      </c>
      <c r="E2212" s="3" t="str">
        <f>VLOOKUP(C2212,layoffs_location!A:C,3,FALSE)</f>
        <v>Delhi</v>
      </c>
      <c r="F2212" s="3" t="str">
        <f>VLOOKUP(C2212,layoffs_location!A:D,4,FALSE)</f>
        <v>India</v>
      </c>
      <c r="G2212" s="3" t="str">
        <f>VLOOKUP(C2212,layoffs_location!A:E,5,FALSE)</f>
        <v>Asia</v>
      </c>
      <c r="H2212" s="3">
        <v>15</v>
      </c>
      <c r="I2212" s="64">
        <v>45782</v>
      </c>
      <c r="J2212" s="9">
        <v>20</v>
      </c>
      <c r="K2212" s="25">
        <f>SUM((Table13[[#This Row],[Laid_Off]]*100)/Table13[[#This Row],[Percentage]])</f>
        <v>75</v>
      </c>
      <c r="L2212" s="25">
        <f>SUM(Table13[[#This Row],[Company_Size_before_Layoffs]]-Table13[[#This Row],[Laid_Off]])</f>
        <v>60</v>
      </c>
      <c r="M2212" s="3" t="s">
        <v>60</v>
      </c>
      <c r="N2212" s="3" t="s">
        <v>147</v>
      </c>
      <c r="O2212" s="34">
        <v>3</v>
      </c>
      <c r="P2212" s="3">
        <v>2025</v>
      </c>
      <c r="Q2212" s="3">
        <f>VLOOKUP(C2212,layoffs_location!A:F,6,FALSE)</f>
        <v>28.613895400000001</v>
      </c>
      <c r="R2212" s="3">
        <f>VLOOKUP(C2212,layoffs_location!A:G,7,FALSE)</f>
        <v>77.209005700000006</v>
      </c>
    </row>
    <row r="2213" spans="1:18" x14ac:dyDescent="0.2">
      <c r="A2213" s="3">
        <v>2212</v>
      </c>
      <c r="B2213" s="3" t="s">
        <v>2101</v>
      </c>
      <c r="C2213" s="3" t="s">
        <v>271</v>
      </c>
      <c r="D2213" s="3" t="str">
        <f>VLOOKUP(C2213,layoffs_location!A:B,2,FALSE)</f>
        <v>Cascadia</v>
      </c>
      <c r="E2213" s="3" t="str">
        <f>VLOOKUP(C2213,layoffs_location!A:C,3,FALSE)</f>
        <v>British Columbia</v>
      </c>
      <c r="F2213" s="3" t="str">
        <f>VLOOKUP(C2213,layoffs_location!A:D,4,FALSE)</f>
        <v>Canada</v>
      </c>
      <c r="G2213" s="3" t="str">
        <f>VLOOKUP(C2213,layoffs_location!A:E,5,FALSE)</f>
        <v>North America</v>
      </c>
      <c r="I2213" s="64">
        <v>45782</v>
      </c>
      <c r="J2213" s="9">
        <v>25</v>
      </c>
      <c r="K2213" s="25"/>
      <c r="L2213" s="25"/>
      <c r="M2213" s="3" t="s">
        <v>27</v>
      </c>
      <c r="N2213" s="3" t="s">
        <v>22</v>
      </c>
      <c r="O2213" s="34">
        <v>370</v>
      </c>
      <c r="P2213" s="3">
        <v>2025</v>
      </c>
      <c r="Q2213" s="3">
        <f>VLOOKUP(C2213,layoffs_location!A:F,6,FALSE)</f>
        <v>49.260872399999997</v>
      </c>
      <c r="R2213" s="3">
        <f>VLOOKUP(C2213,layoffs_location!A:G,7,FALSE)</f>
        <v>-123.113952</v>
      </c>
    </row>
    <row r="2214" spans="1:18" x14ac:dyDescent="0.2">
      <c r="A2214" s="3">
        <v>2213</v>
      </c>
      <c r="B2214" s="3" t="s">
        <v>2099</v>
      </c>
      <c r="C2214" s="3" t="s">
        <v>621</v>
      </c>
      <c r="D2214" s="3" t="str">
        <f>VLOOKUP(C2214,layoffs_location!A:B,2,FALSE)</f>
        <v>other</v>
      </c>
      <c r="E2214" s="3" t="str">
        <f>VLOOKUP(C2214,layoffs_location!A:C,3,FALSE)</f>
        <v>Ontario</v>
      </c>
      <c r="F2214" s="3" t="str">
        <f>VLOOKUP(C2214,layoffs_location!A:D,4,FALSE)</f>
        <v>Canada</v>
      </c>
      <c r="G2214" s="3" t="str">
        <f>VLOOKUP(C2214,layoffs_location!A:E,5,FALSE)</f>
        <v>North America</v>
      </c>
      <c r="H2214" s="3">
        <v>1600</v>
      </c>
      <c r="I2214" s="64">
        <v>45783</v>
      </c>
      <c r="J2214" s="9"/>
      <c r="K2214" s="25"/>
      <c r="L2214" s="25"/>
      <c r="M2214" s="3" t="s">
        <v>79</v>
      </c>
      <c r="N2214" s="3" t="s">
        <v>28</v>
      </c>
      <c r="O2214" s="34">
        <v>1100</v>
      </c>
      <c r="P2214" s="3">
        <v>2025</v>
      </c>
      <c r="Q2214" s="3">
        <f>VLOOKUP(C2214,layoffs_location!A:F,6,FALSE)</f>
        <v>43.465269900000003</v>
      </c>
      <c r="R2214" s="3">
        <f>VLOOKUP(C2214,layoffs_location!A:G,7,FALSE)</f>
        <v>-80.522296100000005</v>
      </c>
    </row>
    <row r="2215" spans="1:18" x14ac:dyDescent="0.2">
      <c r="A2215" s="3">
        <v>2214</v>
      </c>
      <c r="B2215" s="3" t="s">
        <v>2098</v>
      </c>
      <c r="C2215" s="3" t="s">
        <v>1370</v>
      </c>
      <c r="D2215" s="3" t="str">
        <f>VLOOKUP(C2215,layoffs_location!A:B,2,FALSE)</f>
        <v>San Francisco Bay Area</v>
      </c>
      <c r="E2215" s="3" t="str">
        <f>VLOOKUP(C2215,layoffs_location!A:C,3,FALSE)</f>
        <v>California</v>
      </c>
      <c r="F2215" s="3" t="str">
        <f>VLOOKUP(C2215,layoffs_location!A:D,4,FALSE)</f>
        <v>USA</v>
      </c>
      <c r="G2215" s="3" t="str">
        <f>VLOOKUP(C2215,layoffs_location!A:E,5,FALSE)</f>
        <v>North America</v>
      </c>
      <c r="H2215" s="3">
        <v>500</v>
      </c>
      <c r="I2215" s="64">
        <v>45784</v>
      </c>
      <c r="J2215" s="9">
        <v>5</v>
      </c>
      <c r="K2215" s="25">
        <f>SUM((Table13[[#This Row],[Laid_Off]]*100)/Table13[[#This Row],[Percentage]])</f>
        <v>10000</v>
      </c>
      <c r="L2215" s="25">
        <f>SUM(Table13[[#This Row],[Company_Size_before_Layoffs]]-Table13[[#This Row],[Laid_Off]])</f>
        <v>9500</v>
      </c>
      <c r="M2215" s="3" t="s">
        <v>139</v>
      </c>
      <c r="N2215" s="3" t="s">
        <v>28</v>
      </c>
      <c r="O2215" s="34">
        <v>1200</v>
      </c>
      <c r="P2215" s="3">
        <v>2025</v>
      </c>
      <c r="Q2215" s="3">
        <f>VLOOKUP(C2215,layoffs_location!A:F,6,FALSE)</f>
        <v>37.779258800000001</v>
      </c>
      <c r="R2215" s="3">
        <f>VLOOKUP(C2215,layoffs_location!A:G,7,FALSE)</f>
        <v>-122.4193286</v>
      </c>
    </row>
    <row r="2216" spans="1:18" x14ac:dyDescent="0.2">
      <c r="A2216" s="3">
        <v>2215</v>
      </c>
      <c r="B2216" s="3" t="s">
        <v>2097</v>
      </c>
      <c r="C2216" s="3" t="s">
        <v>39</v>
      </c>
      <c r="D2216" s="3" t="str">
        <f>VLOOKUP(C2216,layoffs_location!A:B,2,FALSE)</f>
        <v>New York</v>
      </c>
      <c r="E2216" s="3" t="str">
        <f>VLOOKUP(C2216,layoffs_location!A:C,3,FALSE)</f>
        <v>New York</v>
      </c>
      <c r="F2216" s="3" t="str">
        <f>VLOOKUP(C2216,layoffs_location!A:D,4,FALSE)</f>
        <v>USA</v>
      </c>
      <c r="G2216" s="3" t="str">
        <f>VLOOKUP(C2216,layoffs_location!A:E,5,FALSE)</f>
        <v>North America</v>
      </c>
      <c r="H2216" s="3">
        <v>325</v>
      </c>
      <c r="I2216" s="64">
        <v>45785</v>
      </c>
      <c r="J2216" s="9">
        <v>13</v>
      </c>
      <c r="K2216" s="25">
        <f>SUM((Table13[[#This Row],[Laid_Off]]*100)/Table13[[#This Row],[Percentage]])</f>
        <v>2500</v>
      </c>
      <c r="L2216" s="25">
        <f>SUM(Table13[[#This Row],[Company_Size_before_Layoffs]]-Table13[[#This Row],[Laid_Off]])</f>
        <v>2175</v>
      </c>
      <c r="M2216" s="3" t="s">
        <v>16</v>
      </c>
      <c r="N2216" s="3" t="s">
        <v>28</v>
      </c>
      <c r="P2216" s="3">
        <v>2025</v>
      </c>
      <c r="Q2216" s="3">
        <f>VLOOKUP(C2216,layoffs_location!A:F,6,FALSE)</f>
        <v>40.7127281</v>
      </c>
      <c r="R2216" s="3">
        <f>VLOOKUP(C2216,layoffs_location!A:G,7,FALSE)</f>
        <v>-74.006015199999993</v>
      </c>
    </row>
    <row r="2217" spans="1:18" x14ac:dyDescent="0.2">
      <c r="A2217" s="3">
        <v>2216</v>
      </c>
      <c r="B2217" s="3" t="s">
        <v>2087</v>
      </c>
      <c r="C2217" s="3" t="s">
        <v>1370</v>
      </c>
      <c r="D2217" s="3" t="str">
        <f>VLOOKUP(C2217,layoffs_location!A:B,2,FALSE)</f>
        <v>San Francisco Bay Area</v>
      </c>
      <c r="E2217" s="3" t="str">
        <f>VLOOKUP(C2217,layoffs_location!A:C,3,FALSE)</f>
        <v>California</v>
      </c>
      <c r="F2217" s="3" t="str">
        <f>VLOOKUP(C2217,layoffs_location!A:D,4,FALSE)</f>
        <v>USA</v>
      </c>
      <c r="G2217" s="3" t="str">
        <f>VLOOKUP(C2217,layoffs_location!A:E,5,FALSE)</f>
        <v>North America</v>
      </c>
      <c r="H2217" s="3">
        <v>68</v>
      </c>
      <c r="I2217" s="64">
        <v>45797</v>
      </c>
      <c r="J2217" s="9">
        <v>4</v>
      </c>
      <c r="K2217" s="25">
        <f>SUM((Table13[[#This Row],[Laid_Off]]*100)/Table13[[#This Row],[Percentage]])</f>
        <v>1700</v>
      </c>
      <c r="L2217" s="25">
        <f>SUM(Table13[[#This Row],[Company_Size_before_Layoffs]]-Table13[[#This Row],[Laid_Off]])</f>
        <v>1632</v>
      </c>
      <c r="M2217" s="3" t="s">
        <v>21</v>
      </c>
      <c r="N2217" s="3" t="s">
        <v>28</v>
      </c>
      <c r="O2217" s="34">
        <v>1200</v>
      </c>
      <c r="P2217" s="3">
        <v>2025</v>
      </c>
      <c r="Q2217" s="3">
        <f>VLOOKUP(C2217,layoffs_location!A:F,6,FALSE)</f>
        <v>37.779258800000001</v>
      </c>
      <c r="R2217" s="3">
        <f>VLOOKUP(C2217,layoffs_location!A:G,7,FALSE)</f>
        <v>-122.4193286</v>
      </c>
    </row>
    <row r="2218" spans="1:18" x14ac:dyDescent="0.2">
      <c r="A2218" s="3">
        <v>2217</v>
      </c>
      <c r="B2218" s="3" t="s">
        <v>2092</v>
      </c>
      <c r="C2218" s="3" t="s">
        <v>58</v>
      </c>
      <c r="D2218" s="3" t="str">
        <f>VLOOKUP(C2218,layoffs_location!A:B,2,FALSE)</f>
        <v>other</v>
      </c>
      <c r="E2218" s="3" t="str">
        <f>VLOOKUP(C2218,layoffs_location!A:C,3,FALSE)</f>
        <v>England</v>
      </c>
      <c r="F2218" s="3" t="str">
        <f>VLOOKUP(C2218,layoffs_location!A:D,4,FALSE)</f>
        <v>UK</v>
      </c>
      <c r="G2218" s="3" t="str">
        <f>VLOOKUP(C2218,layoffs_location!A:E,5,FALSE)</f>
        <v>Europe</v>
      </c>
      <c r="I2218" s="64">
        <v>45797</v>
      </c>
      <c r="J2218" s="9">
        <v>100</v>
      </c>
      <c r="K2218" s="25"/>
      <c r="L2218" s="25">
        <f>SUM(Table13[[#This Row],[Company_Size_before_Layoffs]]-Table13[[#This Row],[Laid_Off]])</f>
        <v>0</v>
      </c>
      <c r="M2218" s="3" t="s">
        <v>62</v>
      </c>
      <c r="N2218" s="3" t="s">
        <v>108</v>
      </c>
      <c r="O2218" s="34">
        <v>445</v>
      </c>
      <c r="P2218" s="3">
        <v>2025</v>
      </c>
      <c r="Q2218" s="3">
        <f>VLOOKUP(C2218,layoffs_location!A:F,6,FALSE)</f>
        <v>51.489333500000001</v>
      </c>
      <c r="R2218" s="3">
        <f>VLOOKUP(C2218,layoffs_location!A:G,7,FALSE)</f>
        <v>-0.14405508452768701</v>
      </c>
    </row>
    <row r="2219" spans="1:18" x14ac:dyDescent="0.2">
      <c r="A2219" s="3">
        <v>2218</v>
      </c>
      <c r="B2219" s="3" t="s">
        <v>1474</v>
      </c>
      <c r="C2219" s="3" t="s">
        <v>1475</v>
      </c>
      <c r="D2219" s="3" t="str">
        <f>VLOOKUP(C2219,layoffs_location!A:B,2,FALSE)</f>
        <v>other</v>
      </c>
      <c r="E2219" s="3" t="str">
        <f>VLOOKUP(C2219,layoffs_location!A:C,3,FALSE)</f>
        <v>Florida</v>
      </c>
      <c r="F2219" s="3" t="str">
        <f>VLOOKUP(C2219,layoffs_location!A:D,4,FALSE)</f>
        <v>USA</v>
      </c>
      <c r="G2219" s="3" t="str">
        <f>VLOOKUP(C2219,layoffs_location!A:E,5,FALSE)</f>
        <v>North America</v>
      </c>
      <c r="I2219" s="64">
        <v>45797</v>
      </c>
      <c r="J2219" s="9"/>
      <c r="K2219" s="25"/>
      <c r="L2219" s="25"/>
      <c r="M2219" s="3" t="s">
        <v>32</v>
      </c>
      <c r="N2219" s="3" t="s">
        <v>28</v>
      </c>
      <c r="O2219" s="34">
        <v>780</v>
      </c>
      <c r="P2219" s="3">
        <v>2025</v>
      </c>
      <c r="Q2219" s="3">
        <f>VLOOKUP(C2219,layoffs_location!A:F,6,FALSE)</f>
        <v>28.542110900000001</v>
      </c>
      <c r="R2219" s="3">
        <f>VLOOKUP(C2219,layoffs_location!A:G,7,FALSE)</f>
        <v>-81.379030400000005</v>
      </c>
    </row>
    <row r="2220" spans="1:18" x14ac:dyDescent="0.2">
      <c r="A2220" s="3">
        <v>2219</v>
      </c>
      <c r="B2220" s="3" t="s">
        <v>2091</v>
      </c>
      <c r="C2220" s="3" t="s">
        <v>1140</v>
      </c>
      <c r="D2220" s="3" t="str">
        <f>VLOOKUP(C2220,layoffs_location!A:B,2,FALSE)</f>
        <v>other</v>
      </c>
      <c r="E2220" s="3" t="str">
        <f>VLOOKUP(C2220,layoffs_location!A:C,3,FALSE)</f>
        <v>non</v>
      </c>
      <c r="F2220" s="3" t="str">
        <f>VLOOKUP(C2220,layoffs_location!A:D,4,FALSE)</f>
        <v>Switzerland</v>
      </c>
      <c r="G2220" s="3" t="str">
        <f>VLOOKUP(C2220,layoffs_location!A:E,5,FALSE)</f>
        <v>Europe</v>
      </c>
      <c r="H2220" s="3">
        <v>106</v>
      </c>
      <c r="I2220" s="64">
        <v>45798</v>
      </c>
      <c r="J2220" s="9">
        <v>22</v>
      </c>
      <c r="K2220" s="25">
        <f>SUM((Table13[[#This Row],[Laid_Off]]*100)/Table13[[#This Row],[Percentage]])</f>
        <v>481.81818181818181</v>
      </c>
      <c r="L2220" s="25">
        <f>SUM(Table13[[#This Row],[Company_Size_before_Layoffs]]-Table13[[#This Row],[Laid_Off]])</f>
        <v>375.81818181818181</v>
      </c>
      <c r="M2220" s="3" t="s">
        <v>27</v>
      </c>
      <c r="N2220" s="3" t="s">
        <v>1696</v>
      </c>
      <c r="O2220" s="34">
        <v>734</v>
      </c>
      <c r="P2220" s="3">
        <v>2025</v>
      </c>
      <c r="Q2220" s="3">
        <f>VLOOKUP(C2220,layoffs_location!A:F,6,FALSE)</f>
        <v>47.374448899999997</v>
      </c>
      <c r="R2220" s="3">
        <f>VLOOKUP(C2220,layoffs_location!A:G,7,FALSE)</f>
        <v>8.5410421999999997</v>
      </c>
    </row>
    <row r="2221" spans="1:18" x14ac:dyDescent="0.2">
      <c r="A2221" s="3">
        <v>2220</v>
      </c>
      <c r="B2221" s="3" t="s">
        <v>2089</v>
      </c>
      <c r="C2221" s="3" t="s">
        <v>2090</v>
      </c>
      <c r="D2221" s="3" t="str">
        <f>VLOOKUP(C2221,layoffs_location!A:B,2,FALSE)</f>
        <v>other</v>
      </c>
      <c r="E2221" s="3" t="str">
        <f>VLOOKUP(C2221,layoffs_location!A:C,3,FALSE)</f>
        <v>Quebec</v>
      </c>
      <c r="F2221" s="3" t="str">
        <f>VLOOKUP(C2221,layoffs_location!A:D,4,FALSE)</f>
        <v>Canada</v>
      </c>
      <c r="G2221" s="3" t="str">
        <f>VLOOKUP(C2221,layoffs_location!A:E,5,FALSE)</f>
        <v>North America</v>
      </c>
      <c r="H2221" s="3">
        <v>138</v>
      </c>
      <c r="I2221" s="64">
        <v>45799</v>
      </c>
      <c r="J2221" s="9">
        <v>95</v>
      </c>
      <c r="K2221" s="25">
        <f>SUM((Table13[[#This Row],[Laid_Off]]*100)/Table13[[#This Row],[Percentage]])</f>
        <v>145.26315789473685</v>
      </c>
      <c r="L2221" s="25">
        <f>SUM(Table13[[#This Row],[Company_Size_before_Layoffs]]-Table13[[#This Row],[Laid_Off]])</f>
        <v>7.2631578947368496</v>
      </c>
      <c r="M2221" s="3" t="s">
        <v>32</v>
      </c>
      <c r="N2221" s="3" t="s">
        <v>28</v>
      </c>
      <c r="O2221" s="34">
        <v>402</v>
      </c>
      <c r="P2221" s="3">
        <v>2025</v>
      </c>
      <c r="Q2221" s="3">
        <f>VLOOKUP(C2221,layoffs_location!A:F,6,FALSE)</f>
        <v>46.812280000000001</v>
      </c>
      <c r="R2221" s="3">
        <f>VLOOKUP(C2221,layoffs_location!A:G,7,FALSE)</f>
        <v>-71.21454</v>
      </c>
    </row>
    <row r="2222" spans="1:18" x14ac:dyDescent="0.2">
      <c r="A2222" s="3">
        <v>2221</v>
      </c>
      <c r="B2222" s="3" t="s">
        <v>256</v>
      </c>
      <c r="C2222" s="3" t="s">
        <v>1415</v>
      </c>
      <c r="D2222" s="3" t="str">
        <f>VLOOKUP(C2222,layoffs_location!A:B,2,FALSE)</f>
        <v>San Francisco Bay Area</v>
      </c>
      <c r="E2222" s="3" t="str">
        <f>VLOOKUP(C2222,layoffs_location!A:C,3,FALSE)</f>
        <v>California</v>
      </c>
      <c r="F2222" s="3" t="str">
        <f>VLOOKUP(C2222,layoffs_location!A:D,4,FALSE)</f>
        <v>USA</v>
      </c>
      <c r="G2222" s="3" t="str">
        <f>VLOOKUP(C2222,layoffs_location!A:E,5,FALSE)</f>
        <v>North America</v>
      </c>
      <c r="H2222" s="3">
        <v>248</v>
      </c>
      <c r="I2222" s="64">
        <v>45799</v>
      </c>
      <c r="J2222" s="9">
        <v>22</v>
      </c>
      <c r="K2222" s="25">
        <f>SUM((Table13[[#This Row],[Laid_Off]]*100)/Table13[[#This Row],[Percentage]])</f>
        <v>1127.2727272727273</v>
      </c>
      <c r="L2222" s="25">
        <f>SUM(Table13[[#This Row],[Company_Size_before_Layoffs]]-Table13[[#This Row],[Laid_Off]])</f>
        <v>879.27272727272725</v>
      </c>
      <c r="M2222" s="3" t="s">
        <v>68</v>
      </c>
      <c r="N2222" s="3" t="s">
        <v>28</v>
      </c>
      <c r="O2222" s="34">
        <v>227</v>
      </c>
      <c r="P2222" s="3">
        <v>2025</v>
      </c>
      <c r="Q2222" s="3">
        <f>VLOOKUP(C2222,layoffs_location!A:F,6,FALSE)</f>
        <v>37.354106999999999</v>
      </c>
      <c r="R2222" s="3">
        <f>VLOOKUP(C2222,layoffs_location!A:G,7,FALSE)</f>
        <v>-121.95523799999999</v>
      </c>
    </row>
    <row r="2223" spans="1:18" x14ac:dyDescent="0.2">
      <c r="A2223" s="3">
        <v>2222</v>
      </c>
      <c r="B2223" s="3" t="s">
        <v>2088</v>
      </c>
      <c r="C2223" s="3" t="s">
        <v>748</v>
      </c>
      <c r="D2223" s="3" t="str">
        <f>VLOOKUP(C2223,layoffs_location!A:B,2,FALSE)</f>
        <v>other</v>
      </c>
      <c r="E2223" s="3" t="str">
        <f>VLOOKUP(C2223,layoffs_location!A:C,3,FALSE)</f>
        <v>Delhi</v>
      </c>
      <c r="F2223" s="3" t="str">
        <f>VLOOKUP(C2223,layoffs_location!A:D,4,FALSE)</f>
        <v>India</v>
      </c>
      <c r="G2223" s="3" t="str">
        <f>VLOOKUP(C2223,layoffs_location!A:E,5,FALSE)</f>
        <v>Asia</v>
      </c>
      <c r="H2223" s="3">
        <v>300</v>
      </c>
      <c r="I2223" s="64">
        <v>45800</v>
      </c>
      <c r="J2223" s="9">
        <v>100</v>
      </c>
      <c r="K2223" s="25">
        <f>SUM((Table13[[#This Row],[Laid_Off]]*100)/Table13[[#This Row],[Percentage]])</f>
        <v>300</v>
      </c>
      <c r="L2223" s="25">
        <f>SUM(Table13[[#This Row],[Company_Size_before_Layoffs]]-Table13[[#This Row],[Laid_Off]])</f>
        <v>0</v>
      </c>
      <c r="M2223" s="3" t="s">
        <v>77</v>
      </c>
      <c r="N2223" s="3" t="s">
        <v>49</v>
      </c>
      <c r="O2223" s="34">
        <v>44</v>
      </c>
      <c r="P2223" s="3">
        <v>2025</v>
      </c>
      <c r="Q2223" s="3">
        <f>VLOOKUP(C2223,layoffs_location!A:F,6,FALSE)</f>
        <v>28.613895400000001</v>
      </c>
      <c r="R2223" s="3">
        <f>VLOOKUP(C2223,layoffs_location!A:G,7,FALSE)</f>
        <v>77.209005700000006</v>
      </c>
    </row>
    <row r="2224" spans="1:18" x14ac:dyDescent="0.2">
      <c r="A2224" s="3">
        <v>2223</v>
      </c>
      <c r="B2224" s="3" t="s">
        <v>523</v>
      </c>
      <c r="C2224" s="3" t="s">
        <v>4589</v>
      </c>
      <c r="D2224" s="3" t="str">
        <f>VLOOKUP(C2224,layoffs_location!A:B,2,FALSE)</f>
        <v>Cascadia</v>
      </c>
      <c r="E2224" s="3" t="str">
        <f>VLOOKUP(C2224,layoffs_location!A:C,3,FALSE)</f>
        <v>Washington</v>
      </c>
      <c r="F2224" s="3" t="str">
        <f>VLOOKUP(C2224,layoffs_location!A:D,4,FALSE)</f>
        <v>USA</v>
      </c>
      <c r="G2224" s="3" t="str">
        <f>VLOOKUP(C2224,layoffs_location!A:E,5,FALSE)</f>
        <v>Asia</v>
      </c>
      <c r="H2224" s="3">
        <v>6000</v>
      </c>
      <c r="I2224" s="64">
        <v>45800</v>
      </c>
      <c r="J2224" s="9">
        <v>3</v>
      </c>
      <c r="K2224" s="25">
        <f>SUM((Table13[[#This Row],[Laid_Off]]*100)/Table13[[#This Row],[Percentage]])</f>
        <v>200000</v>
      </c>
      <c r="L2224" s="25">
        <f>SUM(Table13[[#This Row],[Company_Size_before_Layoffs]]-Table13[[#This Row],[Laid_Off]])</f>
        <v>194000</v>
      </c>
      <c r="M2224" s="3" t="s">
        <v>60</v>
      </c>
      <c r="N2224" s="3" t="s">
        <v>28</v>
      </c>
      <c r="O2224" s="34">
        <v>1</v>
      </c>
      <c r="P2224" s="3">
        <v>2025</v>
      </c>
      <c r="Q2224" s="3">
        <f>VLOOKUP(C2224,layoffs_location!A:F,6,FALSE)</f>
        <v>47.645404522430098</v>
      </c>
      <c r="R2224" s="3">
        <f>VLOOKUP(C2224,layoffs_location!A:G,7,FALSE)</f>
        <v>-122.13299976733499</v>
      </c>
    </row>
    <row r="2225" spans="1:18" x14ac:dyDescent="0.2">
      <c r="A2225" s="3">
        <v>2224</v>
      </c>
      <c r="B2225" s="3" t="s">
        <v>376</v>
      </c>
      <c r="C2225" s="3" t="s">
        <v>43</v>
      </c>
      <c r="D2225" s="3" t="str">
        <f>VLOOKUP(C2225,layoffs_location!A:B,2,FALSE)</f>
        <v>Cascadia</v>
      </c>
      <c r="E2225" s="3" t="str">
        <f>VLOOKUP(C2225,layoffs_location!A:C,3,FALSE)</f>
        <v>Washington</v>
      </c>
      <c r="F2225" s="3" t="str">
        <f>VLOOKUP(C2225,layoffs_location!A:D,4,FALSE)</f>
        <v>USA</v>
      </c>
      <c r="G2225" s="3" t="str">
        <f>VLOOKUP(C2225,layoffs_location!A:E,5,FALSE)</f>
        <v>North America</v>
      </c>
      <c r="H2225" s="3">
        <v>100</v>
      </c>
      <c r="I2225" s="64">
        <v>45801</v>
      </c>
      <c r="J2225" s="9"/>
      <c r="K2225" s="25"/>
      <c r="L2225" s="25"/>
      <c r="M2225" s="3" t="s">
        <v>30</v>
      </c>
      <c r="N2225" s="3" t="s">
        <v>28</v>
      </c>
      <c r="O2225" s="34">
        <v>8100</v>
      </c>
      <c r="P2225" s="3">
        <v>2025</v>
      </c>
      <c r="Q2225" s="3">
        <f>VLOOKUP(C2225,layoffs_location!A:F,6,FALSE)</f>
        <v>47.603832099999998</v>
      </c>
      <c r="R2225" s="3">
        <f>VLOOKUP(C2225,layoffs_location!A:G,7,FALSE)</f>
        <v>-122.330062</v>
      </c>
    </row>
    <row r="2226" spans="1:18" x14ac:dyDescent="0.2">
      <c r="A2226" s="3">
        <v>2225</v>
      </c>
      <c r="B2226" s="3" t="s">
        <v>2095</v>
      </c>
      <c r="C2226" s="3" t="s">
        <v>215</v>
      </c>
      <c r="D2226" s="3" t="str">
        <f>VLOOKUP(C2226,layoffs_location!A:B,2,FALSE)</f>
        <v>other</v>
      </c>
      <c r="E2226" s="3" t="str">
        <f>VLOOKUP(C2226,layoffs_location!A:C,3,FALSE)</f>
        <v>Florida</v>
      </c>
      <c r="F2226" s="3" t="str">
        <f>VLOOKUP(C2226,layoffs_location!A:D,4,FALSE)</f>
        <v>USA</v>
      </c>
      <c r="G2226" s="3" t="str">
        <f>VLOOKUP(C2226,layoffs_location!A:E,5,FALSE)</f>
        <v>North America</v>
      </c>
      <c r="H2226" s="3">
        <v>97</v>
      </c>
      <c r="I2226" s="64">
        <v>45802</v>
      </c>
      <c r="J2226" s="9"/>
      <c r="K2226" s="25"/>
      <c r="L2226" s="25"/>
      <c r="M2226" s="3" t="s">
        <v>21</v>
      </c>
      <c r="N2226" s="3" t="s">
        <v>69</v>
      </c>
      <c r="O2226" s="34">
        <v>17</v>
      </c>
      <c r="P2226" s="3">
        <v>2025</v>
      </c>
      <c r="Q2226" s="3">
        <f>VLOOKUP(C2226,layoffs_location!A:F,6,FALSE)</f>
        <v>27.6886419</v>
      </c>
      <c r="R2226" s="3">
        <f>VLOOKUP(C2226,layoffs_location!A:G,7,FALSE)</f>
        <v>-82.572319300000004</v>
      </c>
    </row>
    <row r="2227" spans="1:18" x14ac:dyDescent="0.2">
      <c r="A2227" s="3">
        <v>2226</v>
      </c>
      <c r="B2227" s="3" t="s">
        <v>2096</v>
      </c>
      <c r="C2227" s="3" t="s">
        <v>47</v>
      </c>
      <c r="D2227" s="3" t="str">
        <f>VLOOKUP(C2227,layoffs_location!A:B,2,FALSE)</f>
        <v>other</v>
      </c>
      <c r="E2227" s="3" t="str">
        <f>VLOOKUP(C2227,layoffs_location!A:C,3,FALSE)</f>
        <v>non</v>
      </c>
      <c r="F2227" s="3" t="str">
        <f>VLOOKUP(C2227,layoffs_location!A:D,4,FALSE)</f>
        <v>Israel</v>
      </c>
      <c r="G2227" s="3" t="str">
        <f>VLOOKUP(C2227,layoffs_location!A:E,5,FALSE)</f>
        <v>Asia</v>
      </c>
      <c r="H2227" s="3">
        <v>10</v>
      </c>
      <c r="I2227" s="64">
        <v>45802</v>
      </c>
      <c r="J2227" s="9">
        <v>100</v>
      </c>
      <c r="K2227" s="25">
        <f>SUM((Table13[[#This Row],[Laid_Off]]*100)/Table13[[#This Row],[Percentage]])</f>
        <v>10</v>
      </c>
      <c r="L2227" s="25">
        <f>SUM(Table13[[#This Row],[Company_Size_before_Layoffs]]-Table13[[#This Row],[Laid_Off]])</f>
        <v>0</v>
      </c>
      <c r="M2227" s="3" t="s">
        <v>62</v>
      </c>
      <c r="N2227" s="3" t="s">
        <v>69</v>
      </c>
      <c r="O2227" s="34">
        <v>28</v>
      </c>
      <c r="P2227" s="3">
        <v>2025</v>
      </c>
      <c r="Q2227" s="3">
        <f>VLOOKUP(C2227,layoffs_location!A:F,6,FALSE)</f>
        <v>32.0852997</v>
      </c>
      <c r="R2227" s="3">
        <f>VLOOKUP(C2227,layoffs_location!A:G,7,FALSE)</f>
        <v>34.781806400000001</v>
      </c>
    </row>
    <row r="2228" spans="1:18" x14ac:dyDescent="0.2">
      <c r="A2228" s="3">
        <v>2227</v>
      </c>
      <c r="B2228" s="3" t="s">
        <v>1031</v>
      </c>
      <c r="C2228" s="3" t="s">
        <v>182</v>
      </c>
      <c r="D2228" s="3" t="str">
        <f>VLOOKUP(C2228,layoffs_location!A:B,2,FALSE)</f>
        <v>other</v>
      </c>
      <c r="E2228" s="3" t="str">
        <f>VLOOKUP(C2228,layoffs_location!A:C,3,FALSE)</f>
        <v>Haryana</v>
      </c>
      <c r="F2228" s="3" t="str">
        <f>VLOOKUP(C2228,layoffs_location!A:D,4,FALSE)</f>
        <v>India</v>
      </c>
      <c r="G2228" s="3" t="str">
        <f>VLOOKUP(C2228,layoffs_location!A:E,5,FALSE)</f>
        <v>Asia</v>
      </c>
      <c r="H2228" s="3">
        <v>120</v>
      </c>
      <c r="I2228" s="64">
        <v>45804</v>
      </c>
      <c r="J2228" s="9"/>
      <c r="K2228" s="25"/>
      <c r="L2228" s="25"/>
      <c r="M2228" s="3" t="s">
        <v>32</v>
      </c>
      <c r="N2228" s="3" t="s">
        <v>81</v>
      </c>
      <c r="O2228" s="34">
        <v>1300</v>
      </c>
      <c r="P2228" s="3">
        <v>2025</v>
      </c>
      <c r="Q2228" s="3">
        <f>VLOOKUP(C2228,layoffs_location!A:F,6,FALSE)</f>
        <v>28.4646148</v>
      </c>
      <c r="R2228" s="3">
        <f>VLOOKUP(C2228,layoffs_location!A:G,7,FALSE)</f>
        <v>77.029919399999997</v>
      </c>
    </row>
    <row r="2229" spans="1:18" x14ac:dyDescent="0.2">
      <c r="A2229" s="3">
        <v>2228</v>
      </c>
      <c r="B2229" s="3" t="s">
        <v>532</v>
      </c>
      <c r="C2229" s="3" t="s">
        <v>533</v>
      </c>
      <c r="D2229" s="3" t="str">
        <f>VLOOKUP(C2229,layoffs_location!A:B,2,FALSE)</f>
        <v>other</v>
      </c>
      <c r="E2229" s="3" t="str">
        <f>VLOOKUP(C2229,layoffs_location!A:C,3,FALSE)</f>
        <v>Delaware</v>
      </c>
      <c r="F2229" s="3" t="str">
        <f>VLOOKUP(C2229,layoffs_location!A:D,4,FALSE)</f>
        <v>USA</v>
      </c>
      <c r="G2229" s="3" t="str">
        <f>VLOOKUP(C2229,layoffs_location!A:E,5,FALSE)</f>
        <v>North America</v>
      </c>
      <c r="I2229" s="64">
        <v>45804</v>
      </c>
      <c r="J2229" s="9">
        <v>7</v>
      </c>
      <c r="K2229" s="25"/>
      <c r="L2229" s="25"/>
      <c r="M2229" s="3" t="s">
        <v>35</v>
      </c>
      <c r="N2229" s="3" t="s">
        <v>28</v>
      </c>
      <c r="O2229" s="34">
        <v>1100</v>
      </c>
      <c r="P2229" s="3">
        <v>2025</v>
      </c>
      <c r="Q2229" s="3">
        <f>VLOOKUP(C2229,layoffs_location!A:F,6,FALSE)</f>
        <v>39.745946799999999</v>
      </c>
      <c r="R2229" s="3">
        <f>VLOOKUP(C2229,layoffs_location!A:G,7,FALSE)</f>
        <v>-75.546588999999997</v>
      </c>
    </row>
    <row r="2230" spans="1:18" x14ac:dyDescent="0.2">
      <c r="A2230" s="3">
        <v>2229</v>
      </c>
      <c r="B2230" s="3" t="s">
        <v>463</v>
      </c>
      <c r="C2230" s="3" t="s">
        <v>47</v>
      </c>
      <c r="D2230" s="3" t="str">
        <f>VLOOKUP(C2230,layoffs_location!A:B,2,FALSE)</f>
        <v>other</v>
      </c>
      <c r="E2230" s="3" t="str">
        <f>VLOOKUP(C2230,layoffs_location!A:C,3,FALSE)</f>
        <v>non</v>
      </c>
      <c r="F2230" s="3" t="str">
        <f>VLOOKUP(C2230,layoffs_location!A:D,4,FALSE)</f>
        <v>Israel</v>
      </c>
      <c r="G2230" s="3" t="str">
        <f>VLOOKUP(C2230,layoffs_location!A:E,5,FALSE)</f>
        <v>Asia</v>
      </c>
      <c r="H2230" s="3">
        <v>200</v>
      </c>
      <c r="I2230" s="64">
        <v>45805</v>
      </c>
      <c r="J2230" s="9"/>
      <c r="K2230" s="25"/>
      <c r="L2230" s="25"/>
      <c r="M2230" s="3" t="s">
        <v>30</v>
      </c>
      <c r="N2230" s="3" t="s">
        <v>28</v>
      </c>
      <c r="O2230" s="34">
        <v>1200</v>
      </c>
      <c r="P2230" s="3">
        <v>2025</v>
      </c>
      <c r="Q2230" s="3">
        <f>VLOOKUP(C2230,layoffs_location!A:F,6,FALSE)</f>
        <v>32.0852997</v>
      </c>
      <c r="R2230" s="3">
        <f>VLOOKUP(C2230,layoffs_location!A:G,7,FALSE)</f>
        <v>34.781806400000001</v>
      </c>
    </row>
    <row r="2231" spans="1:18" x14ac:dyDescent="0.2">
      <c r="A2231" s="3">
        <v>2230</v>
      </c>
      <c r="B2231" s="3" t="s">
        <v>2094</v>
      </c>
      <c r="C2231" s="3" t="s">
        <v>13</v>
      </c>
      <c r="D2231" s="3" t="str">
        <f>VLOOKUP(C2231,layoffs_location!A:B,2,FALSE)</f>
        <v>other</v>
      </c>
      <c r="E2231" s="3" t="str">
        <f>VLOOKUP(C2231,layoffs_location!A:C,3,FALSE)</f>
        <v>Karnataka</v>
      </c>
      <c r="F2231" s="3" t="str">
        <f>VLOOKUP(C2231,layoffs_location!A:D,4,FALSE)</f>
        <v>India</v>
      </c>
      <c r="G2231" s="3" t="str">
        <f>VLOOKUP(C2231,layoffs_location!A:E,5,FALSE)</f>
        <v>Asia</v>
      </c>
      <c r="H2231" s="3">
        <v>350</v>
      </c>
      <c r="I2231" s="64">
        <v>45805</v>
      </c>
      <c r="J2231" s="9"/>
      <c r="K2231" s="25"/>
      <c r="L2231" s="25"/>
      <c r="M2231" s="3" t="s">
        <v>54</v>
      </c>
      <c r="N2231" s="3" t="s">
        <v>652</v>
      </c>
      <c r="O2231" s="34">
        <v>1700</v>
      </c>
      <c r="P2231" s="3">
        <v>2025</v>
      </c>
      <c r="Q2231" s="3">
        <f>VLOOKUP(C2231,layoffs_location!A:F,6,FALSE)</f>
        <v>12.98815675</v>
      </c>
      <c r="R2231" s="3">
        <f>VLOOKUP(C2231,layoffs_location!A:G,7,FALSE)</f>
        <v>77.622600037959998</v>
      </c>
    </row>
    <row r="2232" spans="1:18" x14ac:dyDescent="0.2">
      <c r="A2232" s="3">
        <v>2231</v>
      </c>
      <c r="B2232" s="3" t="s">
        <v>1523</v>
      </c>
      <c r="C2232" s="3" t="s">
        <v>39</v>
      </c>
      <c r="D2232" s="3" t="str">
        <f>VLOOKUP(C2232,layoffs_location!A:B,2,FALSE)</f>
        <v>New York</v>
      </c>
      <c r="E2232" s="3" t="str">
        <f>VLOOKUP(C2232,layoffs_location!A:C,3,FALSE)</f>
        <v>New York</v>
      </c>
      <c r="F2232" s="3" t="str">
        <f>VLOOKUP(C2232,layoffs_location!A:D,4,FALSE)</f>
        <v>USA</v>
      </c>
      <c r="G2232" s="3" t="str">
        <f>VLOOKUP(C2232,layoffs_location!A:E,5,FALSE)</f>
        <v>North America</v>
      </c>
      <c r="I2232" s="64">
        <v>45806</v>
      </c>
      <c r="J2232" s="9">
        <v>20</v>
      </c>
      <c r="K2232" s="25">
        <f>SUM((Table13[[#This Row],[Laid_Off]]*100)/Table13[[#This Row],[Percentage]])</f>
        <v>0</v>
      </c>
      <c r="L2232" s="25">
        <f>SUM(Table13[[#This Row],[Company_Size_before_Layoffs]]-Table13[[#This Row],[Laid_Off]])</f>
        <v>0</v>
      </c>
      <c r="M2232" s="3" t="s">
        <v>54</v>
      </c>
      <c r="N2232" s="3" t="s">
        <v>33</v>
      </c>
      <c r="O2232" s="34">
        <v>56</v>
      </c>
      <c r="P2232" s="3">
        <v>2025</v>
      </c>
      <c r="Q2232" s="3">
        <f>VLOOKUP(C2232,layoffs_location!A:F,6,FALSE)</f>
        <v>40.7127281</v>
      </c>
      <c r="R2232" s="3">
        <f>VLOOKUP(C2232,layoffs_location!A:G,7,FALSE)</f>
        <v>-74.006015199999993</v>
      </c>
    </row>
    <row r="2233" spans="1:18" x14ac:dyDescent="0.2">
      <c r="A2233" s="3">
        <v>2232</v>
      </c>
      <c r="B2233" s="3" t="s">
        <v>2093</v>
      </c>
      <c r="C2233" s="3" t="s">
        <v>269</v>
      </c>
      <c r="D2233" s="3" t="str">
        <f>VLOOKUP(C2233,layoffs_location!A:B,2,FALSE)</f>
        <v>other</v>
      </c>
      <c r="E2233" s="3" t="str">
        <f>VLOOKUP(C2233,layoffs_location!A:C,3,FALSE)</f>
        <v>Maryland</v>
      </c>
      <c r="F2233" s="3" t="str">
        <f>VLOOKUP(C2233,layoffs_location!A:D,4,FALSE)</f>
        <v>USA</v>
      </c>
      <c r="G2233" s="3" t="str">
        <f>VLOOKUP(C2233,layoffs_location!A:E,5,FALSE)</f>
        <v>North America</v>
      </c>
      <c r="I2233" s="64">
        <v>45806</v>
      </c>
      <c r="J2233" s="9">
        <v>20</v>
      </c>
      <c r="K2233" s="25"/>
      <c r="L2233" s="25"/>
      <c r="M2233" s="3" t="s">
        <v>60</v>
      </c>
      <c r="N2233" s="3" t="s">
        <v>28</v>
      </c>
      <c r="O2233" s="34">
        <v>110</v>
      </c>
      <c r="P2233" s="3">
        <v>2025</v>
      </c>
      <c r="Q2233" s="3">
        <f>VLOOKUP(C2233,layoffs_location!A:F,6,FALSE)</f>
        <v>39.290881599999999</v>
      </c>
      <c r="R2233" s="3">
        <f>VLOOKUP(C2233,layoffs_location!A:G,7,FALSE)</f>
        <v>-76.610759000000002</v>
      </c>
    </row>
    <row r="2234" spans="1:18" x14ac:dyDescent="0.2">
      <c r="A2234" s="3">
        <v>2233</v>
      </c>
      <c r="B2234" s="3" t="s">
        <v>523</v>
      </c>
      <c r="C2234" s="3" t="s">
        <v>4589</v>
      </c>
      <c r="D2234" s="3" t="str">
        <f>VLOOKUP(C2234,layoffs_location!A:B,2,FALSE)</f>
        <v>Cascadia</v>
      </c>
      <c r="E2234" s="3" t="str">
        <f>VLOOKUP(C2234,layoffs_location!A:C,3,FALSE)</f>
        <v>Washington</v>
      </c>
      <c r="F2234" s="3" t="str">
        <f>VLOOKUP(C2234,layoffs_location!A:D,4,FALSE)</f>
        <v>USA</v>
      </c>
      <c r="G2234" s="3" t="str">
        <f>VLOOKUP(C2234,layoffs_location!A:E,5,FALSE)</f>
        <v>Asia</v>
      </c>
      <c r="H2234" s="3">
        <v>305</v>
      </c>
      <c r="I2234" s="64">
        <v>45810</v>
      </c>
      <c r="J2234" s="9">
        <v>3</v>
      </c>
      <c r="K2234" s="25">
        <f>SUM((Table13[[#This Row],[Laid_Off]]*100)/Table13[[#This Row],[Percentage]])</f>
        <v>10166.666666666666</v>
      </c>
      <c r="L2234" s="25">
        <f>SUM(Table13[[#This Row],[Company_Size_before_Layoffs]]-Table13[[#This Row],[Laid_Off]])</f>
        <v>9861.6666666666661</v>
      </c>
      <c r="M2234" s="3" t="s">
        <v>60</v>
      </c>
      <c r="N2234" s="3" t="s">
        <v>28</v>
      </c>
      <c r="O2234" s="34">
        <v>1</v>
      </c>
      <c r="P2234" s="3">
        <v>2025</v>
      </c>
      <c r="Q2234" s="3">
        <f>VLOOKUP(C2234,layoffs_location!A:F,6,FALSE)</f>
        <v>47.645404522430098</v>
      </c>
      <c r="R2234" s="3">
        <f>VLOOKUP(C2234,layoffs_location!A:G,7,FALSE)</f>
        <v>-122.13299976733499</v>
      </c>
    </row>
    <row r="2235" spans="1:18" x14ac:dyDescent="0.2">
      <c r="A2235" s="3">
        <v>2234</v>
      </c>
      <c r="B2235" s="3" t="s">
        <v>1027</v>
      </c>
      <c r="C2235" s="3" t="s">
        <v>39</v>
      </c>
      <c r="D2235" s="3" t="str">
        <f>VLOOKUP(C2235,layoffs_location!A:B,2,FALSE)</f>
        <v>New York</v>
      </c>
      <c r="E2235" s="3" t="str">
        <f>VLOOKUP(C2235,layoffs_location!A:C,3,FALSE)</f>
        <v>New York</v>
      </c>
      <c r="F2235" s="3" t="str">
        <f>VLOOKUP(C2235,layoffs_location!A:D,4,FALSE)</f>
        <v>USA</v>
      </c>
      <c r="G2235" s="3" t="str">
        <f>VLOOKUP(C2235,layoffs_location!A:E,5,FALSE)</f>
        <v>North America</v>
      </c>
      <c r="H2235" s="3">
        <v>25</v>
      </c>
      <c r="I2235" s="64">
        <v>45812</v>
      </c>
      <c r="J2235" s="9">
        <v>43</v>
      </c>
      <c r="K2235" s="25">
        <f>SUM((Table13[[#This Row],[Laid_Off]]*100)/Table13[[#This Row],[Percentage]])</f>
        <v>58.139534883720927</v>
      </c>
      <c r="L2235" s="25">
        <f>SUM(Table13[[#This Row],[Company_Size_before_Layoffs]]-Table13[[#This Row],[Laid_Off]])</f>
        <v>33.139534883720927</v>
      </c>
      <c r="M2235" s="3" t="s">
        <v>16</v>
      </c>
      <c r="N2235" s="3" t="s">
        <v>49</v>
      </c>
      <c r="O2235" s="34">
        <v>33</v>
      </c>
      <c r="P2235" s="3">
        <v>2025</v>
      </c>
      <c r="Q2235" s="3">
        <f>VLOOKUP(C2235,layoffs_location!A:F,6,FALSE)</f>
        <v>40.7127281</v>
      </c>
      <c r="R2235" s="3">
        <f>VLOOKUP(C2235,layoffs_location!A:G,7,FALSE)</f>
        <v>-74.006015199999993</v>
      </c>
    </row>
    <row r="2236" spans="1:18" x14ac:dyDescent="0.2">
      <c r="A2236" s="3">
        <v>2235</v>
      </c>
      <c r="B2236" s="3" t="s">
        <v>1621</v>
      </c>
      <c r="C2236" s="3" t="s">
        <v>47</v>
      </c>
      <c r="D2236" s="3" t="str">
        <f>VLOOKUP(C2236,layoffs_location!A:B,2,FALSE)</f>
        <v>other</v>
      </c>
      <c r="E2236" s="3" t="str">
        <f>VLOOKUP(C2236,layoffs_location!A:C,3,FALSE)</f>
        <v>non</v>
      </c>
      <c r="F2236" s="3" t="str">
        <f>VLOOKUP(C2236,layoffs_location!A:D,4,FALSE)</f>
        <v>Israel</v>
      </c>
      <c r="G2236" s="3" t="str">
        <f>VLOOKUP(C2236,layoffs_location!A:E,5,FALSE)</f>
        <v>Asia</v>
      </c>
      <c r="H2236" s="3">
        <v>90</v>
      </c>
      <c r="I2236" s="64">
        <v>45813</v>
      </c>
      <c r="J2236" s="9"/>
      <c r="K2236" s="25"/>
      <c r="L2236" s="25"/>
      <c r="M2236" s="3" t="s">
        <v>16</v>
      </c>
      <c r="N2236" s="3" t="s">
        <v>28</v>
      </c>
      <c r="P2236" s="3">
        <v>2025</v>
      </c>
      <c r="Q2236" s="3">
        <f>VLOOKUP(C2236,layoffs_location!A:F,6,FALSE)</f>
        <v>32.0852997</v>
      </c>
      <c r="R2236" s="3">
        <f>VLOOKUP(C2236,layoffs_location!A:G,7,FALSE)</f>
        <v>34.781806400000001</v>
      </c>
    </row>
    <row r="2237" spans="1:18" x14ac:dyDescent="0.2">
      <c r="A2237" s="3">
        <v>2236</v>
      </c>
      <c r="B2237" s="3" t="s">
        <v>270</v>
      </c>
      <c r="C2237" s="3" t="s">
        <v>271</v>
      </c>
      <c r="D2237" s="3" t="str">
        <f>VLOOKUP(C2237,layoffs_location!A:B,2,FALSE)</f>
        <v>Cascadia</v>
      </c>
      <c r="E2237" s="3" t="str">
        <f>VLOOKUP(C2237,layoffs_location!A:C,3,FALSE)</f>
        <v>British Columbia</v>
      </c>
      <c r="F2237" s="3" t="str">
        <f>VLOOKUP(C2237,layoffs_location!A:D,4,FALSE)</f>
        <v>Canada</v>
      </c>
      <c r="G2237" s="3" t="str">
        <f>VLOOKUP(C2237,layoffs_location!A:E,5,FALSE)</f>
        <v>North America</v>
      </c>
      <c r="H2237" s="3">
        <v>150</v>
      </c>
      <c r="I2237" s="64">
        <v>45817</v>
      </c>
      <c r="J2237" s="9">
        <v>4</v>
      </c>
      <c r="K2237" s="25">
        <f>SUM((Table13[[#This Row],[Laid_Off]]*100)/Table13[[#This Row],[Percentage]])</f>
        <v>3750</v>
      </c>
      <c r="L2237" s="25">
        <f>SUM(Table13[[#This Row],[Company_Size_before_Layoffs]]-Table13[[#This Row],[Laid_Off]])</f>
        <v>3600</v>
      </c>
      <c r="M2237" s="3" t="s">
        <v>92</v>
      </c>
      <c r="N2237" s="3" t="s">
        <v>28</v>
      </c>
      <c r="O2237" s="34">
        <v>7</v>
      </c>
      <c r="P2237" s="3">
        <v>2025</v>
      </c>
      <c r="Q2237" s="3">
        <f>VLOOKUP(C2237,layoffs_location!A:F,6,FALSE)</f>
        <v>49.260872399999997</v>
      </c>
      <c r="R2237" s="3">
        <f>VLOOKUP(C2237,layoffs_location!A:G,7,FALSE)</f>
        <v>-123.113952</v>
      </c>
    </row>
    <row r="2238" spans="1:18" x14ac:dyDescent="0.2">
      <c r="A2238" s="3">
        <v>2237</v>
      </c>
      <c r="B2238" s="3" t="s">
        <v>745</v>
      </c>
      <c r="C2238" s="3" t="s">
        <v>83</v>
      </c>
      <c r="D2238" s="3" t="str">
        <f>VLOOKUP(C2238,layoffs_location!A:B,2,FALSE)</f>
        <v>other</v>
      </c>
      <c r="E2238" s="3" t="str">
        <f>VLOOKUP(C2238,layoffs_location!A:C,3,FALSE)</f>
        <v>Texas</v>
      </c>
      <c r="F2238" s="3" t="str">
        <f>VLOOKUP(C2238,layoffs_location!A:D,4,FALSE)</f>
        <v>USA</v>
      </c>
      <c r="G2238" s="3" t="str">
        <f>VLOOKUP(C2238,layoffs_location!A:E,5,FALSE)</f>
        <v>North America</v>
      </c>
      <c r="H2238" s="3">
        <v>116</v>
      </c>
      <c r="I2238" s="64">
        <v>45828</v>
      </c>
      <c r="J2238" s="9"/>
      <c r="K2238" s="25"/>
      <c r="L2238" s="25"/>
      <c r="M2238" s="3" t="s">
        <v>92</v>
      </c>
      <c r="N2238" s="3" t="s">
        <v>1696</v>
      </c>
      <c r="O2238" s="34">
        <v>138</v>
      </c>
      <c r="P2238" s="3">
        <v>2025</v>
      </c>
      <c r="Q2238" s="3">
        <f>VLOOKUP(C2238,layoffs_location!A:F,6,FALSE)</f>
        <v>30.271128600000001</v>
      </c>
      <c r="R2238" s="3">
        <f>VLOOKUP(C2238,layoffs_location!A:G,7,FALSE)</f>
        <v>-97.743699500000005</v>
      </c>
    </row>
    <row r="2239" spans="1:18" x14ac:dyDescent="0.2">
      <c r="A2239" s="3">
        <v>2238</v>
      </c>
      <c r="B2239" s="3" t="s">
        <v>2086</v>
      </c>
      <c r="C2239" s="3" t="s">
        <v>47</v>
      </c>
      <c r="D2239" s="3" t="str">
        <f>VLOOKUP(C2239,layoffs_location!A:B,2,FALSE)</f>
        <v>other</v>
      </c>
      <c r="E2239" s="3" t="str">
        <f>VLOOKUP(C2239,layoffs_location!A:C,3,FALSE)</f>
        <v>non</v>
      </c>
      <c r="F2239" s="3" t="str">
        <f>VLOOKUP(C2239,layoffs_location!A:D,4,FALSE)</f>
        <v>Israel</v>
      </c>
      <c r="G2239" s="3" t="str">
        <f>VLOOKUP(C2239,layoffs_location!A:E,5,FALSE)</f>
        <v>Asia</v>
      </c>
      <c r="H2239" s="3">
        <v>30</v>
      </c>
      <c r="I2239" s="64">
        <v>45828</v>
      </c>
      <c r="J2239" s="9">
        <v>50</v>
      </c>
      <c r="K2239" s="25">
        <f>SUM((Table13[[#This Row],[Laid_Off]]*100)/Table13[[#This Row],[Percentage]])</f>
        <v>60</v>
      </c>
      <c r="L2239" s="25">
        <f>SUM(Table13[[#This Row],[Company_Size_before_Layoffs]]-Table13[[#This Row],[Laid_Off]])</f>
        <v>30</v>
      </c>
      <c r="M2239" s="3" t="s">
        <v>60</v>
      </c>
      <c r="N2239" s="3" t="s">
        <v>49</v>
      </c>
      <c r="O2239" s="34">
        <v>69</v>
      </c>
      <c r="P2239" s="3">
        <v>2025</v>
      </c>
      <c r="Q2239" s="3">
        <f>VLOOKUP(C2239,layoffs_location!A:F,6,FALSE)</f>
        <v>32.0852997</v>
      </c>
      <c r="R2239" s="3">
        <f>VLOOKUP(C2239,layoffs_location!A:G,7,FALSE)</f>
        <v>34.781806400000001</v>
      </c>
    </row>
    <row r="2240" spans="1:18" x14ac:dyDescent="0.2">
      <c r="A2240" s="3">
        <v>2239</v>
      </c>
      <c r="B2240" s="3" t="s">
        <v>513</v>
      </c>
      <c r="C2240" s="3" t="s">
        <v>1408</v>
      </c>
      <c r="D2240" s="3" t="str">
        <f>VLOOKUP(C2240,layoffs_location!A:B,2,FALSE)</f>
        <v>San Francisco Bay Area</v>
      </c>
      <c r="E2240" s="3" t="str">
        <f>VLOOKUP(C2240,layoffs_location!A:C,3,FALSE)</f>
        <v>California</v>
      </c>
      <c r="F2240" s="3" t="str">
        <f>VLOOKUP(C2240,layoffs_location!A:D,4,FALSE)</f>
        <v>USA</v>
      </c>
      <c r="G2240" s="3" t="str">
        <f>VLOOKUP(C2240,layoffs_location!A:E,5,FALSE)</f>
        <v>North America</v>
      </c>
      <c r="H2240" s="3">
        <v>75</v>
      </c>
      <c r="I2240" s="64">
        <v>45832</v>
      </c>
      <c r="J2240" s="9"/>
      <c r="K2240" s="25"/>
      <c r="L2240" s="25"/>
      <c r="M2240" s="3" t="s">
        <v>16</v>
      </c>
      <c r="N2240" s="3" t="s">
        <v>28</v>
      </c>
      <c r="O2240" s="34">
        <v>26</v>
      </c>
      <c r="P2240" s="3">
        <v>2025</v>
      </c>
      <c r="Q2240" s="3">
        <f>VLOOKUP(C2240,layoffs_location!A:F,6,FALSE)</f>
        <v>37.3893889</v>
      </c>
      <c r="R2240" s="3">
        <f>VLOOKUP(C2240,layoffs_location!A:G,7,FALSE)</f>
        <v>-122.0832101</v>
      </c>
    </row>
    <row r="2241" spans="1:18" x14ac:dyDescent="0.2">
      <c r="A2241" s="3">
        <v>2240</v>
      </c>
      <c r="B2241" s="3" t="s">
        <v>1578</v>
      </c>
      <c r="C2241" s="3" t="s">
        <v>637</v>
      </c>
      <c r="D2241" s="3" t="str">
        <f>VLOOKUP(C2241,layoffs_location!A:B,2,FALSE)</f>
        <v>other</v>
      </c>
      <c r="E2241" s="3" t="str">
        <f>VLOOKUP(C2241,layoffs_location!A:C,3,FALSE)</f>
        <v>California</v>
      </c>
      <c r="F2241" s="3" t="str">
        <f>VLOOKUP(C2241,layoffs_location!A:D,4,FALSE)</f>
        <v>USA</v>
      </c>
      <c r="G2241" s="3" t="str">
        <f>VLOOKUP(C2241,layoffs_location!A:E,5,FALSE)</f>
        <v>North America</v>
      </c>
      <c r="I2241" s="64">
        <v>45832</v>
      </c>
      <c r="J2241" s="9"/>
      <c r="K2241" s="25"/>
      <c r="L2241" s="25"/>
      <c r="M2241" s="3" t="s">
        <v>87</v>
      </c>
      <c r="N2241" s="3" t="s">
        <v>28</v>
      </c>
      <c r="O2241" s="34">
        <v>12</v>
      </c>
      <c r="P2241" s="3">
        <v>2025</v>
      </c>
      <c r="Q2241" s="3">
        <f>VLOOKUP(C2241,layoffs_location!A:F,6,FALSE)</f>
        <v>38.581060600000001</v>
      </c>
      <c r="R2241" s="3">
        <f>VLOOKUP(C2241,layoffs_location!A:G,7,FALSE)</f>
        <v>-121.49389499999999</v>
      </c>
    </row>
    <row r="2242" spans="1:18" x14ac:dyDescent="0.2">
      <c r="A2242" s="3">
        <v>2241</v>
      </c>
      <c r="B2242" s="3" t="s">
        <v>523</v>
      </c>
      <c r="C2242" s="3" t="s">
        <v>4589</v>
      </c>
      <c r="D2242" s="3" t="str">
        <f>VLOOKUP(C2242,layoffs_location!A:B,2,FALSE)</f>
        <v>Cascadia</v>
      </c>
      <c r="E2242" s="3" t="str">
        <f>VLOOKUP(C2242,layoffs_location!A:C,3,FALSE)</f>
        <v>Washington</v>
      </c>
      <c r="F2242" s="3" t="str">
        <f>VLOOKUP(C2242,layoffs_location!A:D,4,FALSE)</f>
        <v>USA</v>
      </c>
      <c r="G2242" s="3" t="str">
        <f>VLOOKUP(C2242,layoffs_location!A:E,5,FALSE)</f>
        <v>Asia</v>
      </c>
      <c r="I2242" s="64">
        <v>45832</v>
      </c>
      <c r="J2242" s="9"/>
      <c r="K2242" s="25"/>
      <c r="L2242" s="25"/>
      <c r="M2242" s="3" t="s">
        <v>60</v>
      </c>
      <c r="N2242" s="3" t="s">
        <v>28</v>
      </c>
      <c r="O2242" s="34">
        <v>1</v>
      </c>
      <c r="P2242" s="3">
        <v>2025</v>
      </c>
      <c r="Q2242" s="3">
        <f>VLOOKUP(C2242,layoffs_location!A:F,6,FALSE)</f>
        <v>47.645404522430098</v>
      </c>
      <c r="R2242" s="3">
        <f>VLOOKUP(C2242,layoffs_location!A:G,7,FALSE)</f>
        <v>-122.13299976733499</v>
      </c>
    </row>
    <row r="2243" spans="1:18" x14ac:dyDescent="0.2">
      <c r="A2243" s="3">
        <v>2242</v>
      </c>
      <c r="B2243" s="3" t="s">
        <v>597</v>
      </c>
      <c r="C2243" s="3" t="s">
        <v>113</v>
      </c>
      <c r="D2243" s="3" t="str">
        <f>VLOOKUP(C2243,layoffs_location!A:B,2,FALSE)</f>
        <v>other</v>
      </c>
      <c r="E2243" s="3" t="str">
        <f>VLOOKUP(C2243,layoffs_location!A:C,3,FALSE)</f>
        <v>Utah</v>
      </c>
      <c r="F2243" s="3" t="str">
        <f>VLOOKUP(C2243,layoffs_location!A:D,4,FALSE)</f>
        <v>USA</v>
      </c>
      <c r="G2243" s="3" t="str">
        <f>VLOOKUP(C2243,layoffs_location!A:E,5,FALSE)</f>
        <v>North America</v>
      </c>
      <c r="I2243" s="64">
        <v>45832</v>
      </c>
      <c r="J2243" s="9">
        <v>17</v>
      </c>
      <c r="K2243" s="25"/>
      <c r="L2243" s="25"/>
      <c r="M2243" s="3" t="s">
        <v>68</v>
      </c>
      <c r="N2243" s="3" t="s">
        <v>33</v>
      </c>
      <c r="O2243" s="34">
        <v>192</v>
      </c>
      <c r="P2243" s="3">
        <v>2025</v>
      </c>
      <c r="Q2243" s="3">
        <f>VLOOKUP(C2243,layoffs_location!A:F,6,FALSE)</f>
        <v>40.759619800000003</v>
      </c>
      <c r="R2243" s="3">
        <f>VLOOKUP(C2243,layoffs_location!A:G,7,FALSE)</f>
        <v>-111.886797</v>
      </c>
    </row>
    <row r="2244" spans="1:18" x14ac:dyDescent="0.2">
      <c r="A2244" s="3">
        <v>2243</v>
      </c>
      <c r="B2244" s="3" t="s">
        <v>1522</v>
      </c>
      <c r="C2244" s="3" t="s">
        <v>83</v>
      </c>
      <c r="D2244" s="3" t="str">
        <f>VLOOKUP(C2244,layoffs_location!A:B,2,FALSE)</f>
        <v>other</v>
      </c>
      <c r="E2244" s="3" t="str">
        <f>VLOOKUP(C2244,layoffs_location!A:C,3,FALSE)</f>
        <v>Texas</v>
      </c>
      <c r="F2244" s="3" t="str">
        <f>VLOOKUP(C2244,layoffs_location!A:D,4,FALSE)</f>
        <v>USA</v>
      </c>
      <c r="G2244" s="3" t="str">
        <f>VLOOKUP(C2244,layoffs_location!A:E,5,FALSE)</f>
        <v>North America</v>
      </c>
      <c r="H2244" s="3">
        <v>240</v>
      </c>
      <c r="I2244" s="64">
        <v>45833</v>
      </c>
      <c r="J2244" s="9">
        <v>30</v>
      </c>
      <c r="K2244" s="25">
        <f>SUM((Table13[[#This Row],[Laid_Off]]*100)/Table13[[#This Row],[Percentage]])</f>
        <v>800</v>
      </c>
      <c r="L2244" s="25">
        <f>SUM(Table13[[#This Row],[Company_Size_before_Layoffs]]-Table13[[#This Row],[Laid_Off]])</f>
        <v>560</v>
      </c>
      <c r="M2244" s="3" t="s">
        <v>16</v>
      </c>
      <c r="N2244" s="3" t="s">
        <v>28</v>
      </c>
      <c r="O2244" s="34">
        <v>313</v>
      </c>
      <c r="P2244" s="3">
        <v>2025</v>
      </c>
      <c r="Q2244" s="3">
        <f>VLOOKUP(C2244,layoffs_location!A:F,6,FALSE)</f>
        <v>30.271128600000001</v>
      </c>
      <c r="R2244" s="3">
        <f>VLOOKUP(C2244,layoffs_location!A:G,7,FALSE)</f>
        <v>-97.743699500000005</v>
      </c>
    </row>
    <row r="2245" spans="1:18" x14ac:dyDescent="0.2">
      <c r="A2245" s="3">
        <v>2244</v>
      </c>
      <c r="B2245" s="3" t="s">
        <v>2084</v>
      </c>
      <c r="C2245" s="3" t="s">
        <v>271</v>
      </c>
      <c r="D2245" s="3" t="str">
        <f>VLOOKUP(C2245,layoffs_location!A:B,2,FALSE)</f>
        <v>Cascadia</v>
      </c>
      <c r="E2245" s="3" t="str">
        <f>VLOOKUP(C2245,layoffs_location!A:C,3,FALSE)</f>
        <v>British Columbia</v>
      </c>
      <c r="F2245" s="3" t="str">
        <f>VLOOKUP(C2245,layoffs_location!A:D,4,FALSE)</f>
        <v>Canada</v>
      </c>
      <c r="G2245" s="3" t="str">
        <f>VLOOKUP(C2245,layoffs_location!A:E,5,FALSE)</f>
        <v>North America</v>
      </c>
      <c r="H2245" s="3">
        <v>85</v>
      </c>
      <c r="I2245" s="64">
        <v>45833</v>
      </c>
      <c r="J2245" s="9">
        <v>40</v>
      </c>
      <c r="K2245" s="25">
        <f>SUM((Table13[[#This Row],[Laid_Off]]*100)/Table13[[#This Row],[Percentage]])</f>
        <v>212.5</v>
      </c>
      <c r="L2245" s="25">
        <f>SUM(Table13[[#This Row],[Company_Size_before_Layoffs]]-Table13[[#This Row],[Laid_Off]])</f>
        <v>127.5</v>
      </c>
      <c r="M2245" s="3" t="s">
        <v>92</v>
      </c>
      <c r="N2245" s="3" t="s">
        <v>49</v>
      </c>
      <c r="O2245" s="34">
        <v>83</v>
      </c>
      <c r="P2245" s="3">
        <v>2025</v>
      </c>
      <c r="Q2245" s="3">
        <f>VLOOKUP(C2245,layoffs_location!A:F,6,FALSE)</f>
        <v>49.260872399999997</v>
      </c>
      <c r="R2245" s="3">
        <f>VLOOKUP(C2245,layoffs_location!A:G,7,FALSE)</f>
        <v>-123.113952</v>
      </c>
    </row>
    <row r="2246" spans="1:18" x14ac:dyDescent="0.2">
      <c r="A2246" s="3">
        <v>2245</v>
      </c>
      <c r="B2246" s="3" t="s">
        <v>858</v>
      </c>
      <c r="C2246" s="3" t="s">
        <v>76</v>
      </c>
      <c r="D2246" s="3" t="str">
        <f>VLOOKUP(C2246,layoffs_location!A:B,2,FALSE)</f>
        <v>other</v>
      </c>
      <c r="E2246" s="3" t="str">
        <f>VLOOKUP(C2246,layoffs_location!A:C,3,FALSE)</f>
        <v>California</v>
      </c>
      <c r="F2246" s="3" t="str">
        <f>VLOOKUP(C2246,layoffs_location!A:D,4,FALSE)</f>
        <v>USA</v>
      </c>
      <c r="G2246" s="3" t="str">
        <f>VLOOKUP(C2246,layoffs_location!A:E,5,FALSE)</f>
        <v>North America</v>
      </c>
      <c r="H2246" s="3">
        <v>140</v>
      </c>
      <c r="I2246" s="64">
        <v>45834</v>
      </c>
      <c r="J2246" s="9">
        <v>1</v>
      </c>
      <c r="K2246" s="25">
        <f>SUM((Table13[[#This Row],[Laid_Off]]*100)/Table13[[#This Row],[Percentage]])</f>
        <v>14000</v>
      </c>
      <c r="L2246" s="25">
        <f>SUM(Table13[[#This Row],[Company_Size_before_Layoffs]]-Table13[[#This Row],[Laid_Off]])</f>
        <v>13860</v>
      </c>
      <c r="M2246" s="3" t="s">
        <v>32</v>
      </c>
      <c r="N2246" s="3" t="s">
        <v>28</v>
      </c>
      <c r="O2246" s="34">
        <v>10700</v>
      </c>
      <c r="P2246" s="3">
        <v>2025</v>
      </c>
      <c r="Q2246" s="3">
        <f>VLOOKUP(C2246,layoffs_location!A:F,6,FALSE)</f>
        <v>34.053690899999999</v>
      </c>
      <c r="R2246" s="3">
        <f>VLOOKUP(C2246,layoffs_location!A:G,7,FALSE)</f>
        <v>-118.242766</v>
      </c>
    </row>
    <row r="2247" spans="1:18" x14ac:dyDescent="0.2">
      <c r="A2247" s="3">
        <v>2246</v>
      </c>
      <c r="B2247" s="3" t="s">
        <v>2085</v>
      </c>
      <c r="C2247" s="3" t="s">
        <v>655</v>
      </c>
      <c r="D2247" s="3" t="str">
        <f>VLOOKUP(C2247,layoffs_location!A:B,2,FALSE)</f>
        <v>other</v>
      </c>
      <c r="E2247" s="3" t="str">
        <f>VLOOKUP(C2247,layoffs_location!A:C,3,FALSE)</f>
        <v>non</v>
      </c>
      <c r="F2247" s="3" t="str">
        <f>VLOOKUP(C2247,layoffs_location!A:D,4,FALSE)</f>
        <v>Nigeria</v>
      </c>
      <c r="G2247" s="3" t="str">
        <f>VLOOKUP(C2247,layoffs_location!A:E,5,FALSE)</f>
        <v>Africa</v>
      </c>
      <c r="H2247" s="3">
        <v>50</v>
      </c>
      <c r="I2247" s="64">
        <v>45837</v>
      </c>
      <c r="J2247" s="9">
        <v>20</v>
      </c>
      <c r="K2247" s="25">
        <f>SUM((Table13[[#This Row],[Laid_Off]]*100)/Table13[[#This Row],[Percentage]])</f>
        <v>250</v>
      </c>
      <c r="L2247" s="25">
        <f>SUM(Table13[[#This Row],[Company_Size_before_Layoffs]]-Table13[[#This Row],[Laid_Off]])</f>
        <v>200</v>
      </c>
      <c r="M2247" s="3" t="s">
        <v>30</v>
      </c>
      <c r="N2247" s="3" t="s">
        <v>49</v>
      </c>
      <c r="O2247" s="34">
        <v>66</v>
      </c>
      <c r="P2247" s="3">
        <v>2025</v>
      </c>
      <c r="Q2247" s="3">
        <f>VLOOKUP(C2247,layoffs_location!A:F,6,FALSE)</f>
        <v>6.4550574999999997</v>
      </c>
      <c r="R2247" s="3">
        <f>VLOOKUP(C2247,layoffs_location!A:G,7,FALSE)</f>
        <v>3.3941794999999999</v>
      </c>
    </row>
    <row r="2248" spans="1:18" x14ac:dyDescent="0.2">
      <c r="A2248" s="3">
        <v>2247</v>
      </c>
      <c r="B2248" s="3" t="s">
        <v>523</v>
      </c>
      <c r="C2248" s="3" t="s">
        <v>4589</v>
      </c>
      <c r="D2248" s="3" t="str">
        <f>VLOOKUP(C2248,layoffs_location!A:B,2,FALSE)</f>
        <v>Cascadia</v>
      </c>
      <c r="E2248" s="3" t="str">
        <f>VLOOKUP(C2248,layoffs_location!A:C,3,FALSE)</f>
        <v>Washington</v>
      </c>
      <c r="F2248" s="3" t="str">
        <f>VLOOKUP(C2248,layoffs_location!A:D,4,FALSE)</f>
        <v>USA</v>
      </c>
      <c r="G2248" s="3" t="str">
        <f>VLOOKUP(C2248,layoffs_location!A:E,5,FALSE)</f>
        <v>Asia</v>
      </c>
      <c r="H2248" s="3">
        <v>9000</v>
      </c>
      <c r="I2248" s="64">
        <v>45840</v>
      </c>
      <c r="J2248" s="9">
        <v>4</v>
      </c>
      <c r="K2248" s="25">
        <f>SUM((Table13[[#This Row],[Laid_Off]]*100)/Table13[[#This Row],[Percentage]])</f>
        <v>225000</v>
      </c>
      <c r="L2248" s="25">
        <f>SUM(Table13[[#This Row],[Company_Size_before_Layoffs]]-Table13[[#This Row],[Laid_Off]])</f>
        <v>216000</v>
      </c>
      <c r="M2248" s="3" t="s">
        <v>60</v>
      </c>
      <c r="N2248" s="3" t="s">
        <v>28</v>
      </c>
      <c r="O2248" s="34">
        <v>1</v>
      </c>
      <c r="P2248" s="3">
        <v>2025</v>
      </c>
      <c r="Q2248" s="3">
        <f>VLOOKUP(C2248,layoffs_location!A:F,6,FALSE)</f>
        <v>47.645404522430098</v>
      </c>
      <c r="R2248" s="3">
        <f>VLOOKUP(C2248,layoffs_location!A:G,7,FALSE)</f>
        <v>-122.13299976733499</v>
      </c>
    </row>
    <row r="2249" spans="1:18" x14ac:dyDescent="0.2">
      <c r="A2249" s="3">
        <v>2248</v>
      </c>
      <c r="B2249" s="3" t="s">
        <v>1375</v>
      </c>
      <c r="C2249" s="3" t="s">
        <v>217</v>
      </c>
      <c r="D2249" s="3" t="str">
        <f>VLOOKUP(C2249,layoffs_location!A:B,2,FALSE)</f>
        <v>other</v>
      </c>
      <c r="E2249" s="3" t="str">
        <f>VLOOKUP(C2249,layoffs_location!A:C,3,FALSE)</f>
        <v>non</v>
      </c>
      <c r="F2249" s="3" t="str">
        <f>VLOOKUP(C2249,layoffs_location!A:D,4,FALSE)</f>
        <v>Ireland</v>
      </c>
      <c r="G2249" s="3" t="str">
        <f>VLOOKUP(C2249,layoffs_location!A:E,5,FALSE)</f>
        <v>Europe</v>
      </c>
      <c r="I2249" s="64">
        <v>45840</v>
      </c>
      <c r="J2249" s="9"/>
      <c r="K2249" s="25"/>
      <c r="L2249" s="25"/>
      <c r="M2249" s="3" t="s">
        <v>16</v>
      </c>
      <c r="N2249" s="3" t="s">
        <v>33</v>
      </c>
      <c r="P2249" s="3">
        <v>2025</v>
      </c>
      <c r="Q2249" s="3">
        <f>VLOOKUP(C2249,layoffs_location!A:F,6,FALSE)</f>
        <v>53.349379499999998</v>
      </c>
      <c r="R2249" s="3">
        <f>VLOOKUP(C2249,layoffs_location!A:G,7,FALSE)</f>
        <v>-6.2605592999999997</v>
      </c>
    </row>
    <row r="2250" spans="1:18" x14ac:dyDescent="0.2">
      <c r="A2250" s="3">
        <v>2249</v>
      </c>
      <c r="B2250" s="3" t="s">
        <v>2315</v>
      </c>
      <c r="C2250" s="3" t="s">
        <v>39</v>
      </c>
      <c r="D2250" s="3" t="str">
        <f>VLOOKUP(C2250,layoffs_location!A:B,2,FALSE)</f>
        <v>New York</v>
      </c>
      <c r="E2250" s="3" t="str">
        <f>VLOOKUP(C2250,layoffs_location!A:C,3,FALSE)</f>
        <v>New York</v>
      </c>
      <c r="F2250" s="3" t="str">
        <f>VLOOKUP(C2250,layoffs_location!A:D,4,FALSE)</f>
        <v>USA</v>
      </c>
      <c r="G2250" s="3" t="str">
        <f>VLOOKUP(C2250,layoffs_location!A:E,5,FALSE)</f>
        <v>North America</v>
      </c>
      <c r="H2250" s="3">
        <v>20</v>
      </c>
      <c r="I2250" s="8">
        <v>45840</v>
      </c>
      <c r="J2250" s="9"/>
      <c r="K2250" s="20"/>
      <c r="L2250" s="20"/>
      <c r="M2250" s="3" t="s">
        <v>1400</v>
      </c>
      <c r="P2250" s="3">
        <v>2025</v>
      </c>
      <c r="Q2250" s="3">
        <f>VLOOKUP(C2250,layoffs_location!A:F,6,FALSE)</f>
        <v>40.7127281</v>
      </c>
      <c r="R2250" s="3">
        <f>VLOOKUP(C2250,layoffs_location!A:G,7,FALSE)</f>
        <v>-74.006015199999993</v>
      </c>
    </row>
    <row r="2251" spans="1:18" x14ac:dyDescent="0.2">
      <c r="A2251" s="3">
        <v>2250</v>
      </c>
      <c r="B2251" s="3" t="s">
        <v>2316</v>
      </c>
      <c r="C2251" s="3" t="s">
        <v>655</v>
      </c>
      <c r="D2251" s="3" t="str">
        <f>VLOOKUP(C2251,layoffs_location!A:B,2,FALSE)</f>
        <v>other</v>
      </c>
      <c r="E2251" s="3" t="str">
        <f>VLOOKUP(C2251,layoffs_location!A:C,3,FALSE)</f>
        <v>non</v>
      </c>
      <c r="F2251" s="3" t="str">
        <f>VLOOKUP(C2251,layoffs_location!A:D,4,FALSE)</f>
        <v>Nigeria</v>
      </c>
      <c r="G2251" s="3" t="str">
        <f>VLOOKUP(C2251,layoffs_location!A:E,5,FALSE)</f>
        <v>Africa</v>
      </c>
      <c r="I2251" s="8">
        <v>45840</v>
      </c>
      <c r="J2251" s="9">
        <v>100</v>
      </c>
      <c r="K2251" s="10"/>
      <c r="L2251" s="10"/>
      <c r="M2251" s="3" t="s">
        <v>35</v>
      </c>
      <c r="P2251" s="3">
        <v>2025</v>
      </c>
      <c r="Q2251" s="3">
        <f>VLOOKUP(C2251,layoffs_location!A:F,6,FALSE)</f>
        <v>6.4550574999999997</v>
      </c>
      <c r="R2251" s="3">
        <f>VLOOKUP(C2251,layoffs_location!A:G,7,FALSE)</f>
        <v>3.3941794999999999</v>
      </c>
    </row>
    <row r="2252" spans="1:18" x14ac:dyDescent="0.2">
      <c r="A2252" s="3">
        <v>2251</v>
      </c>
      <c r="B2252" s="3" t="s">
        <v>2313</v>
      </c>
      <c r="C2252" s="3" t="s">
        <v>2253</v>
      </c>
      <c r="D2252" s="3" t="str">
        <f>VLOOKUP(C2252,layoffs_location!A:B,2,FALSE)</f>
        <v>other</v>
      </c>
      <c r="E2252" s="3" t="str">
        <f>VLOOKUP(C2252,layoffs_location!A:C,3,FALSE)</f>
        <v>Telangana</v>
      </c>
      <c r="F2252" s="3" t="str">
        <f>VLOOKUP(C2252,layoffs_location!A:D,4,FALSE)</f>
        <v>India</v>
      </c>
      <c r="G2252" s="3" t="str">
        <f>VLOOKUP(C2252,layoffs_location!A:E,5,FALSE)</f>
        <v>Asia</v>
      </c>
      <c r="I2252" s="8">
        <v>45845</v>
      </c>
      <c r="J2252" s="9">
        <v>100</v>
      </c>
      <c r="K2252" s="10"/>
      <c r="L2252" s="10"/>
      <c r="M2252" s="3" t="s">
        <v>62</v>
      </c>
      <c r="P2252" s="3">
        <v>2025</v>
      </c>
      <c r="Q2252" s="3">
        <f>VLOOKUP(C2252,layoffs_location!A:F,6,FALSE)</f>
        <v>17.4212491186112</v>
      </c>
      <c r="R2252" s="3">
        <f>VLOOKUP(C2252,layoffs_location!A:G,7,FALSE)</f>
        <v>78.388767125272906</v>
      </c>
    </row>
    <row r="2253" spans="1:18" x14ac:dyDescent="0.2">
      <c r="A2253" s="3">
        <v>2252</v>
      </c>
      <c r="B2253" s="3" t="s">
        <v>2314</v>
      </c>
      <c r="C2253" s="3" t="s">
        <v>2174</v>
      </c>
      <c r="D2253" s="3" t="str">
        <f>VLOOKUP(C2253,layoffs_location!A:B,2,FALSE)</f>
        <v>other</v>
      </c>
      <c r="E2253" s="3" t="str">
        <f>VLOOKUP(C2253,layoffs_location!A:C,3,FALSE)</f>
        <v>non</v>
      </c>
      <c r="F2253" s="3" t="str">
        <f>VLOOKUP(C2253,layoffs_location!A:D,4,FALSE)</f>
        <v>Israel</v>
      </c>
      <c r="G2253" s="3" t="str">
        <f>VLOOKUP(C2253,layoffs_location!A:E,5,FALSE)</f>
        <v>Asia</v>
      </c>
      <c r="H2253" s="3">
        <v>70</v>
      </c>
      <c r="I2253" s="8">
        <v>45845</v>
      </c>
      <c r="J2253" s="9"/>
      <c r="K2253" s="10"/>
      <c r="L2253" s="10"/>
      <c r="M2253" s="3" t="s">
        <v>1377</v>
      </c>
      <c r="P2253" s="3">
        <v>2025</v>
      </c>
      <c r="Q2253" s="3">
        <f>VLOOKUP(C2253,layoffs_location!A:F,6,FALSE)</f>
        <v>32.175277271939102</v>
      </c>
      <c r="R2253" s="3">
        <f>VLOOKUP(C2253,layoffs_location!A:G,7,FALSE)</f>
        <v>34.829547799125997</v>
      </c>
    </row>
    <row r="2254" spans="1:18" x14ac:dyDescent="0.2">
      <c r="A2254" s="3">
        <v>2253</v>
      </c>
      <c r="B2254" s="3" t="s">
        <v>1419</v>
      </c>
      <c r="C2254" s="3" t="s">
        <v>43</v>
      </c>
      <c r="D2254" s="3" t="str">
        <f>VLOOKUP(C2254,layoffs_location!A:B,2,FALSE)</f>
        <v>Cascadia</v>
      </c>
      <c r="E2254" s="3" t="str">
        <f>VLOOKUP(C2254,layoffs_location!A:C,3,FALSE)</f>
        <v>Washington</v>
      </c>
      <c r="F2254" s="3" t="str">
        <f>VLOOKUP(C2254,layoffs_location!A:D,4,FALSE)</f>
        <v>USA</v>
      </c>
      <c r="G2254" s="3" t="str">
        <f>VLOOKUP(C2254,layoffs_location!A:E,5,FALSE)</f>
        <v>North America</v>
      </c>
      <c r="H2254" s="3">
        <v>65</v>
      </c>
      <c r="I2254" s="8">
        <v>45845</v>
      </c>
      <c r="J2254" s="9"/>
      <c r="K2254" s="10"/>
      <c r="L2254" s="10"/>
      <c r="M2254" s="3" t="s">
        <v>1400</v>
      </c>
      <c r="P2254" s="3">
        <v>2025</v>
      </c>
      <c r="Q2254" s="3">
        <f>VLOOKUP(C2254,layoffs_location!A:F,6,FALSE)</f>
        <v>47.603832099999998</v>
      </c>
      <c r="R2254" s="3">
        <f>VLOOKUP(C2254,layoffs_location!A:G,7,FALSE)</f>
        <v>-122.330062</v>
      </c>
    </row>
    <row r="2255" spans="1:18" x14ac:dyDescent="0.2">
      <c r="A2255" s="3">
        <v>2254</v>
      </c>
      <c r="B2255" s="3" t="s">
        <v>2312</v>
      </c>
      <c r="C2255" s="3" t="s">
        <v>43</v>
      </c>
      <c r="D2255" s="3" t="str">
        <f>VLOOKUP(C2255,layoffs_location!A:B,2,FALSE)</f>
        <v>Cascadia</v>
      </c>
      <c r="E2255" s="3" t="str">
        <f>VLOOKUP(C2255,layoffs_location!A:C,3,FALSE)</f>
        <v>Washington</v>
      </c>
      <c r="F2255" s="3" t="str">
        <f>VLOOKUP(C2255,layoffs_location!A:D,4,FALSE)</f>
        <v>USA</v>
      </c>
      <c r="G2255" s="3" t="str">
        <f>VLOOKUP(C2255,layoffs_location!A:E,5,FALSE)</f>
        <v>North America</v>
      </c>
      <c r="I2255" s="8">
        <v>45846</v>
      </c>
      <c r="J2255" s="9">
        <v>25</v>
      </c>
      <c r="K2255" s="10"/>
      <c r="L2255" s="10"/>
      <c r="M2255" s="3" t="s">
        <v>1400</v>
      </c>
      <c r="P2255" s="3">
        <v>2025</v>
      </c>
      <c r="Q2255" s="3">
        <f>VLOOKUP(C2255,layoffs_location!A:F,6,FALSE)</f>
        <v>47.603832099999998</v>
      </c>
      <c r="R2255" s="3">
        <f>VLOOKUP(C2255,layoffs_location!A:G,7,FALSE)</f>
        <v>-122.330062</v>
      </c>
    </row>
    <row r="2256" spans="1:18" x14ac:dyDescent="0.2">
      <c r="A2256" s="3">
        <v>2255</v>
      </c>
      <c r="B2256" s="3" t="s">
        <v>1578</v>
      </c>
      <c r="C2256" s="3" t="s">
        <v>145</v>
      </c>
      <c r="D2256" s="3" t="str">
        <f>VLOOKUP(C2256,layoffs_location!A:B,2,FALSE)</f>
        <v>Cascadia</v>
      </c>
      <c r="E2256" s="3" t="str">
        <f>VLOOKUP(C2256,layoffs_location!A:C,3,FALSE)</f>
        <v>Oregon</v>
      </c>
      <c r="F2256" s="3" t="str">
        <f>VLOOKUP(C2256,layoffs_location!A:D,4,FALSE)</f>
        <v>USA</v>
      </c>
      <c r="G2256" s="3" t="str">
        <f>VLOOKUP(C2256,layoffs_location!A:E,5,FALSE)</f>
        <v>North America</v>
      </c>
      <c r="H2256" s="3">
        <v>500</v>
      </c>
      <c r="I2256" s="8">
        <v>45846</v>
      </c>
      <c r="J2256" s="9"/>
      <c r="K2256" s="10"/>
      <c r="L2256" s="10"/>
      <c r="M2256" s="3" t="s">
        <v>2139</v>
      </c>
      <c r="P2256" s="3">
        <v>2025</v>
      </c>
      <c r="Q2256" s="3">
        <f>VLOOKUP(C2256,layoffs_location!A:F,6,FALSE)</f>
        <v>45.520247099999999</v>
      </c>
      <c r="R2256" s="3">
        <f>VLOOKUP(C2256,layoffs_location!A:G,7,FALSE)</f>
        <v>-122.674194</v>
      </c>
    </row>
    <row r="2257" spans="1:18" x14ac:dyDescent="0.2">
      <c r="A2257" s="3">
        <v>2256</v>
      </c>
      <c r="B2257" s="3" t="s">
        <v>2310</v>
      </c>
      <c r="C2257" s="3" t="s">
        <v>83</v>
      </c>
      <c r="D2257" s="3" t="str">
        <f>VLOOKUP(C2257,layoffs_location!A:B,2,FALSE)</f>
        <v>other</v>
      </c>
      <c r="E2257" s="3" t="str">
        <f>VLOOKUP(C2257,layoffs_location!A:C,3,FALSE)</f>
        <v>Texas</v>
      </c>
      <c r="F2257" s="3" t="str">
        <f>VLOOKUP(C2257,layoffs_location!A:D,4,FALSE)</f>
        <v>USA</v>
      </c>
      <c r="G2257" s="3" t="str">
        <f>VLOOKUP(C2257,layoffs_location!A:E,5,FALSE)</f>
        <v>North America</v>
      </c>
      <c r="H2257" s="3">
        <v>1300</v>
      </c>
      <c r="I2257" s="8">
        <v>45848</v>
      </c>
      <c r="J2257" s="9"/>
      <c r="K2257" s="20"/>
      <c r="L2257" s="20"/>
      <c r="M2257" s="3" t="s">
        <v>2311</v>
      </c>
      <c r="P2257" s="3">
        <v>2025</v>
      </c>
      <c r="Q2257" s="3">
        <f>VLOOKUP(C2257,layoffs_location!A:F,6,FALSE)</f>
        <v>30.271128600000001</v>
      </c>
      <c r="R2257" s="3">
        <f>VLOOKUP(C2257,layoffs_location!A:G,7,FALSE)</f>
        <v>-97.743699500000005</v>
      </c>
    </row>
    <row r="2258" spans="1:18" x14ac:dyDescent="0.2">
      <c r="A2258" s="3">
        <v>2257</v>
      </c>
      <c r="B2258" s="3" t="s">
        <v>2308</v>
      </c>
      <c r="C2258" s="3" t="s">
        <v>47</v>
      </c>
      <c r="D2258" s="3" t="str">
        <f>VLOOKUP(C2258,layoffs_location!A:B,2,FALSE)</f>
        <v>other</v>
      </c>
      <c r="E2258" s="3" t="str">
        <f>VLOOKUP(C2258,layoffs_location!A:C,3,FALSE)</f>
        <v>non</v>
      </c>
      <c r="F2258" s="3" t="str">
        <f>VLOOKUP(C2258,layoffs_location!A:D,4,FALSE)</f>
        <v>Israel</v>
      </c>
      <c r="G2258" s="3" t="str">
        <f>VLOOKUP(C2258,layoffs_location!A:E,5,FALSE)</f>
        <v>Asia</v>
      </c>
      <c r="H2258" s="3">
        <v>100</v>
      </c>
      <c r="I2258" s="8">
        <v>45849</v>
      </c>
      <c r="J2258" s="9"/>
      <c r="K2258" s="20"/>
      <c r="L2258" s="20"/>
      <c r="M2258" s="3" t="s">
        <v>2309</v>
      </c>
      <c r="P2258" s="3">
        <v>2025</v>
      </c>
      <c r="Q2258" s="3">
        <f>VLOOKUP(C2258,layoffs_location!A:F,6,FALSE)</f>
        <v>32.0852997</v>
      </c>
      <c r="R2258" s="3">
        <f>VLOOKUP(C2258,layoffs_location!A:G,7,FALSE)</f>
        <v>34.781806400000001</v>
      </c>
    </row>
    <row r="2259" spans="1:18" x14ac:dyDescent="0.2">
      <c r="A2259" s="3">
        <v>2258</v>
      </c>
      <c r="B2259" s="3" t="s">
        <v>2307</v>
      </c>
      <c r="C2259" s="3" t="s">
        <v>58</v>
      </c>
      <c r="D2259" s="3" t="str">
        <f>VLOOKUP(C2259,layoffs_location!A:B,2,FALSE)</f>
        <v>other</v>
      </c>
      <c r="E2259" s="3" t="str">
        <f>VLOOKUP(C2259,layoffs_location!A:C,3,FALSE)</f>
        <v>England</v>
      </c>
      <c r="F2259" s="3" t="str">
        <f>VLOOKUP(C2259,layoffs_location!A:D,4,FALSE)</f>
        <v>UK</v>
      </c>
      <c r="G2259" s="3" t="str">
        <f>VLOOKUP(C2259,layoffs_location!A:E,5,FALSE)</f>
        <v>Europe</v>
      </c>
      <c r="H2259" s="3">
        <v>200</v>
      </c>
      <c r="I2259" s="8">
        <v>45852</v>
      </c>
      <c r="J2259" s="9"/>
      <c r="K2259" s="20"/>
      <c r="L2259" s="20"/>
      <c r="M2259" s="3" t="s">
        <v>1460</v>
      </c>
      <c r="P2259" s="3">
        <v>2025</v>
      </c>
      <c r="Q2259" s="3">
        <f>VLOOKUP(C2259,layoffs_location!A:F,6,FALSE)</f>
        <v>51.489333500000001</v>
      </c>
      <c r="R2259" s="3">
        <f>VLOOKUP(C2259,layoffs_location!A:G,7,FALSE)</f>
        <v>-0.14405508452768701</v>
      </c>
    </row>
    <row r="2260" spans="1:18" x14ac:dyDescent="0.2">
      <c r="A2260" s="3">
        <v>2259</v>
      </c>
      <c r="B2260" s="3" t="s">
        <v>2305</v>
      </c>
      <c r="C2260" s="3" t="s">
        <v>2221</v>
      </c>
      <c r="D2260" s="3" t="str">
        <f>VLOOKUP(C2260,layoffs_location!A:B,2,FALSE)</f>
        <v>other</v>
      </c>
      <c r="E2260" s="3" t="str">
        <f>VLOOKUP(C2260,layoffs_location!A:C,3,FALSE)</f>
        <v>Washington</v>
      </c>
      <c r="F2260" s="3" t="str">
        <f>VLOOKUP(C2260,layoffs_location!A:D,4,FALSE)</f>
        <v>USA</v>
      </c>
      <c r="G2260" s="3" t="str">
        <f>VLOOKUP(C2260,layoffs_location!A:E,5,FALSE)</f>
        <v>North America</v>
      </c>
      <c r="H2260" s="3">
        <v>133</v>
      </c>
      <c r="I2260" s="8">
        <v>45853</v>
      </c>
      <c r="J2260" s="9"/>
      <c r="K2260" s="10"/>
      <c r="L2260" s="10"/>
      <c r="M2260" s="3" t="s">
        <v>2306</v>
      </c>
      <c r="P2260" s="3">
        <v>2025</v>
      </c>
      <c r="Q2260" s="3">
        <f>VLOOKUP(C2260,layoffs_location!A:F,6,FALSE)</f>
        <v>47.593467945109602</v>
      </c>
      <c r="R2260" s="3">
        <f>VLOOKUP(C2260,layoffs_location!A:G,7,FALSE)</f>
        <v>-122.190877725398</v>
      </c>
    </row>
    <row r="2261" spans="1:18" x14ac:dyDescent="0.2">
      <c r="A2261" s="3">
        <v>2260</v>
      </c>
      <c r="B2261" s="3" t="s">
        <v>2297</v>
      </c>
      <c r="C2261" s="3" t="s">
        <v>1370</v>
      </c>
      <c r="D2261" s="3" t="str">
        <f>VLOOKUP(C2261,layoffs_location!A:B,2,FALSE)</f>
        <v>San Francisco Bay Area</v>
      </c>
      <c r="E2261" s="3" t="str">
        <f>VLOOKUP(C2261,layoffs_location!A:C,3,FALSE)</f>
        <v>California</v>
      </c>
      <c r="F2261" s="3" t="str">
        <f>VLOOKUP(C2261,layoffs_location!A:D,4,FALSE)</f>
        <v>USA</v>
      </c>
      <c r="G2261" s="3" t="str">
        <f>VLOOKUP(C2261,layoffs_location!A:E,5,FALSE)</f>
        <v>North America</v>
      </c>
      <c r="H2261" s="3">
        <v>200</v>
      </c>
      <c r="I2261" s="8">
        <v>45854</v>
      </c>
      <c r="J2261" s="9">
        <v>14</v>
      </c>
      <c r="K2261" s="28">
        <f>SUM((Table13[[#This Row],[Laid_Off]]*100)/Table13[[#This Row],[Percentage]])</f>
        <v>1428.5714285714287</v>
      </c>
      <c r="L2261" s="28">
        <f>SUM(Table13[[#This Row],[Company_Size_before_Layoffs]]-Table13[[#This Row],[Laid_Off]])</f>
        <v>1228.5714285714287</v>
      </c>
      <c r="M2261" s="3" t="s">
        <v>1400</v>
      </c>
      <c r="P2261" s="3">
        <v>2025</v>
      </c>
      <c r="Q2261" s="3">
        <f>VLOOKUP(C2261,layoffs_location!A:F,6,FALSE)</f>
        <v>37.779258800000001</v>
      </c>
      <c r="R2261" s="3">
        <f>VLOOKUP(C2261,layoffs_location!A:G,7,FALSE)</f>
        <v>-122.4193286</v>
      </c>
    </row>
    <row r="2262" spans="1:18" x14ac:dyDescent="0.2">
      <c r="A2262" s="3">
        <v>2261</v>
      </c>
      <c r="B2262" s="3" t="s">
        <v>2298</v>
      </c>
      <c r="C2262" s="3" t="s">
        <v>2299</v>
      </c>
      <c r="D2262" s="3" t="str">
        <f>VLOOKUP(C2262,layoffs_location!A:B,2,FALSE)</f>
        <v>other</v>
      </c>
      <c r="E2262" s="3" t="str">
        <f>VLOOKUP(C2262,layoffs_location!A:C,3,FALSE)</f>
        <v>North Carolina</v>
      </c>
      <c r="F2262" s="3" t="str">
        <f>VLOOKUP(C2262,layoffs_location!A:D,4,FALSE)</f>
        <v>USA</v>
      </c>
      <c r="G2262" s="3" t="str">
        <f>VLOOKUP(C2262,layoffs_location!A:E,5,FALSE)</f>
        <v>North America</v>
      </c>
      <c r="I2262" s="8">
        <v>45854</v>
      </c>
      <c r="J2262" s="9">
        <v>3</v>
      </c>
      <c r="K2262" s="20"/>
      <c r="L2262" s="20"/>
      <c r="M2262" s="3" t="s">
        <v>2156</v>
      </c>
      <c r="P2262" s="3">
        <v>2025</v>
      </c>
      <c r="Q2262" s="3">
        <f>VLOOKUP(C2262,layoffs_location!A:F,6,FALSE)</f>
        <v>35.816259357005599</v>
      </c>
      <c r="R2262" s="3">
        <f>VLOOKUP(C2262,layoffs_location!A:G,7,FALSE)</f>
        <v>-78.834884194677699</v>
      </c>
    </row>
    <row r="2263" spans="1:18" x14ac:dyDescent="0.2">
      <c r="A2263" s="3">
        <v>2262</v>
      </c>
      <c r="B2263" s="3" t="s">
        <v>2300</v>
      </c>
      <c r="C2263" s="3" t="s">
        <v>2301</v>
      </c>
      <c r="D2263" s="3" t="str">
        <f>VLOOKUP(C2263,layoffs_location!A:B,2,FALSE)</f>
        <v>other</v>
      </c>
      <c r="E2263" s="3" t="str">
        <f>VLOOKUP(C2263,layoffs_location!A:C,3,FALSE)</f>
        <v>Illinois</v>
      </c>
      <c r="F2263" s="3" t="str">
        <f>VLOOKUP(C2263,layoffs_location!A:D,4,FALSE)</f>
        <v>USA</v>
      </c>
      <c r="G2263" s="3" t="str">
        <f>VLOOKUP(C2263,layoffs_location!A:E,5,FALSE)</f>
        <v>North America</v>
      </c>
      <c r="I2263" s="8">
        <v>45854</v>
      </c>
      <c r="J2263" s="9"/>
      <c r="K2263" s="20"/>
      <c r="L2263" s="20"/>
      <c r="M2263" s="3" t="s">
        <v>2156</v>
      </c>
      <c r="P2263" s="3">
        <v>2025</v>
      </c>
      <c r="Q2263" s="3">
        <f>VLOOKUP(C2263,layoffs_location!A:F,6,FALSE)</f>
        <v>42.236941830207499</v>
      </c>
      <c r="R2263" s="3">
        <f>VLOOKUP(C2263,layoffs_location!A:G,7,FALSE)</f>
        <v>-87.9630567303672</v>
      </c>
    </row>
    <row r="2264" spans="1:18" x14ac:dyDescent="0.2">
      <c r="A2264" s="3">
        <v>2263</v>
      </c>
      <c r="B2264" s="3" t="s">
        <v>2302</v>
      </c>
      <c r="C2264" s="3" t="s">
        <v>47</v>
      </c>
      <c r="D2264" s="3" t="str">
        <f>VLOOKUP(C2264,layoffs_location!A:B,2,FALSE)</f>
        <v>other</v>
      </c>
      <c r="E2264" s="3" t="str">
        <f>VLOOKUP(C2264,layoffs_location!A:C,3,FALSE)</f>
        <v>non</v>
      </c>
      <c r="F2264" s="3" t="str">
        <f>VLOOKUP(C2264,layoffs_location!A:D,4,FALSE)</f>
        <v>Israel</v>
      </c>
      <c r="G2264" s="3" t="str">
        <f>VLOOKUP(C2264,layoffs_location!A:E,5,FALSE)</f>
        <v>Asia</v>
      </c>
      <c r="H2264" s="3">
        <v>50</v>
      </c>
      <c r="I2264" s="8">
        <v>45854</v>
      </c>
      <c r="J2264" s="9">
        <v>32</v>
      </c>
      <c r="K2264" s="25">
        <f>SUM((Table13[[#This Row],[Laid_Off]]*100)/Table13[[#This Row],[Percentage]])</f>
        <v>156.25</v>
      </c>
      <c r="L2264" s="25">
        <f>SUM(Table13[[#This Row],[Company_Size_before_Layoffs]]-Table13[[#This Row],[Laid_Off]])</f>
        <v>106.25</v>
      </c>
      <c r="M2264" s="3" t="s">
        <v>1416</v>
      </c>
      <c r="P2264" s="3">
        <v>2025</v>
      </c>
      <c r="Q2264" s="3">
        <f>VLOOKUP(C2264,layoffs_location!A:F,6,FALSE)</f>
        <v>32.0852997</v>
      </c>
      <c r="R2264" s="3">
        <f>VLOOKUP(C2264,layoffs_location!A:G,7,FALSE)</f>
        <v>34.781806400000001</v>
      </c>
    </row>
    <row r="2265" spans="1:18" x14ac:dyDescent="0.2">
      <c r="A2265" s="3">
        <v>2264</v>
      </c>
      <c r="B2265" s="3" t="s">
        <v>2303</v>
      </c>
      <c r="C2265" s="3" t="s">
        <v>392</v>
      </c>
      <c r="D2265" s="3" t="str">
        <f>VLOOKUP(C2265,layoffs_location!A:B,2,FALSE)</f>
        <v>other</v>
      </c>
      <c r="E2265" s="3" t="str">
        <f>VLOOKUP(C2265,layoffs_location!A:C,3,FALSE)</f>
        <v>Minnesota</v>
      </c>
      <c r="F2265" s="3" t="str">
        <f>VLOOKUP(C2265,layoffs_location!A:D,4,FALSE)</f>
        <v>USA</v>
      </c>
      <c r="G2265" s="3" t="str">
        <f>VLOOKUP(C2265,layoffs_location!A:E,5,FALSE)</f>
        <v>North America</v>
      </c>
      <c r="I2265" s="8">
        <v>45854</v>
      </c>
      <c r="J2265" s="9">
        <v>6</v>
      </c>
      <c r="K2265" s="10"/>
      <c r="L2265" s="10"/>
      <c r="M2265" s="3" t="s">
        <v>2304</v>
      </c>
      <c r="P2265" s="3">
        <v>2025</v>
      </c>
      <c r="Q2265" s="3">
        <f>VLOOKUP(C2265,layoffs_location!A:F,6,FALSE)</f>
        <v>44.977299500000001</v>
      </c>
      <c r="R2265" s="3">
        <f>VLOOKUP(C2265,layoffs_location!A:G,7,FALSE)</f>
        <v>-93.265469199999998</v>
      </c>
    </row>
    <row r="2266" spans="1:18" x14ac:dyDescent="0.2">
      <c r="A2266" s="3">
        <v>2265</v>
      </c>
      <c r="B2266" s="3" t="s">
        <v>1578</v>
      </c>
      <c r="C2266" s="3" t="s">
        <v>1415</v>
      </c>
      <c r="D2266" s="3" t="str">
        <f>VLOOKUP(C2266,layoffs_location!A:B,2,FALSE)</f>
        <v>San Francisco Bay Area</v>
      </c>
      <c r="E2266" s="3" t="str">
        <f>VLOOKUP(C2266,layoffs_location!A:C,3,FALSE)</f>
        <v>California</v>
      </c>
      <c r="F2266" s="3" t="str">
        <f>VLOOKUP(C2266,layoffs_location!A:D,4,FALSE)</f>
        <v>USA</v>
      </c>
      <c r="G2266" s="3" t="str">
        <f>VLOOKUP(C2266,layoffs_location!A:E,5,FALSE)</f>
        <v>North America</v>
      </c>
      <c r="H2266" s="3">
        <v>5000</v>
      </c>
      <c r="I2266" s="8">
        <v>45855</v>
      </c>
      <c r="J2266" s="9"/>
      <c r="K2266" s="10"/>
      <c r="L2266" s="10"/>
      <c r="M2266" s="3" t="s">
        <v>2139</v>
      </c>
      <c r="P2266" s="3">
        <v>2025</v>
      </c>
      <c r="Q2266" s="3">
        <f>VLOOKUP(C2266,layoffs_location!A:F,6,FALSE)</f>
        <v>37.354106999999999</v>
      </c>
      <c r="R2266" s="3">
        <f>VLOOKUP(C2266,layoffs_location!A:G,7,FALSE)</f>
        <v>-121.95523799999999</v>
      </c>
    </row>
    <row r="2267" spans="1:18" x14ac:dyDescent="0.2">
      <c r="A2267" s="3">
        <v>2266</v>
      </c>
      <c r="B2267" s="3" t="s">
        <v>376</v>
      </c>
      <c r="C2267" s="3" t="s">
        <v>1370</v>
      </c>
      <c r="D2267" s="3" t="str">
        <f>VLOOKUP(C2267,layoffs_location!A:B,2,FALSE)</f>
        <v>San Francisco Bay Area</v>
      </c>
      <c r="E2267" s="3" t="str">
        <f>VLOOKUP(C2267,layoffs_location!A:C,3,FALSE)</f>
        <v>California</v>
      </c>
      <c r="F2267" s="3" t="str">
        <f>VLOOKUP(C2267,layoffs_location!A:D,4,FALSE)</f>
        <v>USA</v>
      </c>
      <c r="G2267" s="3" t="str">
        <f>VLOOKUP(C2267,layoffs_location!A:E,5,FALSE)</f>
        <v>North America</v>
      </c>
      <c r="I2267" s="8">
        <v>45855</v>
      </c>
      <c r="J2267" s="9"/>
      <c r="K2267" s="10"/>
      <c r="L2267" s="10"/>
      <c r="M2267" s="3" t="s">
        <v>1400</v>
      </c>
      <c r="P2267" s="3">
        <v>2025</v>
      </c>
      <c r="Q2267" s="3">
        <f>VLOOKUP(C2267,layoffs_location!A:F,6,FALSE)</f>
        <v>37.779258800000001</v>
      </c>
      <c r="R2267" s="3">
        <f>VLOOKUP(C2267,layoffs_location!A:G,7,FALSE)</f>
        <v>-122.4193286</v>
      </c>
    </row>
    <row r="2268" spans="1:18" x14ac:dyDescent="0.2">
      <c r="A2268" s="3">
        <v>2267</v>
      </c>
      <c r="B2268" s="3" t="s">
        <v>2296</v>
      </c>
      <c r="C2268" s="3" t="s">
        <v>65</v>
      </c>
      <c r="D2268" s="3" t="str">
        <f>VLOOKUP(C2268,layoffs_location!A:B,2,FALSE)</f>
        <v>other</v>
      </c>
      <c r="E2268" s="3" t="str">
        <f>VLOOKUP(C2268,layoffs_location!A:C,3,FALSE)</f>
        <v>Michigan</v>
      </c>
      <c r="F2268" s="3" t="str">
        <f>VLOOKUP(C2268,layoffs_location!A:D,4,FALSE)</f>
        <v>USA</v>
      </c>
      <c r="G2268" s="3" t="str">
        <f>VLOOKUP(C2268,layoffs_location!A:E,5,FALSE)</f>
        <v>North America</v>
      </c>
      <c r="I2268" s="8">
        <v>45859</v>
      </c>
      <c r="J2268" s="9">
        <v>2</v>
      </c>
      <c r="K2268" s="10"/>
      <c r="L2268" s="10"/>
      <c r="M2268" s="3" t="s">
        <v>2169</v>
      </c>
      <c r="P2268" s="3">
        <v>2025</v>
      </c>
      <c r="Q2268" s="3">
        <f>VLOOKUP(C2268,layoffs_location!A:F,6,FALSE)</f>
        <v>42.331550900000003</v>
      </c>
      <c r="R2268" s="3">
        <f>VLOOKUP(C2268,layoffs_location!A:G,7,FALSE)</f>
        <v>-83.046640300000007</v>
      </c>
    </row>
    <row r="2269" spans="1:18" x14ac:dyDescent="0.2">
      <c r="A2269" s="3">
        <v>2268</v>
      </c>
      <c r="B2269" s="3" t="s">
        <v>2291</v>
      </c>
      <c r="C2269" s="3" t="s">
        <v>1370</v>
      </c>
      <c r="D2269" s="3" t="str">
        <f>VLOOKUP(C2269,layoffs_location!A:B,2,FALSE)</f>
        <v>San Francisco Bay Area</v>
      </c>
      <c r="E2269" s="3" t="str">
        <f>VLOOKUP(C2269,layoffs_location!A:C,3,FALSE)</f>
        <v>California</v>
      </c>
      <c r="F2269" s="3" t="str">
        <f>VLOOKUP(C2269,layoffs_location!A:D,4,FALSE)</f>
        <v>USA</v>
      </c>
      <c r="G2269" s="3" t="str">
        <f>VLOOKUP(C2269,layoffs_location!A:E,5,FALSE)</f>
        <v>North America</v>
      </c>
      <c r="I2269" s="8">
        <v>45860</v>
      </c>
      <c r="J2269" s="9">
        <v>100</v>
      </c>
      <c r="K2269" s="28"/>
      <c r="L2269" s="10">
        <v>0</v>
      </c>
      <c r="M2269" s="3" t="s">
        <v>2292</v>
      </c>
      <c r="P2269" s="3">
        <v>2025</v>
      </c>
      <c r="Q2269" s="3">
        <f>VLOOKUP(C2269,layoffs_location!A:F,6,FALSE)</f>
        <v>37.779258800000001</v>
      </c>
      <c r="R2269" s="3">
        <f>VLOOKUP(C2269,layoffs_location!A:G,7,FALSE)</f>
        <v>-122.4193286</v>
      </c>
    </row>
    <row r="2270" spans="1:18" x14ac:dyDescent="0.2">
      <c r="A2270" s="3">
        <v>2269</v>
      </c>
      <c r="B2270" s="3" t="s">
        <v>558</v>
      </c>
      <c r="C2270" s="3" t="s">
        <v>39</v>
      </c>
      <c r="D2270" s="3" t="str">
        <f>VLOOKUP(C2270,layoffs_location!A:B,2,FALSE)</f>
        <v>New York</v>
      </c>
      <c r="E2270" s="3" t="str">
        <f>VLOOKUP(C2270,layoffs_location!A:C,3,FALSE)</f>
        <v>New York</v>
      </c>
      <c r="F2270" s="3" t="str">
        <f>VLOOKUP(C2270,layoffs_location!A:D,4,FALSE)</f>
        <v>USA</v>
      </c>
      <c r="G2270" s="3" t="str">
        <f>VLOOKUP(C2270,layoffs_location!A:E,5,FALSE)</f>
        <v>North America</v>
      </c>
      <c r="H2270" s="3">
        <v>47</v>
      </c>
      <c r="I2270" s="8">
        <v>45860</v>
      </c>
      <c r="J2270" s="9">
        <v>7</v>
      </c>
      <c r="K2270" s="28">
        <f>SUM((Table13[[#This Row],[Laid_Off]]*100)/Table13[[#This Row],[Percentage]])</f>
        <v>671.42857142857144</v>
      </c>
      <c r="L2270" s="28">
        <f>SUM(Table13[[#This Row],[Company_Size_before_Layoffs]]-Table13[[#This Row],[Laid_Off]])</f>
        <v>624.42857142857144</v>
      </c>
      <c r="M2270" s="3" t="s">
        <v>117</v>
      </c>
      <c r="P2270" s="3">
        <v>2025</v>
      </c>
      <c r="Q2270" s="3">
        <f>VLOOKUP(C2270,layoffs_location!A:F,6,FALSE)</f>
        <v>40.7127281</v>
      </c>
      <c r="R2270" s="3">
        <f>VLOOKUP(C2270,layoffs_location!A:G,7,FALSE)</f>
        <v>-74.006015199999993</v>
      </c>
    </row>
    <row r="2271" spans="1:18" x14ac:dyDescent="0.2">
      <c r="A2271" s="3">
        <v>2270</v>
      </c>
      <c r="B2271" s="3" t="s">
        <v>2293</v>
      </c>
      <c r="C2271" s="3" t="s">
        <v>2321</v>
      </c>
      <c r="D2271" s="3" t="str">
        <f>VLOOKUP(C2271,layoffs_location!A:B,2,FALSE)</f>
        <v>other</v>
      </c>
      <c r="E2271" s="3" t="str">
        <f>VLOOKUP(C2271,layoffs_location!A:C,3,FALSE)</f>
        <v>Nevada</v>
      </c>
      <c r="F2271" s="3" t="str">
        <f>VLOOKUP(C2271,layoffs_location!A:D,4,FALSE)</f>
        <v>USA</v>
      </c>
      <c r="G2271" s="3" t="str">
        <f>VLOOKUP(C2271,layoffs_location!A:E,5,FALSE)</f>
        <v>North America</v>
      </c>
      <c r="I2271" s="8">
        <v>45860</v>
      </c>
      <c r="J2271" s="9"/>
      <c r="K2271" s="10"/>
      <c r="L2271" s="10"/>
      <c r="M2271" s="3" t="s">
        <v>2294</v>
      </c>
      <c r="P2271" s="3">
        <v>2025</v>
      </c>
      <c r="Q2271" s="3">
        <f>VLOOKUP(C2271,layoffs_location!A:F,6,FALSE)</f>
        <v>39.002873201249898</v>
      </c>
      <c r="R2271" s="3">
        <f>VLOOKUP(C2271,layoffs_location!A:G,7,FALSE)</f>
        <v>-119.937375535678</v>
      </c>
    </row>
    <row r="2272" spans="1:18" x14ac:dyDescent="0.2">
      <c r="A2272" s="3">
        <v>2271</v>
      </c>
      <c r="B2272" s="3" t="s">
        <v>2295</v>
      </c>
      <c r="C2272" s="3" t="s">
        <v>2137</v>
      </c>
      <c r="D2272" s="3" t="str">
        <f>VLOOKUP(C2272,layoffs_location!A:B,2,FALSE)</f>
        <v>other</v>
      </c>
      <c r="E2272" s="3" t="str">
        <f>VLOOKUP(C2272,layoffs_location!A:C,3,FALSE)</f>
        <v>England</v>
      </c>
      <c r="F2272" s="3" t="str">
        <f>VLOOKUP(C2272,layoffs_location!A:D,4,FALSE)</f>
        <v>UK</v>
      </c>
      <c r="G2272" s="3" t="str">
        <f>VLOOKUP(C2272,layoffs_location!A:E,5,FALSE)</f>
        <v>Europe</v>
      </c>
      <c r="H2272" s="3">
        <v>36</v>
      </c>
      <c r="I2272" s="8">
        <v>45860</v>
      </c>
      <c r="J2272" s="9"/>
      <c r="K2272" s="10"/>
      <c r="L2272" s="10"/>
      <c r="M2272" s="3" t="s">
        <v>2150</v>
      </c>
      <c r="P2272" s="3">
        <v>2025</v>
      </c>
      <c r="Q2272" s="3">
        <f>VLOOKUP(C2272,layoffs_location!A:F,6,FALSE)</f>
        <v>51.235467771035196</v>
      </c>
      <c r="R2272" s="3">
        <f>VLOOKUP(C2272,layoffs_location!A:G,7,FALSE)</f>
        <v>-0.56847236065713302</v>
      </c>
    </row>
    <row r="2273" spans="1:18" x14ac:dyDescent="0.2">
      <c r="A2273" s="3">
        <v>2272</v>
      </c>
      <c r="B2273" s="3" t="s">
        <v>2288</v>
      </c>
      <c r="C2273" s="3" t="s">
        <v>2289</v>
      </c>
      <c r="D2273" s="3" t="str">
        <f>VLOOKUP(C2273,layoffs_location!A:B,2,FALSE)</f>
        <v>other</v>
      </c>
      <c r="E2273" s="3" t="str">
        <f>VLOOKUP(C2273,layoffs_location!A:C,3,FALSE)</f>
        <v>non</v>
      </c>
      <c r="F2273" s="3" t="str">
        <f>VLOOKUP(C2273,layoffs_location!A:D,4,FALSE)</f>
        <v>Israel</v>
      </c>
      <c r="G2273" s="3" t="str">
        <f>VLOOKUP(C2273,layoffs_location!A:E,5,FALSE)</f>
        <v>Asia</v>
      </c>
      <c r="H2273" s="3">
        <v>65</v>
      </c>
      <c r="I2273" s="8">
        <v>45861</v>
      </c>
      <c r="J2273" s="9"/>
      <c r="K2273" s="10"/>
      <c r="L2273" s="10"/>
      <c r="M2273" s="3" t="s">
        <v>2290</v>
      </c>
      <c r="P2273" s="3">
        <v>2025</v>
      </c>
      <c r="Q2273" s="3">
        <f>VLOOKUP(C2273,layoffs_location!A:F,6,FALSE)</f>
        <v>32.062695396092103</v>
      </c>
      <c r="R2273" s="3">
        <f>VLOOKUP(C2273,layoffs_location!A:G,7,FALSE)</f>
        <v>34.825600701559999</v>
      </c>
    </row>
    <row r="2274" spans="1:18" x14ac:dyDescent="0.2">
      <c r="A2274" s="3">
        <v>2273</v>
      </c>
      <c r="B2274" s="3" t="s">
        <v>555</v>
      </c>
      <c r="C2274" s="3" t="s">
        <v>47</v>
      </c>
      <c r="D2274" s="3" t="str">
        <f>VLOOKUP(C2274,layoffs_location!A:B,2,FALSE)</f>
        <v>other</v>
      </c>
      <c r="E2274" s="3" t="str">
        <f>VLOOKUP(C2274,layoffs_location!A:C,3,FALSE)</f>
        <v>non</v>
      </c>
      <c r="F2274" s="3" t="str">
        <f>VLOOKUP(C2274,layoffs_location!A:D,4,FALSE)</f>
        <v>Israel</v>
      </c>
      <c r="G2274" s="3" t="str">
        <f>VLOOKUP(C2274,layoffs_location!A:E,5,FALSE)</f>
        <v>Asia</v>
      </c>
      <c r="I2274" s="8">
        <v>45862</v>
      </c>
      <c r="J2274" s="9"/>
      <c r="K2274" s="10"/>
      <c r="L2274" s="10"/>
      <c r="M2274" s="3" t="s">
        <v>2169</v>
      </c>
      <c r="P2274" s="3">
        <v>2025</v>
      </c>
      <c r="Q2274" s="3">
        <f>VLOOKUP(C2274,layoffs_location!A:F,6,FALSE)</f>
        <v>32.0852997</v>
      </c>
      <c r="R2274" s="3">
        <f>VLOOKUP(C2274,layoffs_location!A:G,7,FALSE)</f>
        <v>34.781806400000001</v>
      </c>
    </row>
    <row r="2275" spans="1:18" x14ac:dyDescent="0.2">
      <c r="A2275" s="3">
        <v>2274</v>
      </c>
      <c r="B2275" s="3" t="s">
        <v>2284</v>
      </c>
      <c r="C2275" s="3" t="s">
        <v>13</v>
      </c>
      <c r="D2275" s="3" t="str">
        <f>VLOOKUP(C2275,layoffs_location!A:B,2,FALSE)</f>
        <v>other</v>
      </c>
      <c r="E2275" s="3" t="str">
        <f>VLOOKUP(C2275,layoffs_location!A:C,3,FALSE)</f>
        <v>Karnataka</v>
      </c>
      <c r="F2275" s="3" t="str">
        <f>VLOOKUP(C2275,layoffs_location!A:D,4,FALSE)</f>
        <v>India</v>
      </c>
      <c r="G2275" s="3" t="str">
        <f>VLOOKUP(C2275,layoffs_location!A:E,5,FALSE)</f>
        <v>Asia</v>
      </c>
      <c r="I2275" s="8">
        <v>45863</v>
      </c>
      <c r="J2275" s="9">
        <v>100</v>
      </c>
      <c r="K2275" s="10"/>
      <c r="L2275" s="10"/>
      <c r="M2275" s="3" t="s">
        <v>2285</v>
      </c>
      <c r="P2275" s="3">
        <v>2025</v>
      </c>
      <c r="Q2275" s="3">
        <f>VLOOKUP(C2275,layoffs_location!A:F,6,FALSE)</f>
        <v>12.98815675</v>
      </c>
      <c r="R2275" s="3">
        <f>VLOOKUP(C2275,layoffs_location!A:G,7,FALSE)</f>
        <v>77.622600037959998</v>
      </c>
    </row>
    <row r="2276" spans="1:18" x14ac:dyDescent="0.2">
      <c r="A2276" s="3">
        <v>2275</v>
      </c>
      <c r="B2276" s="3" t="s">
        <v>2286</v>
      </c>
      <c r="C2276" s="3" t="s">
        <v>135</v>
      </c>
      <c r="D2276" s="3" t="str">
        <f>VLOOKUP(C2276,layoffs_location!A:B,2,FALSE)</f>
        <v>other</v>
      </c>
      <c r="E2276" s="3" t="str">
        <f>VLOOKUP(C2276,layoffs_location!A:C,3,FALSE)</f>
        <v>Berlin</v>
      </c>
      <c r="F2276" s="3" t="str">
        <f>VLOOKUP(C2276,layoffs_location!A:D,4,FALSE)</f>
        <v>Germany</v>
      </c>
      <c r="G2276" s="3" t="str">
        <f>VLOOKUP(C2276,layoffs_location!A:E,5,FALSE)</f>
        <v>Europe</v>
      </c>
      <c r="H2276" s="3">
        <v>30</v>
      </c>
      <c r="I2276" s="8">
        <v>45863</v>
      </c>
      <c r="J2276" s="9">
        <v>100</v>
      </c>
      <c r="K2276" s="28">
        <f>SUM((Table13[[#This Row],[Laid_Off]]*100)/Table13[[#This Row],[Percentage]])</f>
        <v>30</v>
      </c>
      <c r="L2276" s="28">
        <f>SUM(Table13[[#This Row],[Company_Size_before_Layoffs]]-Table13[[#This Row],[Laid_Off]])</f>
        <v>0</v>
      </c>
      <c r="M2276" s="3" t="s">
        <v>2287</v>
      </c>
      <c r="P2276" s="3">
        <v>2025</v>
      </c>
      <c r="Q2276" s="3">
        <f>VLOOKUP(C2276,layoffs_location!A:F,6,FALSE)</f>
        <v>52.517036500000003</v>
      </c>
      <c r="R2276" s="3">
        <f>VLOOKUP(C2276,layoffs_location!A:G,7,FALSE)</f>
        <v>13.3888599</v>
      </c>
    </row>
    <row r="2277" spans="1:18" x14ac:dyDescent="0.2">
      <c r="A2277" s="3">
        <v>2276</v>
      </c>
      <c r="B2277" s="3" t="s">
        <v>2155</v>
      </c>
      <c r="C2277" s="3" t="s">
        <v>56</v>
      </c>
      <c r="D2277" s="3" t="str">
        <f>VLOOKUP(C2277,layoffs_location!A:B,2,FALSE)</f>
        <v>other</v>
      </c>
      <c r="E2277" s="3" t="str">
        <f>VLOOKUP(C2277,layoffs_location!A:C,3,FALSE)</f>
        <v>Maharashtra</v>
      </c>
      <c r="F2277" s="3" t="str">
        <f>VLOOKUP(C2277,layoffs_location!A:D,4,FALSE)</f>
        <v>India</v>
      </c>
      <c r="G2277" s="3" t="str">
        <f>VLOOKUP(C2277,layoffs_location!A:E,5,FALSE)</f>
        <v>Asia</v>
      </c>
      <c r="H2277" s="3">
        <v>12000</v>
      </c>
      <c r="I2277" s="8">
        <v>45865</v>
      </c>
      <c r="J2277" s="9">
        <v>2</v>
      </c>
      <c r="K2277" s="28">
        <f>SUM((Table13[[#This Row],[Laid_Off]]*100)/Table13[[#This Row],[Percentage]])</f>
        <v>600000</v>
      </c>
      <c r="L2277" s="28">
        <f>SUM(Table13[[#This Row],[Company_Size_before_Layoffs]]-Table13[[#This Row],[Laid_Off]])</f>
        <v>588000</v>
      </c>
      <c r="M2277" s="3" t="s">
        <v>2156</v>
      </c>
      <c r="P2277" s="3">
        <v>2025</v>
      </c>
      <c r="Q2277" s="3">
        <f>VLOOKUP(C2277,layoffs_location!A:F,6,FALSE)</f>
        <v>19.078545099999999</v>
      </c>
      <c r="R2277" s="3">
        <f>VLOOKUP(C2277,layoffs_location!A:G,7,FALSE)</f>
        <v>72.878175999999996</v>
      </c>
    </row>
    <row r="2278" spans="1:18" x14ac:dyDescent="0.2">
      <c r="A2278" s="3">
        <v>2277</v>
      </c>
      <c r="B2278" s="3" t="s">
        <v>2260</v>
      </c>
      <c r="C2278" s="3" t="s">
        <v>13</v>
      </c>
      <c r="D2278" s="3" t="str">
        <f>VLOOKUP(C2278,layoffs_location!A:B,2,FALSE)</f>
        <v>other</v>
      </c>
      <c r="E2278" s="3" t="str">
        <f>VLOOKUP(C2278,layoffs_location!A:C,3,FALSE)</f>
        <v>Karnataka</v>
      </c>
      <c r="F2278" s="3" t="str">
        <f>VLOOKUP(C2278,layoffs_location!A:D,4,FALSE)</f>
        <v>India</v>
      </c>
      <c r="G2278" s="3" t="str">
        <f>VLOOKUP(C2278,layoffs_location!A:E,5,FALSE)</f>
        <v>Asia</v>
      </c>
      <c r="H2278" s="3">
        <v>100</v>
      </c>
      <c r="I2278" s="8">
        <v>45866</v>
      </c>
      <c r="J2278" s="9"/>
      <c r="K2278" s="10"/>
      <c r="L2278" s="10"/>
      <c r="M2278" s="3" t="s">
        <v>2282</v>
      </c>
      <c r="P2278" s="3">
        <v>2025</v>
      </c>
      <c r="Q2278" s="3">
        <f>VLOOKUP(C2278,layoffs_location!A:F,6,FALSE)</f>
        <v>12.98815675</v>
      </c>
      <c r="R2278" s="3">
        <f>VLOOKUP(C2278,layoffs_location!A:G,7,FALSE)</f>
        <v>77.622600037959998</v>
      </c>
    </row>
    <row r="2279" spans="1:18" x14ac:dyDescent="0.2">
      <c r="A2279" s="3">
        <v>2278</v>
      </c>
      <c r="B2279" s="3" t="s">
        <v>2283</v>
      </c>
      <c r="C2279" s="3" t="s">
        <v>135</v>
      </c>
      <c r="D2279" s="3" t="str">
        <f>VLOOKUP(C2279,layoffs_location!A:B,2,FALSE)</f>
        <v>other</v>
      </c>
      <c r="E2279" s="3" t="str">
        <f>VLOOKUP(C2279,layoffs_location!A:C,3,FALSE)</f>
        <v>Berlin</v>
      </c>
      <c r="F2279" s="3" t="str">
        <f>VLOOKUP(C2279,layoffs_location!A:D,4,FALSE)</f>
        <v>Germany</v>
      </c>
      <c r="G2279" s="3" t="str">
        <f>VLOOKUP(C2279,layoffs_location!A:E,5,FALSE)</f>
        <v>Europe</v>
      </c>
      <c r="I2279" s="8">
        <v>45866</v>
      </c>
      <c r="J2279" s="9">
        <v>40</v>
      </c>
      <c r="K2279" s="10"/>
      <c r="L2279" s="10"/>
      <c r="M2279" s="3" t="s">
        <v>2125</v>
      </c>
      <c r="P2279" s="3">
        <v>2025</v>
      </c>
      <c r="Q2279" s="3">
        <f>VLOOKUP(C2279,layoffs_location!A:F,6,FALSE)</f>
        <v>52.517036500000003</v>
      </c>
      <c r="R2279" s="3">
        <f>VLOOKUP(C2279,layoffs_location!A:G,7,FALSE)</f>
        <v>13.3888599</v>
      </c>
    </row>
    <row r="2280" spans="1:18" x14ac:dyDescent="0.2">
      <c r="A2280" s="3">
        <v>2279</v>
      </c>
      <c r="B2280" s="3" t="s">
        <v>400</v>
      </c>
      <c r="C2280" s="3" t="s">
        <v>231</v>
      </c>
      <c r="D2280" s="3" t="str">
        <f>VLOOKUP(C2280,layoffs_location!A:B,2,FALSE)</f>
        <v>other</v>
      </c>
      <c r="E2280" s="3" t="str">
        <f>VLOOKUP(C2280,layoffs_location!A:C,3,FALSE)</f>
        <v>New South Wales</v>
      </c>
      <c r="F2280" s="3" t="str">
        <f>VLOOKUP(C2280,layoffs_location!A:D,4,FALSE)</f>
        <v>Australia</v>
      </c>
      <c r="G2280" s="3" t="str">
        <f>VLOOKUP(C2280,layoffs_location!A:E,5,FALSE)</f>
        <v>Oceana</v>
      </c>
      <c r="H2280" s="3">
        <v>150</v>
      </c>
      <c r="I2280" s="8">
        <v>45868</v>
      </c>
      <c r="J2280" s="9"/>
      <c r="K2280" s="10"/>
      <c r="L2280" s="10"/>
      <c r="M2280" s="3" t="s">
        <v>1400</v>
      </c>
      <c r="P2280" s="3">
        <v>2025</v>
      </c>
      <c r="Q2280" s="3">
        <f>VLOOKUP(C2280,layoffs_location!A:F,6,FALSE)</f>
        <v>-33.869843899999999</v>
      </c>
      <c r="R2280" s="3">
        <f>VLOOKUP(C2280,layoffs_location!A:G,7,FALSE)</f>
        <v>151.2082848</v>
      </c>
    </row>
    <row r="2281" spans="1:18" x14ac:dyDescent="0.2">
      <c r="A2281" s="3">
        <v>2280</v>
      </c>
      <c r="B2281" s="3" t="s">
        <v>2280</v>
      </c>
      <c r="C2281" s="3" t="s">
        <v>2221</v>
      </c>
      <c r="D2281" s="3" t="str">
        <f>VLOOKUP(C2281,layoffs_location!A:B,2,FALSE)</f>
        <v>other</v>
      </c>
      <c r="E2281" s="3" t="str">
        <f>VLOOKUP(C2281,layoffs_location!A:C,3,FALSE)</f>
        <v>Washington</v>
      </c>
      <c r="F2281" s="3" t="str">
        <f>VLOOKUP(C2281,layoffs_location!A:D,4,FALSE)</f>
        <v>USA</v>
      </c>
      <c r="G2281" s="3" t="str">
        <f>VLOOKUP(C2281,layoffs_location!A:E,5,FALSE)</f>
        <v>North America</v>
      </c>
      <c r="I2281" s="8">
        <v>45869</v>
      </c>
      <c r="J2281" s="9">
        <v>100</v>
      </c>
      <c r="K2281" s="10"/>
      <c r="L2281" s="10">
        <v>0</v>
      </c>
      <c r="M2281" s="3" t="s">
        <v>2281</v>
      </c>
      <c r="P2281" s="3">
        <v>2025</v>
      </c>
      <c r="Q2281" s="3">
        <f>VLOOKUP(C2281,layoffs_location!A:F,6,FALSE)</f>
        <v>47.593467945109602</v>
      </c>
      <c r="R2281" s="3">
        <f>VLOOKUP(C2281,layoffs_location!A:G,7,FALSE)</f>
        <v>-122.190877725398</v>
      </c>
    </row>
    <row r="2282" spans="1:18" x14ac:dyDescent="0.2">
      <c r="A2282" s="3">
        <v>2281</v>
      </c>
      <c r="B2282" s="3" t="s">
        <v>2278</v>
      </c>
      <c r="C2282" s="3" t="s">
        <v>2279</v>
      </c>
      <c r="D2282" s="3" t="str">
        <f>VLOOKUP(C2282,layoffs_location!A:B,2,FALSE)</f>
        <v>other</v>
      </c>
      <c r="E2282" s="3" t="str">
        <f>VLOOKUP(C2282,layoffs_location!A:C,3,FALSE)</f>
        <v>non</v>
      </c>
      <c r="F2282" s="3" t="str">
        <f>VLOOKUP(C2282,layoffs_location!A:D,4,FALSE)</f>
        <v>Cayman Islands</v>
      </c>
      <c r="G2282" s="3" t="str">
        <f>VLOOKUP(C2282,layoffs_location!A:E,5,FALSE)</f>
        <v>North America</v>
      </c>
      <c r="I2282" s="8">
        <v>45872</v>
      </c>
      <c r="J2282" s="9">
        <v>15</v>
      </c>
      <c r="K2282" s="10"/>
      <c r="L2282" s="10"/>
      <c r="M2282" s="3" t="s">
        <v>35</v>
      </c>
      <c r="P2282" s="3">
        <v>2025</v>
      </c>
      <c r="Q2282" s="3">
        <f>VLOOKUP(C2282,layoffs_location!A:F,6,FALSE)</f>
        <v>19.295713927366101</v>
      </c>
      <c r="R2282" s="3">
        <f>VLOOKUP(C2282,layoffs_location!A:G,7,FALSE)</f>
        <v>-81.380066921605305</v>
      </c>
    </row>
    <row r="2283" spans="1:18" x14ac:dyDescent="0.2">
      <c r="A2283" s="3">
        <v>2282</v>
      </c>
      <c r="B2283" s="3" t="s">
        <v>523</v>
      </c>
      <c r="C2283" s="3" t="s">
        <v>4589</v>
      </c>
      <c r="D2283" s="3" t="str">
        <f>VLOOKUP(C2283,layoffs_location!A:B,2,FALSE)</f>
        <v>Cascadia</v>
      </c>
      <c r="E2283" s="3" t="str">
        <f>VLOOKUP(C2283,layoffs_location!A:C,3,FALSE)</f>
        <v>Washington</v>
      </c>
      <c r="F2283" s="3" t="str">
        <f>VLOOKUP(C2283,layoffs_location!A:D,4,FALSE)</f>
        <v>USA</v>
      </c>
      <c r="G2283" s="3" t="str">
        <f>VLOOKUP(C2283,layoffs_location!A:E,5,FALSE)</f>
        <v>Asia</v>
      </c>
      <c r="H2283" s="3">
        <v>40</v>
      </c>
      <c r="I2283" s="8">
        <v>45873</v>
      </c>
      <c r="J2283" s="9"/>
      <c r="K2283" s="10"/>
      <c r="L2283" s="10"/>
      <c r="M2283" s="3" t="s">
        <v>1400</v>
      </c>
      <c r="P2283" s="3">
        <v>2025</v>
      </c>
      <c r="Q2283" s="3">
        <f>VLOOKUP(C2283,layoffs_location!A:F,6,FALSE)</f>
        <v>47.645404522430098</v>
      </c>
      <c r="R2283" s="3">
        <f>VLOOKUP(C2283,layoffs_location!A:G,7,FALSE)</f>
        <v>-122.13299976733499</v>
      </c>
    </row>
    <row r="2284" spans="1:18" x14ac:dyDescent="0.2">
      <c r="A2284" s="3">
        <v>2283</v>
      </c>
      <c r="B2284" s="3" t="s">
        <v>376</v>
      </c>
      <c r="C2284" s="3" t="s">
        <v>43</v>
      </c>
      <c r="D2284" s="3" t="str">
        <f>VLOOKUP(C2284,layoffs_location!A:B,2,FALSE)</f>
        <v>Cascadia</v>
      </c>
      <c r="E2284" s="3" t="str">
        <f>VLOOKUP(C2284,layoffs_location!A:C,3,FALSE)</f>
        <v>Washington</v>
      </c>
      <c r="F2284" s="3" t="str">
        <f>VLOOKUP(C2284,layoffs_location!A:D,4,FALSE)</f>
        <v>USA</v>
      </c>
      <c r="G2284" s="3" t="str">
        <f>VLOOKUP(C2284,layoffs_location!A:E,5,FALSE)</f>
        <v>North America</v>
      </c>
      <c r="H2284" s="3">
        <v>110</v>
      </c>
      <c r="I2284" s="8">
        <v>45873</v>
      </c>
      <c r="J2284" s="9"/>
      <c r="K2284" s="10"/>
      <c r="L2284" s="10"/>
      <c r="M2284" s="3" t="s">
        <v>1400</v>
      </c>
      <c r="P2284" s="3">
        <v>2025</v>
      </c>
      <c r="Q2284" s="3">
        <f>VLOOKUP(C2284,layoffs_location!A:F,6,FALSE)</f>
        <v>47.603832099999998</v>
      </c>
      <c r="R2284" s="3">
        <f>VLOOKUP(C2284,layoffs_location!A:G,7,FALSE)</f>
        <v>-122.330062</v>
      </c>
    </row>
    <row r="2285" spans="1:18" x14ac:dyDescent="0.2">
      <c r="A2285" s="3">
        <v>2284</v>
      </c>
      <c r="B2285" s="3" t="s">
        <v>2277</v>
      </c>
      <c r="C2285" s="3" t="s">
        <v>1370</v>
      </c>
      <c r="D2285" s="3" t="str">
        <f>VLOOKUP(C2285,layoffs_location!A:B,2,FALSE)</f>
        <v>San Francisco Bay Area</v>
      </c>
      <c r="E2285" s="3" t="str">
        <f>VLOOKUP(C2285,layoffs_location!A:C,3,FALSE)</f>
        <v>California</v>
      </c>
      <c r="F2285" s="3" t="str">
        <f>VLOOKUP(C2285,layoffs_location!A:D,4,FALSE)</f>
        <v>USA</v>
      </c>
      <c r="G2285" s="3" t="str">
        <f>VLOOKUP(C2285,layoffs_location!A:E,5,FALSE)</f>
        <v>North America</v>
      </c>
      <c r="H2285" s="3">
        <v>30</v>
      </c>
      <c r="I2285" s="8">
        <v>45874</v>
      </c>
      <c r="J2285" s="9"/>
      <c r="K2285" s="10"/>
      <c r="L2285" s="10"/>
      <c r="M2285" s="3" t="s">
        <v>1400</v>
      </c>
      <c r="P2285" s="3">
        <v>2025</v>
      </c>
      <c r="Q2285" s="3">
        <f>VLOOKUP(C2285,layoffs_location!A:F,6,FALSE)</f>
        <v>37.779258800000001</v>
      </c>
      <c r="R2285" s="3">
        <f>VLOOKUP(C2285,layoffs_location!A:G,7,FALSE)</f>
        <v>-122.4193286</v>
      </c>
    </row>
    <row r="2286" spans="1:18" x14ac:dyDescent="0.2">
      <c r="A2286" s="3">
        <v>2285</v>
      </c>
      <c r="B2286" s="3" t="s">
        <v>679</v>
      </c>
      <c r="C2286" s="3" t="s">
        <v>39</v>
      </c>
      <c r="D2286" s="3" t="str">
        <f>VLOOKUP(C2286,layoffs_location!A:B,2,FALSE)</f>
        <v>New York</v>
      </c>
      <c r="E2286" s="3" t="str">
        <f>VLOOKUP(C2286,layoffs_location!A:C,3,FALSE)</f>
        <v>New York</v>
      </c>
      <c r="F2286" s="3" t="str">
        <f>VLOOKUP(C2286,layoffs_location!A:D,4,FALSE)</f>
        <v>USA</v>
      </c>
      <c r="G2286" s="3" t="str">
        <f>VLOOKUP(C2286,layoffs_location!A:E,5,FALSE)</f>
        <v>North America</v>
      </c>
      <c r="H2286" s="3">
        <v>200</v>
      </c>
      <c r="I2286" s="8">
        <v>45874</v>
      </c>
      <c r="J2286" s="9">
        <v>34</v>
      </c>
      <c r="K2286" s="25">
        <f>SUM((Table13[[#This Row],[Laid_Off]]*100)/Table13[[#This Row],[Percentage]])</f>
        <v>588.23529411764707</v>
      </c>
      <c r="L2286" s="20"/>
      <c r="M2286" s="3" t="s">
        <v>130</v>
      </c>
      <c r="P2286" s="3">
        <v>2025</v>
      </c>
      <c r="Q2286" s="3">
        <f>VLOOKUP(C2286,layoffs_location!A:F,6,FALSE)</f>
        <v>40.7127281</v>
      </c>
      <c r="R2286" s="3">
        <f>VLOOKUP(C2286,layoffs_location!A:G,7,FALSE)</f>
        <v>-74.006015199999993</v>
      </c>
    </row>
    <row r="2287" spans="1:18" x14ac:dyDescent="0.2">
      <c r="A2287" s="3">
        <v>2286</v>
      </c>
      <c r="B2287" s="3" t="s">
        <v>769</v>
      </c>
      <c r="C2287" s="3" t="s">
        <v>39</v>
      </c>
      <c r="D2287" s="3" t="str">
        <f>VLOOKUP(C2287,layoffs_location!A:B,2,FALSE)</f>
        <v>New York</v>
      </c>
      <c r="E2287" s="3" t="str">
        <f>VLOOKUP(C2287,layoffs_location!A:C,3,FALSE)</f>
        <v>New York</v>
      </c>
      <c r="F2287" s="3" t="str">
        <f>VLOOKUP(C2287,layoffs_location!A:D,4,FALSE)</f>
        <v>USA</v>
      </c>
      <c r="G2287" s="3" t="str">
        <f>VLOOKUP(C2287,layoffs_location!A:E,5,FALSE)</f>
        <v>North America</v>
      </c>
      <c r="I2287" s="8">
        <v>45876</v>
      </c>
      <c r="J2287" s="9">
        <v>6</v>
      </c>
      <c r="K2287" s="20"/>
      <c r="L2287" s="20"/>
      <c r="M2287" s="3" t="s">
        <v>2276</v>
      </c>
      <c r="P2287" s="3">
        <v>2025</v>
      </c>
      <c r="Q2287" s="3">
        <f>VLOOKUP(C2287,layoffs_location!A:F,6,FALSE)</f>
        <v>40.7127281</v>
      </c>
      <c r="R2287" s="3">
        <f>VLOOKUP(C2287,layoffs_location!A:G,7,FALSE)</f>
        <v>-74.006015199999993</v>
      </c>
    </row>
    <row r="2288" spans="1:18" x14ac:dyDescent="0.2">
      <c r="A2288" s="3">
        <v>2287</v>
      </c>
      <c r="B2288" s="3" t="s">
        <v>580</v>
      </c>
      <c r="C2288" s="3" t="s">
        <v>39</v>
      </c>
      <c r="D2288" s="3" t="str">
        <f>VLOOKUP(C2288,layoffs_location!A:B,2,FALSE)</f>
        <v>New York</v>
      </c>
      <c r="E2288" s="3" t="str">
        <f>VLOOKUP(C2288,layoffs_location!A:C,3,FALSE)</f>
        <v>New York</v>
      </c>
      <c r="F2288" s="3" t="str">
        <f>VLOOKUP(C2288,layoffs_location!A:D,4,FALSE)</f>
        <v>USA</v>
      </c>
      <c r="G2288" s="3" t="str">
        <f>VLOOKUP(C2288,layoffs_location!A:E,5,FALSE)</f>
        <v>North America</v>
      </c>
      <c r="H2288" s="3">
        <v>70</v>
      </c>
      <c r="I2288" s="8">
        <v>45876</v>
      </c>
      <c r="J2288" s="9">
        <v>10</v>
      </c>
      <c r="K2288" s="28">
        <f>SUM((Table13[[#This Row],[Laid_Off]]*100)/Table13[[#This Row],[Percentage]])</f>
        <v>700</v>
      </c>
      <c r="L2288" s="10"/>
      <c r="M2288" s="3" t="s">
        <v>54</v>
      </c>
      <c r="P2288" s="3">
        <v>2025</v>
      </c>
      <c r="Q2288" s="3">
        <f>VLOOKUP(C2288,layoffs_location!A:F,6,FALSE)</f>
        <v>40.7127281</v>
      </c>
      <c r="R2288" s="3">
        <f>VLOOKUP(C2288,layoffs_location!A:G,7,FALSE)</f>
        <v>-74.006015199999993</v>
      </c>
    </row>
    <row r="2289" spans="1:18" x14ac:dyDescent="0.2">
      <c r="A2289" s="3">
        <v>2288</v>
      </c>
      <c r="B2289" s="3" t="s">
        <v>1375</v>
      </c>
      <c r="C2289" s="3" t="s">
        <v>135</v>
      </c>
      <c r="D2289" s="3" t="str">
        <f>VLOOKUP(C2289,layoffs_location!A:B,2,FALSE)</f>
        <v>other</v>
      </c>
      <c r="E2289" s="3" t="str">
        <f>VLOOKUP(C2289,layoffs_location!A:C,3,FALSE)</f>
        <v>Berlin</v>
      </c>
      <c r="F2289" s="3" t="str">
        <f>VLOOKUP(C2289,layoffs_location!A:D,4,FALSE)</f>
        <v>Germany</v>
      </c>
      <c r="G2289" s="3" t="str">
        <f>VLOOKUP(C2289,layoffs_location!A:E,5,FALSE)</f>
        <v>Europe</v>
      </c>
      <c r="H2289" s="3">
        <v>150</v>
      </c>
      <c r="I2289" s="8">
        <v>45879</v>
      </c>
      <c r="J2289" s="9"/>
      <c r="K2289" s="10"/>
      <c r="L2289" s="10"/>
      <c r="M2289" s="3" t="s">
        <v>2275</v>
      </c>
      <c r="P2289" s="3">
        <v>2025</v>
      </c>
      <c r="Q2289" s="3">
        <f>VLOOKUP(C2289,layoffs_location!A:F,6,FALSE)</f>
        <v>52.517036500000003</v>
      </c>
      <c r="R2289" s="3">
        <f>VLOOKUP(C2289,layoffs_location!A:G,7,FALSE)</f>
        <v>13.3888599</v>
      </c>
    </row>
    <row r="2290" spans="1:18" x14ac:dyDescent="0.2">
      <c r="A2290" s="3">
        <v>2289</v>
      </c>
      <c r="B2290" s="3" t="s">
        <v>2273</v>
      </c>
      <c r="C2290" s="3" t="s">
        <v>2274</v>
      </c>
      <c r="D2290" s="3" t="str">
        <f>VLOOKUP(C2290,layoffs_location!A:B,2,FALSE)</f>
        <v>other</v>
      </c>
      <c r="E2290" s="3" t="str">
        <f>VLOOKUP(C2290,layoffs_location!A:C,3,FALSE)</f>
        <v>England</v>
      </c>
      <c r="F2290" s="3" t="str">
        <f>VLOOKUP(C2290,layoffs_location!A:D,4,FALSE)</f>
        <v>UK</v>
      </c>
      <c r="G2290" s="3" t="str">
        <f>VLOOKUP(C2290,layoffs_location!A:E,5,FALSE)</f>
        <v>Europe</v>
      </c>
      <c r="H2290" s="3">
        <v>11</v>
      </c>
      <c r="I2290" s="8">
        <v>45880</v>
      </c>
      <c r="J2290" s="9"/>
      <c r="K2290" s="10"/>
      <c r="L2290" s="10"/>
      <c r="M2290" s="3" t="s">
        <v>2138</v>
      </c>
      <c r="P2290" s="3">
        <v>2025</v>
      </c>
      <c r="Q2290" s="3">
        <f>VLOOKUP(C2290,layoffs_location!A:F,6,FALSE)</f>
        <v>52.036521456638802</v>
      </c>
      <c r="R2290" s="3">
        <f>VLOOKUP(C2290,layoffs_location!A:G,7,FALSE)</f>
        <v>0.73092530091821595</v>
      </c>
    </row>
    <row r="2291" spans="1:18" x14ac:dyDescent="0.2">
      <c r="A2291" s="3">
        <v>2290</v>
      </c>
      <c r="B2291" s="3" t="s">
        <v>2270</v>
      </c>
      <c r="C2291" s="3" t="s">
        <v>1047</v>
      </c>
      <c r="D2291" s="3" t="str">
        <f>VLOOKUP(C2291,layoffs_location!A:B,2,FALSE)</f>
        <v>other</v>
      </c>
      <c r="E2291" s="3" t="str">
        <f>VLOOKUP(C2291,layoffs_location!A:C,3,FALSE)</f>
        <v>non</v>
      </c>
      <c r="F2291" s="3" t="str">
        <f>VLOOKUP(C2291,layoffs_location!A:D,4,FALSE)</f>
        <v>China</v>
      </c>
      <c r="G2291" s="3" t="str">
        <f>VLOOKUP(C2291,layoffs_location!A:E,5,FALSE)</f>
        <v>Asia</v>
      </c>
      <c r="I2291" s="8">
        <v>45881</v>
      </c>
      <c r="J2291" s="9"/>
      <c r="K2291" s="20"/>
      <c r="L2291" s="20"/>
      <c r="M2291" s="3" t="s">
        <v>2271</v>
      </c>
      <c r="P2291" s="3">
        <v>2025</v>
      </c>
      <c r="Q2291" s="3">
        <f>VLOOKUP(C2291,layoffs_location!A:F,6,FALSE)</f>
        <v>31.2312707</v>
      </c>
      <c r="R2291" s="3">
        <f>VLOOKUP(C2291,layoffs_location!A:G,7,FALSE)</f>
        <v>121.47001520000001</v>
      </c>
    </row>
    <row r="2292" spans="1:18" x14ac:dyDescent="0.2">
      <c r="A2292" s="3">
        <v>2291</v>
      </c>
      <c r="B2292" s="3" t="s">
        <v>2272</v>
      </c>
      <c r="C2292" s="3" t="s">
        <v>1694</v>
      </c>
      <c r="D2292" s="3" t="str">
        <f>VLOOKUP(C2292,layoffs_location!A:B,2,FALSE)</f>
        <v>San Francisco Bay Area</v>
      </c>
      <c r="E2292" s="3" t="str">
        <f>VLOOKUP(C2292,layoffs_location!A:C,3,FALSE)</f>
        <v>California</v>
      </c>
      <c r="F2292" s="3" t="str">
        <f>VLOOKUP(C2292,layoffs_location!A:D,4,FALSE)</f>
        <v>USA</v>
      </c>
      <c r="G2292" s="3" t="str">
        <f>VLOOKUP(C2292,layoffs_location!A:E,5,FALSE)</f>
        <v>North America</v>
      </c>
      <c r="H2292" s="3">
        <v>82</v>
      </c>
      <c r="I2292" s="8">
        <v>45881</v>
      </c>
      <c r="J2292" s="9"/>
      <c r="K2292" s="10"/>
      <c r="L2292" s="10"/>
      <c r="M2292" s="3" t="s">
        <v>2139</v>
      </c>
      <c r="P2292" s="3">
        <v>2025</v>
      </c>
      <c r="Q2292" s="3">
        <f>VLOOKUP(C2292,layoffs_location!A:F,6,FALSE)</f>
        <v>37.336166300000002</v>
      </c>
      <c r="R2292" s="3">
        <f>VLOOKUP(C2292,layoffs_location!A:G,7,FALSE)</f>
        <v>-121.890591</v>
      </c>
    </row>
    <row r="2293" spans="1:18" x14ac:dyDescent="0.2">
      <c r="A2293" s="3">
        <v>2292</v>
      </c>
      <c r="B2293" s="3" t="s">
        <v>1997</v>
      </c>
      <c r="C2293" s="3" t="s">
        <v>43</v>
      </c>
      <c r="D2293" s="3" t="str">
        <f>VLOOKUP(C2293,layoffs_location!A:B,2,FALSE)</f>
        <v>Cascadia</v>
      </c>
      <c r="E2293" s="3" t="str">
        <f>VLOOKUP(C2293,layoffs_location!A:C,3,FALSE)</f>
        <v>Washington</v>
      </c>
      <c r="F2293" s="3" t="str">
        <f>VLOOKUP(C2293,layoffs_location!A:D,4,FALSE)</f>
        <v>USA</v>
      </c>
      <c r="G2293" s="3" t="str">
        <f>VLOOKUP(C2293,layoffs_location!A:E,5,FALSE)</f>
        <v>North America</v>
      </c>
      <c r="H2293" s="3">
        <v>106</v>
      </c>
      <c r="I2293" s="8">
        <v>45882</v>
      </c>
      <c r="J2293" s="9"/>
      <c r="K2293" s="10"/>
      <c r="L2293" s="10"/>
      <c r="M2293" s="3" t="s">
        <v>2268</v>
      </c>
      <c r="P2293" s="3">
        <v>2025</v>
      </c>
      <c r="Q2293" s="3">
        <f>VLOOKUP(C2293,layoffs_location!A:F,6,FALSE)</f>
        <v>47.603832099999998</v>
      </c>
      <c r="R2293" s="3">
        <f>VLOOKUP(C2293,layoffs_location!A:G,7,FALSE)</f>
        <v>-122.330062</v>
      </c>
    </row>
    <row r="2294" spans="1:18" x14ac:dyDescent="0.2">
      <c r="A2294" s="3">
        <v>2293</v>
      </c>
      <c r="B2294" s="3" t="s">
        <v>2269</v>
      </c>
      <c r="C2294" s="3" t="s">
        <v>235</v>
      </c>
      <c r="D2294" s="3" t="str">
        <f>VLOOKUP(C2294,layoffs_location!A:B,2,FALSE)</f>
        <v>other</v>
      </c>
      <c r="E2294" s="3" t="str">
        <f>VLOOKUP(C2294,layoffs_location!A:C,3,FALSE)</f>
        <v>non</v>
      </c>
      <c r="F2294" s="3" t="str">
        <f>VLOOKUP(C2294,layoffs_location!A:D,4,FALSE)</f>
        <v>Israel</v>
      </c>
      <c r="G2294" s="3" t="str">
        <f>VLOOKUP(C2294,layoffs_location!A:E,5,FALSE)</f>
        <v>Asia</v>
      </c>
      <c r="H2294" s="3">
        <v>4500</v>
      </c>
      <c r="I2294" s="8">
        <v>45882</v>
      </c>
      <c r="J2294" s="9">
        <v>100</v>
      </c>
      <c r="K2294" s="28">
        <f>SUM((Table13[[#This Row],[Laid_Off]]*100)/Table13[[#This Row],[Percentage]])</f>
        <v>4500</v>
      </c>
      <c r="L2294" s="10">
        <v>0</v>
      </c>
      <c r="M2294" s="3" t="s">
        <v>1400</v>
      </c>
      <c r="P2294" s="3">
        <v>2025</v>
      </c>
      <c r="Q2294" s="3">
        <f>VLOOKUP(C2294,layoffs_location!A:F,6,FALSE)</f>
        <v>32.186024400000001</v>
      </c>
      <c r="R2294" s="3">
        <f>VLOOKUP(C2294,layoffs_location!A:G,7,FALSE)</f>
        <v>34.867835900000003</v>
      </c>
    </row>
    <row r="2295" spans="1:18" x14ac:dyDescent="0.2">
      <c r="A2295" s="3">
        <v>2294</v>
      </c>
      <c r="B2295" s="3" t="s">
        <v>2244</v>
      </c>
      <c r="C2295" s="3" t="s">
        <v>43</v>
      </c>
      <c r="D2295" s="3" t="str">
        <f>VLOOKUP(C2295,layoffs_location!A:B,2,FALSE)</f>
        <v>Cascadia</v>
      </c>
      <c r="E2295" s="3" t="str">
        <f>VLOOKUP(C2295,layoffs_location!A:C,3,FALSE)</f>
        <v>Washington</v>
      </c>
      <c r="F2295" s="3" t="str">
        <f>VLOOKUP(C2295,layoffs_location!A:D,4,FALSE)</f>
        <v>USA</v>
      </c>
      <c r="G2295" s="3" t="str">
        <f>VLOOKUP(C2295,layoffs_location!A:E,5,FALSE)</f>
        <v>North America</v>
      </c>
      <c r="H2295" s="3">
        <v>150</v>
      </c>
      <c r="I2295" s="8">
        <v>45883</v>
      </c>
      <c r="J2295" s="9"/>
      <c r="K2295" s="10"/>
      <c r="L2295" s="10"/>
      <c r="M2295" s="3" t="s">
        <v>2267</v>
      </c>
      <c r="P2295" s="3">
        <v>2025</v>
      </c>
      <c r="Q2295" s="3">
        <f>VLOOKUP(C2295,layoffs_location!A:F,6,FALSE)</f>
        <v>47.603832099999998</v>
      </c>
      <c r="R2295" s="3">
        <f>VLOOKUP(C2295,layoffs_location!A:G,7,FALSE)</f>
        <v>-122.330062</v>
      </c>
    </row>
    <row r="2296" spans="1:18" x14ac:dyDescent="0.2">
      <c r="A2296" s="3">
        <v>2295</v>
      </c>
      <c r="B2296" s="3" t="s">
        <v>2244</v>
      </c>
      <c r="C2296" s="3" t="s">
        <v>13</v>
      </c>
      <c r="D2296" s="3" t="str">
        <f>VLOOKUP(C2296,layoffs_location!A:B,2,FALSE)</f>
        <v>other</v>
      </c>
      <c r="E2296" s="3" t="str">
        <f>VLOOKUP(C2296,layoffs_location!A:C,3,FALSE)</f>
        <v>Karnataka</v>
      </c>
      <c r="F2296" s="3" t="str">
        <f>VLOOKUP(C2296,layoffs_location!A:D,4,FALSE)</f>
        <v>India</v>
      </c>
      <c r="G2296" s="3" t="str">
        <f>VLOOKUP(C2296,layoffs_location!A:E,5,FALSE)</f>
        <v>Asia</v>
      </c>
      <c r="H2296" s="3">
        <v>3000</v>
      </c>
      <c r="I2296" s="8">
        <v>45891</v>
      </c>
      <c r="J2296" s="9"/>
      <c r="K2296" s="10"/>
      <c r="L2296" s="10"/>
      <c r="M2296" s="3" t="s">
        <v>2266</v>
      </c>
      <c r="P2296" s="3">
        <v>2025</v>
      </c>
      <c r="Q2296" s="3">
        <f>VLOOKUP(C2296,layoffs_location!A:F,6,FALSE)</f>
        <v>12.98815675</v>
      </c>
      <c r="R2296" s="3">
        <f>VLOOKUP(C2296,layoffs_location!A:G,7,FALSE)</f>
        <v>77.622600037959998</v>
      </c>
    </row>
    <row r="2297" spans="1:18" x14ac:dyDescent="0.2">
      <c r="A2297" s="3">
        <v>2296</v>
      </c>
      <c r="B2297" s="3" t="s">
        <v>2017</v>
      </c>
      <c r="C2297" s="3" t="s">
        <v>13</v>
      </c>
      <c r="D2297" s="3" t="str">
        <f>VLOOKUP(C2297,layoffs_location!A:B,2,FALSE)</f>
        <v>other</v>
      </c>
      <c r="E2297" s="3" t="str">
        <f>VLOOKUP(C2297,layoffs_location!A:C,3,FALSE)</f>
        <v>Karnataka</v>
      </c>
      <c r="F2297" s="3" t="str">
        <f>VLOOKUP(C2297,layoffs_location!A:D,4,FALSE)</f>
        <v>India</v>
      </c>
      <c r="G2297" s="3" t="str">
        <f>VLOOKUP(C2297,layoffs_location!A:E,5,FALSE)</f>
        <v>Asia</v>
      </c>
      <c r="I2297" s="8">
        <v>45892</v>
      </c>
      <c r="J2297" s="9">
        <v>100</v>
      </c>
      <c r="K2297" s="10"/>
      <c r="L2297" s="10">
        <v>0</v>
      </c>
      <c r="M2297" s="3" t="s">
        <v>2265</v>
      </c>
      <c r="P2297" s="3">
        <v>2025</v>
      </c>
      <c r="Q2297" s="3">
        <f>VLOOKUP(C2297,layoffs_location!A:F,6,FALSE)</f>
        <v>12.98815675</v>
      </c>
      <c r="R2297" s="3">
        <f>VLOOKUP(C2297,layoffs_location!A:G,7,FALSE)</f>
        <v>77.622600037959998</v>
      </c>
    </row>
    <row r="2298" spans="1:18" x14ac:dyDescent="0.2">
      <c r="A2298" s="3">
        <v>2297</v>
      </c>
      <c r="B2298" s="3" t="s">
        <v>2263</v>
      </c>
      <c r="C2298" s="3" t="s">
        <v>2264</v>
      </c>
      <c r="D2298" s="3" t="str">
        <f>VLOOKUP(C2298,layoffs_location!A:B,2,FALSE)</f>
        <v>other</v>
      </c>
      <c r="E2298" s="3" t="str">
        <f>VLOOKUP(C2298,layoffs_location!A:C,3,FALSE)</f>
        <v>Texas</v>
      </c>
      <c r="F2298" s="3" t="str">
        <f>VLOOKUP(C2298,layoffs_location!A:D,4,FALSE)</f>
        <v>USA</v>
      </c>
      <c r="G2298" s="3" t="str">
        <f>VLOOKUP(C2298,layoffs_location!A:E,5,FALSE)</f>
        <v>North America</v>
      </c>
      <c r="H2298" s="3">
        <v>87</v>
      </c>
      <c r="I2298" s="8">
        <v>45893</v>
      </c>
      <c r="J2298" s="9"/>
      <c r="K2298" s="10"/>
      <c r="L2298" s="10"/>
      <c r="M2298" s="3" t="s">
        <v>2156</v>
      </c>
      <c r="P2298" s="3">
        <v>2025</v>
      </c>
      <c r="Q2298" s="3">
        <f>VLOOKUP(C2298,layoffs_location!A:F,6,FALSE)</f>
        <v>32.729130835629697</v>
      </c>
      <c r="R2298" s="3">
        <f>VLOOKUP(C2298,layoffs_location!A:G,7,FALSE)</f>
        <v>-97.110122485566706</v>
      </c>
    </row>
    <row r="2299" spans="1:18" x14ac:dyDescent="0.2">
      <c r="A2299" s="3">
        <v>2298</v>
      </c>
      <c r="B2299" s="3" t="s">
        <v>2262</v>
      </c>
      <c r="C2299" s="3" t="s">
        <v>445</v>
      </c>
      <c r="D2299" s="3" t="str">
        <f>VLOOKUP(C2299,layoffs_location!A:B,2,FALSE)</f>
        <v>other</v>
      </c>
      <c r="E2299" s="3" t="str">
        <f>VLOOKUP(C2299,layoffs_location!A:C,3,FALSE)</f>
        <v>non</v>
      </c>
      <c r="F2299" s="3" t="str">
        <f>VLOOKUP(C2299,layoffs_location!A:D,4,FALSE)</f>
        <v>Indonesia</v>
      </c>
      <c r="G2299" s="3" t="str">
        <f>VLOOKUP(C2299,layoffs_location!A:E,5,FALSE)</f>
        <v>Asia</v>
      </c>
      <c r="H2299" s="3">
        <v>420</v>
      </c>
      <c r="I2299" s="8">
        <v>45894</v>
      </c>
      <c r="J2299" s="9"/>
      <c r="K2299" s="10"/>
      <c r="L2299" s="10"/>
      <c r="M2299" s="3" t="s">
        <v>2123</v>
      </c>
      <c r="P2299" s="3">
        <v>2025</v>
      </c>
      <c r="Q2299" s="3">
        <f>VLOOKUP(C2299,layoffs_location!A:F,6,FALSE)</f>
        <v>-6.1752469999999997</v>
      </c>
      <c r="R2299" s="3">
        <f>VLOOKUP(C2299,layoffs_location!A:G,7,FALSE)</f>
        <v>106.8270488</v>
      </c>
    </row>
    <row r="2300" spans="1:18" x14ac:dyDescent="0.2">
      <c r="A2300" s="3">
        <v>2299</v>
      </c>
      <c r="B2300" s="3" t="s">
        <v>2260</v>
      </c>
      <c r="C2300" s="3" t="s">
        <v>13</v>
      </c>
      <c r="D2300" s="3" t="str">
        <f>VLOOKUP(C2300,layoffs_location!A:B,2,FALSE)</f>
        <v>other</v>
      </c>
      <c r="E2300" s="3" t="str">
        <f>VLOOKUP(C2300,layoffs_location!A:C,3,FALSE)</f>
        <v>Karnataka</v>
      </c>
      <c r="F2300" s="3" t="str">
        <f>VLOOKUP(C2300,layoffs_location!A:D,4,FALSE)</f>
        <v>India</v>
      </c>
      <c r="G2300" s="3" t="str">
        <f>VLOOKUP(C2300,layoffs_location!A:E,5,FALSE)</f>
        <v>Asia</v>
      </c>
      <c r="H2300" s="3">
        <v>50</v>
      </c>
      <c r="I2300" s="8">
        <v>45901</v>
      </c>
      <c r="J2300" s="9"/>
      <c r="K2300" s="20"/>
      <c r="L2300" s="20"/>
      <c r="M2300" s="3" t="s">
        <v>62</v>
      </c>
      <c r="P2300" s="3">
        <v>2025</v>
      </c>
      <c r="Q2300" s="3">
        <f>VLOOKUP(C2300,layoffs_location!A:F,6,FALSE)</f>
        <v>12.98815675</v>
      </c>
      <c r="R2300" s="3">
        <f>VLOOKUP(C2300,layoffs_location!A:G,7,FALSE)</f>
        <v>77.622600037959998</v>
      </c>
    </row>
    <row r="2301" spans="1:18" x14ac:dyDescent="0.2">
      <c r="A2301" s="3">
        <v>2300</v>
      </c>
      <c r="B2301" s="3" t="s">
        <v>1012</v>
      </c>
      <c r="C2301" s="3" t="s">
        <v>13</v>
      </c>
      <c r="D2301" s="3" t="str">
        <f>VLOOKUP(C2301,layoffs_location!A:B,2,FALSE)</f>
        <v>other</v>
      </c>
      <c r="E2301" s="3" t="str">
        <f>VLOOKUP(C2301,layoffs_location!A:C,3,FALSE)</f>
        <v>Karnataka</v>
      </c>
      <c r="F2301" s="3" t="str">
        <f>VLOOKUP(C2301,layoffs_location!A:D,4,FALSE)</f>
        <v>India</v>
      </c>
      <c r="G2301" s="3" t="str">
        <f>VLOOKUP(C2301,layoffs_location!A:E,5,FALSE)</f>
        <v>Asia</v>
      </c>
      <c r="H2301" s="3">
        <v>300</v>
      </c>
      <c r="I2301" s="8">
        <v>45901</v>
      </c>
      <c r="J2301" s="9"/>
      <c r="K2301" s="10"/>
      <c r="L2301" s="10"/>
      <c r="M2301" s="3" t="s">
        <v>1460</v>
      </c>
      <c r="P2301" s="3">
        <v>2025</v>
      </c>
      <c r="Q2301" s="3">
        <f>VLOOKUP(C2301,layoffs_location!A:F,6,FALSE)</f>
        <v>12.98815675</v>
      </c>
      <c r="R2301" s="3">
        <f>VLOOKUP(C2301,layoffs_location!A:G,7,FALSE)</f>
        <v>77.622600037959998</v>
      </c>
    </row>
    <row r="2302" spans="1:18" x14ac:dyDescent="0.2">
      <c r="A2302" s="3">
        <v>2301</v>
      </c>
      <c r="B2302" s="3" t="s">
        <v>2261</v>
      </c>
      <c r="C2302" s="3" t="s">
        <v>56</v>
      </c>
      <c r="D2302" s="3" t="str">
        <f>VLOOKUP(C2302,layoffs_location!A:B,2,FALSE)</f>
        <v>other</v>
      </c>
      <c r="E2302" s="3" t="str">
        <f>VLOOKUP(C2302,layoffs_location!A:C,3,FALSE)</f>
        <v>Maharashtra</v>
      </c>
      <c r="F2302" s="3" t="str">
        <f>VLOOKUP(C2302,layoffs_location!A:D,4,FALSE)</f>
        <v>India</v>
      </c>
      <c r="G2302" s="3" t="str">
        <f>VLOOKUP(C2302,layoffs_location!A:E,5,FALSE)</f>
        <v>Asia</v>
      </c>
      <c r="H2302" s="3">
        <v>400</v>
      </c>
      <c r="I2302" s="8">
        <v>45901</v>
      </c>
      <c r="J2302" s="9"/>
      <c r="K2302" s="20"/>
      <c r="L2302" s="20"/>
      <c r="M2302" s="3" t="s">
        <v>1460</v>
      </c>
      <c r="P2302" s="3">
        <v>2025</v>
      </c>
      <c r="Q2302" s="3">
        <f>VLOOKUP(C2302,layoffs_location!A:F,6,FALSE)</f>
        <v>19.078545099999999</v>
      </c>
      <c r="R2302" s="3">
        <f>VLOOKUP(C2302,layoffs_location!A:G,7,FALSE)</f>
        <v>72.878175999999996</v>
      </c>
    </row>
    <row r="2303" spans="1:18" x14ac:dyDescent="0.2">
      <c r="A2303" s="3">
        <v>2302</v>
      </c>
      <c r="B2303" s="3" t="s">
        <v>1636</v>
      </c>
      <c r="C2303" s="3" t="s">
        <v>1370</v>
      </c>
      <c r="D2303" s="3" t="str">
        <f>VLOOKUP(C2303,layoffs_location!A:B,2,FALSE)</f>
        <v>San Francisco Bay Area</v>
      </c>
      <c r="E2303" s="3" t="str">
        <f>VLOOKUP(C2303,layoffs_location!A:C,3,FALSE)</f>
        <v>California</v>
      </c>
      <c r="F2303" s="3" t="str">
        <f>VLOOKUP(C2303,layoffs_location!A:D,4,FALSE)</f>
        <v>USA</v>
      </c>
      <c r="G2303" s="3" t="str">
        <f>VLOOKUP(C2303,layoffs_location!A:E,5,FALSE)</f>
        <v>North America</v>
      </c>
      <c r="H2303" s="3">
        <v>4000</v>
      </c>
      <c r="I2303" s="8">
        <v>45902</v>
      </c>
      <c r="J2303" s="9"/>
      <c r="K2303" s="10"/>
      <c r="L2303" s="10"/>
      <c r="M2303" s="3" t="s">
        <v>1400</v>
      </c>
      <c r="P2303" s="3">
        <v>2025</v>
      </c>
      <c r="Q2303" s="3">
        <f>VLOOKUP(C2303,layoffs_location!A:F,6,FALSE)</f>
        <v>37.779258800000001</v>
      </c>
      <c r="R2303" s="3">
        <f>VLOOKUP(C2303,layoffs_location!A:G,7,FALSE)</f>
        <v>-122.4193286</v>
      </c>
    </row>
    <row r="2304" spans="1:18" x14ac:dyDescent="0.2">
      <c r="A2304" s="3">
        <v>2303</v>
      </c>
      <c r="B2304" s="3" t="s">
        <v>2256</v>
      </c>
      <c r="C2304" s="3" t="s">
        <v>2257</v>
      </c>
      <c r="D2304" s="3" t="str">
        <f>VLOOKUP(C2304,layoffs_location!A:B,2,FALSE)</f>
        <v>other</v>
      </c>
      <c r="E2304" s="3" t="str">
        <f>VLOOKUP(C2304,layoffs_location!A:C,3,FALSE)</f>
        <v>California</v>
      </c>
      <c r="F2304" s="3" t="str">
        <f>VLOOKUP(C2304,layoffs_location!A:D,4,FALSE)</f>
        <v>USA</v>
      </c>
      <c r="G2304" s="3" t="str">
        <f>VLOOKUP(C2304,layoffs_location!A:E,5,FALSE)</f>
        <v>North America</v>
      </c>
      <c r="I2304" s="8">
        <v>45903</v>
      </c>
      <c r="J2304" s="9"/>
      <c r="K2304" s="10"/>
      <c r="L2304" s="10"/>
      <c r="M2304" s="3" t="s">
        <v>2138</v>
      </c>
      <c r="P2304" s="3">
        <v>2025</v>
      </c>
      <c r="Q2304" s="3">
        <f>VLOOKUP(C2304,layoffs_location!A:F,6,FALSE)</f>
        <v>33.671740193463201</v>
      </c>
      <c r="R2304" s="3">
        <f>VLOOKUP(C2304,layoffs_location!A:G,7,FALSE)</f>
        <v>-117.802915090542</v>
      </c>
    </row>
    <row r="2305" spans="1:18" x14ac:dyDescent="0.2">
      <c r="A2305" s="3">
        <v>2304</v>
      </c>
      <c r="B2305" s="3" t="s">
        <v>2258</v>
      </c>
      <c r="C2305" s="3" t="s">
        <v>47</v>
      </c>
      <c r="D2305" s="3" t="str">
        <f>VLOOKUP(C2305,layoffs_location!A:B,2,FALSE)</f>
        <v>other</v>
      </c>
      <c r="E2305" s="3" t="str">
        <f>VLOOKUP(C2305,layoffs_location!A:C,3,FALSE)</f>
        <v>non</v>
      </c>
      <c r="F2305" s="3" t="str">
        <f>VLOOKUP(C2305,layoffs_location!A:D,4,FALSE)</f>
        <v>Israel</v>
      </c>
      <c r="G2305" s="3" t="str">
        <f>VLOOKUP(C2305,layoffs_location!A:E,5,FALSE)</f>
        <v>Asia</v>
      </c>
      <c r="I2305" s="8">
        <v>45903</v>
      </c>
      <c r="J2305" s="9">
        <v>100</v>
      </c>
      <c r="K2305" s="20"/>
      <c r="L2305" s="20">
        <v>0</v>
      </c>
      <c r="M2305" s="3" t="s">
        <v>2259</v>
      </c>
      <c r="P2305" s="3">
        <v>2025</v>
      </c>
      <c r="Q2305" s="3">
        <f>VLOOKUP(C2305,layoffs_location!A:F,6,FALSE)</f>
        <v>32.0852997</v>
      </c>
      <c r="R2305" s="3">
        <f>VLOOKUP(C2305,layoffs_location!A:G,7,FALSE)</f>
        <v>34.781806400000001</v>
      </c>
    </row>
    <row r="2306" spans="1:18" x14ac:dyDescent="0.2">
      <c r="A2306" s="3">
        <v>2305</v>
      </c>
      <c r="B2306" s="3" t="s">
        <v>2249</v>
      </c>
      <c r="C2306" s="3" t="s">
        <v>2250</v>
      </c>
      <c r="D2306" s="3" t="str">
        <f>VLOOKUP(C2306,layoffs_location!A:B,2,FALSE)</f>
        <v>San Francisco Bay Area</v>
      </c>
      <c r="E2306" s="3" t="str">
        <f>VLOOKUP(C2306,layoffs_location!A:C,3,FALSE)</f>
        <v>California</v>
      </c>
      <c r="F2306" s="3" t="str">
        <f>VLOOKUP(C2306,layoffs_location!A:D,4,FALSE)</f>
        <v>USA</v>
      </c>
      <c r="G2306" s="3" t="str">
        <f>VLOOKUP(C2306,layoffs_location!A:E,5,FALSE)</f>
        <v>North America</v>
      </c>
      <c r="I2306" s="8">
        <v>45904</v>
      </c>
      <c r="J2306" s="9"/>
      <c r="K2306" s="10"/>
      <c r="L2306" s="10"/>
      <c r="M2306" s="3" t="s">
        <v>2138</v>
      </c>
      <c r="P2306" s="3">
        <v>2025</v>
      </c>
      <c r="Q2306" s="3">
        <f>VLOOKUP(C2306,layoffs_location!A:F,6,FALSE)</f>
        <v>38.082224978875402</v>
      </c>
      <c r="R2306" s="3">
        <f>VLOOKUP(C2306,layoffs_location!A:G,7,FALSE)</f>
        <v>-122.56195695368</v>
      </c>
    </row>
    <row r="2307" spans="1:18" x14ac:dyDescent="0.2">
      <c r="A2307" s="3">
        <v>2306</v>
      </c>
      <c r="B2307" s="3" t="s">
        <v>2251</v>
      </c>
      <c r="C2307" s="3" t="s">
        <v>1370</v>
      </c>
      <c r="D2307" s="3" t="str">
        <f>VLOOKUP(C2307,layoffs_location!A:B,2,FALSE)</f>
        <v>San Francisco Bay Area</v>
      </c>
      <c r="E2307" s="3" t="str">
        <f>VLOOKUP(C2307,layoffs_location!A:C,3,FALSE)</f>
        <v>California</v>
      </c>
      <c r="F2307" s="3" t="str">
        <f>VLOOKUP(C2307,layoffs_location!A:D,4,FALSE)</f>
        <v>USA</v>
      </c>
      <c r="G2307" s="3" t="str">
        <f>VLOOKUP(C2307,layoffs_location!A:E,5,FALSE)</f>
        <v>North America</v>
      </c>
      <c r="H2307" s="3">
        <v>100</v>
      </c>
      <c r="I2307" s="8">
        <v>45904</v>
      </c>
      <c r="J2307" s="9"/>
      <c r="K2307" s="10"/>
      <c r="L2307" s="10"/>
      <c r="M2307" s="3" t="s">
        <v>2156</v>
      </c>
      <c r="P2307" s="3">
        <v>2025</v>
      </c>
      <c r="Q2307" s="3">
        <f>VLOOKUP(C2307,layoffs_location!A:F,6,FALSE)</f>
        <v>37.779258800000001</v>
      </c>
      <c r="R2307" s="3">
        <f>VLOOKUP(C2307,layoffs_location!A:G,7,FALSE)</f>
        <v>-122.4193286</v>
      </c>
    </row>
    <row r="2308" spans="1:18" x14ac:dyDescent="0.2">
      <c r="A2308" s="3">
        <v>2307</v>
      </c>
      <c r="B2308" s="3" t="s">
        <v>2252</v>
      </c>
      <c r="C2308" s="3" t="s">
        <v>2253</v>
      </c>
      <c r="D2308" s="3" t="str">
        <f>VLOOKUP(C2308,layoffs_location!A:B,2,FALSE)</f>
        <v>other</v>
      </c>
      <c r="E2308" s="3" t="str">
        <f>VLOOKUP(C2308,layoffs_location!A:C,3,FALSE)</f>
        <v>Telangana</v>
      </c>
      <c r="F2308" s="3" t="str">
        <f>VLOOKUP(C2308,layoffs_location!A:D,4,FALSE)</f>
        <v>India</v>
      </c>
      <c r="G2308" s="3" t="str">
        <f>VLOOKUP(C2308,layoffs_location!A:E,5,FALSE)</f>
        <v>Asia</v>
      </c>
      <c r="H2308" s="3">
        <v>500</v>
      </c>
      <c r="I2308" s="8">
        <v>45904</v>
      </c>
      <c r="J2308" s="9"/>
      <c r="K2308" s="10"/>
      <c r="L2308" s="10"/>
      <c r="M2308" s="3" t="s">
        <v>2187</v>
      </c>
      <c r="P2308" s="3">
        <v>2025</v>
      </c>
      <c r="Q2308" s="3">
        <f>VLOOKUP(C2308,layoffs_location!A:F,6,FALSE)</f>
        <v>17.4212491186112</v>
      </c>
      <c r="R2308" s="3">
        <f>VLOOKUP(C2308,layoffs_location!A:G,7,FALSE)</f>
        <v>78.388767125272906</v>
      </c>
    </row>
    <row r="2309" spans="1:18" x14ac:dyDescent="0.2">
      <c r="A2309" s="3">
        <v>2308</v>
      </c>
      <c r="B2309" s="3" t="s">
        <v>2244</v>
      </c>
      <c r="C2309" s="3" t="s">
        <v>1370</v>
      </c>
      <c r="D2309" s="3" t="str">
        <f>VLOOKUP(C2309,layoffs_location!A:B,2,FALSE)</f>
        <v>San Francisco Bay Area</v>
      </c>
      <c r="E2309" s="3" t="str">
        <f>VLOOKUP(C2309,layoffs_location!A:C,3,FALSE)</f>
        <v>California</v>
      </c>
      <c r="F2309" s="3" t="str">
        <f>VLOOKUP(C2309,layoffs_location!A:D,4,FALSE)</f>
        <v>USA</v>
      </c>
      <c r="G2309" s="3" t="str">
        <f>VLOOKUP(C2309,layoffs_location!A:E,5,FALSE)</f>
        <v>North America</v>
      </c>
      <c r="H2309" s="3">
        <v>254</v>
      </c>
      <c r="I2309" s="8">
        <v>45904</v>
      </c>
      <c r="J2309" s="9"/>
      <c r="K2309" s="10"/>
      <c r="L2309" s="10"/>
      <c r="M2309" s="3" t="s">
        <v>2156</v>
      </c>
      <c r="P2309" s="3">
        <v>2025</v>
      </c>
      <c r="Q2309" s="3">
        <f>VLOOKUP(C2309,layoffs_location!A:F,6,FALSE)</f>
        <v>37.779258800000001</v>
      </c>
      <c r="R2309" s="3">
        <f>VLOOKUP(C2309,layoffs_location!A:G,7,FALSE)</f>
        <v>-122.4193286</v>
      </c>
    </row>
    <row r="2310" spans="1:18" x14ac:dyDescent="0.2">
      <c r="A2310" s="3">
        <v>2309</v>
      </c>
      <c r="B2310" s="3" t="s">
        <v>2254</v>
      </c>
      <c r="C2310" s="3" t="s">
        <v>182</v>
      </c>
      <c r="D2310" s="3" t="str">
        <f>VLOOKUP(C2310,layoffs_location!A:B,2,FALSE)</f>
        <v>other</v>
      </c>
      <c r="E2310" s="3" t="str">
        <f>VLOOKUP(C2310,layoffs_location!A:C,3,FALSE)</f>
        <v>Haryana</v>
      </c>
      <c r="F2310" s="3" t="str">
        <f>VLOOKUP(C2310,layoffs_location!A:D,4,FALSE)</f>
        <v>India</v>
      </c>
      <c r="G2310" s="3" t="str">
        <f>VLOOKUP(C2310,layoffs_location!A:E,5,FALSE)</f>
        <v>Asia</v>
      </c>
      <c r="H2310" s="3">
        <v>50</v>
      </c>
      <c r="I2310" s="8">
        <v>45904</v>
      </c>
      <c r="J2310" s="9"/>
      <c r="K2310" s="20"/>
      <c r="L2310" s="20"/>
      <c r="M2310" s="3" t="s">
        <v>2255</v>
      </c>
      <c r="P2310" s="3">
        <v>2025</v>
      </c>
      <c r="Q2310" s="3">
        <f>VLOOKUP(C2310,layoffs_location!A:F,6,FALSE)</f>
        <v>28.4646148</v>
      </c>
      <c r="R2310" s="3">
        <f>VLOOKUP(C2310,layoffs_location!A:G,7,FALSE)</f>
        <v>77.029919399999997</v>
      </c>
    </row>
    <row r="2311" spans="1:18" x14ac:dyDescent="0.2">
      <c r="A2311" s="3">
        <v>2310</v>
      </c>
      <c r="B2311" s="3" t="s">
        <v>2246</v>
      </c>
      <c r="C2311" s="3" t="s">
        <v>1079</v>
      </c>
      <c r="D2311" s="3" t="str">
        <f>VLOOKUP(C2311,layoffs_location!A:B,2,FALSE)</f>
        <v>other</v>
      </c>
      <c r="E2311" s="3" t="str">
        <f>VLOOKUP(C2311,layoffs_location!A:C,3,FALSE)</f>
        <v>Nevada</v>
      </c>
      <c r="F2311" s="3" t="str">
        <f>VLOOKUP(C2311,layoffs_location!A:D,4,FALSE)</f>
        <v>USA</v>
      </c>
      <c r="G2311" s="3" t="str">
        <f>VLOOKUP(C2311,layoffs_location!A:E,5,FALSE)</f>
        <v>North America</v>
      </c>
      <c r="I2311" s="8">
        <v>45905</v>
      </c>
      <c r="J2311" s="9">
        <v>100</v>
      </c>
      <c r="K2311" s="10"/>
      <c r="L2311" s="10">
        <v>0</v>
      </c>
      <c r="M2311" s="3" t="s">
        <v>2247</v>
      </c>
      <c r="P2311" s="3">
        <v>2025</v>
      </c>
      <c r="Q2311" s="3">
        <f>VLOOKUP(C2311,layoffs_location!A:F,6,FALSE)</f>
        <v>36.167255900000001</v>
      </c>
      <c r="R2311" s="3">
        <f>VLOOKUP(C2311,layoffs_location!A:G,7,FALSE)</f>
        <v>-115.148516</v>
      </c>
    </row>
    <row r="2312" spans="1:18" x14ac:dyDescent="0.2">
      <c r="A2312" s="3">
        <v>2311</v>
      </c>
      <c r="B2312" s="3" t="s">
        <v>2248</v>
      </c>
      <c r="C2312" s="3" t="s">
        <v>39</v>
      </c>
      <c r="D2312" s="3" t="str">
        <f>VLOOKUP(C2312,layoffs_location!A:B,2,FALSE)</f>
        <v>New York</v>
      </c>
      <c r="E2312" s="3" t="str">
        <f>VLOOKUP(C2312,layoffs_location!A:C,3,FALSE)</f>
        <v>New York</v>
      </c>
      <c r="F2312" s="3" t="str">
        <f>VLOOKUP(C2312,layoffs_location!A:D,4,FALSE)</f>
        <v>USA</v>
      </c>
      <c r="G2312" s="3" t="str">
        <f>VLOOKUP(C2312,layoffs_location!A:E,5,FALSE)</f>
        <v>North America</v>
      </c>
      <c r="I2312" s="8">
        <v>45905</v>
      </c>
      <c r="J2312" s="9"/>
      <c r="K2312" s="20"/>
      <c r="L2312" s="20"/>
      <c r="M2312" s="3" t="s">
        <v>1400</v>
      </c>
      <c r="P2312" s="3">
        <v>2025</v>
      </c>
      <c r="Q2312" s="3">
        <f>VLOOKUP(C2312,layoffs_location!A:F,6,FALSE)</f>
        <v>40.7127281</v>
      </c>
      <c r="R2312" s="3">
        <f>VLOOKUP(C2312,layoffs_location!A:G,7,FALSE)</f>
        <v>-74.006015199999993</v>
      </c>
    </row>
    <row r="2313" spans="1:18" x14ac:dyDescent="0.2">
      <c r="A2313" s="3">
        <v>2312</v>
      </c>
      <c r="B2313" s="3" t="s">
        <v>523</v>
      </c>
      <c r="C2313" s="3" t="s">
        <v>4589</v>
      </c>
      <c r="D2313" s="3" t="str">
        <f>VLOOKUP(C2313,layoffs_location!A:B,2,FALSE)</f>
        <v>Cascadia</v>
      </c>
      <c r="E2313" s="3" t="str">
        <f>VLOOKUP(C2313,layoffs_location!A:C,3,FALSE)</f>
        <v>Washington</v>
      </c>
      <c r="F2313" s="3" t="str">
        <f>VLOOKUP(C2313,layoffs_location!A:D,4,FALSE)</f>
        <v>USA</v>
      </c>
      <c r="G2313" s="3" t="str">
        <f>VLOOKUP(C2313,layoffs_location!A:E,5,FALSE)</f>
        <v>Asia</v>
      </c>
      <c r="H2313" s="3">
        <v>42</v>
      </c>
      <c r="I2313" s="8">
        <v>45908</v>
      </c>
      <c r="J2313" s="9"/>
      <c r="K2313" s="10"/>
      <c r="L2313" s="10"/>
      <c r="M2313" s="3" t="s">
        <v>1400</v>
      </c>
      <c r="P2313" s="3">
        <v>2025</v>
      </c>
      <c r="Q2313" s="3">
        <f>VLOOKUP(C2313,layoffs_location!A:F,6,FALSE)</f>
        <v>47.645404522430098</v>
      </c>
      <c r="R2313" s="3">
        <f>VLOOKUP(C2313,layoffs_location!A:G,7,FALSE)</f>
        <v>-122.13299976733499</v>
      </c>
    </row>
    <row r="2314" spans="1:18" x14ac:dyDescent="0.2">
      <c r="A2314" s="3">
        <v>2313</v>
      </c>
      <c r="B2314" s="3" t="s">
        <v>2244</v>
      </c>
      <c r="C2314" s="3" t="s">
        <v>83</v>
      </c>
      <c r="D2314" s="3" t="str">
        <f>VLOOKUP(C2314,layoffs_location!A:B,2,FALSE)</f>
        <v>other</v>
      </c>
      <c r="E2314" s="3" t="str">
        <f>VLOOKUP(C2314,layoffs_location!A:C,3,FALSE)</f>
        <v>Texas</v>
      </c>
      <c r="F2314" s="3" t="str">
        <f>VLOOKUP(C2314,layoffs_location!A:D,4,FALSE)</f>
        <v>USA</v>
      </c>
      <c r="G2314" s="3" t="str">
        <f>VLOOKUP(C2314,layoffs_location!A:E,5,FALSE)</f>
        <v>North America</v>
      </c>
      <c r="H2314" s="3">
        <v>3000</v>
      </c>
      <c r="I2314" s="8">
        <v>45909</v>
      </c>
      <c r="J2314" s="9"/>
      <c r="K2314" s="10"/>
      <c r="L2314" s="10"/>
      <c r="M2314" s="3" t="s">
        <v>2156</v>
      </c>
      <c r="P2314" s="3">
        <v>2025</v>
      </c>
      <c r="Q2314" s="3">
        <f>VLOOKUP(C2314,layoffs_location!A:F,6,FALSE)</f>
        <v>30.271128600000001</v>
      </c>
      <c r="R2314" s="3">
        <f>VLOOKUP(C2314,layoffs_location!A:G,7,FALSE)</f>
        <v>-97.743699500000005</v>
      </c>
    </row>
    <row r="2315" spans="1:18" x14ac:dyDescent="0.2">
      <c r="A2315" s="3">
        <v>2314</v>
      </c>
      <c r="B2315" s="3" t="s">
        <v>2245</v>
      </c>
      <c r="C2315" s="3" t="s">
        <v>1370</v>
      </c>
      <c r="D2315" s="3" t="str">
        <f>VLOOKUP(C2315,layoffs_location!A:B,2,FALSE)</f>
        <v>San Francisco Bay Area</v>
      </c>
      <c r="E2315" s="3" t="str">
        <f>VLOOKUP(C2315,layoffs_location!A:C,3,FALSE)</f>
        <v>California</v>
      </c>
      <c r="F2315" s="3" t="str">
        <f>VLOOKUP(C2315,layoffs_location!A:D,4,FALSE)</f>
        <v>USA</v>
      </c>
      <c r="G2315" s="3" t="str">
        <f>VLOOKUP(C2315,layoffs_location!A:E,5,FALSE)</f>
        <v>North America</v>
      </c>
      <c r="H2315" s="3">
        <v>12</v>
      </c>
      <c r="I2315" s="8">
        <v>45909</v>
      </c>
      <c r="J2315" s="9"/>
      <c r="K2315" s="10"/>
      <c r="L2315" s="10"/>
      <c r="M2315" s="3" t="s">
        <v>1400</v>
      </c>
      <c r="P2315" s="3">
        <v>2025</v>
      </c>
      <c r="Q2315" s="3">
        <f>VLOOKUP(C2315,layoffs_location!A:F,6,FALSE)</f>
        <v>37.779258800000001</v>
      </c>
      <c r="R2315" s="3">
        <f>VLOOKUP(C2315,layoffs_location!A:G,7,FALSE)</f>
        <v>-122.4193286</v>
      </c>
    </row>
    <row r="2316" spans="1:18" x14ac:dyDescent="0.2">
      <c r="A2316" s="3">
        <v>2315</v>
      </c>
      <c r="B2316" s="3" t="s">
        <v>2242</v>
      </c>
      <c r="C2316" s="3" t="s">
        <v>97</v>
      </c>
      <c r="D2316" s="3" t="str">
        <f>VLOOKUP(C2316,layoffs_location!A:B,2,FALSE)</f>
        <v>other</v>
      </c>
      <c r="E2316" s="3" t="str">
        <f>VLOOKUP(C2316,layoffs_location!A:C,3,FALSE)</f>
        <v>non</v>
      </c>
      <c r="F2316" s="3" t="str">
        <f>VLOOKUP(C2316,layoffs_location!A:D,4,FALSE)</f>
        <v>France</v>
      </c>
      <c r="G2316" s="3" t="str">
        <f>VLOOKUP(C2316,layoffs_location!A:E,5,FALSE)</f>
        <v>Europe</v>
      </c>
      <c r="H2316" s="3">
        <v>9</v>
      </c>
      <c r="I2316" s="8">
        <v>45910</v>
      </c>
      <c r="J2316" s="9"/>
      <c r="K2316" s="10"/>
      <c r="L2316" s="10"/>
      <c r="M2316" s="3" t="s">
        <v>2138</v>
      </c>
      <c r="P2316" s="3">
        <v>2025</v>
      </c>
      <c r="Q2316" s="3">
        <f>VLOOKUP(C2316,layoffs_location!A:F,6,FALSE)</f>
        <v>48.858889699999999</v>
      </c>
      <c r="R2316" s="3">
        <f>VLOOKUP(C2316,layoffs_location!A:G,7,FALSE)</f>
        <v>2.32004102172007</v>
      </c>
    </row>
    <row r="2317" spans="1:18" x14ac:dyDescent="0.2">
      <c r="A2317" s="3">
        <v>2316</v>
      </c>
      <c r="B2317" s="3" t="s">
        <v>203</v>
      </c>
      <c r="C2317" s="3" t="s">
        <v>39</v>
      </c>
      <c r="D2317" s="3" t="str">
        <f>VLOOKUP(C2317,layoffs_location!A:B,2,FALSE)</f>
        <v>New York</v>
      </c>
      <c r="E2317" s="3" t="str">
        <f>VLOOKUP(C2317,layoffs_location!A:C,3,FALSE)</f>
        <v>New York</v>
      </c>
      <c r="F2317" s="3" t="str">
        <f>VLOOKUP(C2317,layoffs_location!A:D,4,FALSE)</f>
        <v>USA</v>
      </c>
      <c r="G2317" s="3" t="str">
        <f>VLOOKUP(C2317,layoffs_location!A:E,5,FALSE)</f>
        <v>North America</v>
      </c>
      <c r="H2317" s="3">
        <v>22</v>
      </c>
      <c r="I2317" s="8">
        <v>45910</v>
      </c>
      <c r="J2317" s="9"/>
      <c r="K2317" s="10"/>
      <c r="L2317" s="10"/>
      <c r="M2317" s="3" t="s">
        <v>2243</v>
      </c>
      <c r="P2317" s="3">
        <v>2025</v>
      </c>
      <c r="Q2317" s="3">
        <f>VLOOKUP(C2317,layoffs_location!A:F,6,FALSE)</f>
        <v>40.7127281</v>
      </c>
      <c r="R2317" s="3">
        <f>VLOOKUP(C2317,layoffs_location!A:G,7,FALSE)</f>
        <v>-74.006015199999993</v>
      </c>
    </row>
    <row r="2318" spans="1:18" x14ac:dyDescent="0.2">
      <c r="A2318" s="3">
        <v>2317</v>
      </c>
      <c r="B2318" s="3" t="s">
        <v>400</v>
      </c>
      <c r="C2318" s="3" t="s">
        <v>231</v>
      </c>
      <c r="D2318" s="3" t="str">
        <f>VLOOKUP(C2318,layoffs_location!A:B,2,FALSE)</f>
        <v>other</v>
      </c>
      <c r="E2318" s="3" t="str">
        <f>VLOOKUP(C2318,layoffs_location!A:C,3,FALSE)</f>
        <v>New South Wales</v>
      </c>
      <c r="F2318" s="3" t="str">
        <f>VLOOKUP(C2318,layoffs_location!A:D,4,FALSE)</f>
        <v>Australia</v>
      </c>
      <c r="G2318" s="3" t="str">
        <f>VLOOKUP(C2318,layoffs_location!A:E,5,FALSE)</f>
        <v>Oceana</v>
      </c>
      <c r="H2318" s="3">
        <v>200</v>
      </c>
      <c r="I2318" s="8">
        <v>45910</v>
      </c>
      <c r="J2318" s="9"/>
      <c r="K2318" s="20"/>
      <c r="L2318" s="20"/>
      <c r="M2318" s="3" t="s">
        <v>1400</v>
      </c>
      <c r="P2318" s="3">
        <v>2025</v>
      </c>
      <c r="Q2318" s="3">
        <f>VLOOKUP(C2318,layoffs_location!A:F,6,FALSE)</f>
        <v>-33.869843899999999</v>
      </c>
      <c r="R2318" s="3">
        <f>VLOOKUP(C2318,layoffs_location!A:G,7,FALSE)</f>
        <v>151.2082848</v>
      </c>
    </row>
    <row r="2319" spans="1:18" x14ac:dyDescent="0.2">
      <c r="A2319" s="3">
        <v>2318</v>
      </c>
      <c r="B2319" s="3" t="s">
        <v>2239</v>
      </c>
      <c r="C2319" s="3" t="s">
        <v>182</v>
      </c>
      <c r="D2319" s="3" t="str">
        <f>VLOOKUP(C2319,layoffs_location!A:B,2,FALSE)</f>
        <v>other</v>
      </c>
      <c r="E2319" s="3" t="str">
        <f>VLOOKUP(C2319,layoffs_location!A:C,3,FALSE)</f>
        <v>Haryana</v>
      </c>
      <c r="F2319" s="3" t="str">
        <f>VLOOKUP(C2319,layoffs_location!A:D,4,FALSE)</f>
        <v>India</v>
      </c>
      <c r="G2319" s="3" t="str">
        <f>VLOOKUP(C2319,layoffs_location!A:E,5,FALSE)</f>
        <v>Asia</v>
      </c>
      <c r="H2319" s="3">
        <v>170</v>
      </c>
      <c r="I2319" s="8">
        <v>45911</v>
      </c>
      <c r="J2319" s="9">
        <v>30</v>
      </c>
      <c r="K2319" s="25">
        <f>SUM((Table13[[#This Row],[Laid_Off]]*100)/Table13[[#This Row],[Percentage]])</f>
        <v>566.66666666666663</v>
      </c>
      <c r="L2319" s="25">
        <f>SUM(Table13[[#This Row],[Company_Size_before_Layoffs]]-Table13[[#This Row],[Laid_Off]])</f>
        <v>396.66666666666663</v>
      </c>
      <c r="M2319" s="3" t="s">
        <v>1374</v>
      </c>
      <c r="P2319" s="3">
        <v>2025</v>
      </c>
      <c r="Q2319" s="3">
        <f>VLOOKUP(C2319,layoffs_location!A:F,6,FALSE)</f>
        <v>28.4646148</v>
      </c>
      <c r="R2319" s="3">
        <f>VLOOKUP(C2319,layoffs_location!A:G,7,FALSE)</f>
        <v>77.029919399999997</v>
      </c>
    </row>
    <row r="2320" spans="1:18" x14ac:dyDescent="0.2">
      <c r="A2320" s="3">
        <v>2319</v>
      </c>
      <c r="B2320" s="3" t="s">
        <v>2240</v>
      </c>
      <c r="C2320" s="3" t="s">
        <v>1079</v>
      </c>
      <c r="D2320" s="3" t="str">
        <f>VLOOKUP(C2320,layoffs_location!A:B,2,FALSE)</f>
        <v>other</v>
      </c>
      <c r="E2320" s="3" t="str">
        <f>VLOOKUP(C2320,layoffs_location!A:C,3,FALSE)</f>
        <v>Nevada</v>
      </c>
      <c r="F2320" s="3" t="str">
        <f>VLOOKUP(C2320,layoffs_location!A:D,4,FALSE)</f>
        <v>USA</v>
      </c>
      <c r="G2320" s="3" t="str">
        <f>VLOOKUP(C2320,layoffs_location!A:E,5,FALSE)</f>
        <v>North America</v>
      </c>
      <c r="I2320" s="8">
        <v>45911</v>
      </c>
      <c r="J2320" s="9"/>
      <c r="K2320" s="20"/>
      <c r="L2320" s="20"/>
      <c r="M2320" s="3" t="s">
        <v>2241</v>
      </c>
      <c r="P2320" s="3">
        <v>2025</v>
      </c>
      <c r="Q2320" s="3">
        <f>VLOOKUP(C2320,layoffs_location!A:F,6,FALSE)</f>
        <v>36.167255900000001</v>
      </c>
      <c r="R2320" s="3">
        <f>VLOOKUP(C2320,layoffs_location!A:G,7,FALSE)</f>
        <v>-115.148516</v>
      </c>
    </row>
    <row r="2321" spans="1:18" x14ac:dyDescent="0.2">
      <c r="A2321" s="3">
        <v>2320</v>
      </c>
      <c r="B2321" s="3" t="s">
        <v>2237</v>
      </c>
      <c r="C2321" s="3" t="s">
        <v>1473</v>
      </c>
      <c r="D2321" s="3" t="str">
        <f>VLOOKUP(C2321,layoffs_location!A:B,2,FALSE)</f>
        <v>San Francisco Bay Area</v>
      </c>
      <c r="E2321" s="3" t="str">
        <f>VLOOKUP(C2321,layoffs_location!A:C,3,FALSE)</f>
        <v>California</v>
      </c>
      <c r="F2321" s="3" t="str">
        <f>VLOOKUP(C2321,layoffs_location!A:D,4,FALSE)</f>
        <v>USA</v>
      </c>
      <c r="G2321" s="3" t="str">
        <f>VLOOKUP(C2321,layoffs_location!A:E,5,FALSE)</f>
        <v>North America</v>
      </c>
      <c r="H2321" s="3">
        <v>500</v>
      </c>
      <c r="I2321" s="8">
        <v>45913</v>
      </c>
      <c r="J2321" s="9"/>
      <c r="K2321" s="10"/>
      <c r="L2321" s="10"/>
      <c r="M2321" s="3" t="s">
        <v>2125</v>
      </c>
      <c r="P2321" s="3">
        <v>2025</v>
      </c>
      <c r="Q2321" s="3">
        <f>VLOOKUP(C2321,layoffs_location!A:F,6,FALSE)</f>
        <v>37.4443293</v>
      </c>
      <c r="R2321" s="3">
        <f>VLOOKUP(C2321,layoffs_location!A:G,7,FALSE)</f>
        <v>-122.1598465</v>
      </c>
    </row>
    <row r="2322" spans="1:18" x14ac:dyDescent="0.2">
      <c r="A2322" s="3">
        <v>2321</v>
      </c>
      <c r="B2322" s="3" t="s">
        <v>2238</v>
      </c>
      <c r="C2322" s="3" t="s">
        <v>748</v>
      </c>
      <c r="D2322" s="3" t="str">
        <f>VLOOKUP(C2322,layoffs_location!A:B,2,FALSE)</f>
        <v>other</v>
      </c>
      <c r="E2322" s="3" t="str">
        <f>VLOOKUP(C2322,layoffs_location!A:C,3,FALSE)</f>
        <v>Delhi</v>
      </c>
      <c r="F2322" s="3" t="str">
        <f>VLOOKUP(C2322,layoffs_location!A:D,4,FALSE)</f>
        <v>India</v>
      </c>
      <c r="G2322" s="3" t="str">
        <f>VLOOKUP(C2322,layoffs_location!A:E,5,FALSE)</f>
        <v>Asia</v>
      </c>
      <c r="I2322" s="8">
        <v>45913</v>
      </c>
      <c r="J2322" s="9">
        <v>100</v>
      </c>
      <c r="K2322" s="10"/>
      <c r="L2322" s="10">
        <v>0</v>
      </c>
      <c r="M2322" s="3" t="s">
        <v>1460</v>
      </c>
      <c r="P2322" s="3">
        <v>2025</v>
      </c>
      <c r="Q2322" s="3">
        <f>VLOOKUP(C2322,layoffs_location!A:F,6,FALSE)</f>
        <v>28.613895400000001</v>
      </c>
      <c r="R2322" s="3">
        <f>VLOOKUP(C2322,layoffs_location!A:G,7,FALSE)</f>
        <v>77.209005700000006</v>
      </c>
    </row>
    <row r="2323" spans="1:18" x14ac:dyDescent="0.2">
      <c r="A2323" s="3">
        <v>2322</v>
      </c>
      <c r="B2323" s="3" t="s">
        <v>2236</v>
      </c>
      <c r="C2323" s="3" t="s">
        <v>47</v>
      </c>
      <c r="D2323" s="3" t="str">
        <f>VLOOKUP(C2323,layoffs_location!A:B,2,FALSE)</f>
        <v>other</v>
      </c>
      <c r="E2323" s="3" t="str">
        <f>VLOOKUP(C2323,layoffs_location!A:C,3,FALSE)</f>
        <v>non</v>
      </c>
      <c r="F2323" s="3" t="str">
        <f>VLOOKUP(C2323,layoffs_location!A:D,4,FALSE)</f>
        <v>Israel</v>
      </c>
      <c r="G2323" s="3" t="str">
        <f>VLOOKUP(C2323,layoffs_location!A:E,5,FALSE)</f>
        <v>Asia</v>
      </c>
      <c r="I2323" s="8">
        <v>45914</v>
      </c>
      <c r="J2323" s="9"/>
      <c r="K2323" s="10"/>
      <c r="L2323" s="10"/>
      <c r="M2323" s="3" t="s">
        <v>1377</v>
      </c>
      <c r="P2323" s="3">
        <v>2025</v>
      </c>
      <c r="Q2323" s="3">
        <f>VLOOKUP(C2323,layoffs_location!A:F,6,FALSE)</f>
        <v>32.0852997</v>
      </c>
      <c r="R2323" s="3">
        <f>VLOOKUP(C2323,layoffs_location!A:G,7,FALSE)</f>
        <v>34.781806400000001</v>
      </c>
    </row>
    <row r="2324" spans="1:18" x14ac:dyDescent="0.2">
      <c r="A2324" s="3">
        <v>2323</v>
      </c>
      <c r="B2324" s="3" t="s">
        <v>861</v>
      </c>
      <c r="C2324" s="3" t="s">
        <v>47</v>
      </c>
      <c r="D2324" s="3" t="str">
        <f>VLOOKUP(C2324,layoffs_location!A:B,2,FALSE)</f>
        <v>other</v>
      </c>
      <c r="E2324" s="3" t="str">
        <f>VLOOKUP(C2324,layoffs_location!A:C,3,FALSE)</f>
        <v>non</v>
      </c>
      <c r="F2324" s="3" t="str">
        <f>VLOOKUP(C2324,layoffs_location!A:D,4,FALSE)</f>
        <v>Israel</v>
      </c>
      <c r="G2324" s="3" t="str">
        <f>VLOOKUP(C2324,layoffs_location!A:E,5,FALSE)</f>
        <v>Asia</v>
      </c>
      <c r="H2324" s="3">
        <v>250</v>
      </c>
      <c r="I2324" s="8">
        <v>45915</v>
      </c>
      <c r="J2324" s="9">
        <v>30</v>
      </c>
      <c r="K2324" s="28">
        <f>SUM((Table13[[#This Row],[Laid_Off]]*100)/Table13[[#This Row],[Percentage]])</f>
        <v>833.33333333333337</v>
      </c>
      <c r="L2324" s="28">
        <f>SUM(Table13[[#This Row],[Company_Size_before_Layoffs]]-Table13[[#This Row],[Laid_Off]])</f>
        <v>583.33333333333337</v>
      </c>
      <c r="M2324" s="3" t="s">
        <v>2235</v>
      </c>
      <c r="P2324" s="3">
        <v>2025</v>
      </c>
      <c r="Q2324" s="3">
        <f>VLOOKUP(C2324,layoffs_location!A:F,6,FALSE)</f>
        <v>32.0852997</v>
      </c>
      <c r="R2324" s="3">
        <f>VLOOKUP(C2324,layoffs_location!A:G,7,FALSE)</f>
        <v>34.781806400000001</v>
      </c>
    </row>
    <row r="2325" spans="1:18" x14ac:dyDescent="0.2">
      <c r="A2325" s="3">
        <v>2324</v>
      </c>
      <c r="B2325" s="3" t="s">
        <v>275</v>
      </c>
      <c r="C2325" s="3" t="s">
        <v>47</v>
      </c>
      <c r="D2325" s="3" t="str">
        <f>VLOOKUP(C2325,layoffs_location!A:B,2,FALSE)</f>
        <v>other</v>
      </c>
      <c r="E2325" s="3" t="str">
        <f>VLOOKUP(C2325,layoffs_location!A:C,3,FALSE)</f>
        <v>non</v>
      </c>
      <c r="F2325" s="3" t="str">
        <f>VLOOKUP(C2325,layoffs_location!A:D,4,FALSE)</f>
        <v>Israel</v>
      </c>
      <c r="G2325" s="3" t="str">
        <f>VLOOKUP(C2325,layoffs_location!A:E,5,FALSE)</f>
        <v>Asia</v>
      </c>
      <c r="H2325" s="3">
        <v>80</v>
      </c>
      <c r="I2325" s="8">
        <v>45916</v>
      </c>
      <c r="J2325" s="9"/>
      <c r="K2325" s="10"/>
      <c r="L2325" s="10"/>
      <c r="M2325" s="3" t="s">
        <v>2234</v>
      </c>
      <c r="P2325" s="3">
        <v>2025</v>
      </c>
      <c r="Q2325" s="3">
        <f>VLOOKUP(C2325,layoffs_location!A:F,6,FALSE)</f>
        <v>32.0852997</v>
      </c>
      <c r="R2325" s="3">
        <f>VLOOKUP(C2325,layoffs_location!A:G,7,FALSE)</f>
        <v>34.781806400000001</v>
      </c>
    </row>
    <row r="2326" spans="1:18" x14ac:dyDescent="0.2">
      <c r="A2326" s="3">
        <v>2325</v>
      </c>
      <c r="B2326" s="3" t="s">
        <v>513</v>
      </c>
      <c r="C2326" s="3" t="s">
        <v>1408</v>
      </c>
      <c r="D2326" s="3" t="str">
        <f>VLOOKUP(C2326,layoffs_location!A:B,2,FALSE)</f>
        <v>San Francisco Bay Area</v>
      </c>
      <c r="E2326" s="3" t="str">
        <f>VLOOKUP(C2326,layoffs_location!A:C,3,FALSE)</f>
        <v>California</v>
      </c>
      <c r="F2326" s="3" t="str">
        <f>VLOOKUP(C2326,layoffs_location!A:D,4,FALSE)</f>
        <v>USA</v>
      </c>
      <c r="G2326" s="3" t="str">
        <f>VLOOKUP(C2326,layoffs_location!A:E,5,FALSE)</f>
        <v>North America</v>
      </c>
      <c r="H2326" s="3">
        <v>200</v>
      </c>
      <c r="I2326" s="8">
        <v>45916</v>
      </c>
      <c r="J2326" s="9"/>
      <c r="K2326" s="10"/>
      <c r="L2326" s="10"/>
      <c r="M2326" s="3" t="s">
        <v>1400</v>
      </c>
      <c r="P2326" s="3">
        <v>2025</v>
      </c>
      <c r="Q2326" s="3">
        <f>VLOOKUP(C2326,layoffs_location!A:F,6,FALSE)</f>
        <v>37.3893889</v>
      </c>
      <c r="R2326" s="3">
        <f>VLOOKUP(C2326,layoffs_location!A:G,7,FALSE)</f>
        <v>-122.0832101</v>
      </c>
    </row>
    <row r="2327" spans="1:18" x14ac:dyDescent="0.2">
      <c r="A2327" s="3">
        <v>2326</v>
      </c>
      <c r="B2327" s="3" t="s">
        <v>252</v>
      </c>
      <c r="C2327" s="3" t="s">
        <v>39</v>
      </c>
      <c r="D2327" s="3" t="str">
        <f>VLOOKUP(C2327,layoffs_location!A:B,2,FALSE)</f>
        <v>New York</v>
      </c>
      <c r="E2327" s="3" t="str">
        <f>VLOOKUP(C2327,layoffs_location!A:C,3,FALSE)</f>
        <v>New York</v>
      </c>
      <c r="F2327" s="3" t="str">
        <f>VLOOKUP(C2327,layoffs_location!A:D,4,FALSE)</f>
        <v>USA</v>
      </c>
      <c r="G2327" s="3" t="str">
        <f>VLOOKUP(C2327,layoffs_location!A:E,5,FALSE)</f>
        <v>North America</v>
      </c>
      <c r="I2327" s="8">
        <v>45917</v>
      </c>
      <c r="J2327" s="9"/>
      <c r="K2327" s="10"/>
      <c r="L2327" s="10"/>
      <c r="M2327" s="3" t="s">
        <v>1400</v>
      </c>
      <c r="P2327" s="3">
        <v>2025</v>
      </c>
      <c r="Q2327" s="3">
        <f>VLOOKUP(C2327,layoffs_location!A:F,6,FALSE)</f>
        <v>40.7127281</v>
      </c>
      <c r="R2327" s="3">
        <f>VLOOKUP(C2327,layoffs_location!A:G,7,FALSE)</f>
        <v>-74.006015199999993</v>
      </c>
    </row>
    <row r="2328" spans="1:18" x14ac:dyDescent="0.2">
      <c r="A2328" s="3">
        <v>2327</v>
      </c>
      <c r="B2328" s="3" t="s">
        <v>2230</v>
      </c>
      <c r="C2328" s="3" t="s">
        <v>244</v>
      </c>
      <c r="D2328" s="3" t="str">
        <f>VLOOKUP(C2328,layoffs_location!A:B,2,FALSE)</f>
        <v>other</v>
      </c>
      <c r="E2328" s="3" t="str">
        <f>VLOOKUP(C2328,layoffs_location!A:C,3,FALSE)</f>
        <v>non</v>
      </c>
      <c r="F2328" s="3" t="str">
        <f>VLOOKUP(C2328,layoffs_location!A:D,4,FALSE)</f>
        <v>Singapore</v>
      </c>
      <c r="G2328" s="3" t="str">
        <f>VLOOKUP(C2328,layoffs_location!A:E,5,FALSE)</f>
        <v>Asia</v>
      </c>
      <c r="H2328" s="3">
        <v>50</v>
      </c>
      <c r="I2328" s="8">
        <v>45918</v>
      </c>
      <c r="J2328" s="9"/>
      <c r="K2328" s="10"/>
      <c r="L2328" s="10"/>
      <c r="M2328" s="3" t="s">
        <v>2231</v>
      </c>
      <c r="P2328" s="3">
        <v>2025</v>
      </c>
      <c r="Q2328" s="3">
        <f>VLOOKUP(C2328,layoffs_location!A:F,6,FALSE)</f>
        <v>1.2899175000000001</v>
      </c>
      <c r="R2328" s="3">
        <f>VLOOKUP(C2328,layoffs_location!A:G,7,FALSE)</f>
        <v>103.8519072</v>
      </c>
    </row>
    <row r="2329" spans="1:18" x14ac:dyDescent="0.2">
      <c r="A2329" s="3">
        <v>2328</v>
      </c>
      <c r="B2329" s="3" t="s">
        <v>2232</v>
      </c>
      <c r="C2329" s="3" t="s">
        <v>13</v>
      </c>
      <c r="D2329" s="3" t="str">
        <f>VLOOKUP(C2329,layoffs_location!A:B,2,FALSE)</f>
        <v>other</v>
      </c>
      <c r="E2329" s="3" t="str">
        <f>VLOOKUP(C2329,layoffs_location!A:C,3,FALSE)</f>
        <v>Karnataka</v>
      </c>
      <c r="F2329" s="3" t="str">
        <f>VLOOKUP(C2329,layoffs_location!A:D,4,FALSE)</f>
        <v>India</v>
      </c>
      <c r="G2329" s="3" t="str">
        <f>VLOOKUP(C2329,layoffs_location!A:E,5,FALSE)</f>
        <v>Asia</v>
      </c>
      <c r="H2329" s="3">
        <v>120</v>
      </c>
      <c r="I2329" s="8">
        <v>45918</v>
      </c>
      <c r="J2329" s="9"/>
      <c r="K2329" s="10"/>
      <c r="L2329" s="10"/>
      <c r="M2329" s="3" t="s">
        <v>2233</v>
      </c>
      <c r="P2329" s="3">
        <v>2025</v>
      </c>
      <c r="Q2329" s="3">
        <f>VLOOKUP(C2329,layoffs_location!A:F,6,FALSE)</f>
        <v>12.98815675</v>
      </c>
      <c r="R2329" s="3">
        <f>VLOOKUP(C2329,layoffs_location!A:G,7,FALSE)</f>
        <v>77.622600037959998</v>
      </c>
    </row>
    <row r="2330" spans="1:18" x14ac:dyDescent="0.2">
      <c r="A2330" s="3">
        <v>2329</v>
      </c>
      <c r="B2330" s="3" t="s">
        <v>2227</v>
      </c>
      <c r="C2330" s="3" t="s">
        <v>2228</v>
      </c>
      <c r="D2330" s="3" t="str">
        <f>VLOOKUP(C2330,layoffs_location!A:B,2,FALSE)</f>
        <v>Tokyo</v>
      </c>
      <c r="E2330" s="3" t="str">
        <f>VLOOKUP(C2330,layoffs_location!A:C,3,FALSE)</f>
        <v>Tokyo</v>
      </c>
      <c r="F2330" s="3" t="str">
        <f>VLOOKUP(C2330,layoffs_location!A:D,4,FALSE)</f>
        <v>Japan</v>
      </c>
      <c r="G2330" s="3" t="str">
        <f>VLOOKUP(C2330,layoffs_location!A:E,5,FALSE)</f>
        <v>Asia</v>
      </c>
      <c r="I2330" s="8">
        <v>45919</v>
      </c>
      <c r="J2330" s="9">
        <v>20</v>
      </c>
      <c r="K2330" s="10"/>
      <c r="L2330" s="10"/>
      <c r="M2330" s="3" t="s">
        <v>2229</v>
      </c>
      <c r="P2330" s="3">
        <v>2025</v>
      </c>
      <c r="Q2330" s="3">
        <f>VLOOKUP(C2330,layoffs_location!A:F,6,FALSE)</f>
        <v>35.637643052983499</v>
      </c>
      <c r="R2330" s="3">
        <f>VLOOKUP(C2330,layoffs_location!A:G,7,FALSE)</f>
        <v>139.729558441938</v>
      </c>
    </row>
    <row r="2331" spans="1:18" x14ac:dyDescent="0.2">
      <c r="A2331" s="3">
        <v>2330</v>
      </c>
      <c r="B2331" s="3" t="s">
        <v>2226</v>
      </c>
      <c r="C2331" s="3" t="s">
        <v>1710</v>
      </c>
      <c r="D2331" s="3" t="str">
        <f>VLOOKUP(C2331,layoffs_location!A:B,2,FALSE)</f>
        <v>San Francisco Bay Area</v>
      </c>
      <c r="E2331" s="3" t="str">
        <f>VLOOKUP(C2331,layoffs_location!A:C,3,FALSE)</f>
        <v>California</v>
      </c>
      <c r="F2331" s="3" t="str">
        <f>VLOOKUP(C2331,layoffs_location!A:D,4,FALSE)</f>
        <v>USA</v>
      </c>
      <c r="G2331" s="3" t="str">
        <f>VLOOKUP(C2331,layoffs_location!A:E,5,FALSE)</f>
        <v>North America</v>
      </c>
      <c r="H2331" s="3">
        <v>31</v>
      </c>
      <c r="I2331" s="8">
        <v>45921</v>
      </c>
      <c r="J2331" s="9">
        <v>13</v>
      </c>
      <c r="K2331" s="28">
        <f>SUM((Table13[[#This Row],[Laid_Off]]*100)/Table13[[#This Row],[Percentage]])</f>
        <v>238.46153846153845</v>
      </c>
      <c r="L2331" s="28">
        <f>SUM(Table13[[#This Row],[Company_Size_before_Layoffs]]-Table13[[#This Row],[Laid_Off]])</f>
        <v>207.46153846153845</v>
      </c>
      <c r="M2331" s="3" t="s">
        <v>1400</v>
      </c>
      <c r="P2331" s="3">
        <v>2025</v>
      </c>
      <c r="Q2331" s="3">
        <f>VLOOKUP(C2331,layoffs_location!A:F,6,FALSE)</f>
        <v>37.486323900000002</v>
      </c>
      <c r="R2331" s="3">
        <f>VLOOKUP(C2331,layoffs_location!A:G,7,FALSE)</f>
        <v>-122.232523</v>
      </c>
    </row>
    <row r="2332" spans="1:18" x14ac:dyDescent="0.2">
      <c r="A2332" s="3">
        <v>2331</v>
      </c>
      <c r="B2332" s="3" t="s">
        <v>2225</v>
      </c>
      <c r="C2332" s="3" t="s">
        <v>217</v>
      </c>
      <c r="D2332" s="3" t="str">
        <f>VLOOKUP(C2332,layoffs_location!A:B,2,FALSE)</f>
        <v>other</v>
      </c>
      <c r="E2332" s="3" t="str">
        <f>VLOOKUP(C2332,layoffs_location!A:C,3,FALSE)</f>
        <v>non</v>
      </c>
      <c r="F2332" s="3" t="str">
        <f>VLOOKUP(C2332,layoffs_location!A:D,4,FALSE)</f>
        <v>Ireland</v>
      </c>
      <c r="G2332" s="3" t="str">
        <f>VLOOKUP(C2332,layoffs_location!A:E,5,FALSE)</f>
        <v>Europe</v>
      </c>
      <c r="H2332" s="3">
        <v>11000</v>
      </c>
      <c r="I2332" s="8">
        <v>45927</v>
      </c>
      <c r="J2332" s="9"/>
      <c r="K2332" s="20"/>
      <c r="L2332" s="20"/>
      <c r="M2332" s="3" t="s">
        <v>1361</v>
      </c>
      <c r="P2332" s="3">
        <v>2025</v>
      </c>
      <c r="Q2332" s="3">
        <f>VLOOKUP(C2332,layoffs_location!A:F,6,FALSE)</f>
        <v>53.349379499999998</v>
      </c>
      <c r="R2332" s="3">
        <f>VLOOKUP(C2332,layoffs_location!A:G,7,FALSE)</f>
        <v>-6.2605592999999997</v>
      </c>
    </row>
    <row r="2333" spans="1:18" x14ac:dyDescent="0.2">
      <c r="A2333" s="3">
        <v>2332</v>
      </c>
      <c r="B2333" s="3" t="s">
        <v>348</v>
      </c>
      <c r="C2333" s="3" t="s">
        <v>13</v>
      </c>
      <c r="D2333" s="3" t="str">
        <f>VLOOKUP(C2333,layoffs_location!A:B,2,FALSE)</f>
        <v>other</v>
      </c>
      <c r="E2333" s="3" t="str">
        <f>VLOOKUP(C2333,layoffs_location!A:C,3,FALSE)</f>
        <v>Karnataka</v>
      </c>
      <c r="F2333" s="3" t="str">
        <f>VLOOKUP(C2333,layoffs_location!A:D,4,FALSE)</f>
        <v>India</v>
      </c>
      <c r="G2333" s="3" t="str">
        <f>VLOOKUP(C2333,layoffs_location!A:E,5,FALSE)</f>
        <v>Asia</v>
      </c>
      <c r="H2333" s="3">
        <v>80</v>
      </c>
      <c r="I2333" s="8">
        <v>45931</v>
      </c>
      <c r="J2333" s="9"/>
      <c r="K2333" s="10"/>
      <c r="L2333" s="10"/>
      <c r="M2333" s="3" t="s">
        <v>2220</v>
      </c>
      <c r="P2333" s="3">
        <v>2025</v>
      </c>
      <c r="Q2333" s="3">
        <f>VLOOKUP(C2333,layoffs_location!A:F,6,FALSE)</f>
        <v>12.98815675</v>
      </c>
      <c r="R2333" s="3">
        <f>VLOOKUP(C2333,layoffs_location!A:G,7,FALSE)</f>
        <v>77.622600037959998</v>
      </c>
    </row>
    <row r="2334" spans="1:18" x14ac:dyDescent="0.2">
      <c r="A2334" s="3">
        <v>2333</v>
      </c>
      <c r="B2334" s="3" t="s">
        <v>434</v>
      </c>
      <c r="C2334" s="3" t="s">
        <v>2221</v>
      </c>
      <c r="D2334" s="3" t="str">
        <f>VLOOKUP(C2334,layoffs_location!A:B,2,FALSE)</f>
        <v>other</v>
      </c>
      <c r="E2334" s="3" t="str">
        <f>VLOOKUP(C2334,layoffs_location!A:C,3,FALSE)</f>
        <v>Washington</v>
      </c>
      <c r="F2334" s="3" t="str">
        <f>VLOOKUP(C2334,layoffs_location!A:D,4,FALSE)</f>
        <v>USA</v>
      </c>
      <c r="G2334" s="3" t="str">
        <f>VLOOKUP(C2334,layoffs_location!A:E,5,FALSE)</f>
        <v>North America</v>
      </c>
      <c r="I2334" s="8">
        <v>45931</v>
      </c>
      <c r="J2334" s="9"/>
      <c r="K2334" s="10"/>
      <c r="L2334" s="10"/>
      <c r="M2334" s="3" t="s">
        <v>1400</v>
      </c>
      <c r="P2334" s="3">
        <v>2025</v>
      </c>
      <c r="Q2334" s="3">
        <f>VLOOKUP(C2334,layoffs_location!A:F,6,FALSE)</f>
        <v>47.593467945109602</v>
      </c>
      <c r="R2334" s="3">
        <f>VLOOKUP(C2334,layoffs_location!A:G,7,FALSE)</f>
        <v>-122.190877725398</v>
      </c>
    </row>
    <row r="2335" spans="1:18" x14ac:dyDescent="0.2">
      <c r="A2335" s="3">
        <v>2334</v>
      </c>
      <c r="B2335" s="3" t="s">
        <v>2222</v>
      </c>
      <c r="C2335" s="3" t="s">
        <v>2223</v>
      </c>
      <c r="D2335" s="3" t="str">
        <f>VLOOKUP(C2335,layoffs_location!A:B,2,FALSE)</f>
        <v>other</v>
      </c>
      <c r="E2335" s="3" t="str">
        <f>VLOOKUP(C2335,layoffs_location!A:C,3,FALSE)</f>
        <v>Oklahoma</v>
      </c>
      <c r="F2335" s="3" t="str">
        <f>VLOOKUP(C2335,layoffs_location!A:D,4,FALSE)</f>
        <v>USA</v>
      </c>
      <c r="G2335" s="3" t="str">
        <f>VLOOKUP(C2335,layoffs_location!A:E,5,FALSE)</f>
        <v>North America</v>
      </c>
      <c r="H2335" s="3">
        <v>500</v>
      </c>
      <c r="I2335" s="8">
        <v>45931</v>
      </c>
      <c r="J2335" s="9"/>
      <c r="K2335" s="10"/>
      <c r="L2335" s="10"/>
      <c r="M2335" s="3" t="s">
        <v>2224</v>
      </c>
      <c r="P2335" s="3">
        <v>2025</v>
      </c>
      <c r="Q2335" s="3">
        <f>VLOOKUP(C2335,layoffs_location!A:F,6,FALSE)</f>
        <v>35.443195252372298</v>
      </c>
      <c r="R2335" s="3">
        <f>VLOOKUP(C2335,layoffs_location!A:G,7,FALSE)</f>
        <v>-97.512197997807704</v>
      </c>
    </row>
    <row r="2336" spans="1:18" x14ac:dyDescent="0.2">
      <c r="A2336" s="3">
        <v>2335</v>
      </c>
      <c r="B2336" s="3" t="s">
        <v>513</v>
      </c>
      <c r="C2336" s="3" t="s">
        <v>1408</v>
      </c>
      <c r="D2336" s="3" t="str">
        <f>VLOOKUP(C2336,layoffs_location!A:B,2,FALSE)</f>
        <v>San Francisco Bay Area</v>
      </c>
      <c r="E2336" s="3" t="str">
        <f>VLOOKUP(C2336,layoffs_location!A:C,3,FALSE)</f>
        <v>California</v>
      </c>
      <c r="F2336" s="3" t="str">
        <f>VLOOKUP(C2336,layoffs_location!A:D,4,FALSE)</f>
        <v>USA</v>
      </c>
      <c r="G2336" s="3" t="str">
        <f>VLOOKUP(C2336,layoffs_location!A:E,5,FALSE)</f>
        <v>North America</v>
      </c>
      <c r="H2336" s="3">
        <v>100</v>
      </c>
      <c r="I2336" s="8">
        <v>45931</v>
      </c>
      <c r="J2336" s="9"/>
      <c r="K2336" s="10"/>
      <c r="L2336" s="10"/>
      <c r="M2336" s="3" t="s">
        <v>1400</v>
      </c>
      <c r="P2336" s="3">
        <v>2025</v>
      </c>
      <c r="Q2336" s="3">
        <f>VLOOKUP(C2336,layoffs_location!A:F,6,FALSE)</f>
        <v>37.3893889</v>
      </c>
      <c r="R2336" s="3">
        <f>VLOOKUP(C2336,layoffs_location!A:G,7,FALSE)</f>
        <v>-122.0832101</v>
      </c>
    </row>
    <row r="2337" spans="1:18" x14ac:dyDescent="0.2">
      <c r="A2337" s="3">
        <v>2336</v>
      </c>
      <c r="B2337" s="3" t="s">
        <v>2218</v>
      </c>
      <c r="C2337" s="3" t="s">
        <v>51</v>
      </c>
      <c r="D2337" s="3" t="str">
        <f>VLOOKUP(C2337,layoffs_location!A:B,2,FALSE)</f>
        <v>other</v>
      </c>
      <c r="E2337" s="3" t="str">
        <f>VLOOKUP(C2337,layoffs_location!A:C,3,FALSE)</f>
        <v>non</v>
      </c>
      <c r="F2337" s="3" t="str">
        <f>VLOOKUP(C2337,layoffs_location!A:D,4,FALSE)</f>
        <v>Sweden</v>
      </c>
      <c r="G2337" s="3" t="str">
        <f>VLOOKUP(C2337,layoffs_location!A:E,5,FALSE)</f>
        <v>Europe</v>
      </c>
      <c r="H2337" s="3">
        <v>44</v>
      </c>
      <c r="I2337" s="8">
        <v>45932</v>
      </c>
      <c r="J2337" s="9"/>
      <c r="K2337" s="10"/>
      <c r="L2337" s="10"/>
      <c r="M2337" s="3" t="s">
        <v>2138</v>
      </c>
      <c r="P2337" s="3">
        <v>2025</v>
      </c>
      <c r="Q2337" s="3">
        <f>VLOOKUP(C2337,layoffs_location!A:F,6,FALSE)</f>
        <v>59.325117200000001</v>
      </c>
      <c r="R2337" s="3">
        <f>VLOOKUP(C2337,layoffs_location!A:G,7,FALSE)</f>
        <v>18.0710935</v>
      </c>
    </row>
    <row r="2338" spans="1:18" x14ac:dyDescent="0.2">
      <c r="A2338" s="3">
        <v>2337</v>
      </c>
      <c r="B2338" s="3" t="s">
        <v>2219</v>
      </c>
      <c r="C2338" s="3" t="s">
        <v>304</v>
      </c>
      <c r="D2338" s="3" t="str">
        <f>VLOOKUP(C2338,layoffs_location!A:B,2,FALSE)</f>
        <v>other</v>
      </c>
      <c r="E2338" s="3" t="str">
        <f>VLOOKUP(C2338,layoffs_location!A:C,3,FALSE)</f>
        <v>Texas</v>
      </c>
      <c r="F2338" s="3" t="str">
        <f>VLOOKUP(C2338,layoffs_location!A:D,4,FALSE)</f>
        <v>USA</v>
      </c>
      <c r="G2338" s="3" t="str">
        <f>VLOOKUP(C2338,layoffs_location!A:E,5,FALSE)</f>
        <v>North America</v>
      </c>
      <c r="H2338" s="3">
        <v>163</v>
      </c>
      <c r="I2338" s="8">
        <v>45932</v>
      </c>
      <c r="J2338" s="9"/>
      <c r="K2338" s="10"/>
      <c r="L2338" s="10"/>
      <c r="M2338" s="3" t="s">
        <v>2139</v>
      </c>
      <c r="P2338" s="3">
        <v>2025</v>
      </c>
      <c r="Q2338" s="3">
        <f>VLOOKUP(C2338,layoffs_location!A:F,6,FALSE)</f>
        <v>32.776271899999998</v>
      </c>
      <c r="R2338" s="3">
        <f>VLOOKUP(C2338,layoffs_location!A:G,7,FALSE)</f>
        <v>-96.796855899999997</v>
      </c>
    </row>
    <row r="2339" spans="1:18" x14ac:dyDescent="0.2">
      <c r="A2339" s="3">
        <v>2338</v>
      </c>
      <c r="B2339" s="3" t="s">
        <v>513</v>
      </c>
      <c r="C2339" s="3" t="s">
        <v>1720</v>
      </c>
      <c r="D2339" s="3" t="str">
        <f>VLOOKUP(C2339,layoffs_location!A:B,2,FALSE)</f>
        <v>San Francisco Bay Area</v>
      </c>
      <c r="E2339" s="3" t="str">
        <f>VLOOKUP(C2339,layoffs_location!A:C,3,FALSE)</f>
        <v>California</v>
      </c>
      <c r="F2339" s="3" t="str">
        <f>VLOOKUP(C2339,layoffs_location!A:D,4,FALSE)</f>
        <v>USA</v>
      </c>
      <c r="G2339" s="3" t="str">
        <f>VLOOKUP(C2339,layoffs_location!A:E,5,FALSE)</f>
        <v>North America</v>
      </c>
      <c r="H2339" s="3">
        <v>50</v>
      </c>
      <c r="I2339" s="8">
        <v>45932</v>
      </c>
      <c r="J2339" s="9"/>
      <c r="K2339" s="20"/>
      <c r="L2339" s="20"/>
      <c r="M2339" s="3" t="s">
        <v>1400</v>
      </c>
      <c r="P2339" s="3">
        <v>2025</v>
      </c>
      <c r="Q2339" s="3">
        <f>VLOOKUP(C2339,layoffs_location!A:F,6,FALSE)</f>
        <v>37.368830099999997</v>
      </c>
      <c r="R2339" s="3">
        <f>VLOOKUP(C2339,layoffs_location!A:G,7,FALSE)</f>
        <v>-122.036349</v>
      </c>
    </row>
    <row r="2340" spans="1:18" x14ac:dyDescent="0.2">
      <c r="A2340" s="3">
        <v>2339</v>
      </c>
      <c r="B2340" s="3" t="s">
        <v>2217</v>
      </c>
      <c r="C2340" s="3" t="s">
        <v>76</v>
      </c>
      <c r="D2340" s="3" t="str">
        <f>VLOOKUP(C2340,layoffs_location!A:B,2,FALSE)</f>
        <v>other</v>
      </c>
      <c r="E2340" s="3" t="str">
        <f>VLOOKUP(C2340,layoffs_location!A:C,3,FALSE)</f>
        <v>California</v>
      </c>
      <c r="F2340" s="3" t="str">
        <f>VLOOKUP(C2340,layoffs_location!A:D,4,FALSE)</f>
        <v>USA</v>
      </c>
      <c r="G2340" s="3" t="str">
        <f>VLOOKUP(C2340,layoffs_location!A:E,5,FALSE)</f>
        <v>North America</v>
      </c>
      <c r="I2340" s="8">
        <v>45939</v>
      </c>
      <c r="J2340" s="9"/>
      <c r="K2340" s="10"/>
      <c r="L2340" s="10"/>
      <c r="M2340" s="3" t="s">
        <v>1460</v>
      </c>
      <c r="P2340" s="3">
        <v>2025</v>
      </c>
      <c r="Q2340" s="3">
        <f>VLOOKUP(C2340,layoffs_location!A:F,6,FALSE)</f>
        <v>34.053690899999999</v>
      </c>
      <c r="R2340" s="3">
        <f>VLOOKUP(C2340,layoffs_location!A:G,7,FALSE)</f>
        <v>-118.242766</v>
      </c>
    </row>
    <row r="2341" spans="1:18" x14ac:dyDescent="0.2">
      <c r="A2341" s="3">
        <v>2340</v>
      </c>
      <c r="B2341" s="3" t="s">
        <v>2045</v>
      </c>
      <c r="C2341" s="3" t="s">
        <v>235</v>
      </c>
      <c r="D2341" s="3" t="str">
        <f>VLOOKUP(C2341,layoffs_location!A:B,2,FALSE)</f>
        <v>other</v>
      </c>
      <c r="E2341" s="3" t="str">
        <f>VLOOKUP(C2341,layoffs_location!A:C,3,FALSE)</f>
        <v>non</v>
      </c>
      <c r="F2341" s="3" t="str">
        <f>VLOOKUP(C2341,layoffs_location!A:D,4,FALSE)</f>
        <v>Israel</v>
      </c>
      <c r="G2341" s="3" t="str">
        <f>VLOOKUP(C2341,layoffs_location!A:E,5,FALSE)</f>
        <v>Asia</v>
      </c>
      <c r="H2341" s="3">
        <v>100</v>
      </c>
      <c r="I2341" s="8">
        <v>45942</v>
      </c>
      <c r="J2341" s="9"/>
      <c r="K2341" s="10"/>
      <c r="L2341" s="10"/>
      <c r="M2341" s="3" t="s">
        <v>2156</v>
      </c>
      <c r="P2341" s="3">
        <v>2025</v>
      </c>
      <c r="Q2341" s="3">
        <f>VLOOKUP(C2341,layoffs_location!A:F,6,FALSE)</f>
        <v>32.186024400000001</v>
      </c>
      <c r="R2341" s="3">
        <f>VLOOKUP(C2341,layoffs_location!A:G,7,FALSE)</f>
        <v>34.867835900000003</v>
      </c>
    </row>
    <row r="2342" spans="1:18" x14ac:dyDescent="0.2">
      <c r="A2342" s="3">
        <v>2341</v>
      </c>
      <c r="B2342" s="3" t="s">
        <v>2213</v>
      </c>
      <c r="C2342" s="3" t="s">
        <v>2214</v>
      </c>
      <c r="D2342" s="3" t="str">
        <f>VLOOKUP(C2342,layoffs_location!A:B,2,FALSE)</f>
        <v>other</v>
      </c>
      <c r="E2342" s="3" t="str">
        <f>VLOOKUP(C2342,layoffs_location!A:C,3,FALSE)</f>
        <v>Maryland</v>
      </c>
      <c r="F2342" s="3" t="str">
        <f>VLOOKUP(C2342,layoffs_location!A:D,4,FALSE)</f>
        <v>USA</v>
      </c>
      <c r="G2342" s="3" t="str">
        <f>VLOOKUP(C2342,layoffs_location!A:E,5,FALSE)</f>
        <v>North America</v>
      </c>
      <c r="H2342" s="3">
        <v>108</v>
      </c>
      <c r="I2342" s="8">
        <v>45945</v>
      </c>
      <c r="J2342" s="9">
        <v>100</v>
      </c>
      <c r="K2342" s="28">
        <f>SUM((Table13[[#This Row],[Laid_Off]]*100)/Table13[[#This Row],[Percentage]])</f>
        <v>108</v>
      </c>
      <c r="L2342" s="28">
        <f>SUM(Table13[[#This Row],[Company_Size_before_Layoffs]]-Table13[[#This Row],[Laid_Off]])</f>
        <v>0</v>
      </c>
      <c r="M2342" s="3" t="s">
        <v>2215</v>
      </c>
      <c r="P2342" s="3">
        <v>2025</v>
      </c>
      <c r="Q2342" s="3">
        <f>VLOOKUP(C2342,layoffs_location!A:F,6,FALSE)</f>
        <v>38.962627897759802</v>
      </c>
      <c r="R2342" s="3">
        <f>VLOOKUP(C2342,layoffs_location!A:G,7,FALSE)</f>
        <v>-77.081555456346194</v>
      </c>
    </row>
    <row r="2343" spans="1:18" x14ac:dyDescent="0.2">
      <c r="A2343" s="3">
        <v>2342</v>
      </c>
      <c r="B2343" s="3" t="s">
        <v>2216</v>
      </c>
      <c r="C2343" s="3" t="s">
        <v>1694</v>
      </c>
      <c r="D2343" s="3" t="str">
        <f>VLOOKUP(C2343,layoffs_location!A:B,2,FALSE)</f>
        <v>San Francisco Bay Area</v>
      </c>
      <c r="E2343" s="3" t="str">
        <f>VLOOKUP(C2343,layoffs_location!A:C,3,FALSE)</f>
        <v>California</v>
      </c>
      <c r="F2343" s="3" t="str">
        <f>VLOOKUP(C2343,layoffs_location!A:D,4,FALSE)</f>
        <v>USA</v>
      </c>
      <c r="G2343" s="3" t="str">
        <f>VLOOKUP(C2343,layoffs_location!A:E,5,FALSE)</f>
        <v>North America</v>
      </c>
      <c r="I2343" s="8">
        <v>45945</v>
      </c>
      <c r="J2343" s="9">
        <v>6</v>
      </c>
      <c r="K2343" s="20"/>
      <c r="L2343" s="20"/>
      <c r="M2343" s="3" t="s">
        <v>1400</v>
      </c>
      <c r="P2343" s="3">
        <v>2025</v>
      </c>
      <c r="Q2343" s="3">
        <f>VLOOKUP(C2343,layoffs_location!A:F,6,FALSE)</f>
        <v>37.336166300000002</v>
      </c>
      <c r="R2343" s="3">
        <f>VLOOKUP(C2343,layoffs_location!A:G,7,FALSE)</f>
        <v>-121.890591</v>
      </c>
    </row>
    <row r="2344" spans="1:18" x14ac:dyDescent="0.2">
      <c r="A2344" s="3">
        <v>2343</v>
      </c>
      <c r="B2344" s="3" t="s">
        <v>2212</v>
      </c>
      <c r="C2344" s="3" t="s">
        <v>1370</v>
      </c>
      <c r="D2344" s="3" t="str">
        <f>VLOOKUP(C2344,layoffs_location!A:B,2,FALSE)</f>
        <v>San Francisco Bay Area</v>
      </c>
      <c r="E2344" s="3" t="str">
        <f>VLOOKUP(C2344,layoffs_location!A:C,3,FALSE)</f>
        <v>California</v>
      </c>
      <c r="F2344" s="3" t="str">
        <f>VLOOKUP(C2344,layoffs_location!A:D,4,FALSE)</f>
        <v>USA</v>
      </c>
      <c r="G2344" s="3" t="str">
        <f>VLOOKUP(C2344,layoffs_location!A:E,5,FALSE)</f>
        <v>North America</v>
      </c>
      <c r="H2344" s="3">
        <v>72</v>
      </c>
      <c r="I2344" s="8">
        <v>45948</v>
      </c>
      <c r="J2344" s="9">
        <v>23</v>
      </c>
      <c r="K2344" s="28">
        <f>SUM((Table13[[#This Row],[Laid_Off]]*100)/Table13[[#This Row],[Percentage]])</f>
        <v>313.04347826086956</v>
      </c>
      <c r="L2344" s="28">
        <f>SUM(Table13[[#This Row],[Company_Size_before_Layoffs]]-Table13[[#This Row],[Laid_Off]])</f>
        <v>241.04347826086956</v>
      </c>
      <c r="M2344" s="3" t="s">
        <v>21</v>
      </c>
      <c r="P2344" s="3">
        <v>2025</v>
      </c>
      <c r="Q2344" s="3">
        <f>VLOOKUP(C2344,layoffs_location!A:F,6,FALSE)</f>
        <v>37.779258800000001</v>
      </c>
      <c r="R2344" s="3">
        <f>VLOOKUP(C2344,layoffs_location!A:G,7,FALSE)</f>
        <v>-122.4193286</v>
      </c>
    </row>
    <row r="2345" spans="1:18" x14ac:dyDescent="0.2">
      <c r="A2345" s="3">
        <v>2344</v>
      </c>
      <c r="B2345" s="3" t="s">
        <v>2210</v>
      </c>
      <c r="C2345" s="3" t="s">
        <v>2211</v>
      </c>
      <c r="D2345" s="3" t="str">
        <f>VLOOKUP(C2345,layoffs_location!A:B,2,FALSE)</f>
        <v>other</v>
      </c>
      <c r="E2345" s="3" t="str">
        <f>VLOOKUP(C2345,layoffs_location!A:C,3,FALSE)</f>
        <v>California</v>
      </c>
      <c r="F2345" s="3" t="str">
        <f>VLOOKUP(C2345,layoffs_location!A:D,4,FALSE)</f>
        <v>USA</v>
      </c>
      <c r="G2345" s="3" t="str">
        <f>VLOOKUP(C2345,layoffs_location!A:E,5,FALSE)</f>
        <v>North America</v>
      </c>
      <c r="H2345" s="3">
        <v>25</v>
      </c>
      <c r="I2345" s="8">
        <v>45950</v>
      </c>
      <c r="J2345" s="9">
        <v>50</v>
      </c>
      <c r="K2345" s="28">
        <f>SUM((Table13[[#This Row],[Laid_Off]]*100)/Table13[[#This Row],[Percentage]])</f>
        <v>50</v>
      </c>
      <c r="L2345" s="28">
        <f>SUM(Table13[[#This Row],[Company_Size_before_Layoffs]]-Table13[[#This Row],[Laid_Off]])</f>
        <v>25</v>
      </c>
      <c r="M2345" s="3" t="s">
        <v>2138</v>
      </c>
      <c r="P2345" s="3">
        <v>2025</v>
      </c>
      <c r="Q2345" s="3">
        <f>VLOOKUP(C2345,layoffs_location!A:F,6,FALSE)</f>
        <v>33.914625024982698</v>
      </c>
      <c r="R2345" s="3">
        <f>VLOOKUP(C2345,layoffs_location!A:G,7,FALSE)</f>
        <v>-118.40718381338201</v>
      </c>
    </row>
    <row r="2346" spans="1:18" x14ac:dyDescent="0.2">
      <c r="A2346" s="3">
        <v>2345</v>
      </c>
      <c r="B2346" s="3" t="s">
        <v>2208</v>
      </c>
      <c r="C2346" s="3" t="s">
        <v>1337</v>
      </c>
      <c r="D2346" s="3" t="str">
        <f>VLOOKUP(C2346,layoffs_location!A:B,2,FALSE)</f>
        <v>other</v>
      </c>
      <c r="E2346" s="3" t="str">
        <f>VLOOKUP(C2346,layoffs_location!A:C,3,FALSE)</f>
        <v>non</v>
      </c>
      <c r="F2346" s="3" t="str">
        <f>VLOOKUP(C2346,layoffs_location!A:D,4,FALSE)</f>
        <v>Finland</v>
      </c>
      <c r="G2346" s="3" t="str">
        <f>VLOOKUP(C2346,layoffs_location!A:E,5,FALSE)</f>
        <v>Europe</v>
      </c>
      <c r="H2346" s="3">
        <v>36</v>
      </c>
      <c r="I2346" s="8">
        <v>45951</v>
      </c>
      <c r="J2346" s="9"/>
      <c r="K2346" s="10"/>
      <c r="L2346" s="10"/>
      <c r="M2346" s="3" t="s">
        <v>2138</v>
      </c>
      <c r="P2346" s="3">
        <v>2025</v>
      </c>
      <c r="Q2346" s="3">
        <f>VLOOKUP(C2346,layoffs_location!A:F,6,FALSE)</f>
        <v>60.204767199999999</v>
      </c>
      <c r="R2346" s="3">
        <f>VLOOKUP(C2346,layoffs_location!A:G,7,FALSE)</f>
        <v>24.656843500000001</v>
      </c>
    </row>
    <row r="2347" spans="1:18" x14ac:dyDescent="0.2">
      <c r="A2347" s="3">
        <v>2346</v>
      </c>
      <c r="B2347" s="3" t="s">
        <v>385</v>
      </c>
      <c r="C2347" s="3" t="s">
        <v>1443</v>
      </c>
      <c r="D2347" s="3" t="str">
        <f>VLOOKUP(C2347,layoffs_location!A:B,2,FALSE)</f>
        <v>San Francisco Bay Area</v>
      </c>
      <c r="E2347" s="3" t="str">
        <f>VLOOKUP(C2347,layoffs_location!A:C,3,FALSE)</f>
        <v>California</v>
      </c>
      <c r="F2347" s="3" t="str">
        <f>VLOOKUP(C2347,layoffs_location!A:D,4,FALSE)</f>
        <v>USA</v>
      </c>
      <c r="G2347" s="3" t="str">
        <f>VLOOKUP(C2347,layoffs_location!A:E,5,FALSE)</f>
        <v>North America</v>
      </c>
      <c r="H2347" s="3">
        <v>600</v>
      </c>
      <c r="I2347" s="8">
        <v>45952</v>
      </c>
      <c r="J2347" s="9"/>
      <c r="K2347" s="10"/>
      <c r="L2347" s="10"/>
      <c r="M2347" s="3" t="s">
        <v>1400</v>
      </c>
      <c r="P2347" s="3">
        <v>2025</v>
      </c>
      <c r="Q2347" s="3">
        <f>VLOOKUP(C2347,layoffs_location!A:F,6,FALSE)</f>
        <v>37.451967099999997</v>
      </c>
      <c r="R2347" s="3">
        <f>VLOOKUP(C2347,layoffs_location!A:G,7,FALSE)</f>
        <v>-122.177992</v>
      </c>
    </row>
    <row r="2348" spans="1:18" x14ac:dyDescent="0.2">
      <c r="A2348" s="3">
        <v>2347</v>
      </c>
      <c r="B2348" s="3" t="s">
        <v>1409</v>
      </c>
      <c r="C2348" s="3" t="s">
        <v>220</v>
      </c>
      <c r="D2348" s="3" t="str">
        <f>VLOOKUP(C2348,layoffs_location!A:B,2,FALSE)</f>
        <v>other</v>
      </c>
      <c r="E2348" s="3" t="str">
        <f>VLOOKUP(C2348,layoffs_location!A:C,3,FALSE)</f>
        <v>Florida</v>
      </c>
      <c r="F2348" s="3" t="str">
        <f>VLOOKUP(C2348,layoffs_location!A:D,4,FALSE)</f>
        <v>USA</v>
      </c>
      <c r="G2348" s="3" t="str">
        <f>VLOOKUP(C2348,layoffs_location!A:E,5,FALSE)</f>
        <v>North America</v>
      </c>
      <c r="H2348" s="3">
        <v>200</v>
      </c>
      <c r="I2348" s="8">
        <v>45953</v>
      </c>
      <c r="J2348" s="9"/>
      <c r="K2348" s="10"/>
      <c r="L2348" s="10"/>
      <c r="M2348" s="3" t="s">
        <v>1400</v>
      </c>
      <c r="P2348" s="3">
        <v>2025</v>
      </c>
      <c r="Q2348" s="3">
        <f>VLOOKUP(C2348,layoffs_location!A:F,6,FALSE)</f>
        <v>25.774172799999999</v>
      </c>
      <c r="R2348" s="3">
        <f>VLOOKUP(C2348,layoffs_location!A:G,7,FALSE)</f>
        <v>-80.193619999999996</v>
      </c>
    </row>
    <row r="2349" spans="1:18" x14ac:dyDescent="0.2">
      <c r="A2349" s="3">
        <v>2348</v>
      </c>
      <c r="B2349" s="3" t="s">
        <v>2206</v>
      </c>
      <c r="C2349" s="3" t="s">
        <v>58</v>
      </c>
      <c r="D2349" s="3" t="str">
        <f>VLOOKUP(C2349,layoffs_location!A:B,2,FALSE)</f>
        <v>other</v>
      </c>
      <c r="E2349" s="3" t="str">
        <f>VLOOKUP(C2349,layoffs_location!A:C,3,FALSE)</f>
        <v>England</v>
      </c>
      <c r="F2349" s="3" t="str">
        <f>VLOOKUP(C2349,layoffs_location!A:D,4,FALSE)</f>
        <v>UK</v>
      </c>
      <c r="G2349" s="3" t="str">
        <f>VLOOKUP(C2349,layoffs_location!A:E,5,FALSE)</f>
        <v>Europe</v>
      </c>
      <c r="I2349" s="8">
        <v>45954</v>
      </c>
      <c r="J2349" s="9">
        <v>33</v>
      </c>
      <c r="K2349" s="10"/>
      <c r="L2349" s="10"/>
      <c r="M2349" s="3" t="s">
        <v>2207</v>
      </c>
      <c r="P2349" s="3">
        <v>2025</v>
      </c>
      <c r="Q2349" s="3">
        <f>VLOOKUP(C2349,layoffs_location!A:F,6,FALSE)</f>
        <v>51.489333500000001</v>
      </c>
      <c r="R2349" s="3">
        <f>VLOOKUP(C2349,layoffs_location!A:G,7,FALSE)</f>
        <v>-0.14405508452768701</v>
      </c>
    </row>
    <row r="2350" spans="1:18" x14ac:dyDescent="0.2">
      <c r="A2350" s="3">
        <v>2349</v>
      </c>
      <c r="B2350" s="3" t="s">
        <v>535</v>
      </c>
      <c r="C2350" s="3" t="s">
        <v>271</v>
      </c>
      <c r="D2350" s="3" t="str">
        <f>VLOOKUP(C2350,layoffs_location!A:B,2,FALSE)</f>
        <v>Cascadia</v>
      </c>
      <c r="E2350" s="3" t="str">
        <f>VLOOKUP(C2350,layoffs_location!A:C,3,FALSE)</f>
        <v>British Columbia</v>
      </c>
      <c r="F2350" s="3" t="str">
        <f>VLOOKUP(C2350,layoffs_location!A:D,4,FALSE)</f>
        <v>Canada</v>
      </c>
      <c r="G2350" s="3" t="str">
        <f>VLOOKUP(C2350,layoffs_location!A:E,5,FALSE)</f>
        <v>North America</v>
      </c>
      <c r="I2350" s="8">
        <v>45957</v>
      </c>
      <c r="J2350" s="9">
        <v>20</v>
      </c>
      <c r="K2350" s="10"/>
      <c r="L2350" s="10"/>
      <c r="M2350" s="3" t="s">
        <v>2205</v>
      </c>
      <c r="P2350" s="3">
        <v>2025</v>
      </c>
      <c r="Q2350" s="3">
        <f>VLOOKUP(C2350,layoffs_location!A:F,6,FALSE)</f>
        <v>49.260872399999997</v>
      </c>
      <c r="R2350" s="3">
        <f>VLOOKUP(C2350,layoffs_location!A:G,7,FALSE)</f>
        <v>-123.113952</v>
      </c>
    </row>
    <row r="2351" spans="1:18" x14ac:dyDescent="0.2">
      <c r="A2351" s="3">
        <v>2350</v>
      </c>
      <c r="B2351" s="3" t="s">
        <v>376</v>
      </c>
      <c r="C2351" s="3" t="s">
        <v>43</v>
      </c>
      <c r="D2351" s="3" t="str">
        <f>VLOOKUP(C2351,layoffs_location!A:B,2,FALSE)</f>
        <v>Cascadia</v>
      </c>
      <c r="E2351" s="3" t="str">
        <f>VLOOKUP(C2351,layoffs_location!A:C,3,FALSE)</f>
        <v>Washington</v>
      </c>
      <c r="F2351" s="3" t="str">
        <f>VLOOKUP(C2351,layoffs_location!A:D,4,FALSE)</f>
        <v>USA</v>
      </c>
      <c r="G2351" s="3" t="str">
        <f>VLOOKUP(C2351,layoffs_location!A:E,5,FALSE)</f>
        <v>North America</v>
      </c>
      <c r="H2351" s="3">
        <v>30000</v>
      </c>
      <c r="I2351" s="8">
        <v>45958</v>
      </c>
      <c r="J2351" s="9"/>
      <c r="K2351" s="10"/>
      <c r="L2351" s="10"/>
      <c r="M2351" s="3" t="s">
        <v>2123</v>
      </c>
      <c r="P2351" s="3">
        <v>2025</v>
      </c>
      <c r="Q2351" s="3">
        <f>VLOOKUP(C2351,layoffs_location!A:F,6,FALSE)</f>
        <v>47.603832099999998</v>
      </c>
      <c r="R2351" s="3">
        <f>VLOOKUP(C2351,layoffs_location!A:G,7,FALSE)</f>
        <v>-122.330062</v>
      </c>
    </row>
    <row r="2352" spans="1:18" x14ac:dyDescent="0.2">
      <c r="A2352" s="3">
        <v>2351</v>
      </c>
      <c r="B2352" s="3" t="s">
        <v>256</v>
      </c>
      <c r="C2352" s="3" t="s">
        <v>1415</v>
      </c>
      <c r="D2352" s="3" t="str">
        <f>VLOOKUP(C2352,layoffs_location!A:B,2,FALSE)</f>
        <v>San Francisco Bay Area</v>
      </c>
      <c r="E2352" s="3" t="str">
        <f>VLOOKUP(C2352,layoffs_location!A:C,3,FALSE)</f>
        <v>California</v>
      </c>
      <c r="F2352" s="3" t="str">
        <f>VLOOKUP(C2352,layoffs_location!A:D,4,FALSE)</f>
        <v>USA</v>
      </c>
      <c r="G2352" s="3" t="str">
        <f>VLOOKUP(C2352,layoffs_location!A:E,5,FALSE)</f>
        <v>North America</v>
      </c>
      <c r="H2352" s="3">
        <v>388</v>
      </c>
      <c r="I2352" s="8">
        <v>45958</v>
      </c>
      <c r="J2352" s="9">
        <v>45</v>
      </c>
      <c r="K2352" s="28">
        <f>SUM((Table13[[#This Row],[Laid_Off]]*100)/Table13[[#This Row],[Percentage]])</f>
        <v>862.22222222222217</v>
      </c>
      <c r="L2352" s="28">
        <f>SUM(Table13[[#This Row],[Company_Size_before_Layoffs]]-Table13[[#This Row],[Laid_Off]])</f>
        <v>474.22222222222217</v>
      </c>
      <c r="M2352" s="3" t="s">
        <v>2204</v>
      </c>
      <c r="P2352" s="3">
        <v>2025</v>
      </c>
      <c r="Q2352" s="3">
        <f>VLOOKUP(C2352,layoffs_location!A:F,6,FALSE)</f>
        <v>37.354106999999999</v>
      </c>
      <c r="R2352" s="3">
        <f>VLOOKUP(C2352,layoffs_location!A:G,7,FALSE)</f>
        <v>-121.95523799999999</v>
      </c>
    </row>
    <row r="2353" spans="1:18" x14ac:dyDescent="0.2">
      <c r="A2353" s="3">
        <v>2352</v>
      </c>
      <c r="B2353" s="3" t="s">
        <v>2202</v>
      </c>
      <c r="C2353" s="3" t="s">
        <v>13</v>
      </c>
      <c r="D2353" s="3" t="str">
        <f>VLOOKUP(C2353,layoffs_location!A:B,2,FALSE)</f>
        <v>other</v>
      </c>
      <c r="E2353" s="3" t="str">
        <f>VLOOKUP(C2353,layoffs_location!A:C,3,FALSE)</f>
        <v>Karnataka</v>
      </c>
      <c r="F2353" s="3" t="str">
        <f>VLOOKUP(C2353,layoffs_location!A:D,4,FALSE)</f>
        <v>India</v>
      </c>
      <c r="G2353" s="3" t="str">
        <f>VLOOKUP(C2353,layoffs_location!A:E,5,FALSE)</f>
        <v>Asia</v>
      </c>
      <c r="H2353" s="3">
        <v>150</v>
      </c>
      <c r="I2353" s="8">
        <v>45959</v>
      </c>
      <c r="J2353" s="9"/>
      <c r="K2353" s="10"/>
      <c r="L2353" s="10"/>
      <c r="M2353" s="3" t="s">
        <v>2125</v>
      </c>
      <c r="P2353" s="3">
        <v>2025</v>
      </c>
      <c r="Q2353" s="3">
        <f>VLOOKUP(C2353,layoffs_location!A:F,6,FALSE)</f>
        <v>12.98815675</v>
      </c>
      <c r="R2353" s="3">
        <f>VLOOKUP(C2353,layoffs_location!A:G,7,FALSE)</f>
        <v>77.622600037959998</v>
      </c>
    </row>
    <row r="2354" spans="1:18" x14ac:dyDescent="0.2">
      <c r="A2354" s="3">
        <v>2353</v>
      </c>
      <c r="B2354" s="3" t="s">
        <v>2203</v>
      </c>
      <c r="C2354" s="3" t="s">
        <v>1415</v>
      </c>
      <c r="D2354" s="3" t="str">
        <f>VLOOKUP(C2354,layoffs_location!A:B,2,FALSE)</f>
        <v>San Francisco Bay Area</v>
      </c>
      <c r="E2354" s="3" t="str">
        <f>VLOOKUP(C2354,layoffs_location!A:C,3,FALSE)</f>
        <v>California</v>
      </c>
      <c r="F2354" s="3" t="str">
        <f>VLOOKUP(C2354,layoffs_location!A:D,4,FALSE)</f>
        <v>USA</v>
      </c>
      <c r="G2354" s="3" t="str">
        <f>VLOOKUP(C2354,layoffs_location!A:E,5,FALSE)</f>
        <v>North America</v>
      </c>
      <c r="H2354" s="3">
        <v>1400</v>
      </c>
      <c r="I2354" s="8">
        <v>45959</v>
      </c>
      <c r="J2354" s="9">
        <v>4</v>
      </c>
      <c r="K2354" s="28">
        <f>SUM((Table13[[#This Row],[Laid_Off]]*100)/Table13[[#This Row],[Percentage]])</f>
        <v>35000</v>
      </c>
      <c r="L2354" s="28">
        <f>SUM(Table13[[#This Row],[Company_Size_before_Layoffs]]-Table13[[#This Row],[Laid_Off]])</f>
        <v>33600</v>
      </c>
      <c r="M2354" s="3" t="s">
        <v>2139</v>
      </c>
      <c r="P2354" s="3">
        <v>2025</v>
      </c>
      <c r="Q2354" s="3">
        <f>VLOOKUP(C2354,layoffs_location!A:F,6,FALSE)</f>
        <v>37.354106999999999</v>
      </c>
      <c r="R2354" s="3">
        <f>VLOOKUP(C2354,layoffs_location!A:G,7,FALSE)</f>
        <v>-121.95523799999999</v>
      </c>
    </row>
    <row r="2355" spans="1:18" x14ac:dyDescent="0.2">
      <c r="A2355" s="3">
        <v>2354</v>
      </c>
      <c r="B2355" s="3" t="s">
        <v>2200</v>
      </c>
      <c r="C2355" s="3" t="s">
        <v>547</v>
      </c>
      <c r="D2355" s="3" t="str">
        <f>VLOOKUP(C2355,layoffs_location!A:B,2,FALSE)</f>
        <v>Tokyo</v>
      </c>
      <c r="E2355" s="3" t="str">
        <f>VLOOKUP(C2355,layoffs_location!A:C,3,FALSE)</f>
        <v>Tokyo</v>
      </c>
      <c r="F2355" s="3" t="str">
        <f>VLOOKUP(C2355,layoffs_location!A:D,4,FALSE)</f>
        <v>Japan</v>
      </c>
      <c r="G2355" s="3" t="str">
        <f>VLOOKUP(C2355,layoffs_location!A:E,5,FALSE)</f>
        <v>Asia</v>
      </c>
      <c r="H2355" s="3">
        <v>108</v>
      </c>
      <c r="I2355" s="8">
        <v>45961</v>
      </c>
      <c r="J2355" s="9"/>
      <c r="K2355" s="10"/>
      <c r="L2355" s="10"/>
      <c r="M2355" s="3" t="s">
        <v>2156</v>
      </c>
      <c r="P2355" s="3">
        <v>2025</v>
      </c>
      <c r="Q2355" s="3">
        <f>VLOOKUP(C2355,layoffs_location!A:F,6,FALSE)</f>
        <v>35.682193599999998</v>
      </c>
      <c r="R2355" s="3">
        <f>VLOOKUP(C2355,layoffs_location!A:G,7,FALSE)</f>
        <v>139.76222100000001</v>
      </c>
    </row>
    <row r="2356" spans="1:18" x14ac:dyDescent="0.2">
      <c r="A2356" s="3">
        <v>2355</v>
      </c>
      <c r="B2356" s="3" t="s">
        <v>1474</v>
      </c>
      <c r="C2356" s="3" t="s">
        <v>1475</v>
      </c>
      <c r="D2356" s="3" t="str">
        <f>VLOOKUP(C2356,layoffs_location!A:B,2,FALSE)</f>
        <v>other</v>
      </c>
      <c r="E2356" s="3" t="str">
        <f>VLOOKUP(C2356,layoffs_location!A:C,3,FALSE)</f>
        <v>Florida</v>
      </c>
      <c r="F2356" s="3" t="str">
        <f>VLOOKUP(C2356,layoffs_location!A:D,4,FALSE)</f>
        <v>USA</v>
      </c>
      <c r="G2356" s="3" t="str">
        <f>VLOOKUP(C2356,layoffs_location!A:E,5,FALSE)</f>
        <v>North America</v>
      </c>
      <c r="I2356" s="8">
        <v>45961</v>
      </c>
      <c r="J2356" s="9">
        <v>25</v>
      </c>
      <c r="K2356" s="10"/>
      <c r="L2356" s="10"/>
      <c r="M2356" s="3" t="s">
        <v>2201</v>
      </c>
      <c r="P2356" s="3">
        <v>2025</v>
      </c>
      <c r="Q2356" s="3">
        <f>VLOOKUP(C2356,layoffs_location!A:F,6,FALSE)</f>
        <v>28.542110900000001</v>
      </c>
      <c r="R2356" s="3">
        <f>VLOOKUP(C2356,layoffs_location!A:G,7,FALSE)</f>
        <v>-81.379030400000005</v>
      </c>
    </row>
    <row r="2357" spans="1:18" x14ac:dyDescent="0.2">
      <c r="A2357" s="3">
        <v>2356</v>
      </c>
      <c r="B2357" s="3" t="s">
        <v>2199</v>
      </c>
      <c r="C2357" s="3" t="s">
        <v>39</v>
      </c>
      <c r="D2357" s="3" t="str">
        <f>VLOOKUP(C2357,layoffs_location!A:B,2,FALSE)</f>
        <v>New York</v>
      </c>
      <c r="E2357" s="3" t="str">
        <f>VLOOKUP(C2357,layoffs_location!A:C,3,FALSE)</f>
        <v>New York</v>
      </c>
      <c r="F2357" s="3" t="str">
        <f>VLOOKUP(C2357,layoffs_location!A:D,4,FALSE)</f>
        <v>USA</v>
      </c>
      <c r="G2357" s="3" t="str">
        <f>VLOOKUP(C2357,layoffs_location!A:E,5,FALSE)</f>
        <v>North America</v>
      </c>
      <c r="H2357" s="3">
        <v>35</v>
      </c>
      <c r="I2357" s="8">
        <v>45962</v>
      </c>
      <c r="J2357" s="9"/>
      <c r="K2357" s="10"/>
      <c r="L2357" s="10"/>
      <c r="M2357" s="3" t="s">
        <v>2138</v>
      </c>
      <c r="P2357" s="3">
        <v>2025</v>
      </c>
      <c r="Q2357" s="3">
        <f>VLOOKUP(C2357,layoffs_location!A:F,6,FALSE)</f>
        <v>40.7127281</v>
      </c>
      <c r="R2357" s="3">
        <f>VLOOKUP(C2357,layoffs_location!A:G,7,FALSE)</f>
        <v>-74.006015199999993</v>
      </c>
    </row>
    <row r="2358" spans="1:18" x14ac:dyDescent="0.2">
      <c r="A2358" s="3">
        <v>2357</v>
      </c>
      <c r="B2358" s="3" t="s">
        <v>1569</v>
      </c>
      <c r="C2358" s="3" t="s">
        <v>39</v>
      </c>
      <c r="D2358" s="3" t="str">
        <f>VLOOKUP(C2358,layoffs_location!A:B,2,FALSE)</f>
        <v>New York</v>
      </c>
      <c r="E2358" s="3" t="str">
        <f>VLOOKUP(C2358,layoffs_location!A:C,3,FALSE)</f>
        <v>New York</v>
      </c>
      <c r="F2358" s="3" t="str">
        <f>VLOOKUP(C2358,layoffs_location!A:D,4,FALSE)</f>
        <v>USA</v>
      </c>
      <c r="G2358" s="3" t="str">
        <f>VLOOKUP(C2358,layoffs_location!A:E,5,FALSE)</f>
        <v>North America</v>
      </c>
      <c r="I2358" s="8">
        <v>45965</v>
      </c>
      <c r="J2358" s="9"/>
      <c r="K2358" s="10"/>
      <c r="L2358" s="10"/>
      <c r="M2358" s="3" t="s">
        <v>2156</v>
      </c>
      <c r="P2358" s="3">
        <v>2025</v>
      </c>
      <c r="Q2358" s="3">
        <f>VLOOKUP(C2358,layoffs_location!A:F,6,FALSE)</f>
        <v>40.7127281</v>
      </c>
      <c r="R2358" s="3">
        <f>VLOOKUP(C2358,layoffs_location!A:G,7,FALSE)</f>
        <v>-74.006015199999993</v>
      </c>
    </row>
    <row r="2359" spans="1:18" x14ac:dyDescent="0.2">
      <c r="A2359" s="3">
        <v>2358</v>
      </c>
      <c r="B2359" s="3" t="s">
        <v>2194</v>
      </c>
      <c r="C2359" s="3" t="s">
        <v>2195</v>
      </c>
      <c r="D2359" s="3" t="str">
        <f>VLOOKUP(C2359,layoffs_location!A:B,2,FALSE)</f>
        <v>other</v>
      </c>
      <c r="E2359" s="3" t="str">
        <f>VLOOKUP(C2359,layoffs_location!A:C,3,FALSE)</f>
        <v>Massachusetts</v>
      </c>
      <c r="F2359" s="3" t="str">
        <f>VLOOKUP(C2359,layoffs_location!A:D,4,FALSE)</f>
        <v>USA</v>
      </c>
      <c r="G2359" s="3" t="str">
        <f>VLOOKUP(C2359,layoffs_location!A:E,5,FALSE)</f>
        <v>North America</v>
      </c>
      <c r="I2359" s="8">
        <v>45965</v>
      </c>
      <c r="J2359" s="9"/>
      <c r="K2359" s="10"/>
      <c r="L2359" s="10"/>
      <c r="M2359" s="3" t="s">
        <v>2196</v>
      </c>
      <c r="P2359" s="3">
        <v>2025</v>
      </c>
      <c r="Q2359" s="3">
        <f>VLOOKUP(C2359,layoffs_location!A:F,6,FALSE)</f>
        <v>42.279546727388599</v>
      </c>
      <c r="R2359" s="3">
        <f>VLOOKUP(C2359,layoffs_location!A:G,7,FALSE)</f>
        <v>-71.246803901031001</v>
      </c>
    </row>
    <row r="2360" spans="1:18" x14ac:dyDescent="0.2">
      <c r="A2360" s="3">
        <v>2359</v>
      </c>
      <c r="B2360" s="3" t="s">
        <v>2197</v>
      </c>
      <c r="C2360" s="3" t="s">
        <v>13</v>
      </c>
      <c r="D2360" s="3" t="str">
        <f>VLOOKUP(C2360,layoffs_location!A:B,2,FALSE)</f>
        <v>other</v>
      </c>
      <c r="E2360" s="3" t="str">
        <f>VLOOKUP(C2360,layoffs_location!A:C,3,FALSE)</f>
        <v>Karnataka</v>
      </c>
      <c r="F2360" s="3" t="str">
        <f>VLOOKUP(C2360,layoffs_location!A:D,4,FALSE)</f>
        <v>India</v>
      </c>
      <c r="G2360" s="3" t="str">
        <f>VLOOKUP(C2360,layoffs_location!A:E,5,FALSE)</f>
        <v>Asia</v>
      </c>
      <c r="H2360" s="3">
        <v>350</v>
      </c>
      <c r="I2360" s="8">
        <v>45965</v>
      </c>
      <c r="J2360" s="9">
        <v>18</v>
      </c>
      <c r="K2360" s="28">
        <f>SUM((Table13[[#This Row],[Laid_Off]]*100)/Table13[[#This Row],[Percentage]])</f>
        <v>1944.4444444444443</v>
      </c>
      <c r="L2360" s="28">
        <f>SUM(Table13[[#This Row],[Company_Size_before_Layoffs]]-Table13[[#This Row],[Laid_Off]])</f>
        <v>1594.4444444444443</v>
      </c>
      <c r="M2360" s="3" t="s">
        <v>2198</v>
      </c>
      <c r="P2360" s="3">
        <v>2025</v>
      </c>
      <c r="Q2360" s="3">
        <f>VLOOKUP(C2360,layoffs_location!A:F,6,FALSE)</f>
        <v>12.98815675</v>
      </c>
      <c r="R2360" s="3">
        <f>VLOOKUP(C2360,layoffs_location!A:G,7,FALSE)</f>
        <v>77.622600037959998</v>
      </c>
    </row>
    <row r="2361" spans="1:18" x14ac:dyDescent="0.2">
      <c r="A2361" s="3">
        <v>2360</v>
      </c>
      <c r="B2361" s="3" t="s">
        <v>2045</v>
      </c>
      <c r="C2361" s="3" t="s">
        <v>2192</v>
      </c>
      <c r="D2361" s="3" t="str">
        <f>VLOOKUP(C2361,layoffs_location!A:B,2,FALSE)</f>
        <v>other</v>
      </c>
      <c r="E2361" s="3" t="str">
        <f>VLOOKUP(C2361,layoffs_location!A:C,3,FALSE)</f>
        <v>Texas</v>
      </c>
      <c r="F2361" s="3" t="str">
        <f>VLOOKUP(C2361,layoffs_location!A:D,4,FALSE)</f>
        <v>USA</v>
      </c>
      <c r="G2361" s="3" t="str">
        <f>VLOOKUP(C2361,layoffs_location!A:E,5,FALSE)</f>
        <v>North America</v>
      </c>
      <c r="H2361" s="3">
        <v>52</v>
      </c>
      <c r="I2361" s="8">
        <v>45966</v>
      </c>
      <c r="J2361" s="9"/>
      <c r="K2361" s="10"/>
      <c r="L2361" s="10"/>
      <c r="M2361" s="3" t="s">
        <v>2156</v>
      </c>
      <c r="P2361" s="3">
        <v>2025</v>
      </c>
      <c r="Q2361" s="3">
        <f>VLOOKUP(C2361,layoffs_location!A:F,6,FALSE)</f>
        <v>29.724792550831499</v>
      </c>
      <c r="R2361" s="3">
        <f>VLOOKUP(C2361,layoffs_location!A:G,7,FALSE)</f>
        <v>-95.329543368153296</v>
      </c>
    </row>
    <row r="2362" spans="1:18" x14ac:dyDescent="0.2">
      <c r="A2362" s="3">
        <v>2361</v>
      </c>
      <c r="B2362" s="3" t="s">
        <v>2193</v>
      </c>
      <c r="C2362" s="3" t="s">
        <v>1345</v>
      </c>
      <c r="D2362" s="3" t="str">
        <f>VLOOKUP(C2362,layoffs_location!A:B,2,FALSE)</f>
        <v>other</v>
      </c>
      <c r="E2362" s="3" t="str">
        <f>VLOOKUP(C2362,layoffs_location!A:C,3,FALSE)</f>
        <v>Tennessee</v>
      </c>
      <c r="F2362" s="3" t="str">
        <f>VLOOKUP(C2362,layoffs_location!A:D,4,FALSE)</f>
        <v>USA</v>
      </c>
      <c r="G2362" s="3" t="str">
        <f>VLOOKUP(C2362,layoffs_location!A:E,5,FALSE)</f>
        <v>North America</v>
      </c>
      <c r="H2362" s="3">
        <v>141</v>
      </c>
      <c r="I2362" s="8">
        <v>45966</v>
      </c>
      <c r="J2362" s="9">
        <v>100</v>
      </c>
      <c r="K2362" s="28">
        <f>SUM((Table13[[#This Row],[Laid_Off]]*100)/Table13[[#This Row],[Percentage]])</f>
        <v>141</v>
      </c>
      <c r="L2362" s="28">
        <f>SUM(Table13[[#This Row],[Company_Size_before_Layoffs]]-Table13[[#This Row],[Laid_Off]])</f>
        <v>0</v>
      </c>
      <c r="M2362" s="3" t="s">
        <v>2169</v>
      </c>
      <c r="P2362" s="3">
        <v>2025</v>
      </c>
      <c r="Q2362" s="3">
        <f>VLOOKUP(C2362,layoffs_location!A:F,6,FALSE)</f>
        <v>35.1460249</v>
      </c>
      <c r="R2362" s="3">
        <f>VLOOKUP(C2362,layoffs_location!A:G,7,FALSE)</f>
        <v>-90.051763800000003</v>
      </c>
    </row>
    <row r="2363" spans="1:18" x14ac:dyDescent="0.2">
      <c r="A2363" s="3">
        <v>2362</v>
      </c>
      <c r="B2363" s="3" t="s">
        <v>369</v>
      </c>
      <c r="C2363" s="3" t="s">
        <v>83</v>
      </c>
      <c r="D2363" s="3" t="str">
        <f>VLOOKUP(C2363,layoffs_location!A:B,2,FALSE)</f>
        <v>other</v>
      </c>
      <c r="E2363" s="3" t="str">
        <f>VLOOKUP(C2363,layoffs_location!A:C,3,FALSE)</f>
        <v>Texas</v>
      </c>
      <c r="F2363" s="3" t="str">
        <f>VLOOKUP(C2363,layoffs_location!A:D,4,FALSE)</f>
        <v>USA</v>
      </c>
      <c r="G2363" s="3" t="str">
        <f>VLOOKUP(C2363,layoffs_location!A:E,5,FALSE)</f>
        <v>North America</v>
      </c>
      <c r="I2363" s="8">
        <v>45967</v>
      </c>
      <c r="J2363" s="9"/>
      <c r="K2363" s="10"/>
      <c r="L2363" s="10"/>
      <c r="M2363" s="3" t="s">
        <v>2190</v>
      </c>
      <c r="P2363" s="3">
        <v>2025</v>
      </c>
      <c r="Q2363" s="3">
        <f>VLOOKUP(C2363,layoffs_location!A:F,6,FALSE)</f>
        <v>30.271128600000001</v>
      </c>
      <c r="R2363" s="3">
        <f>VLOOKUP(C2363,layoffs_location!A:G,7,FALSE)</f>
        <v>-97.743699500000005</v>
      </c>
    </row>
    <row r="2364" spans="1:18" x14ac:dyDescent="0.2">
      <c r="A2364" s="3">
        <v>2363</v>
      </c>
      <c r="B2364" s="3" t="s">
        <v>2191</v>
      </c>
      <c r="C2364" s="3" t="s">
        <v>39</v>
      </c>
      <c r="D2364" s="3" t="str">
        <f>VLOOKUP(C2364,layoffs_location!A:B,2,FALSE)</f>
        <v>New York</v>
      </c>
      <c r="E2364" s="3" t="str">
        <f>VLOOKUP(C2364,layoffs_location!A:C,3,FALSE)</f>
        <v>New York</v>
      </c>
      <c r="F2364" s="3" t="str">
        <f>VLOOKUP(C2364,layoffs_location!A:D,4,FALSE)</f>
        <v>USA</v>
      </c>
      <c r="G2364" s="3" t="str">
        <f>VLOOKUP(C2364,layoffs_location!A:E,5,FALSE)</f>
        <v>North America</v>
      </c>
      <c r="H2364" s="3">
        <v>100</v>
      </c>
      <c r="I2364" s="8">
        <v>45967</v>
      </c>
      <c r="J2364" s="9">
        <v>11</v>
      </c>
      <c r="K2364" s="28">
        <f>SUM((Table13[[#This Row],[Laid_Off]]*100)/Table13[[#This Row],[Percentage]])</f>
        <v>909.09090909090912</v>
      </c>
      <c r="L2364" s="28">
        <f>SUM(Table13[[#This Row],[Company_Size_before_Layoffs]]-Table13[[#This Row],[Laid_Off]])</f>
        <v>809.09090909090912</v>
      </c>
      <c r="M2364" s="3" t="s">
        <v>2185</v>
      </c>
      <c r="P2364" s="3">
        <v>2025</v>
      </c>
      <c r="Q2364" s="3">
        <f>VLOOKUP(C2364,layoffs_location!A:F,6,FALSE)</f>
        <v>40.7127281</v>
      </c>
      <c r="R2364" s="3">
        <f>VLOOKUP(C2364,layoffs_location!A:G,7,FALSE)</f>
        <v>-74.006015199999993</v>
      </c>
    </row>
    <row r="2365" spans="1:18" x14ac:dyDescent="0.2">
      <c r="A2365" s="3">
        <v>2364</v>
      </c>
      <c r="B2365" s="3" t="s">
        <v>2188</v>
      </c>
      <c r="C2365" s="3" t="s">
        <v>2189</v>
      </c>
      <c r="D2365" s="3" t="str">
        <f>VLOOKUP(C2365,layoffs_location!A:B,2,FALSE)</f>
        <v>other</v>
      </c>
      <c r="E2365" s="3" t="str">
        <f>VLOOKUP(C2365,layoffs_location!A:C,3,FALSE)</f>
        <v>North Carolina</v>
      </c>
      <c r="F2365" s="3" t="str">
        <f>VLOOKUP(C2365,layoffs_location!A:D,4,FALSE)</f>
        <v>USA</v>
      </c>
      <c r="G2365" s="3" t="str">
        <f>VLOOKUP(C2365,layoffs_location!A:E,5,FALSE)</f>
        <v>North America</v>
      </c>
      <c r="H2365" s="3">
        <v>400</v>
      </c>
      <c r="I2365" s="8">
        <v>45970</v>
      </c>
      <c r="J2365" s="9"/>
      <c r="K2365" s="10"/>
      <c r="L2365" s="10"/>
      <c r="M2365" s="3" t="s">
        <v>1400</v>
      </c>
      <c r="P2365" s="3">
        <v>2025</v>
      </c>
      <c r="Q2365" s="3">
        <f>VLOOKUP(C2365,layoffs_location!A:F,6,FALSE)</f>
        <v>35.774958401745401</v>
      </c>
      <c r="R2365" s="3">
        <f>VLOOKUP(C2365,layoffs_location!A:G,7,FALSE)</f>
        <v>-78.790015317774206</v>
      </c>
    </row>
    <row r="2366" spans="1:18" x14ac:dyDescent="0.2">
      <c r="A2366" s="3">
        <v>2365</v>
      </c>
      <c r="B2366" s="3" t="s">
        <v>2186</v>
      </c>
      <c r="C2366" s="3" t="s">
        <v>13</v>
      </c>
      <c r="D2366" s="3" t="str">
        <f>VLOOKUP(C2366,layoffs_location!A:B,2,FALSE)</f>
        <v>other</v>
      </c>
      <c r="E2366" s="3" t="str">
        <f>VLOOKUP(C2366,layoffs_location!A:C,3,FALSE)</f>
        <v>Karnataka</v>
      </c>
      <c r="F2366" s="3" t="str">
        <f>VLOOKUP(C2366,layoffs_location!A:D,4,FALSE)</f>
        <v>India</v>
      </c>
      <c r="G2366" s="3" t="str">
        <f>VLOOKUP(C2366,layoffs_location!A:E,5,FALSE)</f>
        <v>Asia</v>
      </c>
      <c r="H2366" s="3">
        <v>280</v>
      </c>
      <c r="I2366" s="8">
        <v>45971</v>
      </c>
      <c r="J2366" s="9"/>
      <c r="K2366" s="10"/>
      <c r="L2366" s="10"/>
      <c r="M2366" s="3" t="s">
        <v>2187</v>
      </c>
      <c r="P2366" s="3">
        <v>2025</v>
      </c>
      <c r="Q2366" s="3">
        <f>VLOOKUP(C2366,layoffs_location!A:F,6,FALSE)</f>
        <v>12.98815675</v>
      </c>
      <c r="R2366" s="3">
        <f>VLOOKUP(C2366,layoffs_location!A:G,7,FALSE)</f>
        <v>77.622600037959998</v>
      </c>
    </row>
    <row r="2367" spans="1:18" x14ac:dyDescent="0.2">
      <c r="A2367" s="3">
        <v>2366</v>
      </c>
      <c r="B2367" s="3" t="s">
        <v>411</v>
      </c>
      <c r="C2367" s="3" t="s">
        <v>1370</v>
      </c>
      <c r="D2367" s="3" t="str">
        <f>VLOOKUP(C2367,layoffs_location!A:B,2,FALSE)</f>
        <v>San Francisco Bay Area</v>
      </c>
      <c r="E2367" s="3" t="str">
        <f>VLOOKUP(C2367,layoffs_location!A:C,3,FALSE)</f>
        <v>California</v>
      </c>
      <c r="F2367" s="3" t="str">
        <f>VLOOKUP(C2367,layoffs_location!A:D,4,FALSE)</f>
        <v>USA</v>
      </c>
      <c r="G2367" s="3" t="str">
        <f>VLOOKUP(C2367,layoffs_location!A:E,5,FALSE)</f>
        <v>North America</v>
      </c>
      <c r="I2367" s="8">
        <v>45971</v>
      </c>
      <c r="J2367" s="9">
        <v>100</v>
      </c>
      <c r="K2367" s="10"/>
      <c r="L2367" s="10"/>
      <c r="M2367" s="3" t="s">
        <v>1462</v>
      </c>
      <c r="P2367" s="3">
        <v>2025</v>
      </c>
      <c r="Q2367" s="3">
        <f>VLOOKUP(C2367,layoffs_location!A:F,6,FALSE)</f>
        <v>37.779258800000001</v>
      </c>
      <c r="R2367" s="3">
        <f>VLOOKUP(C2367,layoffs_location!A:G,7,FALSE)</f>
        <v>-122.4193286</v>
      </c>
    </row>
    <row r="2368" spans="1:18" x14ac:dyDescent="0.2">
      <c r="A2368" s="3">
        <v>2367</v>
      </c>
      <c r="B2368" s="3" t="s">
        <v>214</v>
      </c>
      <c r="C2368" s="3" t="s">
        <v>1404</v>
      </c>
      <c r="D2368" s="3" t="str">
        <f>VLOOKUP(C2368,layoffs_location!A:B,2,FALSE)</f>
        <v>other</v>
      </c>
      <c r="E2368" s="3" t="str">
        <f>VLOOKUP(C2368,layoffs_location!A:C,3,FALSE)</f>
        <v>Florida</v>
      </c>
      <c r="F2368" s="3" t="str">
        <f>VLOOKUP(C2368,layoffs_location!A:D,4,FALSE)</f>
        <v>USA</v>
      </c>
      <c r="G2368" s="3" t="str">
        <f>VLOOKUP(C2368,layoffs_location!A:E,5,FALSE)</f>
        <v>North America</v>
      </c>
      <c r="H2368" s="3">
        <v>80</v>
      </c>
      <c r="I2368" s="8">
        <v>45973</v>
      </c>
      <c r="J2368" s="9"/>
      <c r="K2368" s="10"/>
      <c r="L2368" s="10"/>
      <c r="M2368" s="3" t="s">
        <v>2185</v>
      </c>
      <c r="P2368" s="3">
        <v>2025</v>
      </c>
      <c r="Q2368" s="3">
        <f>VLOOKUP(C2368,layoffs_location!A:F,6,FALSE)</f>
        <v>27.9477595</v>
      </c>
      <c r="R2368" s="3">
        <f>VLOOKUP(C2368,layoffs_location!A:G,7,FALSE)</f>
        <v>-82.458444</v>
      </c>
    </row>
    <row r="2369" spans="1:18" x14ac:dyDescent="0.2">
      <c r="A2369" s="3">
        <v>2368</v>
      </c>
      <c r="B2369" s="3" t="s">
        <v>2179</v>
      </c>
      <c r="C2369" s="3" t="s">
        <v>1720</v>
      </c>
      <c r="D2369" s="3" t="str">
        <f>VLOOKUP(C2369,layoffs_location!A:B,2,FALSE)</f>
        <v>San Francisco Bay Area</v>
      </c>
      <c r="E2369" s="3" t="str">
        <f>VLOOKUP(C2369,layoffs_location!A:C,3,FALSE)</f>
        <v>California</v>
      </c>
      <c r="F2369" s="3" t="str">
        <f>VLOOKUP(C2369,layoffs_location!A:D,4,FALSE)</f>
        <v>USA</v>
      </c>
      <c r="G2369" s="3" t="str">
        <f>VLOOKUP(C2369,layoffs_location!A:E,5,FALSE)</f>
        <v>North America</v>
      </c>
      <c r="H2369" s="3">
        <v>2000</v>
      </c>
      <c r="I2369" s="8">
        <v>45974</v>
      </c>
      <c r="J2369" s="9">
        <v>10</v>
      </c>
      <c r="K2369" s="28">
        <f>SUM((Table13[[#This Row],[Laid_Off]]*100)/Table13[[#This Row],[Percentage]])</f>
        <v>20000</v>
      </c>
      <c r="L2369" s="28">
        <f>SUM(Table13[[#This Row],[Company_Size_before_Layoffs]]-Table13[[#This Row],[Laid_Off]])</f>
        <v>18000</v>
      </c>
      <c r="M2369" s="3" t="s">
        <v>1400</v>
      </c>
      <c r="P2369" s="3">
        <v>2025</v>
      </c>
      <c r="Q2369" s="3">
        <f>VLOOKUP(C2369,layoffs_location!A:F,6,FALSE)</f>
        <v>37.368830099999997</v>
      </c>
      <c r="R2369" s="3">
        <f>VLOOKUP(C2369,layoffs_location!A:G,7,FALSE)</f>
        <v>-122.036349</v>
      </c>
    </row>
    <row r="2370" spans="1:18" x14ac:dyDescent="0.2">
      <c r="A2370" s="3">
        <v>2369</v>
      </c>
      <c r="B2370" s="3" t="s">
        <v>2180</v>
      </c>
      <c r="C2370" s="3" t="s">
        <v>39</v>
      </c>
      <c r="D2370" s="3" t="str">
        <f>VLOOKUP(C2370,layoffs_location!A:B,2,FALSE)</f>
        <v>New York</v>
      </c>
      <c r="E2370" s="3" t="str">
        <f>VLOOKUP(C2370,layoffs_location!A:C,3,FALSE)</f>
        <v>New York</v>
      </c>
      <c r="F2370" s="3" t="str">
        <f>VLOOKUP(C2370,layoffs_location!A:D,4,FALSE)</f>
        <v>USA</v>
      </c>
      <c r="G2370" s="3" t="str">
        <f>VLOOKUP(C2370,layoffs_location!A:E,5,FALSE)</f>
        <v>North America</v>
      </c>
      <c r="H2370" s="3">
        <v>15000</v>
      </c>
      <c r="I2370" s="8">
        <v>45974</v>
      </c>
      <c r="J2370" s="9"/>
      <c r="K2370" s="20"/>
      <c r="L2370" s="10"/>
      <c r="M2370" s="3" t="s">
        <v>2181</v>
      </c>
      <c r="P2370" s="3">
        <v>2025</v>
      </c>
      <c r="Q2370" s="3">
        <f>VLOOKUP(C2370,layoffs_location!A:F,6,FALSE)</f>
        <v>40.7127281</v>
      </c>
      <c r="R2370" s="3">
        <f>VLOOKUP(C2370,layoffs_location!A:G,7,FALSE)</f>
        <v>-74.006015199999993</v>
      </c>
    </row>
    <row r="2371" spans="1:18" x14ac:dyDescent="0.2">
      <c r="A2371" s="3">
        <v>2370</v>
      </c>
      <c r="B2371" s="3" t="s">
        <v>2182</v>
      </c>
      <c r="C2371" s="3" t="s">
        <v>83</v>
      </c>
      <c r="D2371" s="3" t="str">
        <f>VLOOKUP(C2371,layoffs_location!A:B,2,FALSE)</f>
        <v>other</v>
      </c>
      <c r="E2371" s="3" t="str">
        <f>VLOOKUP(C2371,layoffs_location!A:C,3,FALSE)</f>
        <v>Texas</v>
      </c>
      <c r="F2371" s="3" t="str">
        <f>VLOOKUP(C2371,layoffs_location!A:D,4,FALSE)</f>
        <v>USA</v>
      </c>
      <c r="G2371" s="3" t="str">
        <f>VLOOKUP(C2371,layoffs_location!A:E,5,FALSE)</f>
        <v>North America</v>
      </c>
      <c r="I2371" s="8">
        <v>45974</v>
      </c>
      <c r="J2371" s="9"/>
      <c r="K2371" s="10"/>
      <c r="L2371" s="10"/>
      <c r="M2371" s="3" t="s">
        <v>32</v>
      </c>
      <c r="P2371" s="3">
        <v>2025</v>
      </c>
      <c r="Q2371" s="3">
        <f>VLOOKUP(C2371,layoffs_location!A:F,6,FALSE)</f>
        <v>30.271128600000001</v>
      </c>
      <c r="R2371" s="3">
        <f>VLOOKUP(C2371,layoffs_location!A:G,7,FALSE)</f>
        <v>-97.743699500000005</v>
      </c>
    </row>
    <row r="2372" spans="1:18" x14ac:dyDescent="0.2">
      <c r="A2372" s="3">
        <v>2371</v>
      </c>
      <c r="B2372" s="3" t="s">
        <v>2183</v>
      </c>
      <c r="C2372" s="3" t="s">
        <v>2319</v>
      </c>
      <c r="D2372" s="3" t="str">
        <f>VLOOKUP(C2372,layoffs_location!A:B,2,FALSE)</f>
        <v>other</v>
      </c>
      <c r="E2372" s="3" t="str">
        <f>VLOOKUP(C2372,layoffs_location!A:C,3,FALSE)</f>
        <v>non</v>
      </c>
      <c r="F2372" s="3" t="str">
        <f>VLOOKUP(C2372,layoffs_location!A:D,4,FALSE)</f>
        <v>Romania</v>
      </c>
      <c r="G2372" s="3" t="str">
        <f>VLOOKUP(C2372,layoffs_location!A:E,5,FALSE)</f>
        <v>Europe</v>
      </c>
      <c r="I2372" s="8">
        <v>45974</v>
      </c>
      <c r="J2372" s="9">
        <v>7</v>
      </c>
      <c r="K2372" s="10"/>
      <c r="L2372" s="10"/>
      <c r="M2372" s="3" t="s">
        <v>2185</v>
      </c>
      <c r="P2372" s="3">
        <v>2025</v>
      </c>
      <c r="Q2372" s="3">
        <f>VLOOKUP(C2372,layoffs_location!A:F,6,FALSE)</f>
        <v>44.439177569552299</v>
      </c>
      <c r="R2372" s="3">
        <f>VLOOKUP(C2372,layoffs_location!A:G,7,FALSE)</f>
        <v>26.078148619476099</v>
      </c>
    </row>
    <row r="2373" spans="1:18" x14ac:dyDescent="0.2">
      <c r="A2373" s="3">
        <v>2372</v>
      </c>
      <c r="B2373" s="3" t="s">
        <v>2177</v>
      </c>
      <c r="C2373" s="3" t="s">
        <v>1713</v>
      </c>
      <c r="D2373" s="3" t="str">
        <f>VLOOKUP(C2373,layoffs_location!A:B,2,FALSE)</f>
        <v>San Francisco Bay Area</v>
      </c>
      <c r="E2373" s="3" t="str">
        <f>VLOOKUP(C2373,layoffs_location!A:C,3,FALSE)</f>
        <v>California</v>
      </c>
      <c r="F2373" s="3" t="str">
        <f>VLOOKUP(C2373,layoffs_location!A:D,4,FALSE)</f>
        <v>USA</v>
      </c>
      <c r="G2373" s="3" t="str">
        <f>VLOOKUP(C2373,layoffs_location!A:E,5,FALSE)</f>
        <v>North America</v>
      </c>
      <c r="H2373" s="3">
        <v>30</v>
      </c>
      <c r="I2373" s="8">
        <v>45975</v>
      </c>
      <c r="J2373" s="9"/>
      <c r="K2373" s="10"/>
      <c r="L2373" s="10"/>
      <c r="M2373" s="3" t="s">
        <v>2178</v>
      </c>
      <c r="P2373" s="3">
        <v>2025</v>
      </c>
      <c r="Q2373" s="3">
        <f>VLOOKUP(C2373,layoffs_location!A:F,6,FALSE)</f>
        <v>37.496904000000001</v>
      </c>
      <c r="R2373" s="3">
        <f>VLOOKUP(C2373,layoffs_location!A:G,7,FALSE)</f>
        <v>-122.33305729999999</v>
      </c>
    </row>
    <row r="2374" spans="1:18" x14ac:dyDescent="0.2">
      <c r="A2374" s="3">
        <v>2373</v>
      </c>
      <c r="B2374" s="3" t="s">
        <v>1553</v>
      </c>
      <c r="C2374" s="3" t="s">
        <v>47</v>
      </c>
      <c r="D2374" s="3" t="str">
        <f>VLOOKUP(C2374,layoffs_location!A:B,2,FALSE)</f>
        <v>other</v>
      </c>
      <c r="E2374" s="3" t="str">
        <f>VLOOKUP(C2374,layoffs_location!A:C,3,FALSE)</f>
        <v>non</v>
      </c>
      <c r="F2374" s="3" t="str">
        <f>VLOOKUP(C2374,layoffs_location!A:D,4,FALSE)</f>
        <v>Israel</v>
      </c>
      <c r="G2374" s="3" t="str">
        <f>VLOOKUP(C2374,layoffs_location!A:E,5,FALSE)</f>
        <v>Asia</v>
      </c>
      <c r="H2374" s="3">
        <v>40</v>
      </c>
      <c r="I2374" s="8">
        <v>45977</v>
      </c>
      <c r="J2374" s="9"/>
      <c r="K2374" s="10"/>
      <c r="L2374" s="10"/>
      <c r="M2374" s="3" t="s">
        <v>1478</v>
      </c>
      <c r="P2374" s="3">
        <v>2025</v>
      </c>
      <c r="Q2374" s="3">
        <f>VLOOKUP(C2374,layoffs_location!A:F,6,FALSE)</f>
        <v>32.0852997</v>
      </c>
      <c r="R2374" s="3">
        <f>VLOOKUP(C2374,layoffs_location!A:G,7,FALSE)</f>
        <v>34.781806400000001</v>
      </c>
    </row>
    <row r="2375" spans="1:18" x14ac:dyDescent="0.2">
      <c r="A2375" s="3">
        <v>2374</v>
      </c>
      <c r="B2375" s="3" t="s">
        <v>1621</v>
      </c>
      <c r="C2375" s="3" t="s">
        <v>2174</v>
      </c>
      <c r="D2375" s="3" t="str">
        <f>VLOOKUP(C2375,layoffs_location!A:B,2,FALSE)</f>
        <v>other</v>
      </c>
      <c r="E2375" s="3" t="str">
        <f>VLOOKUP(C2375,layoffs_location!A:C,3,FALSE)</f>
        <v>non</v>
      </c>
      <c r="F2375" s="3" t="str">
        <f>VLOOKUP(C2375,layoffs_location!A:D,4,FALSE)</f>
        <v>Israel</v>
      </c>
      <c r="G2375" s="3" t="str">
        <f>VLOOKUP(C2375,layoffs_location!A:E,5,FALSE)</f>
        <v>Asia</v>
      </c>
      <c r="H2375" s="3">
        <v>800</v>
      </c>
      <c r="I2375" s="8">
        <v>45978</v>
      </c>
      <c r="J2375" s="9">
        <v>20</v>
      </c>
      <c r="K2375" s="28">
        <f>SUM((Table13[[#This Row],[Laid_Off]]*100)/Table13[[#This Row],[Percentage]])</f>
        <v>4000</v>
      </c>
      <c r="L2375" s="28">
        <f>SUM(Table13[[#This Row],[Company_Size_before_Layoffs]]-Table13[[#This Row],[Laid_Off]])</f>
        <v>3200</v>
      </c>
      <c r="M2375" s="3" t="s">
        <v>2138</v>
      </c>
      <c r="P2375" s="3">
        <v>2025</v>
      </c>
      <c r="Q2375" s="3">
        <f>VLOOKUP(C2375,layoffs_location!A:F,6,FALSE)</f>
        <v>32.175277271939102</v>
      </c>
      <c r="R2375" s="3">
        <f>VLOOKUP(C2375,layoffs_location!A:G,7,FALSE)</f>
        <v>34.829547799125997</v>
      </c>
    </row>
    <row r="2376" spans="1:18" x14ac:dyDescent="0.2">
      <c r="A2376" s="3">
        <v>2375</v>
      </c>
      <c r="B2376" s="3" t="s">
        <v>2175</v>
      </c>
      <c r="C2376" s="3" t="s">
        <v>39</v>
      </c>
      <c r="D2376" s="3" t="str">
        <f>VLOOKUP(C2376,layoffs_location!A:B,2,FALSE)</f>
        <v>New York</v>
      </c>
      <c r="E2376" s="3" t="str">
        <f>VLOOKUP(C2376,layoffs_location!A:C,3,FALSE)</f>
        <v>New York</v>
      </c>
      <c r="F2376" s="3" t="str">
        <f>VLOOKUP(C2376,layoffs_location!A:D,4,FALSE)</f>
        <v>USA</v>
      </c>
      <c r="G2376" s="3" t="str">
        <f>VLOOKUP(C2376,layoffs_location!A:E,5,FALSE)</f>
        <v>North America</v>
      </c>
      <c r="H2376" s="3">
        <v>280</v>
      </c>
      <c r="I2376" s="8">
        <v>45978</v>
      </c>
      <c r="J2376" s="9"/>
      <c r="K2376" s="20"/>
      <c r="L2376" s="10"/>
      <c r="M2376" s="3" t="s">
        <v>2176</v>
      </c>
      <c r="P2376" s="3">
        <v>2025</v>
      </c>
      <c r="Q2376" s="3">
        <f>VLOOKUP(C2376,layoffs_location!A:F,6,FALSE)</f>
        <v>40.7127281</v>
      </c>
      <c r="R2376" s="3">
        <f>VLOOKUP(C2376,layoffs_location!A:G,7,FALSE)</f>
        <v>-74.006015199999993</v>
      </c>
    </row>
    <row r="2377" spans="1:18" x14ac:dyDescent="0.2">
      <c r="A2377" s="3">
        <v>2376</v>
      </c>
      <c r="B2377" s="3" t="s">
        <v>674</v>
      </c>
      <c r="C2377" s="3" t="s">
        <v>1694</v>
      </c>
      <c r="D2377" s="3" t="str">
        <f>VLOOKUP(C2377,layoffs_location!A:B,2,FALSE)</f>
        <v>San Francisco Bay Area</v>
      </c>
      <c r="E2377" s="3" t="str">
        <f>VLOOKUP(C2377,layoffs_location!A:C,3,FALSE)</f>
        <v>California</v>
      </c>
      <c r="F2377" s="3" t="str">
        <f>VLOOKUP(C2377,layoffs_location!A:D,4,FALSE)</f>
        <v>USA</v>
      </c>
      <c r="G2377" s="3" t="str">
        <f>VLOOKUP(C2377,layoffs_location!A:E,5,FALSE)</f>
        <v>North America</v>
      </c>
      <c r="I2377" s="8">
        <v>45979</v>
      </c>
      <c r="J2377" s="9"/>
      <c r="K2377" s="10"/>
      <c r="L2377" s="10"/>
      <c r="M2377" s="3" t="s">
        <v>1400</v>
      </c>
      <c r="P2377" s="3">
        <v>2025</v>
      </c>
      <c r="Q2377" s="3">
        <f>VLOOKUP(C2377,layoffs_location!A:F,6,FALSE)</f>
        <v>37.336166300000002</v>
      </c>
      <c r="R2377" s="3">
        <f>VLOOKUP(C2377,layoffs_location!A:G,7,FALSE)</f>
        <v>-121.890591</v>
      </c>
    </row>
    <row r="2378" spans="1:18" x14ac:dyDescent="0.2">
      <c r="A2378" s="3">
        <v>2377</v>
      </c>
      <c r="B2378" s="3" t="s">
        <v>2170</v>
      </c>
      <c r="C2378" s="3" t="s">
        <v>1694</v>
      </c>
      <c r="D2378" s="3" t="str">
        <f>VLOOKUP(C2378,layoffs_location!A:B,2,FALSE)</f>
        <v>San Francisco Bay Area</v>
      </c>
      <c r="E2378" s="3" t="str">
        <f>VLOOKUP(C2378,layoffs_location!A:C,3,FALSE)</f>
        <v>California</v>
      </c>
      <c r="F2378" s="3" t="str">
        <f>VLOOKUP(C2378,layoffs_location!A:D,4,FALSE)</f>
        <v>USA</v>
      </c>
      <c r="G2378" s="3" t="str">
        <f>VLOOKUP(C2378,layoffs_location!A:E,5,FALSE)</f>
        <v>North America</v>
      </c>
      <c r="H2378" s="3">
        <v>50</v>
      </c>
      <c r="I2378" s="8">
        <v>45979</v>
      </c>
      <c r="J2378" s="9"/>
      <c r="K2378" s="20"/>
      <c r="L2378" s="10"/>
      <c r="M2378" s="3" t="s">
        <v>1400</v>
      </c>
      <c r="P2378" s="3">
        <v>2025</v>
      </c>
      <c r="Q2378" s="3">
        <f>VLOOKUP(C2378,layoffs_location!A:F,6,FALSE)</f>
        <v>37.336166300000002</v>
      </c>
      <c r="R2378" s="3">
        <f>VLOOKUP(C2378,layoffs_location!A:G,7,FALSE)</f>
        <v>-121.890591</v>
      </c>
    </row>
    <row r="2379" spans="1:18" x14ac:dyDescent="0.2">
      <c r="A2379" s="3">
        <v>2378</v>
      </c>
      <c r="B2379" s="3" t="s">
        <v>2171</v>
      </c>
      <c r="C2379" s="3" t="s">
        <v>43</v>
      </c>
      <c r="D2379" s="3" t="str">
        <f>VLOOKUP(C2379,layoffs_location!A:B,2,FALSE)</f>
        <v>Cascadia</v>
      </c>
      <c r="E2379" s="3" t="str">
        <f>VLOOKUP(C2379,layoffs_location!A:C,3,FALSE)</f>
        <v>Washington</v>
      </c>
      <c r="F2379" s="3" t="str">
        <f>VLOOKUP(C2379,layoffs_location!A:D,4,FALSE)</f>
        <v>USA</v>
      </c>
      <c r="G2379" s="3" t="str">
        <f>VLOOKUP(C2379,layoffs_location!A:E,5,FALSE)</f>
        <v>North America</v>
      </c>
      <c r="I2379" s="8">
        <v>45979</v>
      </c>
      <c r="J2379" s="9"/>
      <c r="K2379" s="10"/>
      <c r="L2379" s="10"/>
      <c r="M2379" s="3" t="s">
        <v>2172</v>
      </c>
      <c r="P2379" s="3">
        <v>2025</v>
      </c>
      <c r="Q2379" s="3">
        <f>VLOOKUP(C2379,layoffs_location!A:F,6,FALSE)</f>
        <v>47.603832099999998</v>
      </c>
      <c r="R2379" s="3">
        <f>VLOOKUP(C2379,layoffs_location!A:G,7,FALSE)</f>
        <v>-122.330062</v>
      </c>
    </row>
    <row r="2380" spans="1:18" x14ac:dyDescent="0.2">
      <c r="A2380" s="3">
        <v>2379</v>
      </c>
      <c r="B2380" s="3" t="s">
        <v>2173</v>
      </c>
      <c r="C2380" s="3" t="s">
        <v>1370</v>
      </c>
      <c r="D2380" s="3" t="str">
        <f>VLOOKUP(C2380,layoffs_location!A:B,2,FALSE)</f>
        <v>San Francisco Bay Area</v>
      </c>
      <c r="E2380" s="3" t="str">
        <f>VLOOKUP(C2380,layoffs_location!A:C,3,FALSE)</f>
        <v>California</v>
      </c>
      <c r="F2380" s="3" t="str">
        <f>VLOOKUP(C2380,layoffs_location!A:D,4,FALSE)</f>
        <v>USA</v>
      </c>
      <c r="G2380" s="3" t="str">
        <f>VLOOKUP(C2380,layoffs_location!A:E,5,FALSE)</f>
        <v>North America</v>
      </c>
      <c r="H2380" s="3">
        <v>200</v>
      </c>
      <c r="I2380" s="8">
        <v>45979</v>
      </c>
      <c r="J2380" s="9">
        <v>50</v>
      </c>
      <c r="K2380" s="28">
        <f>SUM((Table13[[#This Row],[Laid_Off]]*100)/Table13[[#This Row],[Percentage]])</f>
        <v>400</v>
      </c>
      <c r="L2380" s="28">
        <f>SUM(Table13[[#This Row],[Company_Size_before_Layoffs]]-Table13[[#This Row],[Laid_Off]])</f>
        <v>200</v>
      </c>
      <c r="M2380" s="3" t="s">
        <v>35</v>
      </c>
      <c r="P2380" s="3">
        <v>2025</v>
      </c>
      <c r="Q2380" s="3">
        <f>VLOOKUP(C2380,layoffs_location!A:F,6,FALSE)</f>
        <v>37.779258800000001</v>
      </c>
      <c r="R2380" s="3">
        <f>VLOOKUP(C2380,layoffs_location!A:G,7,FALSE)</f>
        <v>-122.4193286</v>
      </c>
    </row>
    <row r="2381" spans="1:18" x14ac:dyDescent="0.2">
      <c r="A2381" s="3">
        <v>2380</v>
      </c>
      <c r="B2381" s="3" t="s">
        <v>714</v>
      </c>
      <c r="C2381" s="3" t="s">
        <v>715</v>
      </c>
      <c r="D2381" s="3" t="str">
        <f>VLOOKUP(C2381,layoffs_location!A:B,2,FALSE)</f>
        <v>other</v>
      </c>
      <c r="E2381" s="3" t="str">
        <f>VLOOKUP(C2381,layoffs_location!A:C,3,FALSE)</f>
        <v>non</v>
      </c>
      <c r="F2381" s="3" t="str">
        <f>VLOOKUP(C2381,layoffs_location!A:D,4,FALSE)</f>
        <v>Denmark</v>
      </c>
      <c r="G2381" s="3" t="str">
        <f>VLOOKUP(C2381,layoffs_location!A:E,5,FALSE)</f>
        <v>Europe</v>
      </c>
      <c r="H2381" s="3">
        <v>100</v>
      </c>
      <c r="I2381" s="8">
        <v>45980</v>
      </c>
      <c r="J2381" s="9"/>
      <c r="K2381" s="10"/>
      <c r="L2381" s="10"/>
      <c r="M2381" s="3" t="s">
        <v>2169</v>
      </c>
      <c r="P2381" s="3">
        <v>2025</v>
      </c>
      <c r="Q2381" s="3">
        <f>VLOOKUP(C2381,layoffs_location!A:F,6,FALSE)</f>
        <v>55.686724300000002</v>
      </c>
      <c r="R2381" s="3">
        <f>VLOOKUP(C2381,layoffs_location!A:G,7,FALSE)</f>
        <v>12.570072400000001</v>
      </c>
    </row>
    <row r="2382" spans="1:18" x14ac:dyDescent="0.2">
      <c r="A2382" s="3">
        <v>2381</v>
      </c>
      <c r="B2382" s="3" t="s">
        <v>2166</v>
      </c>
      <c r="C2382" s="3" t="s">
        <v>179</v>
      </c>
      <c r="D2382" s="3" t="str">
        <f>VLOOKUP(C2382,layoffs_location!A:B,2,FALSE)</f>
        <v>other</v>
      </c>
      <c r="E2382" s="3" t="str">
        <f>VLOOKUP(C2382,layoffs_location!A:C,3,FALSE)</f>
        <v>Ontario</v>
      </c>
      <c r="F2382" s="3" t="str">
        <f>VLOOKUP(C2382,layoffs_location!A:D,4,FALSE)</f>
        <v>Canada</v>
      </c>
      <c r="G2382" s="3" t="str">
        <f>VLOOKUP(C2382,layoffs_location!A:E,5,FALSE)</f>
        <v>North America</v>
      </c>
      <c r="I2382" s="8">
        <v>45982</v>
      </c>
      <c r="J2382" s="9"/>
      <c r="K2382" s="10"/>
      <c r="L2382" s="10"/>
      <c r="M2382" s="3" t="s">
        <v>2167</v>
      </c>
      <c r="P2382" s="3">
        <v>2025</v>
      </c>
      <c r="Q2382" s="3">
        <f>VLOOKUP(C2382,layoffs_location!A:F,6,FALSE)</f>
        <v>43.6534817</v>
      </c>
      <c r="R2382" s="3">
        <f>VLOOKUP(C2382,layoffs_location!A:G,7,FALSE)</f>
        <v>-79.383934699999998</v>
      </c>
    </row>
    <row r="2383" spans="1:18" x14ac:dyDescent="0.2">
      <c r="A2383" s="3">
        <v>2382</v>
      </c>
      <c r="B2383" s="3" t="s">
        <v>1233</v>
      </c>
      <c r="C2383" s="3" t="s">
        <v>71</v>
      </c>
      <c r="D2383" s="3" t="str">
        <f>VLOOKUP(C2383,layoffs_location!A:B,2,FALSE)</f>
        <v>other</v>
      </c>
      <c r="E2383" s="3" t="str">
        <f>VLOOKUP(C2383,layoffs_location!A:C,3,FALSE)</f>
        <v>Massachusetts</v>
      </c>
      <c r="F2383" s="3" t="str">
        <f>VLOOKUP(C2383,layoffs_location!A:D,4,FALSE)</f>
        <v>USA</v>
      </c>
      <c r="G2383" s="3" t="str">
        <f>VLOOKUP(C2383,layoffs_location!A:E,5,FALSE)</f>
        <v>North America</v>
      </c>
      <c r="H2383" s="3">
        <v>40</v>
      </c>
      <c r="I2383" s="8">
        <v>45982</v>
      </c>
      <c r="J2383" s="9"/>
      <c r="K2383" s="10"/>
      <c r="L2383" s="10"/>
      <c r="M2383" s="3" t="s">
        <v>2168</v>
      </c>
      <c r="P2383" s="3">
        <v>2025</v>
      </c>
      <c r="Q2383" s="3">
        <f>VLOOKUP(C2383,layoffs_location!A:F,6,FALSE)</f>
        <v>42.355433400000003</v>
      </c>
      <c r="R2383" s="3">
        <f>VLOOKUP(C2383,layoffs_location!A:G,7,FALSE)</f>
        <v>-71.060511000000005</v>
      </c>
    </row>
    <row r="2384" spans="1:18" x14ac:dyDescent="0.2">
      <c r="A2384" s="3">
        <v>2383</v>
      </c>
      <c r="B2384" s="3" t="s">
        <v>376</v>
      </c>
      <c r="C2384" s="3" t="s">
        <v>43</v>
      </c>
      <c r="D2384" s="3" t="str">
        <f>VLOOKUP(C2384,layoffs_location!A:B,2,FALSE)</f>
        <v>Cascadia</v>
      </c>
      <c r="E2384" s="3" t="str">
        <f>VLOOKUP(C2384,layoffs_location!A:C,3,FALSE)</f>
        <v>Washington</v>
      </c>
      <c r="F2384" s="3" t="str">
        <f>VLOOKUP(C2384,layoffs_location!A:D,4,FALSE)</f>
        <v>USA</v>
      </c>
      <c r="G2384" s="3" t="str">
        <f>VLOOKUP(C2384,layoffs_location!A:E,5,FALSE)</f>
        <v>North America</v>
      </c>
      <c r="H2384" s="3">
        <v>14000</v>
      </c>
      <c r="I2384" s="8">
        <v>45983</v>
      </c>
      <c r="J2384" s="9"/>
      <c r="K2384" s="10"/>
      <c r="L2384" s="10"/>
      <c r="M2384" s="3" t="s">
        <v>1400</v>
      </c>
      <c r="P2384" s="3">
        <v>2025</v>
      </c>
      <c r="Q2384" s="3">
        <f>VLOOKUP(C2384,layoffs_location!A:F,6,FALSE)</f>
        <v>47.603832099999998</v>
      </c>
      <c r="R2384" s="3">
        <f>VLOOKUP(C2384,layoffs_location!A:G,7,FALSE)</f>
        <v>-122.330062</v>
      </c>
    </row>
    <row r="2385" spans="1:18" x14ac:dyDescent="0.2">
      <c r="A2385" s="3">
        <v>2384</v>
      </c>
      <c r="B2385" s="3" t="s">
        <v>1368</v>
      </c>
      <c r="C2385" s="3" t="s">
        <v>1708</v>
      </c>
      <c r="D2385" s="3" t="str">
        <f>VLOOKUP(C2385,layoffs_location!A:B,2,FALSE)</f>
        <v>San Francisco Bay Area</v>
      </c>
      <c r="E2385" s="3" t="str">
        <f>VLOOKUP(C2385,layoffs_location!A:C,3,FALSE)</f>
        <v>California</v>
      </c>
      <c r="F2385" s="3" t="str">
        <f>VLOOKUP(C2385,layoffs_location!A:D,4,FALSE)</f>
        <v>USA</v>
      </c>
      <c r="G2385" s="3" t="str">
        <f>VLOOKUP(C2385,layoffs_location!A:E,5,FALSE)</f>
        <v>North America</v>
      </c>
      <c r="I2385" s="8">
        <v>45986</v>
      </c>
      <c r="J2385" s="9"/>
      <c r="K2385" s="10"/>
      <c r="L2385" s="10"/>
      <c r="M2385" s="3" t="s">
        <v>2165</v>
      </c>
      <c r="P2385" s="3">
        <v>2025</v>
      </c>
      <c r="Q2385" s="3">
        <f>VLOOKUP(C2385,layoffs_location!A:F,6,FALSE)</f>
        <v>37.322893399999998</v>
      </c>
      <c r="R2385" s="3">
        <f>VLOOKUP(C2385,layoffs_location!A:G,7,FALSE)</f>
        <v>-122.0322895</v>
      </c>
    </row>
    <row r="2386" spans="1:18" x14ac:dyDescent="0.2">
      <c r="A2386" s="3">
        <v>2385</v>
      </c>
      <c r="B2386" s="3" t="s">
        <v>301</v>
      </c>
      <c r="C2386" s="3" t="s">
        <v>302</v>
      </c>
      <c r="D2386" s="3" t="str">
        <f>VLOOKUP(C2386,layoffs_location!A:B,2,FALSE)</f>
        <v>other</v>
      </c>
      <c r="E2386" s="3" t="str">
        <f>VLOOKUP(C2386,layoffs_location!A:C,3,FALSE)</f>
        <v>Ontario</v>
      </c>
      <c r="F2386" s="3" t="str">
        <f>VLOOKUP(C2386,layoffs_location!A:D,4,FALSE)</f>
        <v>Canada</v>
      </c>
      <c r="G2386" s="3" t="str">
        <f>VLOOKUP(C2386,layoffs_location!A:E,5,FALSE)</f>
        <v>North America</v>
      </c>
      <c r="I2386" s="8">
        <v>45986</v>
      </c>
      <c r="J2386" s="9"/>
      <c r="K2386" s="20"/>
      <c r="L2386" s="20"/>
      <c r="M2386" s="3" t="s">
        <v>2123</v>
      </c>
      <c r="P2386" s="3">
        <v>2025</v>
      </c>
      <c r="Q2386" s="3">
        <f>VLOOKUP(C2386,layoffs_location!A:F,6,FALSE)</f>
        <v>45.420877699999998</v>
      </c>
      <c r="R2386" s="3">
        <f>VLOOKUP(C2386,layoffs_location!A:G,7,FALSE)</f>
        <v>-75.690110599999997</v>
      </c>
    </row>
    <row r="2387" spans="1:18" x14ac:dyDescent="0.2">
      <c r="A2387" s="3">
        <v>2386</v>
      </c>
      <c r="B2387" s="3" t="s">
        <v>2045</v>
      </c>
      <c r="C2387" s="3" t="s">
        <v>1473</v>
      </c>
      <c r="D2387" s="3" t="str">
        <f>VLOOKUP(C2387,layoffs_location!A:B,2,FALSE)</f>
        <v>San Francisco Bay Area</v>
      </c>
      <c r="E2387" s="3" t="str">
        <f>VLOOKUP(C2387,layoffs_location!A:C,3,FALSE)</f>
        <v>California</v>
      </c>
      <c r="F2387" s="3" t="str">
        <f>VLOOKUP(C2387,layoffs_location!A:D,4,FALSE)</f>
        <v>USA</v>
      </c>
      <c r="G2387" s="3" t="str">
        <f>VLOOKUP(C2387,layoffs_location!A:E,5,FALSE)</f>
        <v>North America</v>
      </c>
      <c r="H2387" s="3">
        <v>6000</v>
      </c>
      <c r="I2387" s="8">
        <v>45987</v>
      </c>
      <c r="J2387" s="9"/>
      <c r="K2387" s="10"/>
      <c r="L2387" s="10"/>
      <c r="M2387" s="3" t="s">
        <v>2156</v>
      </c>
      <c r="P2387" s="3">
        <v>2025</v>
      </c>
      <c r="Q2387" s="3">
        <f>VLOOKUP(C2387,layoffs_location!A:F,6,FALSE)</f>
        <v>37.4443293</v>
      </c>
      <c r="R2387" s="3">
        <f>VLOOKUP(C2387,layoffs_location!A:G,7,FALSE)</f>
        <v>-122.1598465</v>
      </c>
    </row>
    <row r="2388" spans="1:18" x14ac:dyDescent="0.2">
      <c r="A2388" s="3">
        <v>2387</v>
      </c>
      <c r="B2388" s="3" t="s">
        <v>2162</v>
      </c>
      <c r="C2388" s="3" t="s">
        <v>669</v>
      </c>
      <c r="D2388" s="3" t="str">
        <f>VLOOKUP(C2388,layoffs_location!A:B,2,FALSE)</f>
        <v>other</v>
      </c>
      <c r="E2388" s="3" t="str">
        <f>VLOOKUP(C2388,layoffs_location!A:C,3,FALSE)</f>
        <v>non</v>
      </c>
      <c r="F2388" s="3" t="str">
        <f>VLOOKUP(C2388,layoffs_location!A:D,4,FALSE)</f>
        <v>Sweden</v>
      </c>
      <c r="G2388" s="3" t="str">
        <f>VLOOKUP(C2388,layoffs_location!A:E,5,FALSE)</f>
        <v>Europe</v>
      </c>
      <c r="H2388" s="3">
        <v>60</v>
      </c>
      <c r="I2388" s="8">
        <v>45987</v>
      </c>
      <c r="J2388" s="9"/>
      <c r="K2388" s="20"/>
      <c r="L2388" s="20"/>
      <c r="M2388" s="3" t="s">
        <v>2138</v>
      </c>
      <c r="P2388" s="3">
        <v>2025</v>
      </c>
      <c r="Q2388" s="3">
        <f>VLOOKUP(C2388,layoffs_location!A:F,6,FALSE)</f>
        <v>57.707232599999998</v>
      </c>
      <c r="R2388" s="3">
        <f>VLOOKUP(C2388,layoffs_location!A:G,7,FALSE)</f>
        <v>11.9670171</v>
      </c>
    </row>
    <row r="2389" spans="1:18" x14ac:dyDescent="0.2">
      <c r="A2389" s="3">
        <v>2388</v>
      </c>
      <c r="B2389" s="3" t="s">
        <v>2164</v>
      </c>
      <c r="C2389" s="3" t="s">
        <v>39</v>
      </c>
      <c r="D2389" s="3" t="str">
        <f>VLOOKUP(C2389,layoffs_location!A:B,2,FALSE)</f>
        <v>New York</v>
      </c>
      <c r="E2389" s="3" t="str">
        <f>VLOOKUP(C2389,layoffs_location!A:C,3,FALSE)</f>
        <v>New York</v>
      </c>
      <c r="F2389" s="3" t="str">
        <f>VLOOKUP(C2389,layoffs_location!A:D,4,FALSE)</f>
        <v>USA</v>
      </c>
      <c r="G2389" s="3" t="str">
        <f>VLOOKUP(C2389,layoffs_location!A:E,5,FALSE)</f>
        <v>North America</v>
      </c>
      <c r="H2389" s="3">
        <v>200</v>
      </c>
      <c r="I2389" s="8">
        <v>45987</v>
      </c>
      <c r="J2389" s="9"/>
      <c r="K2389" s="10"/>
      <c r="L2389" s="10"/>
      <c r="M2389" s="3" t="s">
        <v>1361</v>
      </c>
      <c r="P2389" s="3">
        <v>2025</v>
      </c>
      <c r="Q2389" s="3">
        <f>VLOOKUP(C2389,layoffs_location!A:F,6,FALSE)</f>
        <v>40.7127281</v>
      </c>
      <c r="R2389" s="3">
        <f>VLOOKUP(C2389,layoffs_location!A:G,7,FALSE)</f>
        <v>-74.006015199999993</v>
      </c>
    </row>
    <row r="2390" spans="1:18" x14ac:dyDescent="0.2">
      <c r="A2390" s="3">
        <v>2389</v>
      </c>
      <c r="B2390" s="3" t="s">
        <v>2158</v>
      </c>
      <c r="C2390" s="3" t="s">
        <v>1739</v>
      </c>
      <c r="D2390" s="3" t="str">
        <f>VLOOKUP(C2390,layoffs_location!A:B,2,FALSE)</f>
        <v>other</v>
      </c>
      <c r="E2390" s="3" t="str">
        <f>VLOOKUP(C2390,layoffs_location!A:C,3,FALSE)</f>
        <v>non</v>
      </c>
      <c r="F2390" s="3" t="str">
        <f>VLOOKUP(C2390,layoffs_location!A:D,4,FALSE)</f>
        <v>China</v>
      </c>
      <c r="G2390" s="3" t="str">
        <f>VLOOKUP(C2390,layoffs_location!A:E,5,FALSE)</f>
        <v>Asia</v>
      </c>
      <c r="I2390" s="8">
        <v>45989</v>
      </c>
      <c r="J2390" s="9">
        <v>100</v>
      </c>
      <c r="K2390" s="10"/>
      <c r="L2390" s="10">
        <v>0</v>
      </c>
      <c r="M2390" s="3" t="s">
        <v>2159</v>
      </c>
      <c r="P2390" s="3">
        <v>2025</v>
      </c>
      <c r="Q2390" s="3">
        <f>VLOOKUP(C2390,layoffs_location!A:F,6,FALSE)</f>
        <v>39.916668000000001</v>
      </c>
      <c r="R2390" s="3">
        <f>VLOOKUP(C2390,layoffs_location!A:G,7,FALSE)</f>
        <v>116.383331</v>
      </c>
    </row>
    <row r="2391" spans="1:18" x14ac:dyDescent="0.2">
      <c r="A2391" s="3">
        <v>2390</v>
      </c>
      <c r="B2391" s="3" t="s">
        <v>2160</v>
      </c>
      <c r="C2391" s="3" t="s">
        <v>217</v>
      </c>
      <c r="D2391" s="3" t="str">
        <f>VLOOKUP(C2391,layoffs_location!A:B,2,FALSE)</f>
        <v>other</v>
      </c>
      <c r="E2391" s="3" t="str">
        <f>VLOOKUP(C2391,layoffs_location!A:C,3,FALSE)</f>
        <v>non</v>
      </c>
      <c r="F2391" s="3" t="str">
        <f>VLOOKUP(C2391,layoffs_location!A:D,4,FALSE)</f>
        <v>Ireland</v>
      </c>
      <c r="G2391" s="3" t="str">
        <f>VLOOKUP(C2391,layoffs_location!A:E,5,FALSE)</f>
        <v>Europe</v>
      </c>
      <c r="H2391" s="3">
        <v>400</v>
      </c>
      <c r="I2391" s="8">
        <v>45989</v>
      </c>
      <c r="J2391" s="9"/>
      <c r="K2391" s="20"/>
      <c r="L2391" s="10"/>
      <c r="M2391" s="3" t="s">
        <v>2161</v>
      </c>
      <c r="P2391" s="3">
        <v>2025</v>
      </c>
      <c r="Q2391" s="3">
        <f>VLOOKUP(C2391,layoffs_location!A:F,6,FALSE)</f>
        <v>53.349379499999998</v>
      </c>
      <c r="R2391" s="3">
        <f>VLOOKUP(C2391,layoffs_location!A:G,7,FALSE)</f>
        <v>-6.2605592999999997</v>
      </c>
    </row>
    <row r="2392" spans="1:18" x14ac:dyDescent="0.2">
      <c r="A2392" s="3">
        <v>2391</v>
      </c>
      <c r="B2392" s="3" t="s">
        <v>2155</v>
      </c>
      <c r="C2392" s="3" t="s">
        <v>56</v>
      </c>
      <c r="D2392" s="3" t="str">
        <f>VLOOKUP(C2392,layoffs_location!A:B,2,FALSE)</f>
        <v>other</v>
      </c>
      <c r="E2392" s="3" t="str">
        <f>VLOOKUP(C2392,layoffs_location!A:C,3,FALSE)</f>
        <v>Maharashtra</v>
      </c>
      <c r="F2392" s="3" t="str">
        <f>VLOOKUP(C2392,layoffs_location!A:D,4,FALSE)</f>
        <v>India</v>
      </c>
      <c r="G2392" s="3" t="str">
        <f>VLOOKUP(C2392,layoffs_location!A:E,5,FALSE)</f>
        <v>Asia</v>
      </c>
      <c r="H2392" s="3">
        <v>365</v>
      </c>
      <c r="I2392" s="8">
        <v>45992</v>
      </c>
      <c r="J2392" s="9"/>
      <c r="K2392" s="20"/>
      <c r="L2392" s="20"/>
      <c r="M2392" s="3" t="s">
        <v>2156</v>
      </c>
      <c r="P2392" s="3">
        <v>2025</v>
      </c>
      <c r="Q2392" s="3">
        <f>VLOOKUP(C2392,layoffs_location!A:F,6,FALSE)</f>
        <v>19.078545099999999</v>
      </c>
      <c r="R2392" s="3">
        <f>VLOOKUP(C2392,layoffs_location!A:G,7,FALSE)</f>
        <v>72.878175999999996</v>
      </c>
    </row>
    <row r="2393" spans="1:18" x14ac:dyDescent="0.2">
      <c r="A2393" s="3">
        <v>2392</v>
      </c>
      <c r="B2393" s="3" t="s">
        <v>623</v>
      </c>
      <c r="C2393" s="3" t="s">
        <v>626</v>
      </c>
      <c r="D2393" s="3" t="str">
        <f>VLOOKUP(C2393,layoffs_location!A:B,2,FALSE)</f>
        <v>other</v>
      </c>
      <c r="E2393" s="3" t="str">
        <f>VLOOKUP(C2393,layoffs_location!A:C,3,FALSE)</f>
        <v>Vermont</v>
      </c>
      <c r="F2393" s="3" t="str">
        <f>VLOOKUP(C2393,layoffs_location!A:D,4,FALSE)</f>
        <v>USA</v>
      </c>
      <c r="G2393" s="3" t="str">
        <f>VLOOKUP(C2393,layoffs_location!A:E,5,FALSE)</f>
        <v>North America</v>
      </c>
      <c r="I2393" s="8">
        <v>45992</v>
      </c>
      <c r="J2393" s="9"/>
      <c r="K2393" s="10"/>
      <c r="L2393" s="10"/>
      <c r="M2393" s="3" t="s">
        <v>2157</v>
      </c>
      <c r="P2393" s="3">
        <v>2025</v>
      </c>
      <c r="Q2393" s="3">
        <f>VLOOKUP(C2393,layoffs_location!A:F,6,FALSE)</f>
        <v>44.476160100000001</v>
      </c>
      <c r="R2393" s="3">
        <f>VLOOKUP(C2393,layoffs_location!A:G,7,FALSE)</f>
        <v>-73.212906000000004</v>
      </c>
    </row>
    <row r="2394" spans="1:18" x14ac:dyDescent="0.2">
      <c r="A2394" s="3">
        <v>2393</v>
      </c>
      <c r="B2394" s="3" t="s">
        <v>2148</v>
      </c>
      <c r="C2394" s="3" t="s">
        <v>2149</v>
      </c>
      <c r="D2394" s="3" t="str">
        <f>VLOOKUP(C2394,layoffs_location!A:B,2,FALSE)</f>
        <v>other</v>
      </c>
      <c r="E2394" s="3" t="str">
        <f>VLOOKUP(C2394,layoffs_location!A:C,3,FALSE)</f>
        <v>England</v>
      </c>
      <c r="F2394" s="3" t="str">
        <f>VLOOKUP(C2394,layoffs_location!A:D,4,FALSE)</f>
        <v>UK</v>
      </c>
      <c r="G2394" s="3" t="str">
        <f>VLOOKUP(C2394,layoffs_location!A:E,5,FALSE)</f>
        <v>Europe</v>
      </c>
      <c r="H2394" s="3">
        <v>27</v>
      </c>
      <c r="I2394" s="8">
        <v>45993</v>
      </c>
      <c r="J2394" s="9"/>
      <c r="K2394" s="10"/>
      <c r="L2394" s="10"/>
      <c r="M2394" s="3" t="s">
        <v>2150</v>
      </c>
      <c r="P2394" s="3">
        <v>2025</v>
      </c>
      <c r="Q2394" s="3">
        <f>VLOOKUP(C2394,layoffs_location!A:F,6,FALSE)</f>
        <v>51.7160867101462</v>
      </c>
      <c r="R2394" s="3">
        <f>VLOOKUP(C2394,layoffs_location!A:G,7,FALSE)</f>
        <v>-0.28567613987442197</v>
      </c>
    </row>
    <row r="2395" spans="1:18" x14ac:dyDescent="0.2">
      <c r="A2395" s="3">
        <v>2394</v>
      </c>
      <c r="B2395" s="3" t="s">
        <v>2151</v>
      </c>
      <c r="C2395" s="3" t="s">
        <v>2152</v>
      </c>
      <c r="D2395" s="3" t="str">
        <f>VLOOKUP(C2395,layoffs_location!A:B,2,FALSE)</f>
        <v>Osaka</v>
      </c>
      <c r="E2395" s="3" t="str">
        <f>VLOOKUP(C2395,layoffs_location!A:C,3,FALSE)</f>
        <v>Osaka</v>
      </c>
      <c r="F2395" s="3" t="str">
        <f>VLOOKUP(C2395,layoffs_location!A:D,4,FALSE)</f>
        <v>Japan</v>
      </c>
      <c r="G2395" s="3" t="str">
        <f>VLOOKUP(C2395,layoffs_location!A:E,5,FALSE)</f>
        <v>Asia</v>
      </c>
      <c r="H2395" s="3">
        <v>70</v>
      </c>
      <c r="I2395" s="8">
        <v>45993</v>
      </c>
      <c r="J2395" s="9"/>
      <c r="K2395" s="10"/>
      <c r="L2395" s="10"/>
      <c r="M2395" s="3" t="s">
        <v>2153</v>
      </c>
      <c r="P2395" s="3">
        <v>2025</v>
      </c>
      <c r="Q2395" s="3">
        <f>VLOOKUP(C2395,layoffs_location!A:F,6,FALSE)</f>
        <v>34.7375356622765</v>
      </c>
      <c r="R2395" s="3">
        <f>VLOOKUP(C2395,layoffs_location!A:G,7,FALSE)</f>
        <v>135.59754620382699</v>
      </c>
    </row>
    <row r="2396" spans="1:18" x14ac:dyDescent="0.2">
      <c r="A2396" s="3">
        <v>2395</v>
      </c>
      <c r="B2396" s="3" t="s">
        <v>2154</v>
      </c>
      <c r="C2396" s="3" t="s">
        <v>115</v>
      </c>
      <c r="D2396" s="3" t="str">
        <f>VLOOKUP(C2396,layoffs_location!A:B,2,FALSE)</f>
        <v>other</v>
      </c>
      <c r="E2396" s="3" t="str">
        <f>VLOOKUP(C2396,layoffs_location!A:C,3,FALSE)</f>
        <v>Quebec</v>
      </c>
      <c r="F2396" s="3" t="str">
        <f>VLOOKUP(C2396,layoffs_location!A:D,4,FALSE)</f>
        <v>Canada</v>
      </c>
      <c r="G2396" s="3" t="str">
        <f>VLOOKUP(C2396,layoffs_location!A:E,5,FALSE)</f>
        <v>North America</v>
      </c>
      <c r="I2396" s="8">
        <v>45993</v>
      </c>
      <c r="J2396" s="9"/>
      <c r="K2396" s="10"/>
      <c r="L2396" s="10"/>
      <c r="M2396" s="3" t="s">
        <v>1460</v>
      </c>
      <c r="P2396" s="3">
        <v>2025</v>
      </c>
      <c r="Q2396" s="3">
        <f>VLOOKUP(C2396,layoffs_location!A:F,6,FALSE)</f>
        <v>45.5031824</v>
      </c>
      <c r="R2396" s="3">
        <f>VLOOKUP(C2396,layoffs_location!A:G,7,FALSE)</f>
        <v>-73.569806499999999</v>
      </c>
    </row>
    <row r="2397" spans="1:18" x14ac:dyDescent="0.2">
      <c r="A2397" s="3">
        <v>2396</v>
      </c>
      <c r="B2397" s="3" t="s">
        <v>2145</v>
      </c>
      <c r="C2397" s="3" t="s">
        <v>2318</v>
      </c>
      <c r="D2397" s="3" t="str">
        <f>VLOOKUP(C2397,layoffs_location!A:B,2,FALSE)</f>
        <v>other</v>
      </c>
      <c r="E2397" s="3" t="str">
        <f>VLOOKUP(C2397,layoffs_location!A:C,3,FALSE)</f>
        <v>non</v>
      </c>
      <c r="F2397" s="3" t="str">
        <f>VLOOKUP(C2397,layoffs_location!A:D,4,FALSE)</f>
        <v>Israel</v>
      </c>
      <c r="G2397" s="3" t="str">
        <f>VLOOKUP(C2397,layoffs_location!A:E,5,FALSE)</f>
        <v>Europe</v>
      </c>
      <c r="H2397" s="3">
        <v>20</v>
      </c>
      <c r="I2397" s="8">
        <v>45994</v>
      </c>
      <c r="J2397" s="9"/>
      <c r="K2397" s="10"/>
      <c r="L2397" s="10"/>
      <c r="M2397" s="3" t="s">
        <v>2146</v>
      </c>
      <c r="P2397" s="3">
        <v>2025</v>
      </c>
      <c r="Q2397" s="3">
        <f>VLOOKUP(C2397,layoffs_location!A:F,6,FALSE)</f>
        <v>32.087292851720399</v>
      </c>
      <c r="R2397" s="3">
        <f>VLOOKUP(C2397,layoffs_location!A:G,7,FALSE)</f>
        <v>34.869503719105701</v>
      </c>
    </row>
    <row r="2398" spans="1:18" x14ac:dyDescent="0.2">
      <c r="A2398" s="3">
        <v>2397</v>
      </c>
      <c r="B2398" s="3" t="s">
        <v>2147</v>
      </c>
      <c r="C2398" s="3" t="s">
        <v>43</v>
      </c>
      <c r="D2398" s="3" t="str">
        <f>VLOOKUP(C2398,layoffs_location!A:B,2,FALSE)</f>
        <v>Cascadia</v>
      </c>
      <c r="E2398" s="3" t="str">
        <f>VLOOKUP(C2398,layoffs_location!A:C,3,FALSE)</f>
        <v>Washington</v>
      </c>
      <c r="F2398" s="3" t="str">
        <f>VLOOKUP(C2398,layoffs_location!A:D,4,FALSE)</f>
        <v>USA</v>
      </c>
      <c r="G2398" s="3" t="str">
        <f>VLOOKUP(C2398,layoffs_location!A:E,5,FALSE)</f>
        <v>North America</v>
      </c>
      <c r="I2398" s="8">
        <v>45994</v>
      </c>
      <c r="J2398" s="9"/>
      <c r="K2398" s="20"/>
      <c r="L2398" s="20"/>
      <c r="M2398" s="3" t="s">
        <v>27</v>
      </c>
      <c r="P2398" s="3">
        <v>2025</v>
      </c>
      <c r="Q2398" s="3">
        <f>VLOOKUP(C2398,layoffs_location!A:F,6,FALSE)</f>
        <v>47.603832099999998</v>
      </c>
      <c r="R2398" s="3">
        <f>VLOOKUP(C2398,layoffs_location!A:G,7,FALSE)</f>
        <v>-122.330062</v>
      </c>
    </row>
    <row r="2399" spans="1:18" x14ac:dyDescent="0.2">
      <c r="A2399" s="3">
        <v>2398</v>
      </c>
      <c r="B2399" s="3" t="s">
        <v>2142</v>
      </c>
      <c r="C2399" s="3" t="s">
        <v>743</v>
      </c>
      <c r="D2399" s="3" t="str">
        <f>VLOOKUP(C2399,layoffs_location!A:B,2,FALSE)</f>
        <v>other</v>
      </c>
      <c r="E2399" s="3" t="str">
        <f>VLOOKUP(C2399,layoffs_location!A:C,3,FALSE)</f>
        <v>non</v>
      </c>
      <c r="F2399" s="3" t="str">
        <f>VLOOKUP(C2399,layoffs_location!A:D,4,FALSE)</f>
        <v>Israel</v>
      </c>
      <c r="G2399" s="3" t="str">
        <f>VLOOKUP(C2399,layoffs_location!A:E,5,FALSE)</f>
        <v>Asia</v>
      </c>
      <c r="H2399" s="3">
        <v>200</v>
      </c>
      <c r="I2399" s="8">
        <v>45999</v>
      </c>
      <c r="J2399" s="9">
        <v>4</v>
      </c>
      <c r="K2399" s="28">
        <f>SUM((Table13[[#This Row],[Laid_Off]]*100)/Table13[[#This Row],[Percentage]])</f>
        <v>5000</v>
      </c>
      <c r="L2399" s="28">
        <f>SUM(Table13[[#This Row],[Company_Size_before_Layoffs]]-Table13[[#This Row],[Laid_Off]])</f>
        <v>4800</v>
      </c>
      <c r="M2399" s="3" t="s">
        <v>2143</v>
      </c>
      <c r="P2399" s="3">
        <v>2025</v>
      </c>
      <c r="Q2399" s="3">
        <f>VLOOKUP(C2399,layoffs_location!A:F,6,FALSE)</f>
        <v>31.788471850000001</v>
      </c>
      <c r="R2399" s="3">
        <f>VLOOKUP(C2399,layoffs_location!A:G,7,FALSE)</f>
        <v>35.218794410944902</v>
      </c>
    </row>
    <row r="2400" spans="1:18" x14ac:dyDescent="0.2">
      <c r="A2400" s="3">
        <v>2399</v>
      </c>
      <c r="B2400" s="3" t="s">
        <v>2144</v>
      </c>
      <c r="C2400" s="3" t="s">
        <v>39</v>
      </c>
      <c r="D2400" s="3" t="str">
        <f>VLOOKUP(C2400,layoffs_location!A:B,2,FALSE)</f>
        <v>New York</v>
      </c>
      <c r="E2400" s="3" t="str">
        <f>VLOOKUP(C2400,layoffs_location!A:C,3,FALSE)</f>
        <v>New York</v>
      </c>
      <c r="F2400" s="3" t="str">
        <f>VLOOKUP(C2400,layoffs_location!A:D,4,FALSE)</f>
        <v>USA</v>
      </c>
      <c r="G2400" s="3" t="str">
        <f>VLOOKUP(C2400,layoffs_location!A:E,5,FALSE)</f>
        <v>North America</v>
      </c>
      <c r="H2400" s="3">
        <v>60</v>
      </c>
      <c r="I2400" s="8">
        <v>45999</v>
      </c>
      <c r="J2400" s="9">
        <v>6</v>
      </c>
      <c r="K2400" s="28">
        <f>SUM((Table13[[#This Row],[Laid_Off]]*100)/Table13[[#This Row],[Percentage]])</f>
        <v>1000</v>
      </c>
      <c r="L2400" s="28">
        <f>SUM(Table13[[#This Row],[Company_Size_before_Layoffs]]-Table13[[#This Row],[Laid_Off]])</f>
        <v>940</v>
      </c>
      <c r="M2400" s="3" t="s">
        <v>35</v>
      </c>
      <c r="P2400" s="3">
        <v>2025</v>
      </c>
      <c r="Q2400" s="3">
        <f>VLOOKUP(C2400,layoffs_location!A:F,6,FALSE)</f>
        <v>40.7127281</v>
      </c>
      <c r="R2400" s="3">
        <f>VLOOKUP(C2400,layoffs_location!A:G,7,FALSE)</f>
        <v>-74.006015199999993</v>
      </c>
    </row>
    <row r="2401" spans="1:20" x14ac:dyDescent="0.2">
      <c r="A2401" s="3">
        <v>2400</v>
      </c>
      <c r="B2401" s="3" t="s">
        <v>2136</v>
      </c>
      <c r="C2401" s="3" t="s">
        <v>2137</v>
      </c>
      <c r="D2401" s="3" t="str">
        <f>VLOOKUP(C2401,layoffs_location!A:B,2,FALSE)</f>
        <v>other</v>
      </c>
      <c r="E2401" s="3" t="str">
        <f>VLOOKUP(C2401,layoffs_location!A:C,3,FALSE)</f>
        <v>England</v>
      </c>
      <c r="F2401" s="3" t="str">
        <f>VLOOKUP(C2401,layoffs_location!A:D,4,FALSE)</f>
        <v>UK</v>
      </c>
      <c r="G2401" s="3" t="str">
        <f>VLOOKUP(C2401,layoffs_location!A:E,5,FALSE)</f>
        <v>Europe</v>
      </c>
      <c r="I2401" s="8">
        <v>46000</v>
      </c>
      <c r="J2401" s="9"/>
      <c r="K2401" s="20"/>
      <c r="L2401" s="20"/>
      <c r="M2401" s="3" t="s">
        <v>2138</v>
      </c>
      <c r="P2401" s="3">
        <v>2025</v>
      </c>
      <c r="Q2401" s="3">
        <f>VLOOKUP(C2401,layoffs_location!A:F,6,FALSE)</f>
        <v>51.235467771035196</v>
      </c>
      <c r="R2401" s="3">
        <f>VLOOKUP(C2401,layoffs_location!A:G,7,FALSE)</f>
        <v>-0.56847236065713302</v>
      </c>
    </row>
    <row r="2402" spans="1:20" x14ac:dyDescent="0.2">
      <c r="A2402" s="3">
        <v>2401</v>
      </c>
      <c r="B2402" s="3" t="s">
        <v>1578</v>
      </c>
      <c r="C2402" s="3" t="s">
        <v>1415</v>
      </c>
      <c r="D2402" s="3" t="str">
        <f>VLOOKUP(C2402,layoffs_location!A:B,2,FALSE)</f>
        <v>San Francisco Bay Area</v>
      </c>
      <c r="E2402" s="3" t="str">
        <f>VLOOKUP(C2402,layoffs_location!A:C,3,FALSE)</f>
        <v>California</v>
      </c>
      <c r="F2402" s="3" t="str">
        <f>VLOOKUP(C2402,layoffs_location!A:D,4,FALSE)</f>
        <v>USA</v>
      </c>
      <c r="G2402" s="3" t="str">
        <f>VLOOKUP(C2402,layoffs_location!A:E,5,FALSE)</f>
        <v>North America</v>
      </c>
      <c r="I2402" s="8">
        <v>46000</v>
      </c>
      <c r="J2402" s="9"/>
      <c r="K2402" s="10"/>
      <c r="L2402" s="10"/>
      <c r="M2402" s="3" t="s">
        <v>2139</v>
      </c>
      <c r="P2402" s="3">
        <v>2025</v>
      </c>
      <c r="Q2402" s="3">
        <f>VLOOKUP(C2402,layoffs_location!A:F,6,FALSE)</f>
        <v>37.354106999999999</v>
      </c>
      <c r="R2402" s="3">
        <f>VLOOKUP(C2402,layoffs_location!A:G,7,FALSE)</f>
        <v>-121.95523799999999</v>
      </c>
    </row>
    <row r="2403" spans="1:20" x14ac:dyDescent="0.2">
      <c r="A2403" s="3">
        <v>2402</v>
      </c>
      <c r="B2403" s="3" t="s">
        <v>2140</v>
      </c>
      <c r="C2403" s="3" t="s">
        <v>179</v>
      </c>
      <c r="D2403" s="3" t="str">
        <f>VLOOKUP(C2403,layoffs_location!A:B,2,FALSE)</f>
        <v>other</v>
      </c>
      <c r="E2403" s="3" t="str">
        <f>VLOOKUP(C2403,layoffs_location!A:C,3,FALSE)</f>
        <v>Ontario</v>
      </c>
      <c r="F2403" s="3" t="str">
        <f>VLOOKUP(C2403,layoffs_location!A:D,4,FALSE)</f>
        <v>Canada</v>
      </c>
      <c r="G2403" s="3" t="str">
        <f>VLOOKUP(C2403,layoffs_location!A:E,5,FALSE)</f>
        <v>North America</v>
      </c>
      <c r="H2403" s="3">
        <v>75</v>
      </c>
      <c r="I2403" s="8">
        <v>46000</v>
      </c>
      <c r="J2403" s="9">
        <v>7.5</v>
      </c>
      <c r="K2403" s="28">
        <f>SUM((Table13[[#This Row],[Laid_Off]]*100)/Table13[[#This Row],[Percentage]])</f>
        <v>1000</v>
      </c>
      <c r="L2403" s="28">
        <f>SUM(Table13[[#This Row],[Company_Size_before_Layoffs]]-Table13[[#This Row],[Laid_Off]])</f>
        <v>925</v>
      </c>
      <c r="M2403" s="3" t="s">
        <v>2141</v>
      </c>
      <c r="P2403" s="3">
        <v>2025</v>
      </c>
      <c r="Q2403" s="3">
        <f>VLOOKUP(C2403,layoffs_location!A:F,6,FALSE)</f>
        <v>43.6534817</v>
      </c>
      <c r="R2403" s="3">
        <f>VLOOKUP(C2403,layoffs_location!A:G,7,FALSE)</f>
        <v>-79.383934699999998</v>
      </c>
    </row>
    <row r="2404" spans="1:20" x14ac:dyDescent="0.2">
      <c r="A2404" s="3">
        <v>2403</v>
      </c>
      <c r="B2404" s="3" t="s">
        <v>2132</v>
      </c>
      <c r="C2404" s="3" t="s">
        <v>533</v>
      </c>
      <c r="D2404" s="3" t="str">
        <f>VLOOKUP(C2404,layoffs_location!A:B,2,FALSE)</f>
        <v>other</v>
      </c>
      <c r="E2404" s="3" t="str">
        <f>VLOOKUP(C2404,layoffs_location!A:C,3,FALSE)</f>
        <v>Delaware</v>
      </c>
      <c r="F2404" s="3" t="str">
        <f>VLOOKUP(C2404,layoffs_location!A:D,4,FALSE)</f>
        <v>USA</v>
      </c>
      <c r="G2404" s="3" t="str">
        <f>VLOOKUP(C2404,layoffs_location!A:E,5,FALSE)</f>
        <v>North America</v>
      </c>
      <c r="H2404" s="3">
        <v>36</v>
      </c>
      <c r="I2404" s="8">
        <v>46001</v>
      </c>
      <c r="J2404" s="9">
        <v>15</v>
      </c>
      <c r="K2404" s="28">
        <f>SUM((Table13[[#This Row],[Laid_Off]]*100)/Table13[[#This Row],[Percentage]])</f>
        <v>240</v>
      </c>
      <c r="L2404" s="28">
        <f>SUM(Table13[[#This Row],[Company_Size_before_Layoffs]]-Table13[[#This Row],[Laid_Off]])</f>
        <v>204</v>
      </c>
      <c r="M2404" s="3" t="s">
        <v>2133</v>
      </c>
      <c r="P2404" s="3">
        <v>2025</v>
      </c>
      <c r="Q2404" s="3">
        <f>VLOOKUP(C2404,layoffs_location!A:F,6,FALSE)</f>
        <v>39.745946799999999</v>
      </c>
      <c r="R2404" s="3">
        <f>VLOOKUP(C2404,layoffs_location!A:G,7,FALSE)</f>
        <v>-75.546588999999997</v>
      </c>
    </row>
    <row r="2405" spans="1:20" x14ac:dyDescent="0.2">
      <c r="A2405" s="3">
        <v>2404</v>
      </c>
      <c r="B2405" s="3" t="s">
        <v>2134</v>
      </c>
      <c r="C2405" s="3" t="s">
        <v>39</v>
      </c>
      <c r="D2405" s="3" t="str">
        <f>VLOOKUP(C2405,layoffs_location!A:B,2,FALSE)</f>
        <v>New York</v>
      </c>
      <c r="E2405" s="3" t="str">
        <f>VLOOKUP(C2405,layoffs_location!A:C,3,FALSE)</f>
        <v>New York</v>
      </c>
      <c r="F2405" s="3" t="str">
        <f>VLOOKUP(C2405,layoffs_location!A:D,4,FALSE)</f>
        <v>USA</v>
      </c>
      <c r="G2405" s="3" t="str">
        <f>VLOOKUP(C2405,layoffs_location!A:E,5,FALSE)</f>
        <v>North America</v>
      </c>
      <c r="H2405" s="3">
        <v>180</v>
      </c>
      <c r="I2405" s="8">
        <v>46001</v>
      </c>
      <c r="J2405" s="9">
        <v>10</v>
      </c>
      <c r="K2405" s="28">
        <f>SUM((Table13[[#This Row],[Laid_Off]]*100)/Table13[[#This Row],[Percentage]])</f>
        <v>1800</v>
      </c>
      <c r="L2405" s="28">
        <f>SUM(Table13[[#This Row],[Company_Size_before_Layoffs]]-Table13[[#This Row],[Laid_Off]])</f>
        <v>1620</v>
      </c>
      <c r="M2405" s="3" t="s">
        <v>2135</v>
      </c>
      <c r="P2405" s="3">
        <v>2025</v>
      </c>
      <c r="Q2405" s="3">
        <f>VLOOKUP(C2405,layoffs_location!A:F,6,FALSE)</f>
        <v>40.7127281</v>
      </c>
      <c r="R2405" s="3">
        <f>VLOOKUP(C2405,layoffs_location!A:G,7,FALSE)</f>
        <v>-74.006015199999993</v>
      </c>
    </row>
    <row r="2406" spans="1:20" x14ac:dyDescent="0.2">
      <c r="A2406" s="3">
        <v>2405</v>
      </c>
      <c r="B2406" s="3" t="s">
        <v>877</v>
      </c>
      <c r="C2406" s="3" t="s">
        <v>71</v>
      </c>
      <c r="D2406" s="3" t="str">
        <f>VLOOKUP(C2406,layoffs_location!A:B,2,FALSE)</f>
        <v>other</v>
      </c>
      <c r="E2406" s="3" t="str">
        <f>VLOOKUP(C2406,layoffs_location!A:C,3,FALSE)</f>
        <v>Massachusetts</v>
      </c>
      <c r="F2406" s="3" t="str">
        <f>VLOOKUP(C2406,layoffs_location!A:D,4,FALSE)</f>
        <v>USA</v>
      </c>
      <c r="G2406" s="3" t="str">
        <f>VLOOKUP(C2406,layoffs_location!A:E,5,FALSE)</f>
        <v>North America</v>
      </c>
      <c r="H2406" s="3">
        <v>24</v>
      </c>
      <c r="I2406" s="8">
        <v>46001</v>
      </c>
      <c r="J2406" s="9">
        <v>8</v>
      </c>
      <c r="K2406" s="28">
        <f>SUM((Table13[[#This Row],[Laid_Off]]*100)/Table13[[#This Row],[Percentage]])</f>
        <v>300</v>
      </c>
      <c r="L2406" s="28">
        <f>SUM(Table13[[#This Row],[Company_Size_before_Layoffs]]-Table13[[#This Row],[Laid_Off]])</f>
        <v>276</v>
      </c>
      <c r="M2406" s="3" t="s">
        <v>1400</v>
      </c>
      <c r="P2406" s="3">
        <v>2025</v>
      </c>
      <c r="Q2406" s="3">
        <f>VLOOKUP(C2406,layoffs_location!A:F,6,FALSE)</f>
        <v>42.355433400000003</v>
      </c>
      <c r="R2406" s="3">
        <f>VLOOKUP(C2406,layoffs_location!A:G,7,FALSE)</f>
        <v>-71.060511000000005</v>
      </c>
    </row>
    <row r="2407" spans="1:20" x14ac:dyDescent="0.2">
      <c r="A2407" s="3">
        <v>2406</v>
      </c>
      <c r="B2407" s="3" t="s">
        <v>2129</v>
      </c>
      <c r="C2407" s="3" t="s">
        <v>2130</v>
      </c>
      <c r="D2407" s="3" t="str">
        <f>VLOOKUP(C2407,layoffs_location!A:B,2,FALSE)</f>
        <v>other</v>
      </c>
      <c r="E2407" s="3" t="str">
        <f>VLOOKUP(C2407,layoffs_location!A:C,3,FALSE)</f>
        <v>non</v>
      </c>
      <c r="F2407" s="3" t="str">
        <f>VLOOKUP(C2407,layoffs_location!A:D,4,FALSE)</f>
        <v>Israel</v>
      </c>
      <c r="G2407" s="3" t="str">
        <f>VLOOKUP(C2407,layoffs_location!A:E,5,FALSE)</f>
        <v>Asia</v>
      </c>
      <c r="I2407" s="8">
        <v>46002</v>
      </c>
      <c r="J2407" s="9">
        <v>100</v>
      </c>
      <c r="K2407" s="10"/>
      <c r="L2407" s="10">
        <v>0</v>
      </c>
      <c r="M2407" s="3" t="s">
        <v>2131</v>
      </c>
      <c r="P2407" s="3">
        <v>2025</v>
      </c>
      <c r="Q2407" s="3">
        <f>VLOOKUP(C2407,layoffs_location!A:F,6,FALSE)</f>
        <v>31.891641407768201</v>
      </c>
      <c r="R2407" s="3">
        <f>VLOOKUP(C2407,layoffs_location!A:G,7,FALSE)</f>
        <v>34.810296499911502</v>
      </c>
    </row>
    <row r="2408" spans="1:20" x14ac:dyDescent="0.2">
      <c r="A2408" s="3">
        <v>2407</v>
      </c>
      <c r="B2408" s="3" t="s">
        <v>2126</v>
      </c>
      <c r="C2408" s="3" t="s">
        <v>2127</v>
      </c>
      <c r="D2408" s="3" t="str">
        <f>VLOOKUP(C2408,layoffs_location!A:B,2,FALSE)</f>
        <v>other</v>
      </c>
      <c r="E2408" s="3" t="str">
        <f>VLOOKUP(C2408,layoffs_location!A:C,3,FALSE)</f>
        <v>California</v>
      </c>
      <c r="F2408" s="3" t="str">
        <f>VLOOKUP(C2408,layoffs_location!A:D,4,FALSE)</f>
        <v>USA</v>
      </c>
      <c r="G2408" s="3" t="str">
        <f>VLOOKUP(C2408,layoffs_location!A:E,5,FALSE)</f>
        <v>North America</v>
      </c>
      <c r="I2408" s="8">
        <v>46003</v>
      </c>
      <c r="J2408" s="9"/>
      <c r="K2408" s="10"/>
      <c r="L2408" s="10"/>
      <c r="M2408" s="3" t="s">
        <v>2128</v>
      </c>
      <c r="P2408" s="3">
        <v>2025</v>
      </c>
      <c r="Q2408" s="3">
        <f>VLOOKUP(C2408,layoffs_location!A:F,6,FALSE)</f>
        <v>38.667146310825302</v>
      </c>
      <c r="R2408" s="3">
        <f>VLOOKUP(C2408,layoffs_location!A:G,7,FALSE)</f>
        <v>-121.159461653926</v>
      </c>
    </row>
    <row r="2409" spans="1:20" x14ac:dyDescent="0.2">
      <c r="A2409" s="3">
        <v>2408</v>
      </c>
      <c r="B2409" s="3" t="s">
        <v>376</v>
      </c>
      <c r="C2409" s="3" t="s">
        <v>43</v>
      </c>
      <c r="D2409" s="3" t="str">
        <f>VLOOKUP(C2409,layoffs_location!A:B,2,FALSE)</f>
        <v>Cascadia</v>
      </c>
      <c r="E2409" s="3" t="str">
        <f>VLOOKUP(C2409,layoffs_location!A:C,3,FALSE)</f>
        <v>Washington</v>
      </c>
      <c r="F2409" s="3" t="str">
        <f>VLOOKUP(C2409,layoffs_location!A:D,4,FALSE)</f>
        <v>USA</v>
      </c>
      <c r="G2409" s="3" t="str">
        <f>VLOOKUP(C2409,layoffs_location!A:E,5,FALSE)</f>
        <v>North America</v>
      </c>
      <c r="H2409" s="3">
        <v>84</v>
      </c>
      <c r="I2409" s="8">
        <v>46006</v>
      </c>
      <c r="J2409" s="9"/>
      <c r="K2409" s="10"/>
      <c r="L2409" s="10"/>
      <c r="M2409" s="3" t="s">
        <v>2123</v>
      </c>
      <c r="P2409" s="3">
        <v>2025</v>
      </c>
      <c r="Q2409" s="3">
        <f>VLOOKUP(C2409,layoffs_location!A:F,6,FALSE)</f>
        <v>47.603832099999998</v>
      </c>
      <c r="R2409" s="3">
        <f>VLOOKUP(C2409,layoffs_location!A:G,7,FALSE)</f>
        <v>-122.330062</v>
      </c>
    </row>
    <row r="2410" spans="1:20" x14ac:dyDescent="0.2">
      <c r="A2410" s="3">
        <v>2409</v>
      </c>
      <c r="B2410" s="3" t="s">
        <v>2124</v>
      </c>
      <c r="C2410" s="3" t="s">
        <v>2317</v>
      </c>
      <c r="D2410" s="3" t="str">
        <f>VLOOKUP(C2410,layoffs_location!A:B,2,FALSE)</f>
        <v>other</v>
      </c>
      <c r="E2410" s="3" t="str">
        <f>VLOOKUP(C2410,layoffs_location!A:C,3,FALSE)</f>
        <v>California</v>
      </c>
      <c r="F2410" s="3" t="str">
        <f>VLOOKUP(C2410,layoffs_location!A:D,4,FALSE)</f>
        <v>USA</v>
      </c>
      <c r="G2410" s="3" t="str">
        <f>VLOOKUP(C2410,layoffs_location!A:E,5,FALSE)</f>
        <v>North America</v>
      </c>
      <c r="I2410" s="8">
        <v>46008</v>
      </c>
      <c r="J2410" s="9">
        <v>1</v>
      </c>
      <c r="K2410" s="10"/>
      <c r="L2410" s="10"/>
      <c r="M2410" s="3" t="s">
        <v>2125</v>
      </c>
      <c r="P2410" s="3">
        <v>2025</v>
      </c>
      <c r="Q2410" s="3">
        <f>VLOOKUP(C2410,layoffs_location!A:F,6,FALSE)</f>
        <v>34.281144284463799</v>
      </c>
      <c r="R2410" s="3">
        <f>VLOOKUP(C2410,layoffs_location!A:G,7,FALSE)</f>
        <v>-119.214061331671</v>
      </c>
    </row>
    <row r="2411" spans="1:20" x14ac:dyDescent="0.2">
      <c r="A2411" s="3">
        <v>2410</v>
      </c>
      <c r="B2411" s="3" t="s">
        <v>376</v>
      </c>
      <c r="C2411" s="3" t="s">
        <v>2122</v>
      </c>
      <c r="D2411" s="3" t="str">
        <f>VLOOKUP(C2411,layoffs_location!A:B,2,FALSE)</f>
        <v>other</v>
      </c>
      <c r="E2411" s="3" t="str">
        <f>VLOOKUP(C2411,layoffs_location!A:C,3,FALSE)</f>
        <v>non</v>
      </c>
      <c r="F2411" s="3" t="str">
        <f>VLOOKUP(C2411,layoffs_location!A:D,4,FALSE)</f>
        <v>Luxembourg</v>
      </c>
      <c r="G2411" s="3" t="str">
        <f>VLOOKUP(C2411,layoffs_location!A:E,5,FALSE)</f>
        <v>Europe</v>
      </c>
      <c r="H2411" s="3">
        <v>370</v>
      </c>
      <c r="I2411" s="8">
        <v>46010</v>
      </c>
      <c r="J2411" s="9"/>
      <c r="K2411" s="10"/>
      <c r="L2411" s="10"/>
      <c r="M2411" s="3" t="s">
        <v>2123</v>
      </c>
      <c r="P2411" s="3">
        <v>2025</v>
      </c>
      <c r="Q2411" s="3">
        <f>VLOOKUP(C2411,layoffs_location!A:F,6,FALSE)</f>
        <v>49.609567093187401</v>
      </c>
      <c r="R2411" s="3">
        <f>VLOOKUP(C2411,layoffs_location!A:G,7,FALSE)</f>
        <v>6.1335749402626298</v>
      </c>
    </row>
    <row r="2412" spans="1:20" x14ac:dyDescent="0.2">
      <c r="A2412" s="3">
        <v>2411</v>
      </c>
      <c r="B2412" s="3" t="s">
        <v>2120</v>
      </c>
      <c r="C2412" s="3" t="s">
        <v>1713</v>
      </c>
      <c r="D2412" s="3" t="str">
        <f>VLOOKUP(C2412,layoffs_location!A:B,2,FALSE)</f>
        <v>San Francisco Bay Area</v>
      </c>
      <c r="E2412" s="3" t="str">
        <f>VLOOKUP(C2412,layoffs_location!A:C,3,FALSE)</f>
        <v>California</v>
      </c>
      <c r="F2412" s="3" t="str">
        <f>VLOOKUP(C2412,layoffs_location!A:D,4,FALSE)</f>
        <v>USA</v>
      </c>
      <c r="G2412" s="3" t="str">
        <f>VLOOKUP(C2412,layoffs_location!A:E,5,FALSE)</f>
        <v>North America</v>
      </c>
      <c r="H2412" s="3">
        <v>100</v>
      </c>
      <c r="I2412" s="8">
        <v>46014</v>
      </c>
      <c r="J2412" s="9"/>
      <c r="K2412" s="10"/>
      <c r="L2412" s="10"/>
      <c r="M2412" s="3" t="s">
        <v>2121</v>
      </c>
      <c r="P2412" s="3">
        <v>2025</v>
      </c>
      <c r="Q2412" s="3">
        <f>VLOOKUP(C2412,layoffs_location!A:F,6,FALSE)</f>
        <v>37.496904000000001</v>
      </c>
      <c r="R2412" s="3">
        <f>VLOOKUP(C2412,layoffs_location!A:G,7,FALSE)</f>
        <v>-122.33305729999999</v>
      </c>
    </row>
    <row r="2413" spans="1:20" x14ac:dyDescent="0.2">
      <c r="A2413" s="3">
        <v>2412</v>
      </c>
      <c r="B2413" s="3" t="s">
        <v>2117</v>
      </c>
      <c r="C2413" s="3" t="s">
        <v>2118</v>
      </c>
      <c r="D2413" s="3" t="str">
        <f>VLOOKUP(C2413,layoffs_location!A:B,2,FALSE)</f>
        <v>other</v>
      </c>
      <c r="E2413" s="3" t="str">
        <f>VLOOKUP(C2413,layoffs_location!A:C,3,FALSE)</f>
        <v>non</v>
      </c>
      <c r="F2413" s="3" t="str">
        <f>VLOOKUP(C2413,layoffs_location!A:D,4,FALSE)</f>
        <v>Israel</v>
      </c>
      <c r="G2413" s="3" t="str">
        <f>VLOOKUP(C2413,layoffs_location!A:E,5,FALSE)</f>
        <v>Asia</v>
      </c>
      <c r="H2413" s="3">
        <v>700</v>
      </c>
      <c r="I2413" s="8">
        <v>46019</v>
      </c>
      <c r="J2413" s="9">
        <v>15</v>
      </c>
      <c r="K2413" s="28">
        <f>SUM((Table13[[#This Row],[Laid_Off]]*100)/Table13[[#This Row],[Percentage]])</f>
        <v>4666.666666666667</v>
      </c>
      <c r="L2413" s="28">
        <f>SUM(Table13[[#This Row],[Company_Size_before_Layoffs]]-Table13[[#This Row],[Laid_Off]])</f>
        <v>3966.666666666667</v>
      </c>
      <c r="M2413" s="3" t="s">
        <v>2119</v>
      </c>
      <c r="N2413" s="3" t="s">
        <v>22</v>
      </c>
      <c r="P2413" s="3">
        <v>2025</v>
      </c>
      <c r="Q2413" s="3">
        <f>VLOOKUP(C2413,layoffs_location!A:F,6,FALSE)</f>
        <v>32.018322929723702</v>
      </c>
      <c r="R2413" s="3">
        <f>VLOOKUP(C2413,layoffs_location!A:G,7,FALSE)</f>
        <v>34.771423841420201</v>
      </c>
    </row>
    <row r="2414" spans="1:20" x14ac:dyDescent="0.15">
      <c r="A2414" s="68">
        <v>2413</v>
      </c>
      <c r="B2414" s="68" t="s">
        <v>2242</v>
      </c>
      <c r="C2414" s="68" t="s">
        <v>97</v>
      </c>
      <c r="D2414" s="68" t="str">
        <f>VLOOKUP(C2414,layoffs_location!A:B,2,FALSE)</f>
        <v>other</v>
      </c>
      <c r="E2414" s="68" t="str">
        <f>VLOOKUP(C2414,layoffs_location!A:C,3,FALSE)</f>
        <v>non</v>
      </c>
      <c r="F2414" s="68" t="str">
        <f>VLOOKUP(C2414,layoffs_location!A:D,4,FALSE)</f>
        <v>France</v>
      </c>
      <c r="G2414" s="68" t="str">
        <f>VLOOKUP(C2414,layoffs_location!A:E,5,FALSE)</f>
        <v>Europe</v>
      </c>
      <c r="H2414" s="68"/>
      <c r="I2414" s="70">
        <v>46029</v>
      </c>
      <c r="J2414" s="68"/>
      <c r="K2414" s="68"/>
      <c r="L2414" s="68"/>
      <c r="M2414" s="68" t="s">
        <v>2138</v>
      </c>
      <c r="N2414" s="68" t="s">
        <v>22</v>
      </c>
      <c r="O2414" s="68"/>
      <c r="P2414" s="68">
        <v>2026</v>
      </c>
      <c r="Q2414" s="83">
        <f>VLOOKUP(C2414,layoffs_location!A:F,6,FALSE)</f>
        <v>48.858889699999999</v>
      </c>
      <c r="R2414" s="83">
        <f>VLOOKUP(C2414,layoffs_location!A:G,7,FALSE)</f>
        <v>2.32004102172007</v>
      </c>
      <c r="S2414" s="68"/>
      <c r="T2414" s="68"/>
    </row>
    <row r="2415" spans="1:20" x14ac:dyDescent="0.15">
      <c r="A2415" s="68">
        <v>2414</v>
      </c>
      <c r="B2415" s="68" t="s">
        <v>4530</v>
      </c>
      <c r="C2415" s="68" t="s">
        <v>4531</v>
      </c>
      <c r="D2415" s="68" t="str">
        <f>VLOOKUP(C2415,layoffs_location!A:B,2,FALSE)</f>
        <v>other</v>
      </c>
      <c r="E2415" s="68" t="str">
        <f>VLOOKUP(C2415,layoffs_location!A:C,3,FALSE)</f>
        <v>British Columbia</v>
      </c>
      <c r="F2415" s="68" t="str">
        <f>VLOOKUP(C2415,layoffs_location!A:D,4,FALSE)</f>
        <v>Canada</v>
      </c>
      <c r="G2415" s="68" t="str">
        <f>VLOOKUP(C2415,layoffs_location!A:E,5,FALSE)</f>
        <v>North America</v>
      </c>
      <c r="H2415" s="68"/>
      <c r="I2415" s="70">
        <v>46029</v>
      </c>
      <c r="J2415" s="68">
        <v>70</v>
      </c>
      <c r="K2415" s="68"/>
      <c r="L2415" s="68"/>
      <c r="M2415" s="68" t="s">
        <v>2150</v>
      </c>
      <c r="N2415" s="68" t="s">
        <v>22</v>
      </c>
      <c r="O2415" s="68"/>
      <c r="P2415" s="68">
        <v>2026</v>
      </c>
      <c r="Q2415" s="83">
        <f>VLOOKUP(C2415,layoffs_location!A:F,6,FALSE)</f>
        <v>49.349635446070401</v>
      </c>
      <c r="R2415" s="83">
        <f>VLOOKUP(C2415,layoffs_location!A:G,7,FALSE)</f>
        <v>-124.451404982922</v>
      </c>
      <c r="S2415" s="68"/>
      <c r="T2415" s="68"/>
    </row>
    <row r="2416" spans="1:20" x14ac:dyDescent="0.15">
      <c r="A2416" s="68">
        <v>2415</v>
      </c>
      <c r="B2416" s="68" t="s">
        <v>4532</v>
      </c>
      <c r="C2416" s="68" t="s">
        <v>2223</v>
      </c>
      <c r="D2416" s="68" t="str">
        <f>VLOOKUP(C2416,layoffs_location!A:B,2,FALSE)</f>
        <v>other</v>
      </c>
      <c r="E2416" s="68" t="str">
        <f>VLOOKUP(C2416,layoffs_location!A:C,3,FALSE)</f>
        <v>Oklahoma</v>
      </c>
      <c r="F2416" s="68" t="str">
        <f>VLOOKUP(C2416,layoffs_location!A:D,4,FALSE)</f>
        <v>USA</v>
      </c>
      <c r="G2416" s="68" t="str">
        <f>VLOOKUP(C2416,layoffs_location!A:E,5,FALSE)</f>
        <v>North America</v>
      </c>
      <c r="H2416" s="68">
        <v>3</v>
      </c>
      <c r="I2416" s="70">
        <v>46030</v>
      </c>
      <c r="J2416" s="68">
        <v>75</v>
      </c>
      <c r="K2416" s="68">
        <v>4</v>
      </c>
      <c r="L2416" s="68">
        <v>1</v>
      </c>
      <c r="M2416" s="68" t="s">
        <v>1400</v>
      </c>
      <c r="N2416" s="68" t="s">
        <v>22</v>
      </c>
      <c r="O2416" s="68"/>
      <c r="P2416" s="68">
        <v>2026</v>
      </c>
      <c r="Q2416" s="83">
        <f>VLOOKUP(C2416,layoffs_location!A:F,6,FALSE)</f>
        <v>35.443195252372298</v>
      </c>
      <c r="R2416" s="83">
        <f>VLOOKUP(C2416,layoffs_location!A:G,7,FALSE)</f>
        <v>-97.512197997807704</v>
      </c>
      <c r="S2416" s="68"/>
      <c r="T2416" s="68"/>
    </row>
    <row r="2417" spans="1:20" x14ac:dyDescent="0.15">
      <c r="A2417" s="68">
        <v>2416</v>
      </c>
      <c r="B2417" s="68" t="s">
        <v>4533</v>
      </c>
      <c r="C2417" s="68" t="s">
        <v>47</v>
      </c>
      <c r="D2417" s="68" t="str">
        <f>VLOOKUP(C2417,layoffs_location!A:B,2,FALSE)</f>
        <v>other</v>
      </c>
      <c r="E2417" s="68" t="str">
        <f>VLOOKUP(C2417,layoffs_location!A:C,3,FALSE)</f>
        <v>non</v>
      </c>
      <c r="F2417" s="68" t="str">
        <f>VLOOKUP(C2417,layoffs_location!A:D,4,FALSE)</f>
        <v>Israel</v>
      </c>
      <c r="G2417" s="68" t="str">
        <f>VLOOKUP(C2417,layoffs_location!A:E,5,FALSE)</f>
        <v>Asia</v>
      </c>
      <c r="H2417" s="68">
        <v>30</v>
      </c>
      <c r="I2417" s="70">
        <v>46030</v>
      </c>
      <c r="J2417" s="68">
        <v>10</v>
      </c>
      <c r="K2417" s="68">
        <v>300</v>
      </c>
      <c r="L2417" s="68">
        <v>270</v>
      </c>
      <c r="M2417" s="68" t="s">
        <v>2139</v>
      </c>
      <c r="N2417" s="68" t="s">
        <v>22</v>
      </c>
      <c r="O2417" s="68"/>
      <c r="P2417" s="68">
        <v>2026</v>
      </c>
      <c r="Q2417" s="83">
        <f>VLOOKUP(C2417,layoffs_location!A:F,6,FALSE)</f>
        <v>32.0852997</v>
      </c>
      <c r="R2417" s="83">
        <f>VLOOKUP(C2417,layoffs_location!A:G,7,FALSE)</f>
        <v>34.781806400000001</v>
      </c>
      <c r="S2417" s="68"/>
      <c r="T2417" s="68"/>
    </row>
    <row r="2418" spans="1:20" x14ac:dyDescent="0.15">
      <c r="A2418" s="68">
        <v>2417</v>
      </c>
      <c r="B2418" s="68" t="s">
        <v>4534</v>
      </c>
      <c r="C2418" s="68" t="s">
        <v>1694</v>
      </c>
      <c r="D2418" s="68" t="str">
        <f>VLOOKUP(C2418,layoffs_location!A:B,2,FALSE)</f>
        <v>San Francisco Bay Area</v>
      </c>
      <c r="E2418" s="68" t="str">
        <f>VLOOKUP(C2418,layoffs_location!A:C,3,FALSE)</f>
        <v>California</v>
      </c>
      <c r="F2418" s="68" t="str">
        <f>VLOOKUP(C2418,layoffs_location!A:D,4,FALSE)</f>
        <v>USA</v>
      </c>
      <c r="G2418" s="68" t="str">
        <f>VLOOKUP(C2418,layoffs_location!A:E,5,FALSE)</f>
        <v>North America</v>
      </c>
      <c r="H2418" s="68">
        <v>10</v>
      </c>
      <c r="I2418" s="70">
        <v>46031</v>
      </c>
      <c r="J2418" s="68"/>
      <c r="K2418" s="68"/>
      <c r="L2418" s="68"/>
      <c r="M2418" s="68" t="s">
        <v>4535</v>
      </c>
      <c r="N2418" s="68" t="s">
        <v>22</v>
      </c>
      <c r="O2418" s="68"/>
      <c r="P2418" s="68">
        <v>2026</v>
      </c>
      <c r="Q2418" s="83">
        <f>VLOOKUP(C2418,layoffs_location!A:F,6,FALSE)</f>
        <v>37.336166300000002</v>
      </c>
      <c r="R2418" s="83">
        <f>VLOOKUP(C2418,layoffs_location!A:G,7,FALSE)</f>
        <v>-121.890591</v>
      </c>
      <c r="S2418" s="68"/>
      <c r="T2418" s="68"/>
    </row>
    <row r="2419" spans="1:20" x14ac:dyDescent="0.15">
      <c r="A2419" s="68">
        <v>2418</v>
      </c>
      <c r="B2419" s="68" t="s">
        <v>3004</v>
      </c>
      <c r="C2419" s="68" t="s">
        <v>1370</v>
      </c>
      <c r="D2419" s="68" t="str">
        <f>VLOOKUP(C2419,layoffs_location!A:B,2,FALSE)</f>
        <v>San Francisco Bay Area</v>
      </c>
      <c r="E2419" s="68" t="str">
        <f>VLOOKUP(C2419,layoffs_location!A:C,3,FALSE)</f>
        <v>California</v>
      </c>
      <c r="F2419" s="68" t="str">
        <f>VLOOKUP(C2419,layoffs_location!A:D,4,FALSE)</f>
        <v>USA</v>
      </c>
      <c r="G2419" s="68" t="str">
        <f>VLOOKUP(C2419,layoffs_location!A:E,5,FALSE)</f>
        <v>North America</v>
      </c>
      <c r="H2419" s="68">
        <v>200</v>
      </c>
      <c r="I2419" s="70">
        <v>46031</v>
      </c>
      <c r="J2419" s="68"/>
      <c r="K2419" s="68"/>
      <c r="L2419" s="68"/>
      <c r="M2419" s="68" t="s">
        <v>4536</v>
      </c>
      <c r="N2419" s="68" t="s">
        <v>22</v>
      </c>
      <c r="O2419" s="68"/>
      <c r="P2419" s="68">
        <v>2026</v>
      </c>
      <c r="Q2419" s="83">
        <f>VLOOKUP(C2419,layoffs_location!A:F,6,FALSE)</f>
        <v>37.779258800000001</v>
      </c>
      <c r="R2419" s="83">
        <f>VLOOKUP(C2419,layoffs_location!A:G,7,FALSE)</f>
        <v>-122.4193286</v>
      </c>
      <c r="S2419" s="68"/>
      <c r="T2419" s="68"/>
    </row>
    <row r="2420" spans="1:20" x14ac:dyDescent="0.15">
      <c r="A2420" s="68">
        <v>2419</v>
      </c>
      <c r="B2420" s="68" t="s">
        <v>376</v>
      </c>
      <c r="C2420" s="68" t="s">
        <v>43</v>
      </c>
      <c r="D2420" s="68" t="str">
        <f>VLOOKUP(C2420,layoffs_location!A:B,2,FALSE)</f>
        <v>Cascadia</v>
      </c>
      <c r="E2420" s="68" t="str">
        <f>VLOOKUP(C2420,layoffs_location!A:C,3,FALSE)</f>
        <v>Washington</v>
      </c>
      <c r="F2420" s="68" t="str">
        <f>VLOOKUP(C2420,layoffs_location!A:D,4,FALSE)</f>
        <v>USA</v>
      </c>
      <c r="G2420" s="68" t="str">
        <f>VLOOKUP(C2420,layoffs_location!A:E,5,FALSE)</f>
        <v>North America</v>
      </c>
      <c r="H2420" s="68">
        <v>2500</v>
      </c>
      <c r="I2420" s="70">
        <v>46033</v>
      </c>
      <c r="J2420" s="68"/>
      <c r="K2420" s="68"/>
      <c r="L2420" s="68"/>
      <c r="M2420" s="68" t="s">
        <v>30</v>
      </c>
      <c r="N2420" s="68" t="s">
        <v>22</v>
      </c>
      <c r="O2420" s="68"/>
      <c r="P2420" s="68">
        <v>2026</v>
      </c>
      <c r="Q2420" s="83">
        <f>VLOOKUP(C2420,layoffs_location!A:F,6,FALSE)</f>
        <v>47.603832099999998</v>
      </c>
      <c r="R2420" s="83">
        <f>VLOOKUP(C2420,layoffs_location!A:G,7,FALSE)</f>
        <v>-122.330062</v>
      </c>
      <c r="S2420" s="68"/>
      <c r="T2420" s="68"/>
    </row>
    <row r="2421" spans="1:20" x14ac:dyDescent="0.15">
      <c r="A2421" s="68">
        <v>2420</v>
      </c>
      <c r="B2421" s="68" t="s">
        <v>385</v>
      </c>
      <c r="C2421" s="68" t="s">
        <v>1443</v>
      </c>
      <c r="D2421" s="68" t="str">
        <f>VLOOKUP(C2421,layoffs_location!A:B,2,FALSE)</f>
        <v>San Francisco Bay Area</v>
      </c>
      <c r="E2421" s="68" t="str">
        <f>VLOOKUP(C2421,layoffs_location!A:C,3,FALSE)</f>
        <v>California</v>
      </c>
      <c r="F2421" s="68" t="str">
        <f>VLOOKUP(C2421,layoffs_location!A:D,4,FALSE)</f>
        <v>USA</v>
      </c>
      <c r="G2421" s="68" t="str">
        <f>VLOOKUP(C2421,layoffs_location!A:E,5,FALSE)</f>
        <v>North America</v>
      </c>
      <c r="H2421" s="68"/>
      <c r="I2421" s="70">
        <v>46034</v>
      </c>
      <c r="J2421" s="68">
        <v>10</v>
      </c>
      <c r="K2421" s="68"/>
      <c r="L2421" s="68"/>
      <c r="M2421" s="68" t="s">
        <v>1400</v>
      </c>
      <c r="N2421" s="68" t="s">
        <v>22</v>
      </c>
      <c r="O2421" s="68"/>
      <c r="P2421" s="68">
        <v>2026</v>
      </c>
      <c r="Q2421" s="83">
        <f>VLOOKUP(C2421,layoffs_location!A:F,6,FALSE)</f>
        <v>37.451967099999997</v>
      </c>
      <c r="R2421" s="83">
        <f>VLOOKUP(C2421,layoffs_location!A:G,7,FALSE)</f>
        <v>-122.177992</v>
      </c>
      <c r="S2421" s="68"/>
      <c r="T2421" s="68"/>
    </row>
    <row r="2422" spans="1:20" x14ac:dyDescent="0.15">
      <c r="A2422" s="68">
        <v>2421</v>
      </c>
      <c r="B2422" s="68" t="s">
        <v>2117</v>
      </c>
      <c r="C2422" s="68" t="s">
        <v>2118</v>
      </c>
      <c r="D2422" s="68" t="str">
        <f>VLOOKUP(C2422,layoffs_location!A:B,2,FALSE)</f>
        <v>other</v>
      </c>
      <c r="E2422" s="68" t="str">
        <f>VLOOKUP(C2422,layoffs_location!A:C,3,FALSE)</f>
        <v>non</v>
      </c>
      <c r="F2422" s="68" t="str">
        <f>VLOOKUP(C2422,layoffs_location!A:D,4,FALSE)</f>
        <v>Israel</v>
      </c>
      <c r="G2422" s="68" t="str">
        <f>VLOOKUP(C2422,layoffs_location!A:E,5,FALSE)</f>
        <v>Asia</v>
      </c>
      <c r="H2422" s="68"/>
      <c r="I2422" s="70">
        <v>46034</v>
      </c>
      <c r="J2422" s="68">
        <v>10</v>
      </c>
      <c r="K2422" s="68"/>
      <c r="L2422" s="68"/>
      <c r="M2422" s="68" t="s">
        <v>4537</v>
      </c>
      <c r="N2422" s="68" t="s">
        <v>22</v>
      </c>
      <c r="O2422" s="68"/>
      <c r="P2422" s="68">
        <v>2026</v>
      </c>
      <c r="Q2422" s="83">
        <f>VLOOKUP(C2422,layoffs_location!A:F,6,FALSE)</f>
        <v>32.018322929723702</v>
      </c>
      <c r="R2422" s="83">
        <f>VLOOKUP(C2422,layoffs_location!A:G,7,FALSE)</f>
        <v>34.771423841420201</v>
      </c>
      <c r="S2422" s="68"/>
      <c r="T2422" s="68"/>
    </row>
    <row r="2423" spans="1:20" x14ac:dyDescent="0.15">
      <c r="A2423" s="68">
        <v>2422</v>
      </c>
      <c r="B2423" s="68" t="s">
        <v>4538</v>
      </c>
      <c r="C2423" s="68" t="s">
        <v>2174</v>
      </c>
      <c r="D2423" s="68" t="str">
        <f>VLOOKUP(C2423,layoffs_location!A:B,2,FALSE)</f>
        <v>other</v>
      </c>
      <c r="E2423" s="68" t="str">
        <f>VLOOKUP(C2423,layoffs_location!A:C,3,FALSE)</f>
        <v>non</v>
      </c>
      <c r="F2423" s="68" t="str">
        <f>VLOOKUP(C2423,layoffs_location!A:D,4,FALSE)</f>
        <v>Israel</v>
      </c>
      <c r="G2423" s="68" t="str">
        <f>VLOOKUP(C2423,layoffs_location!A:E,5,FALSE)</f>
        <v>Asia</v>
      </c>
      <c r="H2423" s="68"/>
      <c r="I2423" s="70">
        <v>46035</v>
      </c>
      <c r="J2423" s="68"/>
      <c r="K2423" s="68"/>
      <c r="L2423" s="68"/>
      <c r="M2423" s="68" t="s">
        <v>4539</v>
      </c>
      <c r="N2423" s="68" t="s">
        <v>22</v>
      </c>
      <c r="O2423" s="68"/>
      <c r="P2423" s="68">
        <v>2026</v>
      </c>
      <c r="Q2423" s="83">
        <f>VLOOKUP(C2423,layoffs_location!A:F,6,FALSE)</f>
        <v>32.175277271939102</v>
      </c>
      <c r="R2423" s="83">
        <f>VLOOKUP(C2423,layoffs_location!A:G,7,FALSE)</f>
        <v>34.829547799125997</v>
      </c>
      <c r="S2423" s="68"/>
      <c r="T2423" s="68"/>
    </row>
    <row r="2424" spans="1:20" x14ac:dyDescent="0.15">
      <c r="A2424" s="68">
        <v>2423</v>
      </c>
      <c r="B2424" s="68" t="s">
        <v>901</v>
      </c>
      <c r="C2424" s="68" t="s">
        <v>58</v>
      </c>
      <c r="D2424" s="68" t="str">
        <f>VLOOKUP(C2424,layoffs_location!A:B,2,FALSE)</f>
        <v>other</v>
      </c>
      <c r="E2424" s="68" t="str">
        <f>VLOOKUP(C2424,layoffs_location!A:C,3,FALSE)</f>
        <v>England</v>
      </c>
      <c r="F2424" s="68" t="str">
        <f>VLOOKUP(C2424,layoffs_location!A:D,4,FALSE)</f>
        <v>UK</v>
      </c>
      <c r="G2424" s="68" t="str">
        <f>VLOOKUP(C2424,layoffs_location!A:E,5,FALSE)</f>
        <v>Europe</v>
      </c>
      <c r="H2424" s="68">
        <v>105</v>
      </c>
      <c r="I2424" s="70">
        <v>46035</v>
      </c>
      <c r="J2424" s="68"/>
      <c r="K2424" s="68"/>
      <c r="L2424" s="68"/>
      <c r="M2424" s="68" t="s">
        <v>2169</v>
      </c>
      <c r="N2424" s="68" t="s">
        <v>22</v>
      </c>
      <c r="O2424" s="68"/>
      <c r="P2424" s="68">
        <v>2026</v>
      </c>
      <c r="Q2424" s="83">
        <f>VLOOKUP(C2424,layoffs_location!A:F,6,FALSE)</f>
        <v>51.489333500000001</v>
      </c>
      <c r="R2424" s="83">
        <f>VLOOKUP(C2424,layoffs_location!A:G,7,FALSE)</f>
        <v>-0.14405508452768701</v>
      </c>
      <c r="S2424" s="68"/>
      <c r="T2424" s="68"/>
    </row>
    <row r="2425" spans="1:20" x14ac:dyDescent="0.15">
      <c r="A2425" s="68">
        <v>2424</v>
      </c>
      <c r="B2425" s="68" t="s">
        <v>1621</v>
      </c>
      <c r="C2425" s="68" t="s">
        <v>2174</v>
      </c>
      <c r="D2425" s="68" t="str">
        <f>VLOOKUP(C2425,layoffs_location!A:B,2,FALSE)</f>
        <v>other</v>
      </c>
      <c r="E2425" s="68" t="str">
        <f>VLOOKUP(C2425,layoffs_location!A:C,3,FALSE)</f>
        <v>non</v>
      </c>
      <c r="F2425" s="68" t="str">
        <f>VLOOKUP(C2425,layoffs_location!A:D,4,FALSE)</f>
        <v>Israel</v>
      </c>
      <c r="G2425" s="68" t="str">
        <f>VLOOKUP(C2425,layoffs_location!A:E,5,FALSE)</f>
        <v>Asia</v>
      </c>
      <c r="H2425" s="68">
        <v>500</v>
      </c>
      <c r="I2425" s="70">
        <v>46036</v>
      </c>
      <c r="J2425" s="68">
        <v>15</v>
      </c>
      <c r="K2425" s="68">
        <v>3333</v>
      </c>
      <c r="L2425" s="68">
        <v>2833</v>
      </c>
      <c r="M2425" s="68" t="s">
        <v>2138</v>
      </c>
      <c r="N2425" s="68" t="s">
        <v>22</v>
      </c>
      <c r="O2425" s="68"/>
      <c r="P2425" s="68">
        <v>2026</v>
      </c>
      <c r="Q2425" s="83">
        <f>VLOOKUP(C2425,layoffs_location!A:F,6,FALSE)</f>
        <v>32.175277271939102</v>
      </c>
      <c r="R2425" s="83">
        <f>VLOOKUP(C2425,layoffs_location!A:G,7,FALSE)</f>
        <v>34.829547799125997</v>
      </c>
      <c r="S2425" s="68"/>
      <c r="T2425" s="68"/>
    </row>
    <row r="2426" spans="1:20" x14ac:dyDescent="0.15">
      <c r="A2426" s="68">
        <v>2425</v>
      </c>
      <c r="B2426" s="68" t="s">
        <v>419</v>
      </c>
      <c r="C2426" s="68" t="s">
        <v>51</v>
      </c>
      <c r="D2426" s="68" t="str">
        <f>VLOOKUP(C2426,layoffs_location!A:B,2,FALSE)</f>
        <v>other</v>
      </c>
      <c r="E2426" s="68" t="str">
        <f>VLOOKUP(C2426,layoffs_location!A:C,3,FALSE)</f>
        <v>non</v>
      </c>
      <c r="F2426" s="68" t="str">
        <f>VLOOKUP(C2426,layoffs_location!A:D,4,FALSE)</f>
        <v>Sweden</v>
      </c>
      <c r="G2426" s="68" t="str">
        <f>VLOOKUP(C2426,layoffs_location!A:E,5,FALSE)</f>
        <v>Europe</v>
      </c>
      <c r="H2426" s="68">
        <v>1600</v>
      </c>
      <c r="I2426" s="70">
        <v>46037</v>
      </c>
      <c r="J2426" s="68"/>
      <c r="K2426" s="68"/>
      <c r="L2426" s="68"/>
      <c r="M2426" s="68" t="s">
        <v>1412</v>
      </c>
      <c r="N2426" s="68" t="s">
        <v>22</v>
      </c>
      <c r="O2426" s="68"/>
      <c r="P2426" s="68">
        <v>2026</v>
      </c>
      <c r="Q2426" s="83">
        <f>VLOOKUP(C2426,layoffs_location!A:F,6,FALSE)</f>
        <v>59.325117200000001</v>
      </c>
      <c r="R2426" s="83">
        <f>VLOOKUP(C2426,layoffs_location!A:G,7,FALSE)</f>
        <v>18.0710935</v>
      </c>
      <c r="S2426" s="68"/>
      <c r="T2426" s="68"/>
    </row>
    <row r="2427" spans="1:20" x14ac:dyDescent="0.15">
      <c r="A2427" s="68">
        <v>2426</v>
      </c>
      <c r="B2427" s="68" t="s">
        <v>4540</v>
      </c>
      <c r="C2427" s="68" t="s">
        <v>39</v>
      </c>
      <c r="D2427" s="68" t="str">
        <f>VLOOKUP(C2427,layoffs_location!A:B,2,FALSE)</f>
        <v>New York</v>
      </c>
      <c r="E2427" s="68" t="str">
        <f>VLOOKUP(C2427,layoffs_location!A:C,3,FALSE)</f>
        <v>New York</v>
      </c>
      <c r="F2427" s="68" t="str">
        <f>VLOOKUP(C2427,layoffs_location!A:D,4,FALSE)</f>
        <v>USA</v>
      </c>
      <c r="G2427" s="68" t="str">
        <f>VLOOKUP(C2427,layoffs_location!A:E,5,FALSE)</f>
        <v>North America</v>
      </c>
      <c r="H2427" s="68"/>
      <c r="I2427" s="70">
        <v>46037</v>
      </c>
      <c r="J2427" s="68">
        <v>30</v>
      </c>
      <c r="K2427" s="68"/>
      <c r="L2427" s="68"/>
      <c r="M2427" s="68" t="s">
        <v>4541</v>
      </c>
      <c r="N2427" s="68" t="s">
        <v>22</v>
      </c>
      <c r="O2427" s="68"/>
      <c r="P2427" s="68">
        <v>2026</v>
      </c>
      <c r="Q2427" s="83">
        <f>VLOOKUP(C2427,layoffs_location!A:F,6,FALSE)</f>
        <v>40.7127281</v>
      </c>
      <c r="R2427" s="83">
        <f>VLOOKUP(C2427,layoffs_location!A:G,7,FALSE)</f>
        <v>-74.006015199999993</v>
      </c>
      <c r="S2427" s="68"/>
      <c r="T2427" s="68"/>
    </row>
    <row r="2428" spans="1:20" x14ac:dyDescent="0.15">
      <c r="A2428" s="68">
        <v>2427</v>
      </c>
      <c r="B2428" s="68" t="s">
        <v>555</v>
      </c>
      <c r="C2428" s="68" t="s">
        <v>1737</v>
      </c>
      <c r="D2428" s="68" t="str">
        <f>VLOOKUP(C2428,layoffs_location!A:B,2,FALSE)</f>
        <v>San Francisco Bay Area</v>
      </c>
      <c r="E2428" s="68" t="str">
        <f>VLOOKUP(C2428,layoffs_location!A:C,3,FALSE)</f>
        <v>California</v>
      </c>
      <c r="F2428" s="68" t="str">
        <f>VLOOKUP(C2428,layoffs_location!A:D,4,FALSE)</f>
        <v>USA</v>
      </c>
      <c r="G2428" s="68" t="str">
        <f>VLOOKUP(C2428,layoffs_location!A:E,5,FALSE)</f>
        <v>North America</v>
      </c>
      <c r="H2428" s="68">
        <v>100</v>
      </c>
      <c r="I2428" s="70">
        <v>46037</v>
      </c>
      <c r="J2428" s="68"/>
      <c r="K2428" s="68"/>
      <c r="L2428" s="68"/>
      <c r="M2428" s="68" t="s">
        <v>1377</v>
      </c>
      <c r="N2428" s="68" t="s">
        <v>22</v>
      </c>
      <c r="O2428" s="68"/>
      <c r="P2428" s="68">
        <v>2026</v>
      </c>
      <c r="Q2428" s="83">
        <f>VLOOKUP(C2428,layoffs_location!A:F,6,FALSE)</f>
        <v>37.561881100000001</v>
      </c>
      <c r="R2428" s="83">
        <f>VLOOKUP(C2428,layoffs_location!A:G,7,FALSE)</f>
        <v>-122.266445</v>
      </c>
      <c r="S2428" s="68"/>
      <c r="T2428" s="68"/>
    </row>
    <row r="2429" spans="1:20" x14ac:dyDescent="0.15">
      <c r="A2429" s="68">
        <v>2428</v>
      </c>
      <c r="B2429" s="68" t="s">
        <v>4540</v>
      </c>
      <c r="C2429" s="68" t="s">
        <v>39</v>
      </c>
      <c r="D2429" s="68" t="str">
        <f>VLOOKUP(C2429,layoffs_location!A:B,2,FALSE)</f>
        <v>New York</v>
      </c>
      <c r="E2429" s="68" t="str">
        <f>VLOOKUP(C2429,layoffs_location!A:C,3,FALSE)</f>
        <v>New York</v>
      </c>
      <c r="F2429" s="68" t="str">
        <f>VLOOKUP(C2429,layoffs_location!A:D,4,FALSE)</f>
        <v>USA</v>
      </c>
      <c r="G2429" s="68" t="str">
        <f>VLOOKUP(C2429,layoffs_location!A:E,5,FALSE)</f>
        <v>North America</v>
      </c>
      <c r="H2429" s="68">
        <v>60</v>
      </c>
      <c r="I2429" s="70">
        <v>46038</v>
      </c>
      <c r="J2429" s="68">
        <v>30</v>
      </c>
      <c r="K2429" s="68">
        <v>200</v>
      </c>
      <c r="L2429" s="68">
        <v>140</v>
      </c>
      <c r="M2429" s="68" t="s">
        <v>117</v>
      </c>
      <c r="N2429" s="68" t="s">
        <v>22</v>
      </c>
      <c r="O2429" s="68"/>
      <c r="P2429" s="68">
        <v>2026</v>
      </c>
      <c r="Q2429" s="83">
        <f>VLOOKUP(C2429,layoffs_location!A:F,6,FALSE)</f>
        <v>40.7127281</v>
      </c>
      <c r="R2429" s="83">
        <f>VLOOKUP(C2429,layoffs_location!A:G,7,FALSE)</f>
        <v>-74.006015199999993</v>
      </c>
      <c r="S2429" s="68"/>
      <c r="T2429" s="68"/>
    </row>
    <row r="2430" spans="1:20" x14ac:dyDescent="0.2">
      <c r="A2430" s="68">
        <v>2429</v>
      </c>
      <c r="B2430" s="69" t="s">
        <v>4542</v>
      </c>
      <c r="C2430" s="68" t="s">
        <v>43</v>
      </c>
      <c r="D2430" s="68" t="str">
        <f>VLOOKUP(C2430,layoffs_location!A:B,2,FALSE)</f>
        <v>Cascadia</v>
      </c>
      <c r="E2430" s="68" t="str">
        <f>VLOOKUP(C2430,layoffs_location!A:C,3,FALSE)</f>
        <v>Washington</v>
      </c>
      <c r="F2430" s="68" t="str">
        <f>VLOOKUP(C2430,layoffs_location!A:D,4,FALSE)</f>
        <v>USA</v>
      </c>
      <c r="G2430" s="68" t="str">
        <f>VLOOKUP(C2430,layoffs_location!A:E,5,FALSE)</f>
        <v>North America</v>
      </c>
      <c r="H2430" s="68">
        <v>18</v>
      </c>
      <c r="I2430" s="70">
        <v>46043</v>
      </c>
      <c r="J2430" s="68"/>
      <c r="K2430" s="68"/>
      <c r="L2430" s="68"/>
      <c r="M2430" s="68" t="s">
        <v>4543</v>
      </c>
      <c r="N2430" s="68" t="s">
        <v>22</v>
      </c>
      <c r="O2430" s="68"/>
      <c r="P2430" s="68">
        <v>2026</v>
      </c>
      <c r="Q2430" s="83">
        <f>VLOOKUP(C2430,layoffs_location!A:F,6,FALSE)</f>
        <v>47.603832099999998</v>
      </c>
      <c r="R2430" s="83">
        <f>VLOOKUP(C2430,layoffs_location!A:G,7,FALSE)</f>
        <v>-122.330062</v>
      </c>
      <c r="S2430" s="68"/>
      <c r="T2430" s="68"/>
    </row>
    <row r="2431" spans="1:20" x14ac:dyDescent="0.15">
      <c r="A2431" s="68">
        <v>2430</v>
      </c>
      <c r="B2431" s="68" t="s">
        <v>2046</v>
      </c>
      <c r="C2431" s="68" t="s">
        <v>1370</v>
      </c>
      <c r="D2431" s="68" t="str">
        <f>VLOOKUP(C2431,layoffs_location!A:B,2,FALSE)</f>
        <v>San Francisco Bay Area</v>
      </c>
      <c r="E2431" s="68" t="str">
        <f>VLOOKUP(C2431,layoffs_location!A:C,3,FALSE)</f>
        <v>California</v>
      </c>
      <c r="F2431" s="68" t="str">
        <f>VLOOKUP(C2431,layoffs_location!A:D,4,FALSE)</f>
        <v>USA</v>
      </c>
      <c r="G2431" s="68" t="str">
        <f>VLOOKUP(C2431,layoffs_location!A:E,5,FALSE)</f>
        <v>North America</v>
      </c>
      <c r="H2431" s="68">
        <v>1000</v>
      </c>
      <c r="I2431" s="70">
        <v>46044</v>
      </c>
      <c r="J2431" s="68"/>
      <c r="K2431" s="68"/>
      <c r="L2431" s="68"/>
      <c r="M2431" s="68" t="s">
        <v>1400</v>
      </c>
      <c r="N2431" s="68" t="s">
        <v>22</v>
      </c>
      <c r="O2431" s="68"/>
      <c r="P2431" s="68">
        <v>2026</v>
      </c>
      <c r="Q2431" s="83">
        <f>VLOOKUP(C2431,layoffs_location!A:F,6,FALSE)</f>
        <v>37.779258800000001</v>
      </c>
      <c r="R2431" s="83">
        <f>VLOOKUP(C2431,layoffs_location!A:G,7,FALSE)</f>
        <v>-122.4193286</v>
      </c>
      <c r="S2431" s="68"/>
      <c r="T2431" s="68"/>
    </row>
    <row r="2432" spans="1:20" x14ac:dyDescent="0.15">
      <c r="A2432" s="68">
        <v>2431</v>
      </c>
      <c r="B2432" s="68" t="s">
        <v>4069</v>
      </c>
      <c r="C2432" s="68" t="s">
        <v>51</v>
      </c>
      <c r="D2432" s="68" t="str">
        <f>VLOOKUP(C2432,layoffs_location!A:B,2,FALSE)</f>
        <v>other</v>
      </c>
      <c r="E2432" s="68" t="str">
        <f>VLOOKUP(C2432,layoffs_location!A:C,3,FALSE)</f>
        <v>non</v>
      </c>
      <c r="F2432" s="68" t="str">
        <f>VLOOKUP(C2432,layoffs_location!A:D,4,FALSE)</f>
        <v>Sweden</v>
      </c>
      <c r="G2432" s="68" t="str">
        <f>VLOOKUP(C2432,layoffs_location!A:E,5,FALSE)</f>
        <v>Europe</v>
      </c>
      <c r="H2432" s="68"/>
      <c r="I2432" s="70">
        <v>46045</v>
      </c>
      <c r="J2432" s="68"/>
      <c r="K2432" s="68"/>
      <c r="L2432" s="68"/>
      <c r="M2432" s="68" t="s">
        <v>2138</v>
      </c>
      <c r="N2432" s="68" t="s">
        <v>22</v>
      </c>
      <c r="O2432" s="68"/>
      <c r="P2432" s="68">
        <v>2026</v>
      </c>
      <c r="Q2432" s="83">
        <f>VLOOKUP(C2432,layoffs_location!A:F,6,FALSE)</f>
        <v>59.325117200000001</v>
      </c>
      <c r="R2432" s="83">
        <f>VLOOKUP(C2432,layoffs_location!A:G,7,FALSE)</f>
        <v>18.0710935</v>
      </c>
      <c r="S2432" s="68"/>
      <c r="T2432" s="68"/>
    </row>
    <row r="2433" spans="1:20" x14ac:dyDescent="0.15">
      <c r="A2433" s="68">
        <v>2432</v>
      </c>
      <c r="B2433" s="68" t="s">
        <v>3312</v>
      </c>
      <c r="C2433" s="68" t="s">
        <v>39</v>
      </c>
      <c r="D2433" s="68" t="str">
        <f>VLOOKUP(C2433,layoffs_location!A:B,2,FALSE)</f>
        <v>New York</v>
      </c>
      <c r="E2433" s="68" t="str">
        <f>VLOOKUP(C2433,layoffs_location!A:C,3,FALSE)</f>
        <v>New York</v>
      </c>
      <c r="F2433" s="68" t="str">
        <f>VLOOKUP(C2433,layoffs_location!A:D,4,FALSE)</f>
        <v>USA</v>
      </c>
      <c r="G2433" s="68" t="str">
        <f>VLOOKUP(C2433,layoffs_location!A:E,5,FALSE)</f>
        <v>North America</v>
      </c>
      <c r="H2433" s="68"/>
      <c r="I2433" s="70">
        <v>46045</v>
      </c>
      <c r="J2433" s="68"/>
      <c r="K2433" s="68"/>
      <c r="L2433" s="68"/>
      <c r="M2433" s="68" t="s">
        <v>4544</v>
      </c>
      <c r="N2433" s="68" t="s">
        <v>22</v>
      </c>
      <c r="O2433" s="68"/>
      <c r="P2433" s="68">
        <v>2026</v>
      </c>
      <c r="Q2433" s="83">
        <f>VLOOKUP(C2433,layoffs_location!A:F,6,FALSE)</f>
        <v>40.7127281</v>
      </c>
      <c r="R2433" s="83">
        <f>VLOOKUP(C2433,layoffs_location!A:G,7,FALSE)</f>
        <v>-74.006015199999993</v>
      </c>
      <c r="S2433" s="68"/>
      <c r="T2433" s="68"/>
    </row>
    <row r="2434" spans="1:20" x14ac:dyDescent="0.15">
      <c r="A2434" s="68">
        <v>2433</v>
      </c>
      <c r="B2434" s="68" t="s">
        <v>4545</v>
      </c>
      <c r="C2434" s="68" t="s">
        <v>39</v>
      </c>
      <c r="D2434" s="68" t="str">
        <f>VLOOKUP(C2434,layoffs_location!A:B,2,FALSE)</f>
        <v>New York</v>
      </c>
      <c r="E2434" s="68" t="str">
        <f>VLOOKUP(C2434,layoffs_location!A:C,3,FALSE)</f>
        <v>New York</v>
      </c>
      <c r="F2434" s="68" t="str">
        <f>VLOOKUP(C2434,layoffs_location!A:D,4,FALSE)</f>
        <v>USA</v>
      </c>
      <c r="G2434" s="68" t="str">
        <f>VLOOKUP(C2434,layoffs_location!A:E,5,FALSE)</f>
        <v>North America</v>
      </c>
      <c r="H2434" s="68"/>
      <c r="I2434" s="70">
        <v>46046</v>
      </c>
      <c r="J2434" s="68">
        <v>100</v>
      </c>
      <c r="K2434" s="68"/>
      <c r="L2434" s="68"/>
      <c r="M2434" s="68" t="s">
        <v>1374</v>
      </c>
      <c r="N2434" s="68" t="s">
        <v>22</v>
      </c>
      <c r="O2434" s="68"/>
      <c r="P2434" s="68">
        <v>2026</v>
      </c>
      <c r="Q2434" s="83">
        <f>VLOOKUP(C2434,layoffs_location!A:F,6,FALSE)</f>
        <v>40.7127281</v>
      </c>
      <c r="R2434" s="83">
        <f>VLOOKUP(C2434,layoffs_location!A:G,7,FALSE)</f>
        <v>-74.006015199999993</v>
      </c>
      <c r="S2434" s="68"/>
      <c r="T2434" s="68"/>
    </row>
    <row r="2435" spans="1:20" x14ac:dyDescent="0.15">
      <c r="A2435" s="68">
        <v>2434</v>
      </c>
      <c r="B2435" s="68" t="s">
        <v>4546</v>
      </c>
      <c r="C2435" s="68" t="s">
        <v>1370</v>
      </c>
      <c r="D2435" s="68" t="str">
        <f>VLOOKUP(C2435,layoffs_location!A:B,2,FALSE)</f>
        <v>San Francisco Bay Area</v>
      </c>
      <c r="E2435" s="68" t="str">
        <f>VLOOKUP(C2435,layoffs_location!A:C,3,FALSE)</f>
        <v>California</v>
      </c>
      <c r="F2435" s="68" t="str">
        <f>VLOOKUP(C2435,layoffs_location!A:D,4,FALSE)</f>
        <v>USA</v>
      </c>
      <c r="G2435" s="68" t="str">
        <f>VLOOKUP(C2435,layoffs_location!A:E,5,FALSE)</f>
        <v>North America</v>
      </c>
      <c r="H2435" s="68"/>
      <c r="I2435" s="70">
        <v>46047</v>
      </c>
      <c r="J2435" s="68">
        <v>100</v>
      </c>
      <c r="K2435" s="68"/>
      <c r="L2435" s="68"/>
      <c r="M2435" s="68" t="s">
        <v>117</v>
      </c>
      <c r="N2435" s="68" t="s">
        <v>22</v>
      </c>
      <c r="O2435" s="68"/>
      <c r="P2435" s="68">
        <v>2026</v>
      </c>
      <c r="Q2435" s="83">
        <f>VLOOKUP(C2435,layoffs_location!A:F,6,FALSE)</f>
        <v>37.779258800000001</v>
      </c>
      <c r="R2435" s="83">
        <f>VLOOKUP(C2435,layoffs_location!A:G,7,FALSE)</f>
        <v>-122.4193286</v>
      </c>
      <c r="S2435" s="68"/>
      <c r="T2435" s="68"/>
    </row>
    <row r="2436" spans="1:20" x14ac:dyDescent="0.15">
      <c r="A2436" s="68">
        <v>2435</v>
      </c>
      <c r="B2436" s="68" t="s">
        <v>2070</v>
      </c>
      <c r="C2436" s="68" t="s">
        <v>47</v>
      </c>
      <c r="D2436" s="68" t="str">
        <f>VLOOKUP(C2436,layoffs_location!A:B,2,FALSE)</f>
        <v>other</v>
      </c>
      <c r="E2436" s="68" t="str">
        <f>VLOOKUP(C2436,layoffs_location!A:C,3,FALSE)</f>
        <v>non</v>
      </c>
      <c r="F2436" s="68" t="str">
        <f>VLOOKUP(C2436,layoffs_location!A:D,4,FALSE)</f>
        <v>Israel</v>
      </c>
      <c r="G2436" s="68" t="str">
        <f>VLOOKUP(C2436,layoffs_location!A:E,5,FALSE)</f>
        <v>Asia</v>
      </c>
      <c r="H2436" s="68">
        <v>110</v>
      </c>
      <c r="I2436" s="70">
        <v>46049</v>
      </c>
      <c r="J2436" s="68">
        <v>5</v>
      </c>
      <c r="K2436" s="68">
        <v>2200</v>
      </c>
      <c r="L2436" s="68">
        <v>2090</v>
      </c>
      <c r="M2436" s="68" t="s">
        <v>2138</v>
      </c>
      <c r="N2436" s="68" t="s">
        <v>22</v>
      </c>
      <c r="O2436" s="68"/>
      <c r="P2436" s="68">
        <v>2026</v>
      </c>
      <c r="Q2436" s="83">
        <f>VLOOKUP(C2436,layoffs_location!A:F,6,FALSE)</f>
        <v>32.0852997</v>
      </c>
      <c r="R2436" s="83">
        <f>VLOOKUP(C2436,layoffs_location!A:G,7,FALSE)</f>
        <v>34.781806400000001</v>
      </c>
      <c r="S2436" s="68"/>
      <c r="T2436" s="68"/>
    </row>
    <row r="2437" spans="1:20" x14ac:dyDescent="0.15">
      <c r="A2437" s="68">
        <v>2436</v>
      </c>
      <c r="B2437" s="68" t="s">
        <v>4547</v>
      </c>
      <c r="C2437" s="68" t="s">
        <v>1370</v>
      </c>
      <c r="D2437" s="68" t="str">
        <f>VLOOKUP(C2437,layoffs_location!A:B,2,FALSE)</f>
        <v>San Francisco Bay Area</v>
      </c>
      <c r="E2437" s="68" t="str">
        <f>VLOOKUP(C2437,layoffs_location!A:C,3,FALSE)</f>
        <v>California</v>
      </c>
      <c r="F2437" s="68" t="str">
        <f>VLOOKUP(C2437,layoffs_location!A:D,4,FALSE)</f>
        <v>USA</v>
      </c>
      <c r="G2437" s="68" t="str">
        <f>VLOOKUP(C2437,layoffs_location!A:E,5,FALSE)</f>
        <v>North America</v>
      </c>
      <c r="H2437" s="68"/>
      <c r="I2437" s="70">
        <v>46049</v>
      </c>
      <c r="J2437" s="68">
        <v>15</v>
      </c>
      <c r="K2437" s="68"/>
      <c r="L2437" s="68"/>
      <c r="M2437" s="68" t="s">
        <v>4548</v>
      </c>
      <c r="N2437" s="68" t="s">
        <v>22</v>
      </c>
      <c r="O2437" s="68"/>
      <c r="P2437" s="68">
        <v>2026</v>
      </c>
      <c r="Q2437" s="83">
        <f>VLOOKUP(C2437,layoffs_location!A:F,6,FALSE)</f>
        <v>37.779258800000001</v>
      </c>
      <c r="R2437" s="83">
        <f>VLOOKUP(C2437,layoffs_location!A:G,7,FALSE)</f>
        <v>-122.4193286</v>
      </c>
      <c r="S2437" s="68"/>
      <c r="T2437" s="68"/>
    </row>
    <row r="2438" spans="1:20" x14ac:dyDescent="0.15">
      <c r="A2438" s="68">
        <v>2437</v>
      </c>
      <c r="B2438" s="68" t="s">
        <v>2052</v>
      </c>
      <c r="C2438" s="68" t="s">
        <v>4549</v>
      </c>
      <c r="D2438" s="68" t="str">
        <f>VLOOKUP(C2438,layoffs_location!A:B,2,FALSE)</f>
        <v>other</v>
      </c>
      <c r="E2438" s="68" t="str">
        <f>VLOOKUP(C2438,layoffs_location!A:C,3,FALSE)</f>
        <v>non</v>
      </c>
      <c r="F2438" s="68" t="str">
        <f>VLOOKUP(C2438,layoffs_location!A:D,4,FALSE)</f>
        <v>China</v>
      </c>
      <c r="G2438" s="68" t="str">
        <f>VLOOKUP(C2438,layoffs_location!A:E,5,FALSE)</f>
        <v>Asia</v>
      </c>
      <c r="H2438" s="68"/>
      <c r="I2438" s="70">
        <v>46050</v>
      </c>
      <c r="J2438" s="68"/>
      <c r="K2438" s="68"/>
      <c r="L2438" s="68"/>
      <c r="M2438" s="68" t="s">
        <v>2233</v>
      </c>
      <c r="N2438" s="68" t="s">
        <v>22</v>
      </c>
      <c r="O2438" s="68"/>
      <c r="P2438" s="68">
        <v>2026</v>
      </c>
      <c r="Q2438" s="83">
        <f>VLOOKUP(C2438,layoffs_location!A:F,6,FALSE)</f>
        <v>30.2707761799232</v>
      </c>
      <c r="R2438" s="83">
        <f>VLOOKUP(C2438,layoffs_location!A:G,7,FALSE)</f>
        <v>120.210330393993</v>
      </c>
      <c r="S2438" s="68"/>
      <c r="T2438" s="68"/>
    </row>
    <row r="2439" spans="1:20" x14ac:dyDescent="0.15">
      <c r="A2439" s="68">
        <v>2438</v>
      </c>
      <c r="B2439" s="68" t="s">
        <v>2433</v>
      </c>
      <c r="C2439" s="68" t="s">
        <v>4550</v>
      </c>
      <c r="D2439" s="68" t="str">
        <f>VLOOKUP(C2439,layoffs_location!A:B,2,FALSE)</f>
        <v>other</v>
      </c>
      <c r="E2439" s="68" t="str">
        <f>VLOOKUP(C2439,layoffs_location!A:C,3,FALSE)</f>
        <v>non</v>
      </c>
      <c r="F2439" s="68" t="str">
        <f>VLOOKUP(C2439,layoffs_location!A:D,4,FALSE)</f>
        <v>Netherlands</v>
      </c>
      <c r="G2439" s="68" t="str">
        <f>VLOOKUP(C2439,layoffs_location!A:E,5,FALSE)</f>
        <v>Europe</v>
      </c>
      <c r="H2439" s="68">
        <v>1700</v>
      </c>
      <c r="I2439" s="70">
        <v>46051</v>
      </c>
      <c r="J2439" s="68"/>
      <c r="K2439" s="68"/>
      <c r="L2439" s="68"/>
      <c r="M2439" s="68" t="s">
        <v>2139</v>
      </c>
      <c r="N2439" s="68" t="s">
        <v>22</v>
      </c>
      <c r="O2439" s="68"/>
      <c r="P2439" s="68">
        <v>2026</v>
      </c>
      <c r="Q2439" s="83">
        <f>VLOOKUP(C2439,layoffs_location!A:F,6,FALSE)</f>
        <v>51.419273060060199</v>
      </c>
      <c r="R2439" s="83">
        <f>VLOOKUP(C2439,layoffs_location!A:G,7,FALSE)</f>
        <v>5.3961378130372504</v>
      </c>
      <c r="S2439" s="68"/>
      <c r="T2439" s="68"/>
    </row>
    <row r="2440" spans="1:20" x14ac:dyDescent="0.15">
      <c r="A2440" s="68">
        <v>2439</v>
      </c>
      <c r="B2440" s="68" t="s">
        <v>735</v>
      </c>
      <c r="C2440" s="68" t="s">
        <v>43</v>
      </c>
      <c r="D2440" s="68" t="str">
        <f>VLOOKUP(C2440,layoffs_location!A:B,2,FALSE)</f>
        <v>Cascadia</v>
      </c>
      <c r="E2440" s="68" t="str">
        <f>VLOOKUP(C2440,layoffs_location!A:C,3,FALSE)</f>
        <v>Washington</v>
      </c>
      <c r="F2440" s="68" t="str">
        <f>VLOOKUP(C2440,layoffs_location!A:D,4,FALSE)</f>
        <v>USA</v>
      </c>
      <c r="G2440" s="68" t="str">
        <f>VLOOKUP(C2440,layoffs_location!A:E,5,FALSE)</f>
        <v>North America</v>
      </c>
      <c r="H2440" s="68">
        <v>200</v>
      </c>
      <c r="I2440" s="70">
        <v>46052</v>
      </c>
      <c r="J2440" s="68"/>
      <c r="K2440" s="68"/>
      <c r="L2440" s="68"/>
      <c r="M2440" s="68" t="s">
        <v>4551</v>
      </c>
      <c r="N2440" s="68" t="s">
        <v>22</v>
      </c>
      <c r="O2440" s="68"/>
      <c r="P2440" s="68">
        <v>2026</v>
      </c>
      <c r="Q2440" s="83">
        <f>VLOOKUP(C2440,layoffs_location!A:F,6,FALSE)</f>
        <v>47.603832099999998</v>
      </c>
      <c r="R2440" s="83">
        <f>VLOOKUP(C2440,layoffs_location!A:G,7,FALSE)</f>
        <v>-122.330062</v>
      </c>
      <c r="S2440" s="68"/>
      <c r="T2440" s="68"/>
    </row>
    <row r="2441" spans="1:20" x14ac:dyDescent="0.15">
      <c r="A2441" s="68">
        <v>2440</v>
      </c>
      <c r="B2441" s="68" t="s">
        <v>2239</v>
      </c>
      <c r="C2441" s="68" t="s">
        <v>182</v>
      </c>
      <c r="D2441" s="68" t="str">
        <f>VLOOKUP(C2441,layoffs_location!A:B,2,FALSE)</f>
        <v>other</v>
      </c>
      <c r="E2441" s="68" t="str">
        <f>VLOOKUP(C2441,layoffs_location!A:C,3,FALSE)</f>
        <v>Haryana</v>
      </c>
      <c r="F2441" s="68" t="str">
        <f>VLOOKUP(C2441,layoffs_location!A:D,4,FALSE)</f>
        <v>India</v>
      </c>
      <c r="G2441" s="68" t="str">
        <f>VLOOKUP(C2441,layoffs_location!A:E,5,FALSE)</f>
        <v>Asia</v>
      </c>
      <c r="H2441" s="68">
        <v>200</v>
      </c>
      <c r="I2441" s="70">
        <v>46052</v>
      </c>
      <c r="J2441" s="68">
        <v>40</v>
      </c>
      <c r="K2441" s="68">
        <v>500</v>
      </c>
      <c r="L2441" s="68">
        <v>300</v>
      </c>
      <c r="M2441" s="68" t="s">
        <v>1374</v>
      </c>
      <c r="N2441" s="68" t="s">
        <v>22</v>
      </c>
      <c r="O2441" s="68"/>
      <c r="P2441" s="68">
        <v>2026</v>
      </c>
      <c r="Q2441" s="83">
        <f>VLOOKUP(C2441,layoffs_location!A:F,6,FALSE)</f>
        <v>28.4646148</v>
      </c>
      <c r="R2441" s="83">
        <f>VLOOKUP(C2441,layoffs_location!A:G,7,FALSE)</f>
        <v>77.029919399999997</v>
      </c>
      <c r="S2441" s="68"/>
      <c r="T2441" s="68"/>
    </row>
    <row r="2442" spans="1:20" x14ac:dyDescent="0.15">
      <c r="A2442" s="68">
        <v>2441</v>
      </c>
      <c r="B2442" s="68" t="s">
        <v>376</v>
      </c>
      <c r="C2442" s="68" t="s">
        <v>43</v>
      </c>
      <c r="D2442" s="68" t="str">
        <f>VLOOKUP(C2442,layoffs_location!A:B,2,FALSE)</f>
        <v>Cascadia</v>
      </c>
      <c r="E2442" s="68" t="str">
        <f>VLOOKUP(C2442,layoffs_location!A:C,3,FALSE)</f>
        <v>Washington</v>
      </c>
      <c r="F2442" s="68" t="str">
        <f>VLOOKUP(C2442,layoffs_location!A:D,4,FALSE)</f>
        <v>USA</v>
      </c>
      <c r="G2442" s="68" t="str">
        <f>VLOOKUP(C2442,layoffs_location!A:E,5,FALSE)</f>
        <v>North America</v>
      </c>
      <c r="H2442" s="68">
        <v>16000</v>
      </c>
      <c r="I2442" s="70">
        <v>46052</v>
      </c>
      <c r="J2442" s="68"/>
      <c r="K2442" s="68"/>
      <c r="L2442" s="68"/>
      <c r="M2442" s="68" t="s">
        <v>1400</v>
      </c>
      <c r="N2442" s="68" t="s">
        <v>22</v>
      </c>
      <c r="O2442" s="68"/>
      <c r="P2442" s="68">
        <v>2026</v>
      </c>
      <c r="Q2442" s="83">
        <f>VLOOKUP(C2442,layoffs_location!A:F,6,FALSE)</f>
        <v>47.603832099999998</v>
      </c>
      <c r="R2442" s="83">
        <f>VLOOKUP(C2442,layoffs_location!A:G,7,FALSE)</f>
        <v>-122.330062</v>
      </c>
      <c r="S2442" s="68"/>
      <c r="T2442" s="68"/>
    </row>
    <row r="2443" spans="1:20" x14ac:dyDescent="0.15">
      <c r="A2443" s="68">
        <v>2442</v>
      </c>
      <c r="B2443" s="68" t="s">
        <v>1976</v>
      </c>
      <c r="C2443" s="68" t="s">
        <v>13</v>
      </c>
      <c r="D2443" s="68" t="str">
        <f>VLOOKUP(C2443,layoffs_location!A:B,2,FALSE)</f>
        <v>other</v>
      </c>
      <c r="E2443" s="68" t="str">
        <f>VLOOKUP(C2443,layoffs_location!A:C,3,FALSE)</f>
        <v>Karnataka</v>
      </c>
      <c r="F2443" s="68" t="str">
        <f>VLOOKUP(C2443,layoffs_location!A:D,4,FALSE)</f>
        <v>India</v>
      </c>
      <c r="G2443" s="68" t="str">
        <f>VLOOKUP(C2443,layoffs_location!A:E,5,FALSE)</f>
        <v>Asia</v>
      </c>
      <c r="H2443" s="68">
        <v>620</v>
      </c>
      <c r="I2443" s="70">
        <v>46053</v>
      </c>
      <c r="J2443" s="68">
        <v>5</v>
      </c>
      <c r="K2443" s="68">
        <v>12400</v>
      </c>
      <c r="L2443" s="68">
        <v>11780</v>
      </c>
      <c r="M2443" s="68" t="s">
        <v>1389</v>
      </c>
      <c r="N2443" s="68" t="s">
        <v>22</v>
      </c>
      <c r="O2443" s="68"/>
      <c r="P2443" s="68">
        <v>2026</v>
      </c>
      <c r="Q2443" s="83">
        <f>VLOOKUP(C2443,layoffs_location!A:F,6,FALSE)</f>
        <v>12.98815675</v>
      </c>
      <c r="R2443" s="83">
        <f>VLOOKUP(C2443,layoffs_location!A:G,7,FALSE)</f>
        <v>77.622600037959998</v>
      </c>
      <c r="S2443" s="68"/>
      <c r="T2443" s="68"/>
    </row>
    <row r="2444" spans="1:20" x14ac:dyDescent="0.15">
      <c r="A2444" s="68">
        <v>2443</v>
      </c>
      <c r="B2444" s="68" t="s">
        <v>4547</v>
      </c>
      <c r="C2444" s="68" t="s">
        <v>1370</v>
      </c>
      <c r="D2444" s="68" t="str">
        <f>VLOOKUP(C2444,layoffs_location!A:B,2,FALSE)</f>
        <v>San Francisco Bay Area</v>
      </c>
      <c r="E2444" s="68" t="str">
        <f>VLOOKUP(C2444,layoffs_location!A:C,3,FALSE)</f>
        <v>California</v>
      </c>
      <c r="F2444" s="68" t="str">
        <f>VLOOKUP(C2444,layoffs_location!A:D,4,FALSE)</f>
        <v>USA</v>
      </c>
      <c r="G2444" s="68" t="str">
        <f>VLOOKUP(C2444,layoffs_location!A:E,5,FALSE)</f>
        <v>North America</v>
      </c>
      <c r="H2444" s="68">
        <v>2</v>
      </c>
      <c r="I2444" s="70">
        <v>46057</v>
      </c>
      <c r="J2444" s="68"/>
      <c r="K2444" s="68"/>
      <c r="L2444" s="68"/>
      <c r="M2444" s="68" t="s">
        <v>4548</v>
      </c>
      <c r="N2444" s="68" t="s">
        <v>22</v>
      </c>
      <c r="O2444" s="68"/>
      <c r="P2444" s="68">
        <v>2026</v>
      </c>
      <c r="Q2444" s="83">
        <f>VLOOKUP(C2444,layoffs_location!A:F,6,FALSE)</f>
        <v>37.779258800000001</v>
      </c>
      <c r="R2444" s="83">
        <f>VLOOKUP(C2444,layoffs_location!A:G,7,FALSE)</f>
        <v>-122.4193286</v>
      </c>
      <c r="S2444" s="68"/>
      <c r="T2444" s="68"/>
    </row>
    <row r="2445" spans="1:20" x14ac:dyDescent="0.15">
      <c r="A2445" s="68">
        <v>2444</v>
      </c>
      <c r="B2445" s="68" t="s">
        <v>434</v>
      </c>
      <c r="C2445" s="68" t="s">
        <v>2221</v>
      </c>
      <c r="D2445" s="68" t="str">
        <f>VLOOKUP(C2445,layoffs_location!A:B,2,FALSE)</f>
        <v>other</v>
      </c>
      <c r="E2445" s="68" t="str">
        <f>VLOOKUP(C2445,layoffs_location!A:C,3,FALSE)</f>
        <v>Washington</v>
      </c>
      <c r="F2445" s="68" t="str">
        <f>VLOOKUP(C2445,layoffs_location!A:D,4,FALSE)</f>
        <v>USA</v>
      </c>
      <c r="G2445" s="68" t="str">
        <f>VLOOKUP(C2445,layoffs_location!A:E,5,FALSE)</f>
        <v>North America</v>
      </c>
      <c r="H2445" s="68"/>
      <c r="I2445" s="70">
        <v>46057</v>
      </c>
      <c r="J2445" s="68"/>
      <c r="K2445" s="68"/>
      <c r="L2445" s="68"/>
      <c r="M2445" s="68" t="s">
        <v>4552</v>
      </c>
      <c r="N2445" s="68" t="s">
        <v>22</v>
      </c>
      <c r="O2445" s="68"/>
      <c r="P2445" s="68">
        <v>2026</v>
      </c>
      <c r="Q2445" s="83">
        <f>VLOOKUP(C2445,layoffs_location!A:F,6,FALSE)</f>
        <v>47.593467945109602</v>
      </c>
      <c r="R2445" s="83">
        <f>VLOOKUP(C2445,layoffs_location!A:G,7,FALSE)</f>
        <v>-122.190877725398</v>
      </c>
      <c r="S2445" s="68"/>
      <c r="T2445" s="68"/>
    </row>
    <row r="2446" spans="1:20" x14ac:dyDescent="0.15">
      <c r="A2446" s="68">
        <v>2445</v>
      </c>
      <c r="B2446" s="68" t="s">
        <v>2931</v>
      </c>
      <c r="C2446" s="68" t="s">
        <v>47</v>
      </c>
      <c r="D2446" s="68" t="str">
        <f>VLOOKUP(C2446,layoffs_location!A:B,2,FALSE)</f>
        <v>other</v>
      </c>
      <c r="E2446" s="68" t="str">
        <f>VLOOKUP(C2446,layoffs_location!A:C,3,FALSE)</f>
        <v>non</v>
      </c>
      <c r="F2446" s="68" t="str">
        <f>VLOOKUP(C2446,layoffs_location!A:D,4,FALSE)</f>
        <v>Israel</v>
      </c>
      <c r="G2446" s="68" t="str">
        <f>VLOOKUP(C2446,layoffs_location!A:E,5,FALSE)</f>
        <v>Asia</v>
      </c>
      <c r="H2446" s="68">
        <v>110</v>
      </c>
      <c r="I2446" s="70">
        <v>46057</v>
      </c>
      <c r="J2446" s="68"/>
      <c r="K2446" s="68"/>
      <c r="L2446" s="68"/>
      <c r="M2446" s="68" t="s">
        <v>2169</v>
      </c>
      <c r="N2446" s="68" t="s">
        <v>22</v>
      </c>
      <c r="O2446" s="68"/>
      <c r="P2446" s="68">
        <v>2026</v>
      </c>
      <c r="Q2446" s="83">
        <f>VLOOKUP(C2446,layoffs_location!A:F,6,FALSE)</f>
        <v>32.0852997</v>
      </c>
      <c r="R2446" s="83">
        <f>VLOOKUP(C2446,layoffs_location!A:G,7,FALSE)</f>
        <v>34.781806400000001</v>
      </c>
      <c r="S2446" s="68"/>
      <c r="T2446" s="68"/>
    </row>
    <row r="2447" spans="1:20" x14ac:dyDescent="0.15">
      <c r="A2447" s="68">
        <v>2446</v>
      </c>
      <c r="B2447" s="68" t="s">
        <v>2248</v>
      </c>
      <c r="C2447" s="68" t="s">
        <v>39</v>
      </c>
      <c r="D2447" s="68" t="str">
        <f>VLOOKUP(C2447,layoffs_location!A:B,2,FALSE)</f>
        <v>New York</v>
      </c>
      <c r="E2447" s="68" t="str">
        <f>VLOOKUP(C2447,layoffs_location!A:C,3,FALSE)</f>
        <v>New York</v>
      </c>
      <c r="F2447" s="68" t="str">
        <f>VLOOKUP(C2447,layoffs_location!A:D,4,FALSE)</f>
        <v>USA</v>
      </c>
      <c r="G2447" s="68" t="str">
        <f>VLOOKUP(C2447,layoffs_location!A:E,5,FALSE)</f>
        <v>North America</v>
      </c>
      <c r="H2447" s="68"/>
      <c r="I2447" s="70">
        <v>46058</v>
      </c>
      <c r="J2447" s="68"/>
      <c r="K2447" s="68"/>
      <c r="L2447" s="68"/>
      <c r="M2447" s="68" t="s">
        <v>4553</v>
      </c>
      <c r="N2447" s="68" t="s">
        <v>22</v>
      </c>
      <c r="O2447" s="68"/>
      <c r="P2447" s="68">
        <v>2026</v>
      </c>
      <c r="Q2447" s="83">
        <f>VLOOKUP(C2447,layoffs_location!A:F,6,FALSE)</f>
        <v>40.7127281</v>
      </c>
      <c r="R2447" s="83">
        <f>VLOOKUP(C2447,layoffs_location!A:G,7,FALSE)</f>
        <v>-74.006015199999993</v>
      </c>
      <c r="S2447" s="68"/>
      <c r="T2447" s="68"/>
    </row>
    <row r="2448" spans="1:20" x14ac:dyDescent="0.15">
      <c r="A2448" s="68">
        <v>2447</v>
      </c>
      <c r="B2448" s="68" t="s">
        <v>4554</v>
      </c>
      <c r="C2448" s="68" t="s">
        <v>132</v>
      </c>
      <c r="D2448" s="68" t="str">
        <f>VLOOKUP(C2448,layoffs_location!A:B,2,FALSE)</f>
        <v>other</v>
      </c>
      <c r="E2448" s="68" t="str">
        <f>VLOOKUP(C2448,layoffs_location!A:C,3,FALSE)</f>
        <v>Colorado</v>
      </c>
      <c r="F2448" s="68" t="str">
        <f>VLOOKUP(C2448,layoffs_location!A:D,4,FALSE)</f>
        <v>USA</v>
      </c>
      <c r="G2448" s="68" t="str">
        <f>VLOOKUP(C2448,layoffs_location!A:E,5,FALSE)</f>
        <v>North America</v>
      </c>
      <c r="H2448" s="68">
        <v>350</v>
      </c>
      <c r="I2448" s="70">
        <v>46058</v>
      </c>
      <c r="J2448" s="68"/>
      <c r="K2448" s="68"/>
      <c r="L2448" s="68"/>
      <c r="M2448" s="68" t="s">
        <v>4555</v>
      </c>
      <c r="N2448" s="68" t="s">
        <v>22</v>
      </c>
      <c r="O2448" s="68"/>
      <c r="P2448" s="68">
        <v>2026</v>
      </c>
      <c r="Q2448" s="83">
        <f>VLOOKUP(C2448,layoffs_location!A:F,6,FALSE)</f>
        <v>39.739236400000003</v>
      </c>
      <c r="R2448" s="83">
        <f>VLOOKUP(C2,layoffs_location!A:G,7,FALSE)</f>
        <v>-118.242766</v>
      </c>
      <c r="S2448" s="68"/>
      <c r="T2448" s="68"/>
    </row>
    <row r="2449" spans="1:20" x14ac:dyDescent="0.15">
      <c r="A2449" s="68">
        <v>2448</v>
      </c>
      <c r="B2449" s="68" t="s">
        <v>284</v>
      </c>
      <c r="C2449" s="68" t="s">
        <v>1694</v>
      </c>
      <c r="D2449" s="68" t="str">
        <f>VLOOKUP(C2449,layoffs_location!A:B,2,FALSE)</f>
        <v>San Francisco Bay Area</v>
      </c>
      <c r="E2449" s="68" t="str">
        <f>VLOOKUP(C2449,layoffs_location!A:C,3,FALSE)</f>
        <v>California</v>
      </c>
      <c r="F2449" s="68" t="str">
        <f>VLOOKUP(C2449,layoffs_location!A:D,4,FALSE)</f>
        <v>USA</v>
      </c>
      <c r="G2449" s="68" t="str">
        <f>VLOOKUP(C2449,layoffs_location!A:E,5,FALSE)</f>
        <v>North America</v>
      </c>
      <c r="H2449" s="68">
        <v>47</v>
      </c>
      <c r="I2449" s="70">
        <v>46058</v>
      </c>
      <c r="J2449" s="68"/>
      <c r="K2449" s="68"/>
      <c r="L2449" s="68"/>
      <c r="M2449" s="68" t="s">
        <v>4556</v>
      </c>
      <c r="N2449" s="68" t="s">
        <v>22</v>
      </c>
      <c r="O2449" s="68"/>
      <c r="P2449" s="68">
        <v>2026</v>
      </c>
      <c r="Q2449" s="83">
        <f>VLOOKUP(C2449,layoffs_location!A:F,6,FALSE)</f>
        <v>37.336166300000002</v>
      </c>
      <c r="R2449" s="83">
        <f>VLOOKUP(C2449,layoffs_location!A:G,7,FALSE)</f>
        <v>-121.890591</v>
      </c>
      <c r="S2449" s="68"/>
      <c r="T2449" s="68"/>
    </row>
    <row r="2450" spans="1:20" x14ac:dyDescent="0.15">
      <c r="A2450" s="68">
        <v>2449</v>
      </c>
      <c r="B2450" s="68" t="s">
        <v>4557</v>
      </c>
      <c r="C2450" s="68" t="s">
        <v>13</v>
      </c>
      <c r="D2450" s="68" t="str">
        <f>VLOOKUP(C2450,layoffs_location!A:B,2,FALSE)</f>
        <v>other</v>
      </c>
      <c r="E2450" s="68" t="str">
        <f>VLOOKUP(C2450,layoffs_location!A:C,3,FALSE)</f>
        <v>Karnataka</v>
      </c>
      <c r="F2450" s="68" t="str">
        <f>VLOOKUP(C2450,layoffs_location!A:D,4,FALSE)</f>
        <v>India</v>
      </c>
      <c r="G2450" s="68" t="str">
        <f>VLOOKUP(C2450,layoffs_location!A:E,5,FALSE)</f>
        <v>Asia</v>
      </c>
      <c r="H2450" s="68"/>
      <c r="I2450" s="70">
        <v>46058</v>
      </c>
      <c r="J2450" s="68"/>
      <c r="K2450" s="68"/>
      <c r="L2450" s="68"/>
      <c r="M2450" s="68" t="s">
        <v>2123</v>
      </c>
      <c r="N2450" s="68" t="s">
        <v>22</v>
      </c>
      <c r="O2450" s="68"/>
      <c r="P2450" s="68">
        <v>2026</v>
      </c>
      <c r="Q2450" s="83">
        <f>VLOOKUP(C2450,layoffs_location!A:F,6,FALSE)</f>
        <v>12.98815675</v>
      </c>
      <c r="R2450" s="83">
        <f>VLOOKUP(C2450,layoffs_location!A:G,7,FALSE)</f>
        <v>77.622600037959998</v>
      </c>
      <c r="S2450" s="68"/>
      <c r="T2450" s="68"/>
    </row>
    <row r="2451" spans="1:20" x14ac:dyDescent="0.15">
      <c r="A2451" s="68">
        <v>2450</v>
      </c>
      <c r="B2451" s="68" t="s">
        <v>876</v>
      </c>
      <c r="C2451" s="68" t="s">
        <v>39</v>
      </c>
      <c r="D2451" s="68" t="str">
        <f>VLOOKUP(C2451,layoffs_location!A:B,2,FALSE)</f>
        <v>New York</v>
      </c>
      <c r="E2451" s="68" t="str">
        <f>VLOOKUP(C2451,layoffs_location!A:C,3,FALSE)</f>
        <v>New York</v>
      </c>
      <c r="F2451" s="68" t="str">
        <f>VLOOKUP(C2451,layoffs_location!A:D,4,FALSE)</f>
        <v>USA</v>
      </c>
      <c r="G2451" s="68" t="str">
        <f>VLOOKUP(C2451,layoffs_location!A:E,5,FALSE)</f>
        <v>North America</v>
      </c>
      <c r="H2451" s="68">
        <v>200</v>
      </c>
      <c r="I2451" s="70">
        <v>46058</v>
      </c>
      <c r="J2451" s="68"/>
      <c r="K2451" s="68"/>
      <c r="L2451" s="68"/>
      <c r="M2451" s="68" t="s">
        <v>2169</v>
      </c>
      <c r="N2451" s="68" t="s">
        <v>22</v>
      </c>
      <c r="O2451" s="68"/>
      <c r="P2451" s="68">
        <v>2026</v>
      </c>
      <c r="Q2451" s="83">
        <f>VLOOKUP(C2451,layoffs_location!A:F,6,FALSE)</f>
        <v>40.7127281</v>
      </c>
      <c r="R2451" s="83">
        <f>VLOOKUP(C2451,layoffs_location!A:G,7,FALSE)</f>
        <v>-74.006015199999993</v>
      </c>
      <c r="S2451" s="68"/>
      <c r="T2451" s="68"/>
    </row>
    <row r="2452" spans="1:20" x14ac:dyDescent="0.15">
      <c r="A2452" s="68">
        <v>2451</v>
      </c>
      <c r="B2452" s="68" t="s">
        <v>4558</v>
      </c>
      <c r="C2452" s="68" t="s">
        <v>260</v>
      </c>
      <c r="D2452" s="68" t="str">
        <f>VLOOKUP(C2452,layoffs_location!A:B,2,FALSE)</f>
        <v>other</v>
      </c>
      <c r="E2452" s="68" t="str">
        <f>VLOOKUP(C2452,layoffs_location!A:C,3,FALSE)</f>
        <v>District of Columbia</v>
      </c>
      <c r="F2452" s="68" t="str">
        <f>VLOOKUP(C2452,layoffs_location!A:D,4,FALSE)</f>
        <v>USA</v>
      </c>
      <c r="G2452" s="68" t="str">
        <f>VLOOKUP(C2452,layoffs_location!A:E,5,FALSE)</f>
        <v>North America</v>
      </c>
      <c r="H2452" s="68">
        <v>300</v>
      </c>
      <c r="I2452" s="70">
        <v>46058</v>
      </c>
      <c r="J2452" s="68"/>
      <c r="K2452" s="68"/>
      <c r="L2452" s="68"/>
      <c r="M2452" s="68" t="s">
        <v>4559</v>
      </c>
      <c r="N2452" s="68" t="s">
        <v>22</v>
      </c>
      <c r="O2452" s="68"/>
      <c r="P2452" s="68">
        <v>2026</v>
      </c>
      <c r="Q2452" s="83">
        <f>VLOOKUP(C2452,layoffs_location!A:F,6,FALSE)</f>
        <v>38.8950368</v>
      </c>
      <c r="R2452" s="83">
        <f>VLOOKUP(C2452,layoffs_location!A:G,7,FALSE)</f>
        <v>-77.036542699999998</v>
      </c>
      <c r="S2452" s="68"/>
      <c r="T2452" s="68"/>
    </row>
    <row r="2453" spans="1:20" x14ac:dyDescent="0.15">
      <c r="A2453" s="68">
        <v>2452</v>
      </c>
      <c r="B2453" s="68" t="s">
        <v>480</v>
      </c>
      <c r="C2453" s="68" t="s">
        <v>1704</v>
      </c>
      <c r="D2453" s="68" t="str">
        <f>VLOOKUP(C2453,layoffs_location!A:B,2,FALSE)</f>
        <v>San Francisco Bay Area</v>
      </c>
      <c r="E2453" s="68" t="str">
        <f>VLOOKUP(C2453,layoffs_location!A:C,3,FALSE)</f>
        <v>California</v>
      </c>
      <c r="F2453" s="68" t="str">
        <f>VLOOKUP(C2453,layoffs_location!A:D,4,FALSE)</f>
        <v>USA</v>
      </c>
      <c r="G2453" s="68" t="str">
        <f>VLOOKUP(C2453,layoffs_location!A:E,5,FALSE)</f>
        <v>North America</v>
      </c>
      <c r="H2453" s="68">
        <v>400</v>
      </c>
      <c r="I2453" s="70">
        <v>46058</v>
      </c>
      <c r="J2453" s="68"/>
      <c r="K2453" s="68"/>
      <c r="L2453" s="68"/>
      <c r="M2453" s="68" t="s">
        <v>4560</v>
      </c>
      <c r="N2453" s="68" t="s">
        <v>22</v>
      </c>
      <c r="O2453" s="68"/>
      <c r="P2453" s="68">
        <v>2026</v>
      </c>
      <c r="Q2453" s="83">
        <f>VLOOKUP(C2453,layoffs_location!A:F,6,FALSE)</f>
        <v>37.6624312</v>
      </c>
      <c r="R2453" s="83">
        <f>VLOOKUP(C2453,layoffs_location!A:G,7,FALSE)</f>
        <v>-121.87467890000001</v>
      </c>
      <c r="S2453" s="68"/>
      <c r="T2453" s="68"/>
    </row>
    <row r="2454" spans="1:20" x14ac:dyDescent="0.15">
      <c r="A2454" s="68">
        <v>2453</v>
      </c>
      <c r="B2454" s="68" t="s">
        <v>2515</v>
      </c>
      <c r="C2454" s="68" t="s">
        <v>4561</v>
      </c>
      <c r="D2454" s="68" t="str">
        <f>VLOOKUP(C2454,layoffs_location!A:B,2,FALSE)</f>
        <v>London</v>
      </c>
      <c r="E2454" s="68" t="str">
        <f>VLOOKUP(C2454,layoffs_location!A:C,3,FALSE)</f>
        <v>England</v>
      </c>
      <c r="F2454" s="68" t="str">
        <f>VLOOKUP(C2454,layoffs_location!A:D,4,FALSE)</f>
        <v>UK</v>
      </c>
      <c r="G2454" s="68" t="str">
        <f>VLOOKUP(C2454,layoffs_location!A:E,5,FALSE)</f>
        <v>Europe</v>
      </c>
      <c r="H2454" s="68">
        <v>1000</v>
      </c>
      <c r="I2454" s="70">
        <v>46061</v>
      </c>
      <c r="J2454" s="68"/>
      <c r="K2454" s="68"/>
      <c r="L2454" s="68"/>
      <c r="M2454" s="68" t="s">
        <v>30</v>
      </c>
      <c r="N2454" s="68" t="s">
        <v>22</v>
      </c>
      <c r="O2454" s="68"/>
      <c r="P2454" s="68">
        <v>2026</v>
      </c>
      <c r="Q2454" s="83">
        <f>VLOOKUP(C2454,layoffs_location!A:F,6,FALSE)</f>
        <v>51.760068088661903</v>
      </c>
      <c r="R2454" s="83">
        <f>VLOOKUP(C2454,layoffs_location!A:G,7,FALSE)</f>
        <v>-0.22349345472846099</v>
      </c>
      <c r="S2454" s="68"/>
      <c r="T2454" s="68"/>
    </row>
    <row r="2455" spans="1:20" x14ac:dyDescent="0.15">
      <c r="A2455" s="68">
        <v>2454</v>
      </c>
      <c r="B2455" s="68" t="s">
        <v>1520</v>
      </c>
      <c r="C2455" s="68" t="s">
        <v>1726</v>
      </c>
      <c r="D2455" s="68" t="str">
        <f>VLOOKUP(C2455,layoffs_location!A:B,2,FALSE)</f>
        <v>San Francisco Bay Area</v>
      </c>
      <c r="E2455" s="68" t="str">
        <f>VLOOKUP(C2455,layoffs_location!A:C,3,FALSE)</f>
        <v>California</v>
      </c>
      <c r="F2455" s="68" t="str">
        <f>VLOOKUP(C2455,layoffs_location!A:D,4,FALSE)</f>
        <v>USA</v>
      </c>
      <c r="G2455" s="68" t="str">
        <f>VLOOKUP(C2455,layoffs_location!A:E,5,FALSE)</f>
        <v>North America</v>
      </c>
      <c r="H2455" s="68"/>
      <c r="I2455" s="70">
        <v>46061</v>
      </c>
      <c r="J2455" s="68">
        <v>10</v>
      </c>
      <c r="K2455" s="68"/>
      <c r="L2455" s="68"/>
      <c r="M2455" s="68" t="s">
        <v>2169</v>
      </c>
      <c r="N2455" s="68" t="s">
        <v>22</v>
      </c>
      <c r="O2455" s="68"/>
      <c r="P2455" s="68">
        <v>2026</v>
      </c>
      <c r="Q2455" s="83">
        <f>VLOOKUP(C2455,layoffs_location!A:F,6,FALSE)</f>
        <v>37.804455699999998</v>
      </c>
      <c r="R2455" s="83">
        <f>VLOOKUP(C2455,layoffs_location!A:G,7,FALSE)</f>
        <v>-122.271356</v>
      </c>
      <c r="S2455" s="68"/>
      <c r="T2455" s="68"/>
    </row>
    <row r="2456" spans="1:20" x14ac:dyDescent="0.15">
      <c r="A2456" s="68">
        <v>2455</v>
      </c>
      <c r="B2456" s="68" t="s">
        <v>4562</v>
      </c>
      <c r="C2456" s="68" t="s">
        <v>4757</v>
      </c>
      <c r="D2456" s="68" t="str">
        <f>VLOOKUP(C2456,layoffs_location!A:B,2,FALSE)</f>
        <v>other</v>
      </c>
      <c r="E2456" s="68" t="str">
        <f>VLOOKUP(C2456,layoffs_location!A:C,3,FALSE)</f>
        <v>Steiermark</v>
      </c>
      <c r="F2456" s="68" t="str">
        <f>VLOOKUP(C2456,layoffs_location!A:D,4,FALSE)</f>
        <v>Austria</v>
      </c>
      <c r="G2456" s="68" t="str">
        <f>VLOOKUP(C2456,layoffs_location!A:E,5,FALSE)</f>
        <v>Europe</v>
      </c>
      <c r="H2456" s="68">
        <v>2000</v>
      </c>
      <c r="I2456" s="70">
        <v>46063</v>
      </c>
      <c r="J2456" s="68"/>
      <c r="K2456" s="68"/>
      <c r="L2456" s="68"/>
      <c r="M2456" s="68" t="s">
        <v>2139</v>
      </c>
      <c r="N2456" s="68" t="s">
        <v>22</v>
      </c>
      <c r="O2456" s="68"/>
      <c r="P2456" s="68">
        <v>2026</v>
      </c>
      <c r="Q2456" s="83">
        <f>VLOOKUP(C2456,layoffs_location!A:F,6,FALSE)</f>
        <v>46.966307836136501</v>
      </c>
      <c r="R2456" s="83">
        <f>VLOOKUP(C2456,layoffs_location!A:G,7,FALSE)</f>
        <v>15.414072746647101</v>
      </c>
      <c r="S2456" s="68"/>
      <c r="T2456" s="68"/>
    </row>
    <row r="2457" spans="1:20" x14ac:dyDescent="0.15">
      <c r="A2457" s="68">
        <v>2456</v>
      </c>
      <c r="B2457" s="68" t="s">
        <v>3439</v>
      </c>
      <c r="C2457" s="68" t="s">
        <v>1694</v>
      </c>
      <c r="D2457" s="68" t="str">
        <f>VLOOKUP(C2457,layoffs_location!A:B,2,FALSE)</f>
        <v>San Francisco Bay Area</v>
      </c>
      <c r="E2457" s="68" t="str">
        <f>VLOOKUP(C2457,layoffs_location!A:C,3,FALSE)</f>
        <v>California</v>
      </c>
      <c r="F2457" s="68" t="str">
        <f>VLOOKUP(C2457,layoffs_location!A:D,4,FALSE)</f>
        <v>USA</v>
      </c>
      <c r="G2457" s="68" t="str">
        <f>VLOOKUP(C2457,layoffs_location!A:E,5,FALSE)</f>
        <v>North America</v>
      </c>
      <c r="H2457" s="68"/>
      <c r="I2457" s="70">
        <v>46063</v>
      </c>
      <c r="J2457" s="68">
        <v>7</v>
      </c>
      <c r="K2457" s="68"/>
      <c r="L2457" s="68"/>
      <c r="M2457" s="68" t="s">
        <v>2139</v>
      </c>
      <c r="N2457" s="68" t="s">
        <v>22</v>
      </c>
      <c r="O2457" s="68"/>
      <c r="P2457" s="68">
        <v>2026</v>
      </c>
      <c r="Q2457" s="83">
        <f>VLOOKUP(C2457,layoffs_location!A:F,6,FALSE)</f>
        <v>37.336166300000002</v>
      </c>
      <c r="R2457" s="83">
        <f>VLOOKUP(C2457,layoffs_location!A:G,7,FALSE)</f>
        <v>-121.890591</v>
      </c>
      <c r="S2457" s="68"/>
      <c r="T2457" s="68"/>
    </row>
    <row r="2458" spans="1:20" x14ac:dyDescent="0.15">
      <c r="A2458" s="68">
        <v>2457</v>
      </c>
      <c r="B2458" s="68" t="s">
        <v>4563</v>
      </c>
      <c r="C2458" s="68" t="s">
        <v>4564</v>
      </c>
      <c r="D2458" s="68" t="str">
        <f>VLOOKUP(C2458,layoffs_location!A:B,2,FALSE)</f>
        <v>Washingtion DC</v>
      </c>
      <c r="E2458" s="68" t="str">
        <f>VLOOKUP(C2458,layoffs_location!A:C,3,FALSE)</f>
        <v>Virginia</v>
      </c>
      <c r="F2458" s="68" t="str">
        <f>VLOOKUP(C2458,layoffs_location!A:D,4,FALSE)</f>
        <v>USA</v>
      </c>
      <c r="G2458" s="68" t="str">
        <f>VLOOKUP(C2458,layoffs_location!A:E,5,FALSE)</f>
        <v>North America</v>
      </c>
      <c r="H2458" s="68"/>
      <c r="I2458" s="70">
        <v>46064</v>
      </c>
      <c r="J2458" s="68"/>
      <c r="K2458" s="68"/>
      <c r="L2458" s="68"/>
      <c r="M2458" s="68" t="s">
        <v>2157</v>
      </c>
      <c r="N2458" s="68" t="s">
        <v>22</v>
      </c>
      <c r="O2458" s="68"/>
      <c r="P2458" s="68">
        <v>2026</v>
      </c>
      <c r="Q2458" s="83">
        <f>VLOOKUP(C2458,layoffs_location!A:F,6,FALSE)</f>
        <v>38.944883105931197</v>
      </c>
      <c r="R2458" s="83">
        <f>VLOOKUP(C2458,layoffs_location!A:G,7,FALSE)</f>
        <v>-77.187318735298206</v>
      </c>
      <c r="S2458" s="68"/>
      <c r="T2458" s="68"/>
    </row>
    <row r="2459" spans="1:20" x14ac:dyDescent="0.15">
      <c r="A2459" s="68">
        <v>2458</v>
      </c>
      <c r="B2459" s="68" t="s">
        <v>4565</v>
      </c>
      <c r="C2459" s="68" t="s">
        <v>13</v>
      </c>
      <c r="D2459" s="68" t="str">
        <f>VLOOKUP(C2459,layoffs_location!A:B,2,FALSE)</f>
        <v>other</v>
      </c>
      <c r="E2459" s="68" t="str">
        <f>VLOOKUP(C2459,layoffs_location!A:C,3,FALSE)</f>
        <v>Karnataka</v>
      </c>
      <c r="F2459" s="68" t="str">
        <f>VLOOKUP(C2459,layoffs_location!A:D,4,FALSE)</f>
        <v>India</v>
      </c>
      <c r="G2459" s="68" t="str">
        <f>VLOOKUP(C2459,layoffs_location!A:E,5,FALSE)</f>
        <v>Asia</v>
      </c>
      <c r="H2459" s="68"/>
      <c r="I2459" s="70">
        <v>46064</v>
      </c>
      <c r="J2459" s="68"/>
      <c r="K2459" s="68"/>
      <c r="L2459" s="68"/>
      <c r="M2459" s="68" t="s">
        <v>1377</v>
      </c>
      <c r="N2459" s="68" t="s">
        <v>22</v>
      </c>
      <c r="O2459" s="68"/>
      <c r="P2459" s="68">
        <v>2026</v>
      </c>
      <c r="Q2459" s="83">
        <f>VLOOKUP(C2459,layoffs_location!A:F,6,FALSE)</f>
        <v>12.98815675</v>
      </c>
      <c r="R2459" s="83">
        <f>VLOOKUP(C2459,layoffs_location!A:G,7,FALSE)</f>
        <v>77.622600037959998</v>
      </c>
      <c r="S2459" s="68"/>
      <c r="T2459" s="68"/>
    </row>
    <row r="2460" spans="1:20" x14ac:dyDescent="0.15">
      <c r="A2460" s="68">
        <v>2459</v>
      </c>
      <c r="B2460" s="68" t="s">
        <v>1636</v>
      </c>
      <c r="C2460" s="68" t="s">
        <v>1370</v>
      </c>
      <c r="D2460" s="68" t="str">
        <f>VLOOKUP(C2460,layoffs_location!A:B,2,FALSE)</f>
        <v>San Francisco Bay Area</v>
      </c>
      <c r="E2460" s="68" t="str">
        <f>VLOOKUP(C2460,layoffs_location!A:C,3,FALSE)</f>
        <v>California</v>
      </c>
      <c r="F2460" s="68" t="str">
        <f>VLOOKUP(C2460,layoffs_location!A:D,4,FALSE)</f>
        <v>USA</v>
      </c>
      <c r="G2460" s="68" t="str">
        <f>VLOOKUP(C2460,layoffs_location!A:E,5,FALSE)</f>
        <v>North America</v>
      </c>
      <c r="H2460" s="68">
        <v>1000</v>
      </c>
      <c r="I2460" s="70">
        <v>46064</v>
      </c>
      <c r="J2460" s="68"/>
      <c r="K2460" s="68"/>
      <c r="L2460" s="68"/>
      <c r="M2460" s="68" t="s">
        <v>1400</v>
      </c>
      <c r="N2460" s="68" t="s">
        <v>22</v>
      </c>
      <c r="O2460" s="68"/>
      <c r="P2460" s="68">
        <v>2026</v>
      </c>
      <c r="Q2460" s="83">
        <f>VLOOKUP(C2460,layoffs_location!A:F,6,FALSE)</f>
        <v>37.779258800000001</v>
      </c>
      <c r="R2460" s="83">
        <f>VLOOKUP(C2460,layoffs_location!A:G,7,FALSE)</f>
        <v>-122.4193286</v>
      </c>
      <c r="S2460" s="68"/>
      <c r="T2460" s="68"/>
    </row>
    <row r="2461" spans="1:20" x14ac:dyDescent="0.15">
      <c r="A2461" s="68">
        <v>2460</v>
      </c>
      <c r="B2461" s="68" t="s">
        <v>851</v>
      </c>
      <c r="C2461" s="68" t="s">
        <v>39</v>
      </c>
      <c r="D2461" s="68" t="str">
        <f>VLOOKUP(C2461,layoffs_location!A:B,2,FALSE)</f>
        <v>New York</v>
      </c>
      <c r="E2461" s="68" t="str">
        <f>VLOOKUP(C2461,layoffs_location!A:C,3,FALSE)</f>
        <v>New York</v>
      </c>
      <c r="F2461" s="68" t="str">
        <f>VLOOKUP(C2461,layoffs_location!A:D,4,FALSE)</f>
        <v>USA</v>
      </c>
      <c r="G2461" s="68" t="str">
        <f>VLOOKUP(C2461,layoffs_location!A:E,5,FALSE)</f>
        <v>North America</v>
      </c>
      <c r="H2461" s="68">
        <v>50</v>
      </c>
      <c r="I2461" s="70">
        <v>46064</v>
      </c>
      <c r="J2461" s="68"/>
      <c r="K2461" s="68"/>
      <c r="L2461" s="68"/>
      <c r="M2461" s="68" t="s">
        <v>30</v>
      </c>
      <c r="N2461" s="68" t="s">
        <v>22</v>
      </c>
      <c r="O2461" s="68"/>
      <c r="P2461" s="68">
        <v>2026</v>
      </c>
      <c r="Q2461" s="83">
        <f>VLOOKUP(C2461,layoffs_location!A:F,6,FALSE)</f>
        <v>40.7127281</v>
      </c>
      <c r="R2461" s="83">
        <f>VLOOKUP(C2461,layoffs_location!A:G,7,FALSE)</f>
        <v>-74.006015199999993</v>
      </c>
      <c r="S2461" s="68"/>
      <c r="T2461" s="68"/>
    </row>
    <row r="2462" spans="1:20" x14ac:dyDescent="0.15">
      <c r="A2462" s="68">
        <v>2461</v>
      </c>
      <c r="B2462" s="68" t="s">
        <v>4566</v>
      </c>
      <c r="C2462" s="68" t="s">
        <v>231</v>
      </c>
      <c r="D2462" s="68" t="str">
        <f>VLOOKUP(C2462,layoffs_location!A:B,2,FALSE)</f>
        <v>other</v>
      </c>
      <c r="E2462" s="68" t="str">
        <f>VLOOKUP(C2462,layoffs_location!A:C,3,FALSE)</f>
        <v>New South Wales</v>
      </c>
      <c r="F2462" s="68" t="str">
        <f>VLOOKUP(C2462,layoffs_location!A:D,4,FALSE)</f>
        <v>Australia</v>
      </c>
      <c r="G2462" s="68" t="str">
        <f>VLOOKUP(C2462,layoffs_location!A:E,5,FALSE)</f>
        <v>Oceana</v>
      </c>
      <c r="H2462" s="68">
        <v>650</v>
      </c>
      <c r="I2462" s="70">
        <v>46064</v>
      </c>
      <c r="J2462" s="68"/>
      <c r="K2462" s="68"/>
      <c r="L2462" s="68"/>
      <c r="M2462" s="68" t="s">
        <v>1412</v>
      </c>
      <c r="N2462" s="68" t="s">
        <v>22</v>
      </c>
      <c r="O2462" s="68"/>
      <c r="P2462" s="68">
        <v>2026</v>
      </c>
      <c r="Q2462" s="83">
        <f>VLOOKUP(C2462,layoffs_location!A:F,6,FALSE)</f>
        <v>-33.869843899999999</v>
      </c>
      <c r="R2462" s="83">
        <f>VLOOKUP(C2462,layoffs_location!A:G,7,FALSE)</f>
        <v>151.2082848</v>
      </c>
      <c r="S2462" s="68"/>
      <c r="T2462" s="68"/>
    </row>
    <row r="2463" spans="1:20" x14ac:dyDescent="0.15">
      <c r="A2463" s="68">
        <v>2462</v>
      </c>
      <c r="B2463" s="68" t="s">
        <v>4567</v>
      </c>
      <c r="C2463" s="68" t="s">
        <v>1720</v>
      </c>
      <c r="D2463" s="68" t="str">
        <f>VLOOKUP(C2463,layoffs_location!A:B,2,FALSE)</f>
        <v>San Francisco Bay Area</v>
      </c>
      <c r="E2463" s="68" t="str">
        <f>VLOOKUP(C2463,layoffs_location!A:C,3,FALSE)</f>
        <v>California</v>
      </c>
      <c r="F2463" s="68" t="str">
        <f>VLOOKUP(C2463,layoffs_location!A:D,4,FALSE)</f>
        <v>USA</v>
      </c>
      <c r="G2463" s="68" t="str">
        <f>VLOOKUP(C2463,layoffs_location!A:E,5,FALSE)</f>
        <v>North America</v>
      </c>
      <c r="H2463" s="68">
        <v>76</v>
      </c>
      <c r="I2463" s="70">
        <v>46065</v>
      </c>
      <c r="J2463" s="68"/>
      <c r="K2463" s="68"/>
      <c r="L2463" s="68"/>
      <c r="M2463" s="68" t="s">
        <v>4568</v>
      </c>
      <c r="N2463" s="68" t="s">
        <v>22</v>
      </c>
      <c r="O2463" s="68"/>
      <c r="P2463" s="68">
        <v>2026</v>
      </c>
      <c r="Q2463" s="83">
        <f>VLOOKUP(C2463,layoffs_location!A:F,6,FALSE)</f>
        <v>37.368830099999997</v>
      </c>
      <c r="R2463" s="83">
        <f>VLOOKUP(C2463,layoffs_location!A:G,7,FALSE)</f>
        <v>-122.036349</v>
      </c>
      <c r="S2463" s="68"/>
      <c r="T2463" s="68"/>
    </row>
    <row r="2464" spans="1:20" x14ac:dyDescent="0.15">
      <c r="A2464" s="68">
        <v>2463</v>
      </c>
      <c r="B2464" s="68" t="s">
        <v>942</v>
      </c>
      <c r="C2464" s="68" t="s">
        <v>1723</v>
      </c>
      <c r="D2464" s="68" t="str">
        <f>VLOOKUP(C2464,layoffs_location!A:B,2,FALSE)</f>
        <v>San Francisco Bay Area</v>
      </c>
      <c r="E2464" s="68" t="str">
        <f>VLOOKUP(C2464,layoffs_location!A:C,3,FALSE)</f>
        <v>California</v>
      </c>
      <c r="F2464" s="68" t="str">
        <f>VLOOKUP(C2464,layoffs_location!A:D,4,FALSE)</f>
        <v>USA</v>
      </c>
      <c r="G2464" s="68" t="str">
        <f>VLOOKUP(C2464,layoffs_location!A:E,5,FALSE)</f>
        <v>North America</v>
      </c>
      <c r="H2464" s="68">
        <v>50</v>
      </c>
      <c r="I2464" s="70">
        <v>46065</v>
      </c>
      <c r="J2464" s="68"/>
      <c r="K2464" s="68"/>
      <c r="L2464" s="68"/>
      <c r="M2464" s="68" t="s">
        <v>1374</v>
      </c>
      <c r="N2464" s="68" t="s">
        <v>22</v>
      </c>
      <c r="O2464" s="68"/>
      <c r="P2464" s="68">
        <v>2026</v>
      </c>
      <c r="Q2464" s="83">
        <f>VLOOKUP(C2464,layoffs_location!A:F,6,FALSE)</f>
        <v>37.226610999999998</v>
      </c>
      <c r="R2464" s="83">
        <f>VLOOKUP(C2464,layoffs_location!A:G,7,FALSE)</f>
        <v>-121.9746797</v>
      </c>
      <c r="S2464" s="68"/>
      <c r="T2464" s="68"/>
    </row>
    <row r="2465" spans="1:20" x14ac:dyDescent="0.15">
      <c r="A2465" s="68">
        <v>2464</v>
      </c>
      <c r="B2465" s="68" t="s">
        <v>4569</v>
      </c>
      <c r="C2465" s="68" t="s">
        <v>271</v>
      </c>
      <c r="D2465" s="68" t="str">
        <f>VLOOKUP(C2465,layoffs_location!A:B,2,FALSE)</f>
        <v>Cascadia</v>
      </c>
      <c r="E2465" s="68" t="str">
        <f>VLOOKUP(C2465,layoffs_location!A:C,3,FALSE)</f>
        <v>British Columbia</v>
      </c>
      <c r="F2465" s="68" t="str">
        <f>VLOOKUP(C2465,layoffs_location!A:D,4,FALSE)</f>
        <v>Canada</v>
      </c>
      <c r="G2465" s="68" t="str">
        <f>VLOOKUP(C2465,layoffs_location!A:E,5,FALSE)</f>
        <v>North America</v>
      </c>
      <c r="H2465" s="68">
        <v>10</v>
      </c>
      <c r="I2465" s="70">
        <v>46065</v>
      </c>
      <c r="J2465" s="68"/>
      <c r="K2465" s="68"/>
      <c r="L2465" s="68"/>
      <c r="M2465" s="68" t="s">
        <v>2138</v>
      </c>
      <c r="N2465" s="68" t="s">
        <v>22</v>
      </c>
      <c r="O2465" s="68"/>
      <c r="P2465" s="68">
        <v>2026</v>
      </c>
      <c r="Q2465" s="83">
        <f>VLOOKUP(C2465,layoffs_location!A:F,6,FALSE)</f>
        <v>49.260872399999997</v>
      </c>
      <c r="R2465" s="83">
        <f>VLOOKUP(C2465,layoffs_location!A:G,7,FALSE)</f>
        <v>-123.113952</v>
      </c>
      <c r="S2465" s="68"/>
      <c r="T2465" s="68"/>
    </row>
    <row r="2466" spans="1:20" x14ac:dyDescent="0.15">
      <c r="A2466" s="68">
        <v>2465</v>
      </c>
      <c r="B2466" s="68" t="s">
        <v>2237</v>
      </c>
      <c r="C2466" s="68" t="s">
        <v>1370</v>
      </c>
      <c r="D2466" s="68" t="str">
        <f>VLOOKUP(C2466,layoffs_location!A:B,2,FALSE)</f>
        <v>San Francisco Bay Area</v>
      </c>
      <c r="E2466" s="68" t="str">
        <f>VLOOKUP(C2466,layoffs_location!A:C,3,FALSE)</f>
        <v>California</v>
      </c>
      <c r="F2466" s="68" t="str">
        <f>VLOOKUP(C2466,layoffs_location!A:D,4,FALSE)</f>
        <v>USA</v>
      </c>
      <c r="G2466" s="68" t="str">
        <f>VLOOKUP(C2466,layoffs_location!A:E,5,FALSE)</f>
        <v>North America</v>
      </c>
      <c r="H2466" s="68"/>
      <c r="I2466" s="70">
        <v>46065</v>
      </c>
      <c r="J2466" s="68"/>
      <c r="K2466" s="68"/>
      <c r="L2466" s="68"/>
      <c r="M2466" s="68" t="s">
        <v>4570</v>
      </c>
      <c r="N2466" s="68" t="s">
        <v>22</v>
      </c>
      <c r="O2466" s="68"/>
      <c r="P2466" s="68">
        <v>2026</v>
      </c>
      <c r="Q2466" s="83">
        <f>VLOOKUP(C2466,layoffs_location!A:F,6,FALSE)</f>
        <v>37.779258800000001</v>
      </c>
      <c r="R2466" s="83">
        <f>VLOOKUP(C2466,layoffs_location!A:G,7,FALSE)</f>
        <v>-122.4193286</v>
      </c>
      <c r="S2466" s="68"/>
      <c r="T2466" s="68"/>
    </row>
    <row r="2467" spans="1:20" x14ac:dyDescent="0.15">
      <c r="A2467" s="68">
        <v>2466</v>
      </c>
      <c r="B2467" s="68" t="s">
        <v>4571</v>
      </c>
      <c r="C2467" s="68" t="s">
        <v>47</v>
      </c>
      <c r="D2467" s="68" t="str">
        <f>VLOOKUP(C2467,layoffs_location!A:B,2,FALSE)</f>
        <v>other</v>
      </c>
      <c r="E2467" s="68" t="str">
        <f>VLOOKUP(C2467,layoffs_location!A:C,3,FALSE)</f>
        <v>non</v>
      </c>
      <c r="F2467" s="68" t="str">
        <f>VLOOKUP(C2467,layoffs_location!A:D,4,FALSE)</f>
        <v>Israel</v>
      </c>
      <c r="G2467" s="68" t="str">
        <f>VLOOKUP(C2467,layoffs_location!A:E,5,FALSE)</f>
        <v>Asia</v>
      </c>
      <c r="H2467" s="68">
        <v>65</v>
      </c>
      <c r="I2467" s="70">
        <v>46066</v>
      </c>
      <c r="J2467" s="68">
        <v>81</v>
      </c>
      <c r="K2467" s="68">
        <v>80</v>
      </c>
      <c r="L2467" s="68">
        <v>15</v>
      </c>
      <c r="M2467" s="68" t="s">
        <v>4572</v>
      </c>
      <c r="N2467" s="68" t="s">
        <v>22</v>
      </c>
      <c r="O2467" s="68"/>
      <c r="P2467" s="68">
        <v>2026</v>
      </c>
      <c r="Q2467" s="83">
        <f>VLOOKUP(C2467,layoffs_location!A:F,6,FALSE)</f>
        <v>32.0852997</v>
      </c>
      <c r="R2467" s="83">
        <f>VLOOKUP(C2467,layoffs_location!A:G,7,FALSE)</f>
        <v>34.781806400000001</v>
      </c>
      <c r="S2467" s="68"/>
      <c r="T2467" s="68"/>
    </row>
    <row r="2468" spans="1:20" x14ac:dyDescent="0.15">
      <c r="A2468" s="68">
        <v>2467</v>
      </c>
      <c r="B2468" s="68" t="s">
        <v>2191</v>
      </c>
      <c r="C2468" s="68" t="s">
        <v>39</v>
      </c>
      <c r="D2468" s="68" t="str">
        <f>VLOOKUP(C2468,layoffs_location!A:B,2,FALSE)</f>
        <v>New York</v>
      </c>
      <c r="E2468" s="68" t="str">
        <f>VLOOKUP(C2468,layoffs_location!A:C,3,FALSE)</f>
        <v>New York</v>
      </c>
      <c r="F2468" s="68" t="str">
        <f>VLOOKUP(C2468,layoffs_location!A:D,4,FALSE)</f>
        <v>USA</v>
      </c>
      <c r="G2468" s="68" t="str">
        <f>VLOOKUP(C2468,layoffs_location!A:E,5,FALSE)</f>
        <v>North America</v>
      </c>
      <c r="H2468" s="68">
        <v>40</v>
      </c>
      <c r="I2468" s="70">
        <v>46068</v>
      </c>
      <c r="J2468" s="68">
        <v>4</v>
      </c>
      <c r="K2468" s="68">
        <v>1000</v>
      </c>
      <c r="L2468" s="68">
        <v>960</v>
      </c>
      <c r="M2468" s="68" t="s">
        <v>2185</v>
      </c>
      <c r="N2468" s="68" t="s">
        <v>22</v>
      </c>
      <c r="O2468" s="68"/>
      <c r="P2468" s="68">
        <v>2026</v>
      </c>
      <c r="Q2468" s="83">
        <f>VLOOKUP(C2468,layoffs_location!A:F,6,FALSE)</f>
        <v>40.7127281</v>
      </c>
      <c r="R2468" s="83">
        <f>VLOOKUP(C2468,layoffs_location!A:G,7,FALSE)</f>
        <v>-74.006015199999993</v>
      </c>
      <c r="S2468" s="68"/>
      <c r="T2468" s="68"/>
    </row>
    <row r="2469" spans="1:20" x14ac:dyDescent="0.15">
      <c r="A2469" s="68">
        <v>2468</v>
      </c>
      <c r="B2469" s="68" t="s">
        <v>4573</v>
      </c>
      <c r="C2469" s="68" t="s">
        <v>47</v>
      </c>
      <c r="D2469" s="68" t="str">
        <f>VLOOKUP(C2469,layoffs_location!A:B,2,FALSE)</f>
        <v>other</v>
      </c>
      <c r="E2469" s="68" t="str">
        <f>VLOOKUP(C2469,layoffs_location!A:C,3,FALSE)</f>
        <v>non</v>
      </c>
      <c r="F2469" s="68" t="str">
        <f>VLOOKUP(C2469,layoffs_location!A:D,4,FALSE)</f>
        <v>Israel</v>
      </c>
      <c r="G2469" s="68" t="str">
        <f>VLOOKUP(C2469,layoffs_location!A:E,5,FALSE)</f>
        <v>Asia</v>
      </c>
      <c r="H2469" s="68">
        <v>50</v>
      </c>
      <c r="I2469" s="70">
        <v>46068</v>
      </c>
      <c r="J2469" s="68">
        <v>12</v>
      </c>
      <c r="K2469" s="68">
        <v>417</v>
      </c>
      <c r="L2469" s="68">
        <v>367</v>
      </c>
      <c r="M2469" s="68" t="s">
        <v>4574</v>
      </c>
      <c r="N2469" s="68" t="s">
        <v>22</v>
      </c>
      <c r="O2469" s="68"/>
      <c r="P2469" s="68">
        <v>2026</v>
      </c>
      <c r="Q2469" s="83">
        <f>VLOOKUP(C2469,layoffs_location!A:F,6,FALSE)</f>
        <v>32.0852997</v>
      </c>
      <c r="R2469" s="83">
        <f>VLOOKUP(C2469,layoffs_location!A:G,7,FALSE)</f>
        <v>34.781806400000001</v>
      </c>
      <c r="S2469" s="68"/>
      <c r="T2469" s="68"/>
    </row>
    <row r="2470" spans="1:20" x14ac:dyDescent="0.15">
      <c r="A2470" s="68">
        <v>2469</v>
      </c>
      <c r="B2470" s="68" t="s">
        <v>4575</v>
      </c>
      <c r="C2470" s="68" t="s">
        <v>4576</v>
      </c>
      <c r="D2470" s="68" t="str">
        <f>VLOOKUP(C2470,layoffs_location!A:B,2,FALSE)</f>
        <v>other</v>
      </c>
      <c r="E2470" s="68" t="str">
        <f>VLOOKUP(C2470,layoffs_location!A:C,3,FALSE)</f>
        <v>Massachusetts</v>
      </c>
      <c r="F2470" s="68" t="str">
        <f>VLOOKUP(C2470,layoffs_location!A:D,4,FALSE)</f>
        <v>USA</v>
      </c>
      <c r="G2470" s="68" t="str">
        <f>VLOOKUP(C2470,layoffs_location!A:E,5,FALSE)</f>
        <v>North America</v>
      </c>
      <c r="H2470" s="68">
        <v>500</v>
      </c>
      <c r="I2470" s="70">
        <v>46070</v>
      </c>
      <c r="J2470" s="68"/>
      <c r="K2470" s="68"/>
      <c r="L2470" s="68"/>
      <c r="M2470" s="68" t="s">
        <v>139</v>
      </c>
      <c r="N2470" s="68" t="s">
        <v>22</v>
      </c>
      <c r="O2470" s="68"/>
      <c r="P2470" s="68">
        <v>2026</v>
      </c>
      <c r="Q2470" s="83">
        <f>VLOOKUP(C2470,layoffs_location!A:F,6,FALSE)</f>
        <v>42.329969895980803</v>
      </c>
      <c r="R2470" s="83">
        <f>VLOOKUP(C2470,layoffs_location!A:G,7,FALSE)</f>
        <v>-71.205521967716194</v>
      </c>
      <c r="S2470" s="68"/>
      <c r="T2470" s="68"/>
    </row>
    <row r="2471" spans="1:20" x14ac:dyDescent="0.15">
      <c r="A2471" s="68">
        <v>2470</v>
      </c>
      <c r="B2471" s="68" t="s">
        <v>4577</v>
      </c>
      <c r="C2471" s="68" t="s">
        <v>67</v>
      </c>
      <c r="D2471" s="68" t="str">
        <f>VLOOKUP(C2471,layoffs_location!A:B,2,FALSE)</f>
        <v>other</v>
      </c>
      <c r="E2471" s="68" t="str">
        <f>VLOOKUP(C2471,layoffs_location!A:C,3,FALSE)</f>
        <v>Uttar Pradesh</v>
      </c>
      <c r="F2471" s="68" t="str">
        <f>VLOOKUP(C2471,layoffs_location!A:D,4,FALSE)</f>
        <v>India</v>
      </c>
      <c r="G2471" s="68" t="str">
        <f>VLOOKUP(C2471,layoffs_location!A:E,5,FALSE)</f>
        <v>Asia</v>
      </c>
      <c r="H2471" s="68">
        <v>100</v>
      </c>
      <c r="I2471" s="70">
        <v>46072</v>
      </c>
      <c r="J2471" s="68"/>
      <c r="K2471" s="68"/>
      <c r="L2471" s="68"/>
      <c r="M2471" s="68" t="s">
        <v>4578</v>
      </c>
      <c r="N2471" s="68" t="s">
        <v>22</v>
      </c>
      <c r="O2471" s="68"/>
      <c r="P2471" s="68">
        <v>2026</v>
      </c>
      <c r="Q2471" s="83">
        <f>VLOOKUP(C2471,layoffs_location!A:F,6,FALSE)</f>
        <v>28.570633300000001</v>
      </c>
      <c r="R2471" s="83">
        <f>VLOOKUP(C2471,layoffs_location!A:G,7,FALSE)</f>
        <v>77.327214699999999</v>
      </c>
      <c r="S2471" s="68"/>
      <c r="T2471" s="68"/>
    </row>
    <row r="2472" spans="1:20" x14ac:dyDescent="0.15">
      <c r="A2472" s="68">
        <v>2471</v>
      </c>
      <c r="B2472" s="68" t="s">
        <v>2242</v>
      </c>
      <c r="C2472" s="68" t="s">
        <v>179</v>
      </c>
      <c r="D2472" s="68" t="str">
        <f>VLOOKUP(C2472,layoffs_location!A:B,2,FALSE)</f>
        <v>other</v>
      </c>
      <c r="E2472" s="68" t="str">
        <f>VLOOKUP(C2472,layoffs_location!A:C,3,FALSE)</f>
        <v>Ontario</v>
      </c>
      <c r="F2472" s="68" t="str">
        <f>VLOOKUP(C2472,layoffs_location!A:D,4,FALSE)</f>
        <v>Canada</v>
      </c>
      <c r="G2472" s="68" t="str">
        <f>VLOOKUP(C2472,layoffs_location!A:E,5,FALSE)</f>
        <v>North America</v>
      </c>
      <c r="H2472" s="68">
        <v>40</v>
      </c>
      <c r="I2472" s="70">
        <v>46072</v>
      </c>
      <c r="J2472" s="68"/>
      <c r="K2472" s="68"/>
      <c r="L2472" s="68"/>
      <c r="M2472" s="68" t="s">
        <v>2138</v>
      </c>
      <c r="N2472" s="68" t="s">
        <v>22</v>
      </c>
      <c r="O2472" s="68"/>
      <c r="P2472" s="68">
        <v>2026</v>
      </c>
      <c r="Q2472" s="83">
        <f>VLOOKUP(C2472,layoffs_location!A:F,6,FALSE)</f>
        <v>43.6534817</v>
      </c>
      <c r="R2472" s="83">
        <f>VLOOKUP(C2472,layoffs_location!A:G,7,FALSE)</f>
        <v>-79.383934699999998</v>
      </c>
      <c r="S2472" s="68"/>
      <c r="T2472" s="68"/>
    </row>
    <row r="2473" spans="1:20" x14ac:dyDescent="0.15">
      <c r="A2473" s="68">
        <v>2472</v>
      </c>
      <c r="B2473" s="68" t="s">
        <v>2308</v>
      </c>
      <c r="C2473" s="68" t="s">
        <v>547</v>
      </c>
      <c r="D2473" s="68" t="str">
        <f>VLOOKUP(C2473,layoffs_location!A:B,2,FALSE)</f>
        <v>Tokyo</v>
      </c>
      <c r="E2473" s="68" t="str">
        <f>VLOOKUP(C2473,layoffs_location!A:C,3,FALSE)</f>
        <v>Tokyo</v>
      </c>
      <c r="F2473" s="68" t="str">
        <f>VLOOKUP(C2473,layoffs_location!A:D,4,FALSE)</f>
        <v>Japan</v>
      </c>
      <c r="G2473" s="68" t="str">
        <f>VLOOKUP(C2473,layoffs_location!A:E,5,FALSE)</f>
        <v>Asia</v>
      </c>
      <c r="H2473" s="68">
        <v>70</v>
      </c>
      <c r="I2473" s="70">
        <v>46072</v>
      </c>
      <c r="J2473" s="68"/>
      <c r="K2473" s="68"/>
      <c r="L2473" s="68"/>
      <c r="M2473" s="68" t="s">
        <v>1374</v>
      </c>
      <c r="N2473" s="68" t="s">
        <v>22</v>
      </c>
      <c r="O2473" s="68"/>
      <c r="P2473" s="68">
        <v>2026</v>
      </c>
      <c r="Q2473" s="83">
        <f>VLOOKUP(C2473,layoffs_location!A:F,6,FALSE)</f>
        <v>35.682193599999998</v>
      </c>
      <c r="R2473" s="83">
        <f>VLOOKUP(C2473,layoffs_location!A:G,7,FALSE)</f>
        <v>139.76222100000001</v>
      </c>
      <c r="S2473" s="68"/>
      <c r="T2473" s="68"/>
    </row>
    <row r="2474" spans="1:20" x14ac:dyDescent="0.15">
      <c r="A2474" s="68">
        <v>2473</v>
      </c>
      <c r="B2474" s="68" t="s">
        <v>4579</v>
      </c>
      <c r="C2474" s="68" t="s">
        <v>39</v>
      </c>
      <c r="D2474" s="68" t="str">
        <f>VLOOKUP(C2474,layoffs_location!A:B,2,FALSE)</f>
        <v>New York</v>
      </c>
      <c r="E2474" s="68" t="str">
        <f>VLOOKUP(C2474,layoffs_location!A:C,3,FALSE)</f>
        <v>New York</v>
      </c>
      <c r="F2474" s="68" t="str">
        <f>VLOOKUP(C2474,layoffs_location!A:D,4,FALSE)</f>
        <v>USA</v>
      </c>
      <c r="G2474" s="68" t="str">
        <f>VLOOKUP(C2474,layoffs_location!A:E,5,FALSE)</f>
        <v>North America</v>
      </c>
      <c r="H2474" s="68">
        <v>74</v>
      </c>
      <c r="I2474" s="70">
        <v>46073</v>
      </c>
      <c r="J2474" s="68"/>
      <c r="K2474" s="68"/>
      <c r="L2474" s="68"/>
      <c r="M2474" s="68" t="s">
        <v>1374</v>
      </c>
      <c r="N2474" s="68" t="s">
        <v>22</v>
      </c>
      <c r="O2474" s="68"/>
      <c r="P2474" s="68">
        <v>2026</v>
      </c>
      <c r="Q2474" s="83">
        <f>VLOOKUP(C2474,layoffs_location!A:F,6,FALSE)</f>
        <v>40.7127281</v>
      </c>
      <c r="R2474" s="83">
        <f>VLOOKUP(C2474,layoffs_location!A:G,7,FALSE)</f>
        <v>-74.006015199999993</v>
      </c>
      <c r="S2474" s="68"/>
      <c r="T2474" s="68"/>
    </row>
    <row r="2475" spans="1:20" x14ac:dyDescent="0.15">
      <c r="A2475" s="68">
        <v>2474</v>
      </c>
      <c r="B2475" s="68" t="s">
        <v>4580</v>
      </c>
      <c r="C2475" s="68" t="s">
        <v>1473</v>
      </c>
      <c r="D2475" s="68" t="str">
        <f>VLOOKUP(C2475,layoffs_location!A:B,2,FALSE)</f>
        <v>San Francisco Bay Area</v>
      </c>
      <c r="E2475" s="68" t="str">
        <f>VLOOKUP(C2475,layoffs_location!A:C,3,FALSE)</f>
        <v>California</v>
      </c>
      <c r="F2475" s="68" t="str">
        <f>VLOOKUP(C2475,layoffs_location!A:D,4,FALSE)</f>
        <v>USA</v>
      </c>
      <c r="G2475" s="68" t="str">
        <f>VLOOKUP(C2475,layoffs_location!A:E,5,FALSE)</f>
        <v>North America</v>
      </c>
      <c r="H2475" s="68"/>
      <c r="I2475" s="70">
        <v>46073</v>
      </c>
      <c r="J2475" s="68"/>
      <c r="K2475" s="68"/>
      <c r="L2475" s="68"/>
      <c r="M2475" s="68" t="s">
        <v>4581</v>
      </c>
      <c r="N2475" s="68" t="s">
        <v>22</v>
      </c>
      <c r="O2475" s="68"/>
      <c r="P2475" s="68">
        <v>2026</v>
      </c>
      <c r="Q2475" s="83">
        <f>VLOOKUP(C2475,layoffs_location!A:F,6,FALSE)</f>
        <v>37.4443293</v>
      </c>
      <c r="R2475" s="83">
        <f>VLOOKUP(C2475,layoffs_location!A:G,7,FALSE)</f>
        <v>-122.1598465</v>
      </c>
      <c r="S2475" s="68"/>
      <c r="T2475" s="68"/>
    </row>
    <row r="2476" spans="1:20" x14ac:dyDescent="0.15">
      <c r="A2476" s="68">
        <v>2475</v>
      </c>
      <c r="B2476" s="68" t="s">
        <v>4582</v>
      </c>
      <c r="C2476" s="68" t="s">
        <v>39</v>
      </c>
      <c r="D2476" s="68" t="str">
        <f>VLOOKUP(C2476,layoffs_location!A:B,2,FALSE)</f>
        <v>New York</v>
      </c>
      <c r="E2476" s="68" t="str">
        <f>VLOOKUP(C2476,layoffs_location!A:C,3,FALSE)</f>
        <v>New York</v>
      </c>
      <c r="F2476" s="68" t="str">
        <f>VLOOKUP(C2476,layoffs_location!A:D,4,FALSE)</f>
        <v>USA</v>
      </c>
      <c r="G2476" s="68" t="str">
        <f>VLOOKUP(C2476,layoffs_location!A:E,5,FALSE)</f>
        <v>North America</v>
      </c>
      <c r="H2476" s="68">
        <v>100</v>
      </c>
      <c r="I2476" s="70">
        <v>46073</v>
      </c>
      <c r="J2476" s="68"/>
      <c r="K2476" s="68"/>
      <c r="L2476" s="68"/>
      <c r="M2476" s="68" t="s">
        <v>1400</v>
      </c>
      <c r="N2476" s="68" t="s">
        <v>22</v>
      </c>
      <c r="O2476" s="68"/>
      <c r="P2476" s="68">
        <v>2026</v>
      </c>
      <c r="Q2476" s="83">
        <f>VLOOKUP(C2476,layoffs_location!A:F,6,FALSE)</f>
        <v>40.7127281</v>
      </c>
      <c r="R2476" s="83">
        <f>VLOOKUP(C2476,layoffs_location!A:G,7,FALSE)</f>
        <v>-74.006015199999993</v>
      </c>
      <c r="S2476" s="68"/>
      <c r="T2476" s="68"/>
    </row>
    <row r="2477" spans="1:20" x14ac:dyDescent="0.15">
      <c r="A2477" s="68">
        <v>2476</v>
      </c>
      <c r="B2477" s="68" t="s">
        <v>366</v>
      </c>
      <c r="C2477" s="68" t="s">
        <v>1721</v>
      </c>
      <c r="D2477" s="68" t="str">
        <f>VLOOKUP(C2477,layoffs_location!A:B,2,FALSE)</f>
        <v>New York</v>
      </c>
      <c r="E2477" s="68" t="str">
        <f>VLOOKUP(C2477,layoffs_location!A:C,3,FALSE)</f>
        <v>New Jersey</v>
      </c>
      <c r="F2477" s="68" t="str">
        <f>VLOOKUP(C2477,layoffs_location!A:D,4,FALSE)</f>
        <v>USA</v>
      </c>
      <c r="G2477" s="68" t="str">
        <f>VLOOKUP(C2477,layoffs_location!A:E,5,FALSE)</f>
        <v>North America</v>
      </c>
      <c r="H2477" s="68"/>
      <c r="I2477" s="70">
        <v>46073</v>
      </c>
      <c r="J2477" s="68">
        <v>12</v>
      </c>
      <c r="K2477" s="68"/>
      <c r="L2477" s="68"/>
      <c r="M2477" s="68" t="s">
        <v>366</v>
      </c>
      <c r="N2477" s="68" t="s">
        <v>22</v>
      </c>
      <c r="O2477" s="68"/>
      <c r="P2477" s="68">
        <v>2026</v>
      </c>
      <c r="Q2477" s="83">
        <f>VLOOKUP(C2477,layoffs_location!A:F,6,FALSE)</f>
        <v>40.724285421760499</v>
      </c>
      <c r="R2477" s="83">
        <f>VLOOKUP(C2477,layoffs_location!A:G,7,FALSE)</f>
        <v>-74.169028352019893</v>
      </c>
      <c r="S2477" s="68"/>
      <c r="T2477" s="68"/>
    </row>
    <row r="2478" spans="1:20" x14ac:dyDescent="0.15">
      <c r="A2478" s="68">
        <v>2477</v>
      </c>
      <c r="B2478" s="68" t="s">
        <v>377</v>
      </c>
      <c r="C2478" s="68" t="s">
        <v>13</v>
      </c>
      <c r="D2478" s="68" t="str">
        <f>VLOOKUP(C2478,layoffs_location!A:B,2,FALSE)</f>
        <v>other</v>
      </c>
      <c r="E2478" s="68" t="str">
        <f>VLOOKUP(C2478,layoffs_location!A:C,3,FALSE)</f>
        <v>Karnataka</v>
      </c>
      <c r="F2478" s="68" t="str">
        <f>VLOOKUP(C2478,layoffs_location!A:D,4,FALSE)</f>
        <v>India</v>
      </c>
      <c r="G2478" s="68" t="str">
        <f>VLOOKUP(C2478,layoffs_location!A:E,5,FALSE)</f>
        <v>Asia</v>
      </c>
      <c r="H2478" s="68">
        <v>1000</v>
      </c>
      <c r="I2478" s="70">
        <v>46073</v>
      </c>
      <c r="J2478" s="68">
        <v>12</v>
      </c>
      <c r="K2478" s="68">
        <v>8333</v>
      </c>
      <c r="L2478" s="68">
        <v>7333</v>
      </c>
      <c r="M2478" s="68" t="s">
        <v>16</v>
      </c>
      <c r="N2478" s="68" t="s">
        <v>22</v>
      </c>
      <c r="O2478" s="68"/>
      <c r="P2478" s="68">
        <v>2026</v>
      </c>
      <c r="Q2478" s="83">
        <f>VLOOKUP(C2478,layoffs_location!A:F,6,FALSE)</f>
        <v>12.98815675</v>
      </c>
      <c r="R2478" s="83">
        <f>VLOOKUP(C2478,layoffs_location!A:G,7,FALSE)</f>
        <v>77.622600037959998</v>
      </c>
      <c r="S2478" s="68"/>
      <c r="T2478" s="68"/>
    </row>
    <row r="2479" spans="1:20" x14ac:dyDescent="0.15">
      <c r="A2479" s="68">
        <v>2478</v>
      </c>
      <c r="B2479" s="68" t="s">
        <v>2379</v>
      </c>
      <c r="C2479" s="68" t="s">
        <v>4583</v>
      </c>
      <c r="D2479" s="68" t="str">
        <f>VLOOKUP(C2479,layoffs_location!A:B,2,FALSE)</f>
        <v>Guangdong Province</v>
      </c>
      <c r="E2479" s="68" t="str">
        <f>VLOOKUP(C2479,layoffs_location!A:C,3,FALSE)</f>
        <v>non</v>
      </c>
      <c r="F2479" s="68" t="str">
        <f>VLOOKUP(C2479,layoffs_location!A:D,4,FALSE)</f>
        <v>China</v>
      </c>
      <c r="G2479" s="68" t="str">
        <f>VLOOKUP(C2479,layoffs_location!A:E,5,FALSE)</f>
        <v>Asia</v>
      </c>
      <c r="H2479" s="68"/>
      <c r="I2479" s="70">
        <v>46075</v>
      </c>
      <c r="J2479" s="68"/>
      <c r="K2479" s="68"/>
      <c r="L2479" s="68"/>
      <c r="M2479" s="68" t="s">
        <v>1400</v>
      </c>
      <c r="N2479" s="68" t="s">
        <v>22</v>
      </c>
      <c r="O2479" s="68"/>
      <c r="P2479" s="68">
        <v>2026</v>
      </c>
      <c r="Q2479" s="83">
        <f>VLOOKUP(C2479,layoffs_location!A:F,6,FALSE)</f>
        <v>22.56331973672</v>
      </c>
      <c r="R2479" s="83">
        <f>VLOOKUP(C2479,layoffs_location!A:G,7,FALSE)</f>
        <v>113.930269855311</v>
      </c>
      <c r="S2479" s="68"/>
      <c r="T2479" s="68"/>
    </row>
    <row r="2480" spans="1:20" x14ac:dyDescent="0.2">
      <c r="A2480" s="68">
        <v>2479</v>
      </c>
      <c r="B2480" s="69" t="s">
        <v>4584</v>
      </c>
      <c r="C2480" s="68" t="s">
        <v>1710</v>
      </c>
      <c r="D2480" s="68" t="str">
        <f>VLOOKUP(C2480,layoffs_location!A:B,2,FALSE)</f>
        <v>San Francisco Bay Area</v>
      </c>
      <c r="E2480" s="68" t="str">
        <f>VLOOKUP(C2480,layoffs_location!A:C,3,FALSE)</f>
        <v>California</v>
      </c>
      <c r="F2480" s="68" t="str">
        <f>VLOOKUP(C2480,layoffs_location!A:D,4,FALSE)</f>
        <v>USA</v>
      </c>
      <c r="G2480" s="68" t="str">
        <f>VLOOKUP(C2480,layoffs_location!A:E,5,FALSE)</f>
        <v>North America</v>
      </c>
      <c r="H2480" s="68">
        <v>71</v>
      </c>
      <c r="I2480" s="70">
        <v>46077</v>
      </c>
      <c r="J2480" s="68"/>
      <c r="K2480" s="68"/>
      <c r="L2480" s="68"/>
      <c r="M2480" s="68" t="s">
        <v>4585</v>
      </c>
      <c r="N2480" s="68" t="s">
        <v>22</v>
      </c>
      <c r="O2480" s="68"/>
      <c r="P2480" s="68">
        <v>2026</v>
      </c>
      <c r="Q2480" s="83">
        <f>VLOOKUP(C2480,layoffs_location!A:F,6,FALSE)</f>
        <v>37.486323900000002</v>
      </c>
      <c r="R2480" s="83">
        <f>VLOOKUP(C2480,layoffs_location!A:G,7,FALSE)</f>
        <v>-122.232523</v>
      </c>
      <c r="S2480" s="68"/>
      <c r="T2480" s="68"/>
    </row>
    <row r="2481" spans="1:20" x14ac:dyDescent="0.15">
      <c r="A2481" s="68">
        <v>2480</v>
      </c>
      <c r="B2481" s="68" t="s">
        <v>251</v>
      </c>
      <c r="C2481" s="68" t="s">
        <v>4586</v>
      </c>
      <c r="D2481" s="68" t="str">
        <f>VLOOKUP(C2481,layoffs_location!A:B,2,FALSE)</f>
        <v>Los Angeles</v>
      </c>
      <c r="E2481" s="68" t="str">
        <f>VLOOKUP(C2481,layoffs_location!A:C,3,FALSE)</f>
        <v>California</v>
      </c>
      <c r="F2481" s="68" t="str">
        <f>VLOOKUP(C2481,layoffs_location!A:D,4,FALSE)</f>
        <v>USA</v>
      </c>
      <c r="G2481" s="68" t="str">
        <f>VLOOKUP(C2481,layoffs_location!A:E,5,FALSE)</f>
        <v>North America</v>
      </c>
      <c r="H2481" s="68"/>
      <c r="I2481" s="70">
        <v>46077</v>
      </c>
      <c r="J2481" s="68">
        <v>30</v>
      </c>
      <c r="K2481" s="68"/>
      <c r="L2481" s="68"/>
      <c r="M2481" s="68" t="s">
        <v>4587</v>
      </c>
      <c r="N2481" s="68" t="s">
        <v>22</v>
      </c>
      <c r="O2481" s="68"/>
      <c r="P2481" s="68">
        <v>2026</v>
      </c>
      <c r="Q2481" s="83">
        <f>VLOOKUP(C2481,layoffs_location!A:F,6,FALSE)</f>
        <v>34.006580569674199</v>
      </c>
      <c r="R2481" s="83">
        <f>VLOOKUP(C2481,layoffs_location!A:G,7,FALSE)</f>
        <v>-118.48941014956699</v>
      </c>
      <c r="S2481" s="68"/>
      <c r="T2481" s="68"/>
    </row>
    <row r="2482" spans="1:20" x14ac:dyDescent="0.15">
      <c r="A2482" s="68">
        <v>2481</v>
      </c>
      <c r="B2482" s="68" t="s">
        <v>2886</v>
      </c>
      <c r="C2482" s="68" t="s">
        <v>231</v>
      </c>
      <c r="D2482" s="68" t="str">
        <f>VLOOKUP(C2482,layoffs_location!A:B,2,FALSE)</f>
        <v>other</v>
      </c>
      <c r="E2482" s="68" t="str">
        <f>VLOOKUP(C2482,layoffs_location!A:C,3,FALSE)</f>
        <v>New South Wales</v>
      </c>
      <c r="F2482" s="68" t="str">
        <f>VLOOKUP(C2482,layoffs_location!A:D,4,FALSE)</f>
        <v>Australia</v>
      </c>
      <c r="G2482" s="68" t="str">
        <f>VLOOKUP(C2482,layoffs_location!A:E,5,FALSE)</f>
        <v>Oceana</v>
      </c>
      <c r="H2482" s="68">
        <v>2000</v>
      </c>
      <c r="I2482" s="70">
        <v>46078</v>
      </c>
      <c r="J2482" s="68">
        <v>30</v>
      </c>
      <c r="K2482" s="68">
        <v>6667</v>
      </c>
      <c r="L2482" s="68">
        <v>4667</v>
      </c>
      <c r="M2482" s="68" t="s">
        <v>4588</v>
      </c>
      <c r="N2482" s="68" t="s">
        <v>22</v>
      </c>
      <c r="O2482" s="68"/>
      <c r="P2482" s="68">
        <v>2026</v>
      </c>
      <c r="Q2482" s="83">
        <f>VLOOKUP(C2482,layoffs_location!A:F,6,FALSE)</f>
        <v>-33.869843899999999</v>
      </c>
      <c r="R2482" s="83">
        <f>VLOOKUP(C2482,layoffs_location!A:G,7,FALSE)</f>
        <v>151.2082848</v>
      </c>
      <c r="S2482" s="68"/>
      <c r="T2482" s="68"/>
    </row>
    <row r="2483" spans="1:20" x14ac:dyDescent="0.15">
      <c r="A2483" s="68">
        <v>2482</v>
      </c>
      <c r="B2483" s="68" t="s">
        <v>1520</v>
      </c>
      <c r="C2483" s="68" t="s">
        <v>1726</v>
      </c>
      <c r="D2483" s="68" t="str">
        <f>VLOOKUP(C2483,layoffs_location!A:B,2,FALSE)</f>
        <v>San Francisco Bay Area</v>
      </c>
      <c r="E2483" s="68" t="str">
        <f>VLOOKUP(C2483,layoffs_location!A:C,3,FALSE)</f>
        <v>California</v>
      </c>
      <c r="F2483" s="68" t="str">
        <f>VLOOKUP(C2483,layoffs_location!A:D,4,FALSE)</f>
        <v>USA</v>
      </c>
      <c r="G2483" s="68" t="str">
        <f>VLOOKUP(C2483,layoffs_location!A:E,5,FALSE)</f>
        <v>North America</v>
      </c>
      <c r="H2483" s="68">
        <v>4000</v>
      </c>
      <c r="I2483" s="70">
        <v>46080</v>
      </c>
      <c r="J2483" s="68"/>
      <c r="K2483" s="68"/>
      <c r="L2483" s="68"/>
      <c r="M2483" s="68" t="s">
        <v>2169</v>
      </c>
      <c r="N2483" s="68" t="s">
        <v>22</v>
      </c>
      <c r="O2483" s="68"/>
      <c r="P2483" s="68">
        <v>2026</v>
      </c>
      <c r="Q2483" s="83">
        <f>VLOOKUP(C2483,layoffs_location!A:F,6,FALSE)</f>
        <v>37.804455699999998</v>
      </c>
      <c r="R2483" s="83">
        <f>VLOOKUP(C2483,layoffs_location!A:G,7,FALSE)</f>
        <v>-122.271356</v>
      </c>
      <c r="S2483" s="68"/>
      <c r="T2483" s="68"/>
    </row>
    <row r="2484" spans="1:20" x14ac:dyDescent="0.15">
      <c r="A2484" s="68">
        <v>2483</v>
      </c>
      <c r="B2484" s="68" t="s">
        <v>4083</v>
      </c>
      <c r="C2484" s="68" t="s">
        <v>4589</v>
      </c>
      <c r="D2484" s="68" t="str">
        <f>VLOOKUP(C2484,layoffs_location!A:B,2,FALSE)</f>
        <v>Cascadia</v>
      </c>
      <c r="E2484" s="68" t="str">
        <f>VLOOKUP(C2484,layoffs_location!A:C,3,FALSE)</f>
        <v>Washington</v>
      </c>
      <c r="F2484" s="68" t="str">
        <f>VLOOKUP(C2484,layoffs_location!A:D,4,FALSE)</f>
        <v>USA</v>
      </c>
      <c r="G2484" s="68" t="str">
        <f>VLOOKUP(C2484,layoffs_location!A:E,5,FALSE)</f>
        <v>Asia</v>
      </c>
      <c r="H2484" s="68">
        <v>49</v>
      </c>
      <c r="I2484" s="70">
        <v>46083</v>
      </c>
      <c r="J2484" s="68"/>
      <c r="K2484" s="68"/>
      <c r="L2484" s="68"/>
      <c r="M2484" s="68" t="s">
        <v>2165</v>
      </c>
      <c r="N2484" s="68" t="s">
        <v>22</v>
      </c>
      <c r="O2484" s="68"/>
      <c r="P2484" s="68">
        <v>2026</v>
      </c>
      <c r="Q2484" s="83">
        <f>VLOOKUP(C2484,layoffs_location!A:F,6,FALSE)</f>
        <v>47.645404522430098</v>
      </c>
      <c r="R2484" s="83">
        <f>VLOOKUP(C2484,layoffs_location!A:G,7,FALSE)</f>
        <v>-122.13299976733499</v>
      </c>
      <c r="S2484" s="68"/>
      <c r="T2484" s="68"/>
    </row>
    <row r="2485" spans="1:20" x14ac:dyDescent="0.15">
      <c r="A2485" s="68">
        <v>2484</v>
      </c>
      <c r="B2485" s="68" t="s">
        <v>4590</v>
      </c>
      <c r="C2485" s="68" t="s">
        <v>39</v>
      </c>
      <c r="D2485" s="68" t="str">
        <f>VLOOKUP(C2485,layoffs_location!A:B,2,FALSE)</f>
        <v>New York</v>
      </c>
      <c r="E2485" s="68" t="str">
        <f>VLOOKUP(C2485,layoffs_location!A:C,3,FALSE)</f>
        <v>New York</v>
      </c>
      <c r="F2485" s="68" t="str">
        <f>VLOOKUP(C2485,layoffs_location!A:D,4,FALSE)</f>
        <v>USA</v>
      </c>
      <c r="G2485" s="68" t="str">
        <f>VLOOKUP(C2485,layoffs_location!A:E,5,FALSE)</f>
        <v>North America</v>
      </c>
      <c r="H2485" s="68"/>
      <c r="I2485" s="70">
        <v>46083</v>
      </c>
      <c r="J2485" s="68"/>
      <c r="K2485" s="68"/>
      <c r="L2485" s="68"/>
      <c r="M2485" s="68" t="s">
        <v>139</v>
      </c>
      <c r="N2485" s="68" t="s">
        <v>22</v>
      </c>
      <c r="O2485" s="68"/>
      <c r="P2485" s="68">
        <v>2026</v>
      </c>
      <c r="Q2485" s="83">
        <f>VLOOKUP(C2485,layoffs_location!A:F,6,FALSE)</f>
        <v>40.7127281</v>
      </c>
      <c r="R2485" s="83">
        <f>VLOOKUP(C2485,layoffs_location!A:G,7,FALSE)</f>
        <v>-74.006015199999993</v>
      </c>
      <c r="S2485" s="68"/>
      <c r="T2485" s="68"/>
    </row>
    <row r="2486" spans="1:20" x14ac:dyDescent="0.15">
      <c r="A2486" s="68">
        <v>2485</v>
      </c>
      <c r="B2486" s="68" t="s">
        <v>4591</v>
      </c>
      <c r="C2486" s="68" t="s">
        <v>39</v>
      </c>
      <c r="D2486" s="68" t="str">
        <f>VLOOKUP(C2486,layoffs_location!A:B,2,FALSE)</f>
        <v>New York</v>
      </c>
      <c r="E2486" s="68" t="str">
        <f>VLOOKUP(C2486,layoffs_location!A:C,3,FALSE)</f>
        <v>New York</v>
      </c>
      <c r="F2486" s="68" t="str">
        <f>VLOOKUP(C2486,layoffs_location!A:D,4,FALSE)</f>
        <v>USA</v>
      </c>
      <c r="G2486" s="68" t="str">
        <f>VLOOKUP(C2486,layoffs_location!A:E,5,FALSE)</f>
        <v>North America</v>
      </c>
      <c r="H2486" s="68">
        <v>125</v>
      </c>
      <c r="I2486" s="70">
        <v>46083</v>
      </c>
      <c r="J2486" s="68">
        <v>20</v>
      </c>
      <c r="K2486" s="68">
        <v>625</v>
      </c>
      <c r="L2486" s="68">
        <v>500</v>
      </c>
      <c r="M2486" s="68" t="s">
        <v>2167</v>
      </c>
      <c r="N2486" s="68" t="s">
        <v>22</v>
      </c>
      <c r="O2486" s="68"/>
      <c r="P2486" s="68">
        <v>2026</v>
      </c>
      <c r="Q2486" s="83">
        <f>VLOOKUP(C2486,layoffs_location!A:F,6,FALSE)</f>
        <v>40.7127281</v>
      </c>
      <c r="R2486" s="83">
        <f>VLOOKUP(C2486,layoffs_location!A:G,7,FALSE)</f>
        <v>-74.006015199999993</v>
      </c>
      <c r="S2486" s="68"/>
      <c r="T2486" s="68"/>
    </row>
    <row r="2487" spans="1:20" x14ac:dyDescent="0.15">
      <c r="A2487" s="68">
        <v>2486</v>
      </c>
      <c r="B2487" s="68" t="s">
        <v>376</v>
      </c>
      <c r="C2487" s="68" t="s">
        <v>43</v>
      </c>
      <c r="D2487" s="68" t="str">
        <f>VLOOKUP(C2487,layoffs_location!A:B,2,FALSE)</f>
        <v>Cascadia</v>
      </c>
      <c r="E2487" s="68" t="str">
        <f>VLOOKUP(C2487,layoffs_location!A:C,3,FALSE)</f>
        <v>Washington</v>
      </c>
      <c r="F2487" s="68" t="str">
        <f>VLOOKUP(C2487,layoffs_location!A:D,4,FALSE)</f>
        <v>USA</v>
      </c>
      <c r="G2487" s="68" t="str">
        <f>VLOOKUP(C2487,layoffs_location!A:E,5,FALSE)</f>
        <v>North America</v>
      </c>
      <c r="H2487" s="68"/>
      <c r="I2487" s="70">
        <v>46085</v>
      </c>
      <c r="J2487" s="68"/>
      <c r="K2487" s="68"/>
      <c r="L2487" s="68"/>
      <c r="M2487" s="68" t="s">
        <v>2123</v>
      </c>
      <c r="N2487" s="68" t="s">
        <v>22</v>
      </c>
      <c r="O2487" s="68"/>
      <c r="P2487" s="68">
        <v>2026</v>
      </c>
      <c r="Q2487" s="83">
        <f>VLOOKUP(C2487,layoffs_location!A:F,6,FALSE)</f>
        <v>47.603832099999998</v>
      </c>
      <c r="R2487" s="83">
        <f>VLOOKUP(C2487,layoffs_location!A:G,7,FALSE)</f>
        <v>-122.330062</v>
      </c>
      <c r="S2487" s="68"/>
      <c r="T2487" s="68"/>
    </row>
    <row r="2488" spans="1:20" x14ac:dyDescent="0.15">
      <c r="A2488" s="68">
        <v>2487</v>
      </c>
      <c r="B2488" s="68" t="s">
        <v>138</v>
      </c>
      <c r="C2488" s="68" t="s">
        <v>47</v>
      </c>
      <c r="D2488" s="68" t="str">
        <f>VLOOKUP(C2488,layoffs_location!A:B,2,FALSE)</f>
        <v>other</v>
      </c>
      <c r="E2488" s="68" t="str">
        <f>VLOOKUP(C2488,layoffs_location!A:C,3,FALSE)</f>
        <v>non</v>
      </c>
      <c r="F2488" s="68" t="str">
        <f>VLOOKUP(C2488,layoffs_location!A:D,4,FALSE)</f>
        <v>Israel</v>
      </c>
      <c r="G2488" s="68" t="str">
        <f>VLOOKUP(C2488,layoffs_location!A:E,5,FALSE)</f>
        <v>Asia</v>
      </c>
      <c r="H2488" s="68">
        <v>25</v>
      </c>
      <c r="I2488" s="70">
        <v>46085</v>
      </c>
      <c r="J2488" s="68"/>
      <c r="K2488" s="68"/>
      <c r="L2488" s="68"/>
      <c r="M2488" s="68" t="s">
        <v>4592</v>
      </c>
      <c r="N2488" s="68" t="s">
        <v>22</v>
      </c>
      <c r="O2488" s="68"/>
      <c r="P2488" s="68">
        <v>2026</v>
      </c>
      <c r="Q2488" s="83">
        <f>VLOOKUP(C2488,layoffs_location!A:F,6,FALSE)</f>
        <v>32.0852997</v>
      </c>
      <c r="R2488" s="83">
        <f>VLOOKUP(C2488,layoffs_location!A:G,7,FALSE)</f>
        <v>34.781806400000001</v>
      </c>
      <c r="S2488" s="68"/>
      <c r="T2488" s="68"/>
    </row>
    <row r="2489" spans="1:20" x14ac:dyDescent="0.15">
      <c r="A2489" s="68">
        <v>2488</v>
      </c>
      <c r="B2489" s="68" t="s">
        <v>4593</v>
      </c>
      <c r="C2489" s="68" t="s">
        <v>267</v>
      </c>
      <c r="D2489" s="68" t="str">
        <f>VLOOKUP(C2489,layoffs_location!A:B,2,FALSE)</f>
        <v>other</v>
      </c>
      <c r="E2489" s="68" t="str">
        <f>VLOOKUP(C2489,layoffs_location!A:C,3,FALSE)</f>
        <v>Victoria</v>
      </c>
      <c r="F2489" s="68" t="str">
        <f>VLOOKUP(C2489,layoffs_location!A:D,4,FALSE)</f>
        <v>Australia</v>
      </c>
      <c r="G2489" s="68" t="str">
        <f>VLOOKUP(C2489,layoffs_location!A:E,5,FALSE)</f>
        <v>Oceana</v>
      </c>
      <c r="H2489" s="68">
        <v>200</v>
      </c>
      <c r="I2489" s="70">
        <v>46085</v>
      </c>
      <c r="J2489" s="68">
        <v>30</v>
      </c>
      <c r="K2489" s="68">
        <v>667</v>
      </c>
      <c r="L2489" s="68">
        <v>467</v>
      </c>
      <c r="M2489" s="68" t="s">
        <v>4594</v>
      </c>
      <c r="N2489" s="68" t="s">
        <v>22</v>
      </c>
      <c r="O2489" s="68"/>
      <c r="P2489" s="68">
        <v>2026</v>
      </c>
      <c r="Q2489" s="83">
        <f>VLOOKUP(C2489,layoffs_location!A:F,6,FALSE)</f>
        <v>-37.814245399999997</v>
      </c>
      <c r="R2489" s="83">
        <f>VLOOKUP(C2489,layoffs_location!A:G,7,FALSE)</f>
        <v>144.9631732</v>
      </c>
      <c r="S2489" s="68"/>
      <c r="T2489" s="68"/>
    </row>
    <row r="2490" spans="1:20" x14ac:dyDescent="0.15">
      <c r="A2490" s="68">
        <v>2489</v>
      </c>
      <c r="B2490" s="68" t="s">
        <v>4595</v>
      </c>
      <c r="C2490" s="68" t="s">
        <v>321</v>
      </c>
      <c r="D2490" s="68" t="str">
        <f>VLOOKUP(C2490,layoffs_location!A:B,2,FALSE)</f>
        <v>other</v>
      </c>
      <c r="E2490" s="68" t="str">
        <f>VLOOKUP(C2490,layoffs_location!A:C,3,FALSE)</f>
        <v>Queensland</v>
      </c>
      <c r="F2490" s="68" t="str">
        <f>VLOOKUP(C2490,layoffs_location!A:D,4,FALSE)</f>
        <v>Australia</v>
      </c>
      <c r="G2490" s="68" t="str">
        <f>VLOOKUP(C2490,layoffs_location!A:E,5,FALSE)</f>
        <v>Oceana</v>
      </c>
      <c r="H2490" s="68">
        <v>41</v>
      </c>
      <c r="I2490" s="70">
        <v>46085</v>
      </c>
      <c r="J2490" s="68"/>
      <c r="K2490" s="68"/>
      <c r="L2490" s="68"/>
      <c r="M2490" s="68" t="s">
        <v>2138</v>
      </c>
      <c r="N2490" s="68" t="s">
        <v>22</v>
      </c>
      <c r="O2490" s="68"/>
      <c r="P2490" s="68">
        <v>2026</v>
      </c>
      <c r="Q2490" s="83">
        <f>VLOOKUP(C2490,layoffs_location!A:F,6,FALSE)</f>
        <v>-27.468968199999999</v>
      </c>
      <c r="R2490" s="83">
        <f>VLOOKUP(C2490,layoffs_location!A:G,7,FALSE)</f>
        <v>153.02349910000001</v>
      </c>
      <c r="S2490" s="68"/>
      <c r="T2490" s="68"/>
    </row>
    <row r="2491" spans="1:20" x14ac:dyDescent="0.15">
      <c r="A2491" s="68">
        <v>2490</v>
      </c>
      <c r="B2491" s="68" t="s">
        <v>4596</v>
      </c>
      <c r="C2491" s="68" t="s">
        <v>115</v>
      </c>
      <c r="D2491" s="68" t="str">
        <f>VLOOKUP(C2491,layoffs_location!A:B,2,FALSE)</f>
        <v>other</v>
      </c>
      <c r="E2491" s="68" t="str">
        <f>VLOOKUP(C2491,layoffs_location!A:C,3,FALSE)</f>
        <v>Quebec</v>
      </c>
      <c r="F2491" s="68" t="str">
        <f>VLOOKUP(C2491,layoffs_location!A:D,4,FALSE)</f>
        <v>Canada</v>
      </c>
      <c r="G2491" s="68" t="str">
        <f>VLOOKUP(C2491,layoffs_location!A:E,5,FALSE)</f>
        <v>North America</v>
      </c>
      <c r="H2491" s="68">
        <v>215</v>
      </c>
      <c r="I2491" s="70">
        <v>46086</v>
      </c>
      <c r="J2491" s="68"/>
      <c r="K2491" s="68"/>
      <c r="L2491" s="68"/>
      <c r="M2491" s="68" t="s">
        <v>30</v>
      </c>
      <c r="N2491" s="68" t="s">
        <v>22</v>
      </c>
      <c r="O2491" s="68"/>
      <c r="P2491" s="68">
        <v>2026</v>
      </c>
      <c r="Q2491" s="83">
        <f>VLOOKUP(C2491,layoffs_location!A:F,6,FALSE)</f>
        <v>45.5031824</v>
      </c>
      <c r="R2491" s="83">
        <f>VLOOKUP(C2491,layoffs_location!A:G,7,FALSE)</f>
        <v>-73.569806499999999</v>
      </c>
      <c r="S2491" s="68"/>
      <c r="T2491" s="68"/>
    </row>
    <row r="2492" spans="1:20" x14ac:dyDescent="0.15">
      <c r="A2492" s="68">
        <v>2491</v>
      </c>
      <c r="B2492" s="68" t="s">
        <v>4597</v>
      </c>
      <c r="C2492" s="68" t="s">
        <v>4598</v>
      </c>
      <c r="D2492" s="68" t="str">
        <f>VLOOKUP(C2492,layoffs_location!A:B,2,FALSE)</f>
        <v>other</v>
      </c>
      <c r="E2492" s="68" t="str">
        <f>VLOOKUP(C2492,layoffs_location!A:C,3,FALSE)</f>
        <v>England</v>
      </c>
      <c r="F2492" s="68" t="str">
        <f>VLOOKUP(C2492,layoffs_location!A:D,4,FALSE)</f>
        <v>UK</v>
      </c>
      <c r="G2492" s="68" t="str">
        <f>VLOOKUP(C2492,layoffs_location!A:E,5,FALSE)</f>
        <v>Europe</v>
      </c>
      <c r="H2492" s="68"/>
      <c r="I2492" s="70">
        <v>46086</v>
      </c>
      <c r="J2492" s="68"/>
      <c r="K2492" s="68"/>
      <c r="L2492" s="68"/>
      <c r="M2492" s="68" t="s">
        <v>2138</v>
      </c>
      <c r="N2492" s="68" t="s">
        <v>22</v>
      </c>
      <c r="O2492" s="68"/>
      <c r="P2492" s="68">
        <v>2026</v>
      </c>
      <c r="Q2492" s="83">
        <f>VLOOKUP(C2492,layoffs_location!A:F,6,FALSE)</f>
        <v>51.294349592365002</v>
      </c>
      <c r="R2492" s="83">
        <f>VLOOKUP(C2492,layoffs_location!A:G,7,FALSE)</f>
        <v>-0.77476773144357503</v>
      </c>
      <c r="S2492" s="68"/>
      <c r="T2492" s="68"/>
    </row>
    <row r="2493" spans="1:20" x14ac:dyDescent="0.15">
      <c r="A2493" s="68">
        <v>2492</v>
      </c>
      <c r="B2493" s="68" t="s">
        <v>779</v>
      </c>
      <c r="C2493" s="68" t="s">
        <v>39</v>
      </c>
      <c r="D2493" s="68" t="str">
        <f>VLOOKUP(C2493,layoffs_location!A:B,2,FALSE)</f>
        <v>New York</v>
      </c>
      <c r="E2493" s="68" t="str">
        <f>VLOOKUP(C2493,layoffs_location!A:C,3,FALSE)</f>
        <v>New York</v>
      </c>
      <c r="F2493" s="68" t="str">
        <f>VLOOKUP(C2493,layoffs_location!A:D,4,FALSE)</f>
        <v>USA</v>
      </c>
      <c r="G2493" s="68" t="str">
        <f>VLOOKUP(C2493,layoffs_location!A:E,5,FALSE)</f>
        <v>North America</v>
      </c>
      <c r="H2493" s="68">
        <v>110</v>
      </c>
      <c r="I2493" s="70">
        <v>46087</v>
      </c>
      <c r="J2493" s="68"/>
      <c r="K2493" s="68"/>
      <c r="L2493" s="68"/>
      <c r="M2493" s="68" t="s">
        <v>4599</v>
      </c>
      <c r="N2493" s="68" t="s">
        <v>22</v>
      </c>
      <c r="O2493" s="68"/>
      <c r="P2493" s="68">
        <v>2026</v>
      </c>
      <c r="Q2493" s="83">
        <f>VLOOKUP(C2493,layoffs_location!A:F,6,FALSE)</f>
        <v>40.7127281</v>
      </c>
      <c r="R2493" s="83">
        <f>VLOOKUP(C2493,layoffs_location!A:G,7,FALSE)</f>
        <v>-74.006015199999993</v>
      </c>
      <c r="S2493" s="68"/>
      <c r="T2493" s="68"/>
    </row>
    <row r="2494" spans="1:20" x14ac:dyDescent="0.15">
      <c r="A2494" s="68">
        <v>2493</v>
      </c>
      <c r="B2494" s="68" t="s">
        <v>1553</v>
      </c>
      <c r="C2494" s="68" t="s">
        <v>13</v>
      </c>
      <c r="D2494" s="68" t="str">
        <f>VLOOKUP(C2494,layoffs_location!A:B,2,FALSE)</f>
        <v>other</v>
      </c>
      <c r="E2494" s="68" t="str">
        <f>VLOOKUP(C2494,layoffs_location!A:C,3,FALSE)</f>
        <v>Karnataka</v>
      </c>
      <c r="F2494" s="68" t="str">
        <f>VLOOKUP(C2494,layoffs_location!A:D,4,FALSE)</f>
        <v>India</v>
      </c>
      <c r="G2494" s="68" t="str">
        <f>VLOOKUP(C2494,layoffs_location!A:E,5,FALSE)</f>
        <v>Asia</v>
      </c>
      <c r="H2494" s="68">
        <v>500</v>
      </c>
      <c r="I2494" s="70">
        <v>46087</v>
      </c>
      <c r="J2494" s="68"/>
      <c r="K2494" s="68"/>
      <c r="L2494" s="68"/>
      <c r="M2494" s="68" t="s">
        <v>30</v>
      </c>
      <c r="N2494" s="68" t="s">
        <v>22</v>
      </c>
      <c r="O2494" s="68"/>
      <c r="P2494" s="68">
        <v>2026</v>
      </c>
      <c r="Q2494" s="83">
        <f>VLOOKUP(C2494,layoffs_location!A:F,6,FALSE)</f>
        <v>12.98815675</v>
      </c>
      <c r="R2494" s="83">
        <f>VLOOKUP(C2494,layoffs_location!A:G,7,FALSE)</f>
        <v>77.622600037959998</v>
      </c>
      <c r="S2494" s="68"/>
      <c r="T2494" s="68"/>
    </row>
    <row r="2495" spans="1:20" x14ac:dyDescent="0.15">
      <c r="A2495" s="68">
        <v>2494</v>
      </c>
      <c r="B2495" s="68" t="s">
        <v>109</v>
      </c>
      <c r="C2495" s="68" t="s">
        <v>76</v>
      </c>
      <c r="D2495" s="68" t="str">
        <f>VLOOKUP(C2495,layoffs_location!A:B,2,FALSE)</f>
        <v>other</v>
      </c>
      <c r="E2495" s="68" t="str">
        <f>VLOOKUP(C2495,layoffs_location!A:C,3,FALSE)</f>
        <v>California</v>
      </c>
      <c r="F2495" s="68" t="str">
        <f>VLOOKUP(C2495,layoffs_location!A:D,4,FALSE)</f>
        <v>USA</v>
      </c>
      <c r="G2495" s="68" t="str">
        <f>VLOOKUP(C2495,layoffs_location!A:E,5,FALSE)</f>
        <v>North America</v>
      </c>
      <c r="H2495" s="68">
        <v>150</v>
      </c>
      <c r="I2495" s="70">
        <v>46091</v>
      </c>
      <c r="J2495" s="68"/>
      <c r="K2495" s="68"/>
      <c r="L2495" s="68"/>
      <c r="M2495" s="68" t="s">
        <v>2169</v>
      </c>
      <c r="N2495" s="68" t="s">
        <v>22</v>
      </c>
      <c r="O2495" s="68"/>
      <c r="P2495" s="68">
        <v>2026</v>
      </c>
      <c r="Q2495" s="83">
        <f>VLOOKUP(C2495,layoffs_location!A:F,6,FALSE)</f>
        <v>34.053690899999999</v>
      </c>
      <c r="R2495" s="83">
        <f>VLOOKUP(C2495,layoffs_location!A:G,7,FALSE)</f>
        <v>-118.242766</v>
      </c>
      <c r="S2495" s="68"/>
      <c r="T2495" s="68"/>
    </row>
    <row r="2496" spans="1:20" x14ac:dyDescent="0.15">
      <c r="A2496" s="68">
        <v>2495</v>
      </c>
      <c r="B2496" s="68" t="s">
        <v>4600</v>
      </c>
      <c r="C2496" s="68" t="s">
        <v>39</v>
      </c>
      <c r="D2496" s="68" t="str">
        <f>VLOOKUP(C2496,layoffs_location!A:B,2,FALSE)</f>
        <v>New York</v>
      </c>
      <c r="E2496" s="68" t="str">
        <f>VLOOKUP(C2496,layoffs_location!A:C,3,FALSE)</f>
        <v>New York</v>
      </c>
      <c r="F2496" s="68" t="str">
        <f>VLOOKUP(C2496,layoffs_location!A:D,4,FALSE)</f>
        <v>USA</v>
      </c>
      <c r="G2496" s="68" t="str">
        <f>VLOOKUP(C2496,layoffs_location!A:E,5,FALSE)</f>
        <v>North America</v>
      </c>
      <c r="H2496" s="68"/>
      <c r="I2496" s="70">
        <v>46093</v>
      </c>
      <c r="J2496" s="68">
        <v>20</v>
      </c>
      <c r="K2496" s="68"/>
      <c r="L2496" s="68"/>
      <c r="M2496" s="68" t="s">
        <v>4601</v>
      </c>
      <c r="N2496" s="68" t="s">
        <v>22</v>
      </c>
      <c r="O2496" s="68"/>
      <c r="P2496" s="68">
        <v>2026</v>
      </c>
      <c r="Q2496" s="83">
        <f>VLOOKUP(C2496,layoffs_location!A:F,6,FALSE)</f>
        <v>40.7127281</v>
      </c>
      <c r="R2496" s="83">
        <f>VLOOKUP(C2496,layoffs_location!A:G,7,FALSE)</f>
        <v>-74.006015199999993</v>
      </c>
      <c r="S2496" s="68"/>
      <c r="T2496" s="68"/>
    </row>
    <row r="2497" spans="1:20" x14ac:dyDescent="0.15">
      <c r="A2497" s="68">
        <v>2496</v>
      </c>
      <c r="B2497" s="68" t="s">
        <v>4602</v>
      </c>
      <c r="C2497" s="68" t="s">
        <v>56</v>
      </c>
      <c r="D2497" s="68" t="str">
        <f>VLOOKUP(C2497,layoffs_location!A:B,2,FALSE)</f>
        <v>other</v>
      </c>
      <c r="E2497" s="68" t="str">
        <f>VLOOKUP(C2497,layoffs_location!A:C,3,FALSE)</f>
        <v>Maharashtra</v>
      </c>
      <c r="F2497" s="68" t="str">
        <f>VLOOKUP(C2497,layoffs_location!A:D,4,FALSE)</f>
        <v>India</v>
      </c>
      <c r="G2497" s="68" t="str">
        <f>VLOOKUP(C2497,layoffs_location!A:E,5,FALSE)</f>
        <v>Asia</v>
      </c>
      <c r="H2497" s="68">
        <v>100</v>
      </c>
      <c r="I2497" s="70">
        <v>46093</v>
      </c>
      <c r="J2497" s="68"/>
      <c r="K2497" s="68"/>
      <c r="L2497" s="68"/>
      <c r="M2497" s="68" t="s">
        <v>4603</v>
      </c>
      <c r="N2497" s="68" t="s">
        <v>22</v>
      </c>
      <c r="O2497" s="68"/>
      <c r="P2497" s="68">
        <v>2026</v>
      </c>
      <c r="Q2497" s="83">
        <f>VLOOKUP(C2497,layoffs_location!A:F,6,FALSE)</f>
        <v>19.078545099999999</v>
      </c>
      <c r="R2497" s="83">
        <f>VLOOKUP(C2497,layoffs_location!A:G,7,FALSE)</f>
        <v>72.878175999999996</v>
      </c>
      <c r="S2497" s="68"/>
      <c r="T2497" s="68"/>
    </row>
    <row r="2498" spans="1:20" x14ac:dyDescent="0.15">
      <c r="A2498" s="68">
        <v>2497</v>
      </c>
      <c r="B2498" s="68" t="s">
        <v>400</v>
      </c>
      <c r="C2498" s="68" t="s">
        <v>231</v>
      </c>
      <c r="D2498" s="68" t="str">
        <f>VLOOKUP(C2498,layoffs_location!A:B,2,FALSE)</f>
        <v>other</v>
      </c>
      <c r="E2498" s="68" t="str">
        <f>VLOOKUP(C2498,layoffs_location!A:C,3,FALSE)</f>
        <v>New South Wales</v>
      </c>
      <c r="F2498" s="68" t="str">
        <f>VLOOKUP(C2498,layoffs_location!A:D,4,FALSE)</f>
        <v>Australia</v>
      </c>
      <c r="G2498" s="68" t="str">
        <f>VLOOKUP(C2498,layoffs_location!A:E,5,FALSE)</f>
        <v>Oceana</v>
      </c>
      <c r="H2498" s="68">
        <v>1600</v>
      </c>
      <c r="I2498" s="70">
        <v>46093</v>
      </c>
      <c r="J2498" s="68">
        <v>10</v>
      </c>
      <c r="K2498" s="68">
        <v>16000</v>
      </c>
      <c r="L2498" s="68">
        <v>14400</v>
      </c>
      <c r="M2498" s="68" t="s">
        <v>1400</v>
      </c>
      <c r="N2498" s="68" t="s">
        <v>22</v>
      </c>
      <c r="O2498" s="68"/>
      <c r="P2498" s="68">
        <v>2026</v>
      </c>
      <c r="Q2498" s="83">
        <f>VLOOKUP(C2498,layoffs_location!A:F,6,FALSE)</f>
        <v>-33.869843899999999</v>
      </c>
      <c r="R2498" s="83">
        <f>VLOOKUP(C2498,layoffs_location!A:G,7,FALSE)</f>
        <v>151.2082848</v>
      </c>
      <c r="S2498" s="68"/>
      <c r="T2498" s="68"/>
    </row>
    <row r="2499" spans="1:20" x14ac:dyDescent="0.15">
      <c r="A2499" s="68">
        <v>2498</v>
      </c>
      <c r="B2499" s="68" t="s">
        <v>1154</v>
      </c>
      <c r="C2499" s="68" t="s">
        <v>179</v>
      </c>
      <c r="D2499" s="68" t="str">
        <f>VLOOKUP(C2499,layoffs_location!A:B,2,FALSE)</f>
        <v>other</v>
      </c>
      <c r="E2499" s="68" t="str">
        <f>VLOOKUP(C2499,layoffs_location!A:C,3,FALSE)</f>
        <v>Ontario</v>
      </c>
      <c r="F2499" s="68" t="str">
        <f>VLOOKUP(C2499,layoffs_location!A:D,4,FALSE)</f>
        <v>Canada</v>
      </c>
      <c r="G2499" s="68" t="str">
        <f>VLOOKUP(C2499,layoffs_location!A:E,5,FALSE)</f>
        <v>North America</v>
      </c>
      <c r="H2499" s="68"/>
      <c r="I2499" s="70">
        <v>46094</v>
      </c>
      <c r="J2499" s="68">
        <v>12</v>
      </c>
      <c r="K2499" s="68"/>
      <c r="L2499" s="68"/>
      <c r="M2499" s="68" t="s">
        <v>1400</v>
      </c>
      <c r="N2499" s="68" t="s">
        <v>22</v>
      </c>
      <c r="O2499" s="68"/>
      <c r="P2499" s="68">
        <v>2026</v>
      </c>
      <c r="Q2499" s="83">
        <f>VLOOKUP(C2499,layoffs_location!A:F,6,FALSE)</f>
        <v>43.6534817</v>
      </c>
      <c r="R2499" s="83">
        <f>VLOOKUP(C2499,layoffs_location!A:G,7,FALSE)</f>
        <v>-79.383934699999998</v>
      </c>
      <c r="S2499" s="68"/>
      <c r="T2499" s="68"/>
    </row>
    <row r="2500" spans="1:20" x14ac:dyDescent="0.15">
      <c r="A2500" s="68">
        <v>2499</v>
      </c>
      <c r="B2500" s="68" t="s">
        <v>4604</v>
      </c>
      <c r="C2500" s="68" t="s">
        <v>39</v>
      </c>
      <c r="D2500" s="68" t="str">
        <f>VLOOKUP(C2500,layoffs_location!A:B,2,FALSE)</f>
        <v>New York</v>
      </c>
      <c r="E2500" s="68" t="str">
        <f>VLOOKUP(C2500,layoffs_location!A:C,3,FALSE)</f>
        <v>New York</v>
      </c>
      <c r="F2500" s="68" t="str">
        <f>VLOOKUP(C2500,layoffs_location!A:D,4,FALSE)</f>
        <v>USA</v>
      </c>
      <c r="G2500" s="68" t="str">
        <f>VLOOKUP(C2500,layoffs_location!A:E,5,FALSE)</f>
        <v>North America</v>
      </c>
      <c r="H2500" s="68"/>
      <c r="I2500" s="70">
        <v>46094</v>
      </c>
      <c r="J2500" s="68"/>
      <c r="K2500" s="68"/>
      <c r="L2500" s="68"/>
      <c r="M2500" s="68" t="s">
        <v>16</v>
      </c>
      <c r="N2500" s="68" t="s">
        <v>22</v>
      </c>
      <c r="O2500" s="68"/>
      <c r="P2500" s="68">
        <v>2026</v>
      </c>
      <c r="Q2500" s="83">
        <f>VLOOKUP(C2500,layoffs_location!A:F,6,FALSE)</f>
        <v>40.7127281</v>
      </c>
      <c r="R2500" s="83">
        <f>VLOOKUP(C2500,layoffs_location!A:G,7,FALSE)</f>
        <v>-74.006015199999993</v>
      </c>
      <c r="S2500" s="68"/>
      <c r="T2500" s="68"/>
    </row>
    <row r="2501" spans="1:20" x14ac:dyDescent="0.15">
      <c r="A2501" s="68">
        <v>2500</v>
      </c>
      <c r="B2501" s="68" t="s">
        <v>4605</v>
      </c>
      <c r="C2501" s="68" t="s">
        <v>187</v>
      </c>
      <c r="D2501" s="68" t="str">
        <f>VLOOKUP(C2501,layoffs_location!A:B,2,FALSE)</f>
        <v>other</v>
      </c>
      <c r="E2501" s="68" t="str">
        <f>VLOOKUP(C2501,layoffs_location!A:C,3,FALSE)</f>
        <v>State of São Paulo</v>
      </c>
      <c r="F2501" s="68" t="str">
        <f>VLOOKUP(C2501,layoffs_location!A:D,4,FALSE)</f>
        <v>Brazil</v>
      </c>
      <c r="G2501" s="68" t="str">
        <f>VLOOKUP(C2501,layoffs_location!A:E,5,FALSE)</f>
        <v>South America</v>
      </c>
      <c r="H2501" s="68">
        <v>400</v>
      </c>
      <c r="I2501" s="70">
        <v>46094</v>
      </c>
      <c r="J2501" s="68">
        <v>3</v>
      </c>
      <c r="K2501" s="68">
        <v>13333</v>
      </c>
      <c r="L2501" s="68">
        <v>12933</v>
      </c>
      <c r="M2501" s="68" t="s">
        <v>35</v>
      </c>
      <c r="N2501" s="68" t="s">
        <v>22</v>
      </c>
      <c r="O2501" s="68"/>
      <c r="P2501" s="68">
        <v>2026</v>
      </c>
      <c r="Q2501" s="83">
        <f>VLOOKUP(C2501,layoffs_location!A:F,6,FALSE)</f>
        <v>-23.550650699999998</v>
      </c>
      <c r="R2501" s="83">
        <f>VLOOKUP(C2501,layoffs_location!A:G,7,FALSE)</f>
        <v>-46.633382400000002</v>
      </c>
      <c r="S2501" s="68"/>
      <c r="T2501" s="68"/>
    </row>
    <row r="2502" spans="1:20" x14ac:dyDescent="0.15">
      <c r="A2502" s="68">
        <v>2501</v>
      </c>
      <c r="B2502" s="68" t="s">
        <v>4606</v>
      </c>
      <c r="C2502" s="68" t="s">
        <v>115</v>
      </c>
      <c r="D2502" s="68" t="str">
        <f>VLOOKUP(C2502,layoffs_location!A:B,2,FALSE)</f>
        <v>other</v>
      </c>
      <c r="E2502" s="68" t="str">
        <f>VLOOKUP(C2502,layoffs_location!A:C,3,FALSE)</f>
        <v>Quebec</v>
      </c>
      <c r="F2502" s="68" t="str">
        <f>VLOOKUP(C2502,layoffs_location!A:D,4,FALSE)</f>
        <v>Canada</v>
      </c>
      <c r="G2502" s="68" t="str">
        <f>VLOOKUP(C2502,layoffs_location!A:E,5,FALSE)</f>
        <v>North America</v>
      </c>
      <c r="H2502" s="68"/>
      <c r="I2502" s="70">
        <v>46097</v>
      </c>
      <c r="J2502" s="68"/>
      <c r="K2502" s="68"/>
      <c r="L2502" s="68"/>
      <c r="M2502" s="68" t="s">
        <v>4607</v>
      </c>
      <c r="N2502" s="68" t="s">
        <v>22</v>
      </c>
      <c r="O2502" s="68"/>
      <c r="P2502" s="68">
        <v>2026</v>
      </c>
      <c r="Q2502" s="83">
        <f>VLOOKUP(C2502,layoffs_location!A:F,6,FALSE)</f>
        <v>45.5031824</v>
      </c>
      <c r="R2502" s="83">
        <f>VLOOKUP(C2502,layoffs_location!A:G,7,FALSE)</f>
        <v>-73.569806499999999</v>
      </c>
      <c r="S2502" s="68"/>
      <c r="T2502" s="68"/>
    </row>
    <row r="2503" spans="1:20" x14ac:dyDescent="0.15">
      <c r="A2503" s="68">
        <v>2502</v>
      </c>
      <c r="B2503" s="68" t="s">
        <v>4608</v>
      </c>
      <c r="C2503" s="68" t="s">
        <v>39</v>
      </c>
      <c r="D2503" s="68" t="str">
        <f>VLOOKUP(C2503,layoffs_location!A:B,2,FALSE)</f>
        <v>New York</v>
      </c>
      <c r="E2503" s="68" t="str">
        <f>VLOOKUP(C2503,layoffs_location!A:C,3,FALSE)</f>
        <v>New York</v>
      </c>
      <c r="F2503" s="68" t="str">
        <f>VLOOKUP(C2503,layoffs_location!A:D,4,FALSE)</f>
        <v>USA</v>
      </c>
      <c r="G2503" s="68" t="str">
        <f>VLOOKUP(C2503,layoffs_location!A:E,5,FALSE)</f>
        <v>North America</v>
      </c>
      <c r="H2503" s="68"/>
      <c r="I2503" s="70">
        <v>46097</v>
      </c>
      <c r="J2503" s="68"/>
      <c r="K2503" s="68"/>
      <c r="L2503" s="68"/>
      <c r="M2503" s="68" t="s">
        <v>4609</v>
      </c>
      <c r="N2503" s="68" t="s">
        <v>22</v>
      </c>
      <c r="O2503" s="68"/>
      <c r="P2503" s="68">
        <v>2026</v>
      </c>
      <c r="Q2503" s="83">
        <f>VLOOKUP(C2503,layoffs_location!A:F,6,FALSE)</f>
        <v>40.7127281</v>
      </c>
      <c r="R2503" s="83">
        <f>VLOOKUP(C2503,layoffs_location!A:G,7,FALSE)</f>
        <v>-74.006015199999993</v>
      </c>
      <c r="S2503" s="68"/>
      <c r="T2503" s="68"/>
    </row>
    <row r="2504" spans="1:20" x14ac:dyDescent="0.15">
      <c r="A2504" s="68">
        <v>2503</v>
      </c>
      <c r="B2504" s="68" t="s">
        <v>1540</v>
      </c>
      <c r="C2504" s="68" t="s">
        <v>83</v>
      </c>
      <c r="D2504" s="68" t="str">
        <f>VLOOKUP(C2504,layoffs_location!A:B,2,FALSE)</f>
        <v>other</v>
      </c>
      <c r="E2504" s="68" t="str">
        <f>VLOOKUP(C2504,layoffs_location!A:C,3,FALSE)</f>
        <v>Texas</v>
      </c>
      <c r="F2504" s="68" t="str">
        <f>VLOOKUP(C2504,layoffs_location!A:D,4,FALSE)</f>
        <v>USA</v>
      </c>
      <c r="G2504" s="68" t="str">
        <f>VLOOKUP(C2504,layoffs_location!A:E,5,FALSE)</f>
        <v>North America</v>
      </c>
      <c r="H2504" s="68"/>
      <c r="I2504" s="70">
        <v>46098</v>
      </c>
      <c r="J2504" s="68"/>
      <c r="K2504" s="68"/>
      <c r="L2504" s="68"/>
      <c r="M2504" s="68" t="s">
        <v>4556</v>
      </c>
      <c r="N2504" s="68" t="s">
        <v>22</v>
      </c>
      <c r="O2504" s="68"/>
      <c r="P2504" s="68">
        <v>2026</v>
      </c>
      <c r="Q2504" s="83">
        <f>VLOOKUP(C2504,layoffs_location!A:F,6,FALSE)</f>
        <v>30.271128600000001</v>
      </c>
      <c r="R2504" s="83">
        <f>VLOOKUP(C2504,layoffs_location!A:G,7,FALSE)</f>
        <v>-97.743699500000005</v>
      </c>
      <c r="S2504" s="68"/>
      <c r="T2504" s="68"/>
    </row>
    <row r="2505" spans="1:20" x14ac:dyDescent="0.15">
      <c r="A2505" s="68">
        <v>2504</v>
      </c>
      <c r="B2505" s="68" t="s">
        <v>4610</v>
      </c>
      <c r="C2505" s="68" t="s">
        <v>39</v>
      </c>
      <c r="D2505" s="68" t="str">
        <f>VLOOKUP(C2505,layoffs_location!A:B,2,FALSE)</f>
        <v>New York</v>
      </c>
      <c r="E2505" s="68" t="str">
        <f>VLOOKUP(C2505,layoffs_location!A:C,3,FALSE)</f>
        <v>New York</v>
      </c>
      <c r="F2505" s="68" t="str">
        <f>VLOOKUP(C2505,layoffs_location!A:D,4,FALSE)</f>
        <v>USA</v>
      </c>
      <c r="G2505" s="68" t="str">
        <f>VLOOKUP(C2505,layoffs_location!A:E,5,FALSE)</f>
        <v>North America</v>
      </c>
      <c r="H2505" s="68"/>
      <c r="I2505" s="70">
        <v>46100</v>
      </c>
      <c r="J2505" s="68">
        <v>25</v>
      </c>
      <c r="K2505" s="68"/>
      <c r="L2505" s="68"/>
      <c r="M2505" s="68" t="s">
        <v>4611</v>
      </c>
      <c r="N2505" s="68" t="s">
        <v>22</v>
      </c>
      <c r="O2505" s="68"/>
      <c r="P2505" s="68">
        <v>2026</v>
      </c>
      <c r="Q2505" s="83">
        <f>VLOOKUP(C2505,layoffs_location!A:F,6,FALSE)</f>
        <v>40.7127281</v>
      </c>
      <c r="R2505" s="83">
        <f>VLOOKUP(C2505,layoffs_location!A:G,7,FALSE)</f>
        <v>-74.006015199999993</v>
      </c>
      <c r="S2505" s="68"/>
      <c r="T2505" s="68"/>
    </row>
    <row r="2506" spans="1:20" x14ac:dyDescent="0.15">
      <c r="A2506" s="68">
        <v>2505</v>
      </c>
      <c r="B2506" s="68" t="s">
        <v>2242</v>
      </c>
      <c r="C2506" s="68" t="s">
        <v>97</v>
      </c>
      <c r="D2506" s="68" t="str">
        <f>VLOOKUP(C2506,layoffs_location!A:B,2,FALSE)</f>
        <v>other</v>
      </c>
      <c r="E2506" s="68" t="str">
        <f>VLOOKUP(C2506,layoffs_location!A:C,3,FALSE)</f>
        <v>non</v>
      </c>
      <c r="F2506" s="68" t="str">
        <f>VLOOKUP(C2506,layoffs_location!A:D,4,FALSE)</f>
        <v>France</v>
      </c>
      <c r="G2506" s="68" t="str">
        <f>VLOOKUP(C2506,layoffs_location!A:E,5,FALSE)</f>
        <v>Europe</v>
      </c>
      <c r="H2506" s="68">
        <v>105</v>
      </c>
      <c r="I2506" s="70">
        <v>46100</v>
      </c>
      <c r="J2506" s="68"/>
      <c r="K2506" s="68"/>
      <c r="L2506" s="68"/>
      <c r="M2506" s="68" t="s">
        <v>2138</v>
      </c>
      <c r="N2506" s="68" t="s">
        <v>22</v>
      </c>
      <c r="O2506" s="68"/>
      <c r="P2506" s="68">
        <v>2026</v>
      </c>
      <c r="Q2506" s="83">
        <f>VLOOKUP(C2506,layoffs_location!A:F,6,FALSE)</f>
        <v>48.858889699999999</v>
      </c>
      <c r="R2506" s="83">
        <f>VLOOKUP(C2506,layoffs_location!A:G,7,FALSE)</f>
        <v>2.32004102172007</v>
      </c>
      <c r="S2506" s="68"/>
      <c r="T2506" s="68"/>
    </row>
    <row r="2507" spans="1:20" x14ac:dyDescent="0.2">
      <c r="A2507" s="68">
        <v>2506</v>
      </c>
      <c r="B2507" s="69" t="s">
        <v>768</v>
      </c>
      <c r="C2507" s="68" t="s">
        <v>244</v>
      </c>
      <c r="D2507" s="68" t="str">
        <f>VLOOKUP(C2507,layoffs_location!A:B,2,FALSE)</f>
        <v>other</v>
      </c>
      <c r="E2507" s="68" t="str">
        <f>VLOOKUP(C2507,layoffs_location!A:C,3,FALSE)</f>
        <v>non</v>
      </c>
      <c r="F2507" s="68" t="str">
        <f>VLOOKUP(C2507,layoffs_location!A:D,4,FALSE)</f>
        <v>Singapore</v>
      </c>
      <c r="G2507" s="68" t="str">
        <f>VLOOKUP(C2507,layoffs_location!A:E,5,FALSE)</f>
        <v>Asia</v>
      </c>
      <c r="H2507" s="68"/>
      <c r="I2507" s="70">
        <v>46101</v>
      </c>
      <c r="J2507" s="68">
        <v>12</v>
      </c>
      <c r="K2507" s="68"/>
      <c r="L2507" s="68"/>
      <c r="M2507" s="68" t="s">
        <v>2169</v>
      </c>
      <c r="N2507" s="68" t="s">
        <v>22</v>
      </c>
      <c r="O2507" s="68"/>
      <c r="P2507" s="68">
        <v>2026</v>
      </c>
      <c r="Q2507" s="83">
        <f>VLOOKUP(C2507,layoffs_location!A:F,6,FALSE)</f>
        <v>1.2899175000000001</v>
      </c>
      <c r="R2507" s="83">
        <f>VLOOKUP(C2507,layoffs_location!A:G,7,FALSE)</f>
        <v>103.8519072</v>
      </c>
      <c r="S2507" s="68"/>
      <c r="T2507" s="68"/>
    </row>
    <row r="2508" spans="1:20" x14ac:dyDescent="0.15">
      <c r="A2508" s="68">
        <v>2507</v>
      </c>
      <c r="B2508" s="68" t="s">
        <v>2654</v>
      </c>
      <c r="C2508" s="68" t="s">
        <v>4612</v>
      </c>
      <c r="D2508" s="68" t="str">
        <f>VLOOKUP(C2508,layoffs_location!A:B,2,FALSE)</f>
        <v>other</v>
      </c>
      <c r="E2508" s="68" t="str">
        <f>VLOOKUP(C2508,layoffs_location!A:C,3,FALSE)</f>
        <v>Montana</v>
      </c>
      <c r="F2508" s="68" t="str">
        <f>VLOOKUP(C2508,layoffs_location!A:D,4,FALSE)</f>
        <v>USA</v>
      </c>
      <c r="G2508" s="68" t="str">
        <f>VLOOKUP(C2508,layoffs_location!A:E,5,FALSE)</f>
        <v>North America</v>
      </c>
      <c r="H2508" s="68">
        <v>70</v>
      </c>
      <c r="I2508" s="70">
        <v>46101</v>
      </c>
      <c r="J2508" s="68"/>
      <c r="K2508" s="68"/>
      <c r="L2508" s="68"/>
      <c r="M2508" s="68" t="s">
        <v>4613</v>
      </c>
      <c r="N2508" s="68" t="s">
        <v>22</v>
      </c>
      <c r="O2508" s="68"/>
      <c r="P2508" s="68">
        <v>2026</v>
      </c>
      <c r="Q2508" s="83">
        <f>VLOOKUP(C2508,layoffs_location!A:F,6,FALSE)</f>
        <v>45.6884720246344</v>
      </c>
      <c r="R2508" s="83">
        <f>VLOOKUP(C2508,layoffs_location!A:G,7,FALSE)</f>
        <v>-111.034516210107</v>
      </c>
      <c r="S2508" s="68"/>
      <c r="T2508" s="68"/>
    </row>
    <row r="2509" spans="1:20" x14ac:dyDescent="0.15">
      <c r="A2509" s="68">
        <v>2508</v>
      </c>
      <c r="B2509" s="68" t="s">
        <v>876</v>
      </c>
      <c r="C2509" s="68" t="s">
        <v>39</v>
      </c>
      <c r="D2509" s="68" t="str">
        <f>VLOOKUP(C2509,layoffs_location!A:B,2,FALSE)</f>
        <v>New York</v>
      </c>
      <c r="E2509" s="68" t="str">
        <f>VLOOKUP(C2509,layoffs_location!A:C,3,FALSE)</f>
        <v>New York</v>
      </c>
      <c r="F2509" s="68" t="str">
        <f>VLOOKUP(C2509,layoffs_location!A:D,4,FALSE)</f>
        <v>USA</v>
      </c>
      <c r="G2509" s="68" t="str">
        <f>VLOOKUP(C2509,layoffs_location!A:E,5,FALSE)</f>
        <v>North America</v>
      </c>
      <c r="H2509" s="68"/>
      <c r="I2509" s="70">
        <v>46101</v>
      </c>
      <c r="J2509" s="68">
        <v>25</v>
      </c>
      <c r="K2509" s="68"/>
      <c r="L2509" s="68"/>
      <c r="M2509" s="68" t="s">
        <v>2169</v>
      </c>
      <c r="N2509" s="68" t="s">
        <v>22</v>
      </c>
      <c r="O2509" s="68"/>
      <c r="P2509" s="68">
        <v>2026</v>
      </c>
      <c r="Q2509" s="83">
        <f>VLOOKUP(C2509,layoffs_location!A:F,6,FALSE)</f>
        <v>40.7127281</v>
      </c>
      <c r="R2509" s="83">
        <f>VLOOKUP(C2509,layoffs_location!A:G,7,FALSE)</f>
        <v>-74.006015199999993</v>
      </c>
      <c r="S2509" s="68"/>
      <c r="T2509" s="68"/>
    </row>
    <row r="2510" spans="1:20" x14ac:dyDescent="0.15">
      <c r="A2510" s="68">
        <v>2509</v>
      </c>
      <c r="B2510" s="68" t="s">
        <v>50</v>
      </c>
      <c r="C2510" s="68" t="s">
        <v>51</v>
      </c>
      <c r="D2510" s="68" t="str">
        <f>VLOOKUP(C2510,layoffs_location!A:B,2,FALSE)</f>
        <v>other</v>
      </c>
      <c r="E2510" s="68" t="str">
        <f>VLOOKUP(C2510,layoffs_location!A:C,3,FALSE)</f>
        <v>non</v>
      </c>
      <c r="F2510" s="68" t="str">
        <f>VLOOKUP(C2510,layoffs_location!A:D,4,FALSE)</f>
        <v>Sweden</v>
      </c>
      <c r="G2510" s="68" t="str">
        <f>VLOOKUP(C2510,layoffs_location!A:E,5,FALSE)</f>
        <v>Europe</v>
      </c>
      <c r="H2510" s="68">
        <v>15</v>
      </c>
      <c r="I2510" s="70">
        <v>46104</v>
      </c>
      <c r="J2510" s="68"/>
      <c r="K2510" s="68"/>
      <c r="L2510" s="68"/>
      <c r="M2510" s="68" t="s">
        <v>4614</v>
      </c>
      <c r="N2510" s="68" t="s">
        <v>22</v>
      </c>
      <c r="O2510" s="68"/>
      <c r="P2510" s="68">
        <v>2026</v>
      </c>
      <c r="Q2510" s="83">
        <f>VLOOKUP(C2510,layoffs_location!A:F,6,FALSE)</f>
        <v>59.325117200000001</v>
      </c>
      <c r="R2510" s="83">
        <f>VLOOKUP(C2510,layoffs_location!A:G,7,FALSE)</f>
        <v>18.0710935</v>
      </c>
      <c r="S2510" s="68"/>
      <c r="T2510" s="68"/>
    </row>
    <row r="2511" spans="1:20" x14ac:dyDescent="0.15">
      <c r="A2511" s="68">
        <v>2510</v>
      </c>
      <c r="B2511" s="68" t="s">
        <v>2179</v>
      </c>
      <c r="C2511" s="68" t="s">
        <v>1720</v>
      </c>
      <c r="D2511" s="68" t="str">
        <f>VLOOKUP(C2511,layoffs_location!A:B,2,FALSE)</f>
        <v>San Francisco Bay Area</v>
      </c>
      <c r="E2511" s="68" t="str">
        <f>VLOOKUP(C2511,layoffs_location!A:C,3,FALSE)</f>
        <v>California</v>
      </c>
      <c r="F2511" s="68" t="str">
        <f>VLOOKUP(C2511,layoffs_location!A:D,4,FALSE)</f>
        <v>USA</v>
      </c>
      <c r="G2511" s="68" t="str">
        <f>VLOOKUP(C2511,layoffs_location!A:E,5,FALSE)</f>
        <v>North America</v>
      </c>
      <c r="H2511" s="68">
        <v>55</v>
      </c>
      <c r="I2511" s="70">
        <v>46105</v>
      </c>
      <c r="J2511" s="68"/>
      <c r="K2511" s="68"/>
      <c r="L2511" s="68"/>
      <c r="M2511" s="68" t="s">
        <v>1400</v>
      </c>
      <c r="N2511" s="68" t="s">
        <v>22</v>
      </c>
      <c r="O2511" s="68"/>
      <c r="P2511" s="68">
        <v>2026</v>
      </c>
      <c r="Q2511" s="83">
        <f>VLOOKUP(C2511,layoffs_location!A:F,6,FALSE)</f>
        <v>37.368830099999997</v>
      </c>
      <c r="R2511" s="83">
        <f>VLOOKUP(C2511,layoffs_location!A:G,7,FALSE)</f>
        <v>-122.036349</v>
      </c>
      <c r="S2511" s="68"/>
      <c r="T2511" s="68"/>
    </row>
    <row r="2512" spans="1:20" x14ac:dyDescent="0.15">
      <c r="A2512" s="68">
        <v>2511</v>
      </c>
      <c r="B2512" s="68" t="s">
        <v>4615</v>
      </c>
      <c r="C2512" s="68" t="s">
        <v>2189</v>
      </c>
      <c r="D2512" s="68" t="str">
        <f>VLOOKUP(C2512,layoffs_location!A:B,2,FALSE)</f>
        <v>other</v>
      </c>
      <c r="E2512" s="68" t="str">
        <f>VLOOKUP(C2512,layoffs_location!A:C,3,FALSE)</f>
        <v>North Carolina</v>
      </c>
      <c r="F2512" s="68" t="str">
        <f>VLOOKUP(C2512,layoffs_location!A:D,4,FALSE)</f>
        <v>USA</v>
      </c>
      <c r="G2512" s="68" t="str">
        <f>VLOOKUP(C2512,layoffs_location!A:E,5,FALSE)</f>
        <v>North America</v>
      </c>
      <c r="H2512" s="68">
        <v>1000</v>
      </c>
      <c r="I2512" s="70">
        <v>46105</v>
      </c>
      <c r="J2512" s="68"/>
      <c r="K2512" s="68"/>
      <c r="L2512" s="68"/>
      <c r="M2512" s="68" t="s">
        <v>2138</v>
      </c>
      <c r="N2512" s="68" t="s">
        <v>22</v>
      </c>
      <c r="O2512" s="68"/>
      <c r="P2512" s="68">
        <v>2026</v>
      </c>
      <c r="Q2512" s="83">
        <f>VLOOKUP(C2512,layoffs_location!A:F,6,FALSE)</f>
        <v>35.774958401745401</v>
      </c>
      <c r="R2512" s="83">
        <f>VLOOKUP(C2512,layoffs_location!A:G,7,FALSE)</f>
        <v>-78.790015317774206</v>
      </c>
      <c r="S2512" s="68"/>
      <c r="T2512" s="68"/>
    </row>
    <row r="2513" spans="1:20" x14ac:dyDescent="0.15">
      <c r="A2513" s="68">
        <v>2512</v>
      </c>
      <c r="B2513" s="68" t="s">
        <v>2099</v>
      </c>
      <c r="C2513" s="68" t="s">
        <v>621</v>
      </c>
      <c r="D2513" s="68" t="str">
        <f>VLOOKUP(C2513,layoffs_location!A:B,2,FALSE)</f>
        <v>other</v>
      </c>
      <c r="E2513" s="68" t="str">
        <f>VLOOKUP(C2513,layoffs_location!A:C,3,FALSE)</f>
        <v>Ontario</v>
      </c>
      <c r="F2513" s="68" t="str">
        <f>VLOOKUP(C2513,layoffs_location!A:D,4,FALSE)</f>
        <v>Canada</v>
      </c>
      <c r="G2513" s="68" t="str">
        <f>VLOOKUP(C2513,layoffs_location!A:E,5,FALSE)</f>
        <v>North America</v>
      </c>
      <c r="H2513" s="68"/>
      <c r="I2513" s="70">
        <v>46105</v>
      </c>
      <c r="J2513" s="68"/>
      <c r="K2513" s="68"/>
      <c r="L2513" s="68"/>
      <c r="M2513" s="68" t="s">
        <v>79</v>
      </c>
      <c r="N2513" s="68" t="s">
        <v>22</v>
      </c>
      <c r="O2513" s="68"/>
      <c r="P2513" s="68">
        <v>2026</v>
      </c>
      <c r="Q2513" s="83">
        <f>VLOOKUP(C2513,layoffs_location!A:F,6,FALSE)</f>
        <v>43.465269900000003</v>
      </c>
      <c r="R2513" s="83">
        <f>VLOOKUP(C2513,layoffs_location!A:G,7,FALSE)</f>
        <v>-80.522296100000005</v>
      </c>
      <c r="S2513" s="68"/>
      <c r="T2513" s="68"/>
    </row>
    <row r="2514" spans="1:20" x14ac:dyDescent="0.15">
      <c r="A2514" s="68">
        <v>2513</v>
      </c>
      <c r="B2514" s="68" t="s">
        <v>4616</v>
      </c>
      <c r="C2514" s="68" t="s">
        <v>1473</v>
      </c>
      <c r="D2514" s="68" t="str">
        <f>VLOOKUP(C2514,layoffs_location!A:B,2,FALSE)</f>
        <v>San Francisco Bay Area</v>
      </c>
      <c r="E2514" s="68" t="str">
        <f>VLOOKUP(C2514,layoffs_location!A:C,3,FALSE)</f>
        <v>California</v>
      </c>
      <c r="F2514" s="68" t="str">
        <f>VLOOKUP(C2514,layoffs_location!A:D,4,FALSE)</f>
        <v>USA</v>
      </c>
      <c r="G2514" s="68" t="str">
        <f>VLOOKUP(C2514,layoffs_location!A:E,5,FALSE)</f>
        <v>North America</v>
      </c>
      <c r="H2514" s="68"/>
      <c r="I2514" s="70">
        <v>46107</v>
      </c>
      <c r="J2514" s="68">
        <v>25</v>
      </c>
      <c r="K2514" s="68"/>
      <c r="L2514" s="68"/>
      <c r="M2514" s="68" t="s">
        <v>4572</v>
      </c>
      <c r="N2514" s="68" t="s">
        <v>22</v>
      </c>
      <c r="O2514" s="68"/>
      <c r="P2514" s="68">
        <v>2026</v>
      </c>
      <c r="Q2514" s="83">
        <f>VLOOKUP(C2514,layoffs_location!A:F,6,FALSE)</f>
        <v>37.4443293</v>
      </c>
      <c r="R2514" s="83">
        <f>VLOOKUP(C2514,layoffs_location!A:G,7,FALSE)</f>
        <v>-122.1598465</v>
      </c>
      <c r="S2514" s="68"/>
      <c r="T2514" s="68"/>
    </row>
    <row r="2515" spans="1:20" x14ac:dyDescent="0.15">
      <c r="A2515" s="68">
        <v>2514</v>
      </c>
      <c r="B2515" s="68" t="s">
        <v>385</v>
      </c>
      <c r="C2515" s="68" t="s">
        <v>1443</v>
      </c>
      <c r="D2515" s="68" t="str">
        <f>VLOOKUP(C2515,layoffs_location!A:B,2,FALSE)</f>
        <v>San Francisco Bay Area</v>
      </c>
      <c r="E2515" s="68" t="str">
        <f>VLOOKUP(C2515,layoffs_location!A:C,3,FALSE)</f>
        <v>California</v>
      </c>
      <c r="F2515" s="68" t="str">
        <f>VLOOKUP(C2515,layoffs_location!A:D,4,FALSE)</f>
        <v>USA</v>
      </c>
      <c r="G2515" s="68" t="str">
        <f>VLOOKUP(C2515,layoffs_location!A:E,5,FALSE)</f>
        <v>North America</v>
      </c>
      <c r="H2515" s="68">
        <v>700</v>
      </c>
      <c r="I2515" s="70">
        <v>46107</v>
      </c>
      <c r="J2515" s="68"/>
      <c r="K2515" s="68"/>
      <c r="L2515" s="68"/>
      <c r="M2515" s="68" t="s">
        <v>1400</v>
      </c>
      <c r="N2515" s="68" t="s">
        <v>22</v>
      </c>
      <c r="O2515" s="68"/>
      <c r="P2515" s="68">
        <v>2026</v>
      </c>
      <c r="Q2515" s="83">
        <f>VLOOKUP(C2515,layoffs_location!A:F,6,FALSE)</f>
        <v>37.451967099999997</v>
      </c>
      <c r="R2515" s="83">
        <f>VLOOKUP(C2515,layoffs_location!A:G,7,FALSE)</f>
        <v>-122.177992</v>
      </c>
      <c r="S2515" s="68"/>
      <c r="T2515" s="68"/>
    </row>
    <row r="2516" spans="1:20" x14ac:dyDescent="0.15">
      <c r="A2516" s="68">
        <v>2515</v>
      </c>
      <c r="B2516" s="68" t="s">
        <v>4617</v>
      </c>
      <c r="C2516" s="68" t="s">
        <v>83</v>
      </c>
      <c r="D2516" s="68" t="str">
        <f>VLOOKUP(C2516,layoffs_location!A:B,2,FALSE)</f>
        <v>other</v>
      </c>
      <c r="E2516" s="68" t="str">
        <f>VLOOKUP(C2516,layoffs_location!A:C,3,FALSE)</f>
        <v>Texas</v>
      </c>
      <c r="F2516" s="68" t="str">
        <f>VLOOKUP(C2516,layoffs_location!A:D,4,FALSE)</f>
        <v>USA</v>
      </c>
      <c r="G2516" s="68" t="str">
        <f>VLOOKUP(C2516,layoffs_location!A:E,5,FALSE)</f>
        <v>North America</v>
      </c>
      <c r="H2516" s="68">
        <v>20</v>
      </c>
      <c r="I2516" s="70">
        <v>46108</v>
      </c>
      <c r="J2516" s="68"/>
      <c r="K2516" s="68"/>
      <c r="L2516" s="68"/>
      <c r="M2516" s="68" t="s">
        <v>1400</v>
      </c>
      <c r="N2516" s="68" t="s">
        <v>22</v>
      </c>
      <c r="O2516" s="68"/>
      <c r="P2516" s="68">
        <v>2026</v>
      </c>
      <c r="Q2516" s="83">
        <f>VLOOKUP(C2516,layoffs_location!A:F,6,FALSE)</f>
        <v>30.271128600000001</v>
      </c>
      <c r="R2516" s="83">
        <f>VLOOKUP(C2516,layoffs_location!A:G,7,FALSE)</f>
        <v>-97.743699500000005</v>
      </c>
      <c r="S2516" s="68"/>
      <c r="T2516" s="68"/>
    </row>
    <row r="2517" spans="1:20" x14ac:dyDescent="0.15">
      <c r="A2517" s="68">
        <v>2516</v>
      </c>
      <c r="B2517" s="68" t="s">
        <v>2437</v>
      </c>
      <c r="C2517" s="68" t="s">
        <v>1210</v>
      </c>
      <c r="D2517" s="68" t="str">
        <f>VLOOKUP(C2517,layoffs_location!A:B,2,FALSE)</f>
        <v>other</v>
      </c>
      <c r="E2517" s="68" t="str">
        <f>VLOOKUP(C2517,layoffs_location!A:C,3,FALSE)</f>
        <v>Wisconsin</v>
      </c>
      <c r="F2517" s="68" t="str">
        <f>VLOOKUP(C2517,layoffs_location!A:D,4,FALSE)</f>
        <v>USA</v>
      </c>
      <c r="G2517" s="68" t="str">
        <f>VLOOKUP(C2517,layoffs_location!A:E,5,FALSE)</f>
        <v>North America</v>
      </c>
      <c r="H2517" s="68">
        <v>118</v>
      </c>
      <c r="I2517" s="70">
        <v>46108</v>
      </c>
      <c r="J2517" s="68"/>
      <c r="K2517" s="68"/>
      <c r="L2517" s="68"/>
      <c r="M2517" s="68" t="s">
        <v>2156</v>
      </c>
      <c r="N2517" s="68" t="s">
        <v>22</v>
      </c>
      <c r="O2517" s="68"/>
      <c r="P2517" s="68">
        <v>2026</v>
      </c>
      <c r="Q2517" s="83">
        <f>VLOOKUP(C2517,layoffs_location!A:F,6,FALSE)</f>
        <v>43.038647500000003</v>
      </c>
      <c r="R2517" s="83">
        <f>VLOOKUP(C2517,layoffs_location!A:G,7,FALSE)</f>
        <v>-87.909075099999995</v>
      </c>
      <c r="S2517" s="68"/>
      <c r="T2517" s="68"/>
    </row>
    <row r="2518" spans="1:20" x14ac:dyDescent="0.15">
      <c r="A2518" s="68">
        <v>2517</v>
      </c>
      <c r="B2518" s="68" t="s">
        <v>4618</v>
      </c>
      <c r="C2518" s="68" t="s">
        <v>2221</v>
      </c>
      <c r="D2518" s="68" t="str">
        <f>VLOOKUP(C2518,layoffs_location!A:B,2,FALSE)</f>
        <v>other</v>
      </c>
      <c r="E2518" s="68" t="str">
        <f>VLOOKUP(C2518,layoffs_location!A:C,3,FALSE)</f>
        <v>Washington</v>
      </c>
      <c r="F2518" s="68" t="str">
        <f>VLOOKUP(C2518,layoffs_location!A:D,4,FALSE)</f>
        <v>USA</v>
      </c>
      <c r="G2518" s="68" t="str">
        <f>VLOOKUP(C2518,layoffs_location!A:E,5,FALSE)</f>
        <v>North America</v>
      </c>
      <c r="H2518" s="68"/>
      <c r="I2518" s="70">
        <v>46108</v>
      </c>
      <c r="J2518" s="68"/>
      <c r="K2518" s="68"/>
      <c r="L2518" s="68"/>
      <c r="M2518" s="68" t="s">
        <v>1412</v>
      </c>
      <c r="N2518" s="68" t="s">
        <v>22</v>
      </c>
      <c r="O2518" s="68"/>
      <c r="P2518" s="68">
        <v>2026</v>
      </c>
      <c r="Q2518" s="83">
        <f>VLOOKUP(C2518,layoffs_location!A:F,6,FALSE)</f>
        <v>47.593467945109602</v>
      </c>
      <c r="R2518" s="83">
        <f>VLOOKUP(C2518,layoffs_location!A:G,7,FALSE)</f>
        <v>-122.190877725398</v>
      </c>
      <c r="S2518" s="68"/>
      <c r="T2518" s="68"/>
    </row>
    <row r="2519" spans="1:20" x14ac:dyDescent="0.15">
      <c r="A2519" s="68">
        <v>2518</v>
      </c>
      <c r="B2519" s="68" t="s">
        <v>800</v>
      </c>
      <c r="C2519" s="68" t="s">
        <v>58</v>
      </c>
      <c r="D2519" s="68" t="str">
        <f>VLOOKUP(C2519,layoffs_location!A:B,2,FALSE)</f>
        <v>other</v>
      </c>
      <c r="E2519" s="68" t="str">
        <f>VLOOKUP(C2519,layoffs_location!A:C,3,FALSE)</f>
        <v>England</v>
      </c>
      <c r="F2519" s="68" t="str">
        <f>VLOOKUP(C2519,layoffs_location!A:D,4,FALSE)</f>
        <v>UK</v>
      </c>
      <c r="G2519" s="68" t="str">
        <f>VLOOKUP(C2519,layoffs_location!A:E,5,FALSE)</f>
        <v>Europe</v>
      </c>
      <c r="H2519" s="68"/>
      <c r="I2519" s="70">
        <v>46111</v>
      </c>
      <c r="J2519" s="68"/>
      <c r="K2519" s="68"/>
      <c r="L2519" s="68"/>
      <c r="M2519" s="68" t="s">
        <v>2169</v>
      </c>
      <c r="N2519" s="68" t="s">
        <v>22</v>
      </c>
      <c r="O2519" s="68"/>
      <c r="P2519" s="68">
        <v>2026</v>
      </c>
      <c r="Q2519" s="83">
        <f>VLOOKUP(C2519,layoffs_location!A:F,6,FALSE)</f>
        <v>51.489333500000001</v>
      </c>
      <c r="R2519" s="83">
        <f>VLOOKUP(C2519,layoffs_location!A:G,7,FALSE)</f>
        <v>-0.14405508452768701</v>
      </c>
      <c r="S2519" s="68"/>
      <c r="T2519" s="68"/>
    </row>
    <row r="2520" spans="1:20" x14ac:dyDescent="0.15">
      <c r="A2520" s="68">
        <v>2519</v>
      </c>
      <c r="B2520" s="68" t="s">
        <v>2043</v>
      </c>
      <c r="C2520" s="68" t="s">
        <v>43</v>
      </c>
      <c r="D2520" s="68" t="str">
        <f>VLOOKUP(C2520,layoffs_location!A:B,2,FALSE)</f>
        <v>Cascadia</v>
      </c>
      <c r="E2520" s="68" t="str">
        <f>VLOOKUP(C2520,layoffs_location!A:C,3,FALSE)</f>
        <v>Washington</v>
      </c>
      <c r="F2520" s="68" t="str">
        <f>VLOOKUP(C2520,layoffs_location!A:D,4,FALSE)</f>
        <v>USA</v>
      </c>
      <c r="G2520" s="68" t="str">
        <f>VLOOKUP(C2520,layoffs_location!A:E,5,FALSE)</f>
        <v>North America</v>
      </c>
      <c r="H2520" s="68"/>
      <c r="I2520" s="70">
        <v>46111</v>
      </c>
      <c r="J2520" s="68">
        <v>100</v>
      </c>
      <c r="K2520" s="68"/>
      <c r="L2520" s="68"/>
      <c r="M2520" s="68" t="s">
        <v>1460</v>
      </c>
      <c r="N2520" s="68" t="s">
        <v>22</v>
      </c>
      <c r="O2520" s="68"/>
      <c r="P2520" s="68">
        <v>2026</v>
      </c>
      <c r="Q2520" s="83">
        <f>VLOOKUP(C2520,layoffs_location!A:F,6,FALSE)</f>
        <v>47.603832099999998</v>
      </c>
      <c r="R2520" s="83">
        <f>VLOOKUP(C2520,layoffs_location!A:G,7,FALSE)</f>
        <v>-122.330062</v>
      </c>
      <c r="S2520" s="68"/>
      <c r="T2520" s="68"/>
    </row>
    <row r="2521" spans="1:20" x14ac:dyDescent="0.15">
      <c r="A2521" s="68">
        <v>2520</v>
      </c>
      <c r="B2521" s="68" t="s">
        <v>4619</v>
      </c>
      <c r="C2521" s="68" t="s">
        <v>452</v>
      </c>
      <c r="D2521" s="68" t="str">
        <f>VLOOKUP(C2521,layoffs_location!A:B,2,FALSE)</f>
        <v>other</v>
      </c>
      <c r="E2521" s="68" t="str">
        <f>VLOOKUP(C2521,layoffs_location!A:C,3,FALSE)</f>
        <v>Ohio</v>
      </c>
      <c r="F2521" s="68" t="str">
        <f>VLOOKUP(C2521,layoffs_location!A:D,4,FALSE)</f>
        <v>USA</v>
      </c>
      <c r="G2521" s="68" t="str">
        <f>VLOOKUP(C2521,layoffs_location!A:E,5,FALSE)</f>
        <v>North America</v>
      </c>
      <c r="H2521" s="68"/>
      <c r="I2521" s="70">
        <v>46111</v>
      </c>
      <c r="J2521" s="68"/>
      <c r="K2521" s="68"/>
      <c r="L2521" s="68"/>
      <c r="M2521" s="68" t="s">
        <v>4620</v>
      </c>
      <c r="N2521" s="68" t="s">
        <v>22</v>
      </c>
      <c r="O2521" s="68"/>
      <c r="P2521" s="68">
        <v>2026</v>
      </c>
      <c r="Q2521" s="83">
        <f>VLOOKUP(C2521,layoffs_location!A:F,6,FALSE)</f>
        <v>39.962260100000002</v>
      </c>
      <c r="R2521" s="83">
        <f>VLOOKUP(C2521,layoffs_location!A:G,7,FALSE)</f>
        <v>-83.000706500000007</v>
      </c>
      <c r="S2521" s="68"/>
      <c r="T2521" s="68"/>
    </row>
    <row r="2522" spans="1:20" x14ac:dyDescent="0.15">
      <c r="A2522" s="68">
        <v>2521</v>
      </c>
      <c r="B2522" s="68" t="s">
        <v>2400</v>
      </c>
      <c r="C2522" s="68" t="s">
        <v>1337</v>
      </c>
      <c r="D2522" s="68" t="str">
        <f>VLOOKUP(C2522,layoffs_location!A:B,2,FALSE)</f>
        <v>other</v>
      </c>
      <c r="E2522" s="68" t="str">
        <f>VLOOKUP(C2522,layoffs_location!A:C,3,FALSE)</f>
        <v>non</v>
      </c>
      <c r="F2522" s="68" t="str">
        <f>VLOOKUP(C2522,layoffs_location!A:D,4,FALSE)</f>
        <v>Finland</v>
      </c>
      <c r="G2522" s="68" t="str">
        <f>VLOOKUP(C2522,layoffs_location!A:E,5,FALSE)</f>
        <v>Europe</v>
      </c>
      <c r="H2522" s="68">
        <v>14000</v>
      </c>
      <c r="I2522" s="70">
        <v>46112</v>
      </c>
      <c r="J2522" s="68"/>
      <c r="K2522" s="68"/>
      <c r="L2522" s="68"/>
      <c r="M2522" s="68" t="s">
        <v>1412</v>
      </c>
      <c r="N2522" s="68" t="s">
        <v>22</v>
      </c>
      <c r="O2522" s="68"/>
      <c r="P2522" s="68">
        <v>2026</v>
      </c>
      <c r="Q2522" s="83">
        <f>VLOOKUP(C2522,layoffs_location!A:F,6,FALSE)</f>
        <v>60.204767199999999</v>
      </c>
      <c r="R2522" s="83">
        <f>VLOOKUP(C2522,layoffs_location!A:G,7,FALSE)</f>
        <v>24.656843500000001</v>
      </c>
      <c r="S2522" s="68"/>
      <c r="T2522" s="68"/>
    </row>
    <row r="2523" spans="1:20" x14ac:dyDescent="0.15">
      <c r="A2523" s="68">
        <v>2522</v>
      </c>
      <c r="B2523" s="68" t="s">
        <v>4621</v>
      </c>
      <c r="C2523" s="68" t="s">
        <v>115</v>
      </c>
      <c r="D2523" s="68" t="str">
        <f>VLOOKUP(C2523,layoffs_location!A:B,2,FALSE)</f>
        <v>other</v>
      </c>
      <c r="E2523" s="68" t="str">
        <f>VLOOKUP(C2523,layoffs_location!A:C,3,FALSE)</f>
        <v>Quebec</v>
      </c>
      <c r="F2523" s="68" t="str">
        <f>VLOOKUP(C2523,layoffs_location!A:D,4,FALSE)</f>
        <v>Canada</v>
      </c>
      <c r="G2523" s="68" t="str">
        <f>VLOOKUP(C2523,layoffs_location!A:E,5,FALSE)</f>
        <v>North America</v>
      </c>
      <c r="H2523" s="68">
        <v>124</v>
      </c>
      <c r="I2523" s="70">
        <v>46112</v>
      </c>
      <c r="J2523" s="68"/>
      <c r="K2523" s="68"/>
      <c r="L2523" s="68"/>
      <c r="M2523" s="68" t="s">
        <v>2138</v>
      </c>
      <c r="N2523" s="68" t="s">
        <v>22</v>
      </c>
      <c r="O2523" s="68"/>
      <c r="P2523" s="68">
        <v>2026</v>
      </c>
      <c r="Q2523" s="83">
        <f>VLOOKUP(C2523,layoffs_location!A:F,6,FALSE)</f>
        <v>45.5031824</v>
      </c>
      <c r="R2523" s="83">
        <f>VLOOKUP(C2523,layoffs_location!A:G,7,FALSE)</f>
        <v>-73.569806499999999</v>
      </c>
      <c r="S2523" s="68"/>
      <c r="T2523" s="68"/>
    </row>
    <row r="2524" spans="1:20" x14ac:dyDescent="0.15">
      <c r="A2524" s="68">
        <v>2523</v>
      </c>
      <c r="B2524" s="68" t="s">
        <v>4622</v>
      </c>
      <c r="C2524" s="68" t="s">
        <v>1370</v>
      </c>
      <c r="D2524" s="68" t="str">
        <f>VLOOKUP(C2524,layoffs_location!A:B,2,FALSE)</f>
        <v>San Francisco Bay Area</v>
      </c>
      <c r="E2524" s="68" t="str">
        <f>VLOOKUP(C2524,layoffs_location!A:C,3,FALSE)</f>
        <v>California</v>
      </c>
      <c r="F2524" s="68" t="str">
        <f>VLOOKUP(C2524,layoffs_location!A:D,4,FALSE)</f>
        <v>USA</v>
      </c>
      <c r="G2524" s="68" t="str">
        <f>VLOOKUP(C2524,layoffs_location!A:E,5,FALSE)</f>
        <v>North America</v>
      </c>
      <c r="H2524" s="68"/>
      <c r="I2524" s="70">
        <v>46112</v>
      </c>
      <c r="J2524" s="68">
        <v>100</v>
      </c>
      <c r="K2524" s="68"/>
      <c r="L2524" s="68"/>
      <c r="M2524" s="68" t="s">
        <v>2125</v>
      </c>
      <c r="N2524" s="68" t="s">
        <v>22</v>
      </c>
      <c r="O2524" s="68"/>
      <c r="P2524" s="68">
        <v>2026</v>
      </c>
      <c r="Q2524" s="83">
        <f>VLOOKUP(C2524,layoffs_location!A:F,6,FALSE)</f>
        <v>37.779258800000001</v>
      </c>
      <c r="R2524" s="83">
        <f>VLOOKUP(C2524,layoffs_location!A:G,7,FALSE)</f>
        <v>-122.4193286</v>
      </c>
      <c r="S2524" s="68"/>
      <c r="T2524" s="68"/>
    </row>
    <row r="2525" spans="1:20" x14ac:dyDescent="0.15">
      <c r="A2525" s="68">
        <v>2524</v>
      </c>
      <c r="B2525" s="68" t="s">
        <v>4623</v>
      </c>
      <c r="C2525" s="68" t="s">
        <v>43</v>
      </c>
      <c r="D2525" s="68" t="str">
        <f>VLOOKUP(C2525,layoffs_location!A:B,2,FALSE)</f>
        <v>Cascadia</v>
      </c>
      <c r="E2525" s="68" t="str">
        <f>VLOOKUP(C2525,layoffs_location!A:C,3,FALSE)</f>
        <v>Washington</v>
      </c>
      <c r="F2525" s="68" t="str">
        <f>VLOOKUP(C2525,layoffs_location!A:D,4,FALSE)</f>
        <v>USA</v>
      </c>
      <c r="G2525" s="68" t="str">
        <f>VLOOKUP(C2525,layoffs_location!A:E,5,FALSE)</f>
        <v>North America</v>
      </c>
      <c r="H2525" s="68">
        <v>30</v>
      </c>
      <c r="I2525" s="70">
        <v>46113</v>
      </c>
      <c r="J2525" s="68"/>
      <c r="K2525" s="68"/>
      <c r="L2525" s="68"/>
      <c r="M2525" s="68" t="s">
        <v>4624</v>
      </c>
      <c r="N2525" s="68" t="s">
        <v>22</v>
      </c>
      <c r="O2525" s="68"/>
      <c r="P2525" s="68">
        <v>2026</v>
      </c>
      <c r="Q2525" s="83">
        <f>VLOOKUP(C2525,layoffs_location!A:F,6,FALSE)</f>
        <v>47.603832099999998</v>
      </c>
      <c r="R2525" s="83">
        <f>VLOOKUP(C2525,layoffs_location!A:G,7,FALSE)</f>
        <v>-122.330062</v>
      </c>
      <c r="S2525" s="68"/>
      <c r="T2525" s="68"/>
    </row>
    <row r="2526" spans="1:20" x14ac:dyDescent="0.15">
      <c r="A2526" s="68">
        <v>2525</v>
      </c>
      <c r="B2526" s="68" t="s">
        <v>1108</v>
      </c>
      <c r="C2526" s="68" t="s">
        <v>58</v>
      </c>
      <c r="D2526" s="68" t="str">
        <f>VLOOKUP(C2526,layoffs_location!A:B,2,FALSE)</f>
        <v>other</v>
      </c>
      <c r="E2526" s="68" t="str">
        <f>VLOOKUP(C2526,layoffs_location!A:C,3,FALSE)</f>
        <v>England</v>
      </c>
      <c r="F2526" s="68" t="str">
        <f>VLOOKUP(C2526,layoffs_location!A:D,4,FALSE)</f>
        <v>UK</v>
      </c>
      <c r="G2526" s="68" t="str">
        <f>VLOOKUP(C2526,layoffs_location!A:E,5,FALSE)</f>
        <v>Europe</v>
      </c>
      <c r="H2526" s="68">
        <v>50</v>
      </c>
      <c r="I2526" s="70">
        <v>46113</v>
      </c>
      <c r="J2526" s="68"/>
      <c r="K2526" s="68"/>
      <c r="L2526" s="68"/>
      <c r="M2526" s="68" t="s">
        <v>4625</v>
      </c>
      <c r="N2526" s="68" t="s">
        <v>22</v>
      </c>
      <c r="O2526" s="68"/>
      <c r="P2526" s="68">
        <v>2026</v>
      </c>
      <c r="Q2526" s="83">
        <f>VLOOKUP(C2526,layoffs_location!A:F,6,FALSE)</f>
        <v>51.489333500000001</v>
      </c>
      <c r="R2526" s="83">
        <f>VLOOKUP(C2526,layoffs_location!A:G,7,FALSE)</f>
        <v>-0.14405508452768701</v>
      </c>
      <c r="S2526" s="68"/>
      <c r="T2526" s="68"/>
    </row>
    <row r="2527" spans="1:20" x14ac:dyDescent="0.15">
      <c r="A2527" s="68">
        <v>2526</v>
      </c>
      <c r="B2527" s="68" t="s">
        <v>2244</v>
      </c>
      <c r="C2527" s="68" t="s">
        <v>83</v>
      </c>
      <c r="D2527" s="68" t="str">
        <f>VLOOKUP(C2527,layoffs_location!A:B,2,FALSE)</f>
        <v>other</v>
      </c>
      <c r="E2527" s="68" t="str">
        <f>VLOOKUP(C2527,layoffs_location!A:C,3,FALSE)</f>
        <v>Texas</v>
      </c>
      <c r="F2527" s="68" t="str">
        <f>VLOOKUP(C2527,layoffs_location!A:D,4,FALSE)</f>
        <v>USA</v>
      </c>
      <c r="G2527" s="68" t="str">
        <f>VLOOKUP(C2527,layoffs_location!A:E,5,FALSE)</f>
        <v>North America</v>
      </c>
      <c r="H2527" s="68">
        <v>30000</v>
      </c>
      <c r="I2527" s="70">
        <v>46113</v>
      </c>
      <c r="J2527" s="68"/>
      <c r="K2527" s="68"/>
      <c r="L2527" s="68"/>
      <c r="M2527" s="68" t="s">
        <v>2156</v>
      </c>
      <c r="N2527" s="68" t="s">
        <v>22</v>
      </c>
      <c r="O2527" s="68"/>
      <c r="P2527" s="68">
        <v>2026</v>
      </c>
      <c r="Q2527" s="83">
        <f>VLOOKUP(C2527,layoffs_location!A:F,6,FALSE)</f>
        <v>30.271128600000001</v>
      </c>
      <c r="R2527" s="83">
        <f>VLOOKUP(C2527,layoffs_location!A:G,7,FALSE)</f>
        <v>-97.743699500000005</v>
      </c>
      <c r="S2527" s="68"/>
      <c r="T2527" s="68"/>
    </row>
    <row r="2528" spans="1:20" x14ac:dyDescent="0.15">
      <c r="A2528" s="68">
        <v>2527</v>
      </c>
      <c r="B2528" s="68" t="s">
        <v>4626</v>
      </c>
      <c r="C2528" s="68" t="s">
        <v>1716</v>
      </c>
      <c r="D2528" s="68" t="str">
        <f>VLOOKUP(C2528,layoffs_location!A:B,2,FALSE)</f>
        <v>San Francisco Bay Area</v>
      </c>
      <c r="E2528" s="68" t="str">
        <f>VLOOKUP(C2528,layoffs_location!A:C,3,FALSE)</f>
        <v>California</v>
      </c>
      <c r="F2528" s="68" t="str">
        <f>VLOOKUP(C2528,layoffs_location!A:D,4,FALSE)</f>
        <v>USA</v>
      </c>
      <c r="G2528" s="68" t="str">
        <f>VLOOKUP(C2528,layoffs_location!A:E,5,FALSE)</f>
        <v>North America</v>
      </c>
      <c r="H2528" s="68"/>
      <c r="I2528" s="70">
        <v>46114</v>
      </c>
      <c r="J2528" s="68">
        <v>100</v>
      </c>
      <c r="K2528" s="68"/>
      <c r="L2528" s="68"/>
      <c r="M2528" s="68" t="s">
        <v>4627</v>
      </c>
      <c r="N2528" s="68" t="s">
        <v>22</v>
      </c>
      <c r="O2528" s="68"/>
      <c r="P2528" s="68">
        <v>2026</v>
      </c>
      <c r="Q2528" s="83">
        <f>VLOOKUP(C2528,layoffs_location!A:F,6,FALSE)</f>
        <v>37.8708393</v>
      </c>
      <c r="R2528" s="83">
        <f>VLOOKUP(C2528,layoffs_location!A:G,7,FALSE)</f>
        <v>-122.272863</v>
      </c>
      <c r="S2528" s="68"/>
      <c r="T2528" s="68"/>
    </row>
    <row r="2529" spans="1:20" x14ac:dyDescent="0.15">
      <c r="A2529" s="68">
        <v>2528</v>
      </c>
      <c r="B2529" s="68" t="s">
        <v>4628</v>
      </c>
      <c r="C2529" s="68" t="s">
        <v>260</v>
      </c>
      <c r="D2529" s="68" t="str">
        <f>VLOOKUP(C2529,layoffs_location!A:B,2,FALSE)</f>
        <v>other</v>
      </c>
      <c r="E2529" s="68" t="str">
        <f>VLOOKUP(C2529,layoffs_location!A:C,3,FALSE)</f>
        <v>District of Columbia</v>
      </c>
      <c r="F2529" s="68" t="str">
        <f>VLOOKUP(C2529,layoffs_location!A:D,4,FALSE)</f>
        <v>USA</v>
      </c>
      <c r="G2529" s="68" t="str">
        <f>VLOOKUP(C2529,layoffs_location!A:E,5,FALSE)</f>
        <v>North America</v>
      </c>
      <c r="H2529" s="68">
        <v>95</v>
      </c>
      <c r="I2529" s="70">
        <v>46114</v>
      </c>
      <c r="J2529" s="68"/>
      <c r="K2529" s="68"/>
      <c r="L2529" s="68"/>
      <c r="M2529" s="68" t="s">
        <v>2156</v>
      </c>
      <c r="N2529" s="68" t="s">
        <v>22</v>
      </c>
      <c r="O2529" s="68"/>
      <c r="P2529" s="68">
        <v>2026</v>
      </c>
      <c r="Q2529" s="83">
        <f>VLOOKUP(C2529,layoffs_location!A:F,6,FALSE)</f>
        <v>38.8950368</v>
      </c>
      <c r="R2529" s="83">
        <f>VLOOKUP(C2529,layoffs_location!A:G,7,FALSE)</f>
        <v>-77.036542699999998</v>
      </c>
      <c r="S2529" s="68"/>
      <c r="T2529" s="68"/>
    </row>
    <row r="2530" spans="1:20" x14ac:dyDescent="0.15">
      <c r="A2530" s="68">
        <v>2529</v>
      </c>
      <c r="B2530" s="68" t="s">
        <v>385</v>
      </c>
      <c r="C2530" s="68" t="s">
        <v>1370</v>
      </c>
      <c r="D2530" s="68" t="str">
        <f>VLOOKUP(C2530,layoffs_location!A:B,2,FALSE)</f>
        <v>San Francisco Bay Area</v>
      </c>
      <c r="E2530" s="68" t="str">
        <f>VLOOKUP(C2530,layoffs_location!A:C,3,FALSE)</f>
        <v>California</v>
      </c>
      <c r="F2530" s="68" t="str">
        <f>VLOOKUP(C2530,layoffs_location!A:D,4,FALSE)</f>
        <v>USA</v>
      </c>
      <c r="G2530" s="68" t="str">
        <f>VLOOKUP(C2530,layoffs_location!A:E,5,FALSE)</f>
        <v>North America</v>
      </c>
      <c r="H2530" s="68">
        <v>200</v>
      </c>
      <c r="I2530" s="70">
        <v>46114</v>
      </c>
      <c r="J2530" s="68"/>
      <c r="K2530" s="68"/>
      <c r="L2530" s="68"/>
      <c r="M2530" s="68" t="s">
        <v>1400</v>
      </c>
      <c r="N2530" s="68" t="s">
        <v>22</v>
      </c>
      <c r="O2530" s="68"/>
      <c r="P2530" s="68">
        <v>2026</v>
      </c>
      <c r="Q2530" s="83">
        <f>VLOOKUP(C2530,layoffs_location!A:F,6,FALSE)</f>
        <v>37.779258800000001</v>
      </c>
      <c r="R2530" s="83">
        <f>VLOOKUP(C2530,layoffs_location!A:G,7,FALSE)</f>
        <v>-122.4193286</v>
      </c>
      <c r="S2530" s="68"/>
      <c r="T2530" s="68"/>
    </row>
    <row r="2531" spans="1:20" x14ac:dyDescent="0.15">
      <c r="A2531" s="68">
        <v>2530</v>
      </c>
      <c r="B2531" s="68" t="s">
        <v>3312</v>
      </c>
      <c r="C2531" s="68" t="s">
        <v>39</v>
      </c>
      <c r="D2531" s="68" t="str">
        <f>VLOOKUP(C2531,layoffs_location!A:B,2,FALSE)</f>
        <v>New York</v>
      </c>
      <c r="E2531" s="68" t="str">
        <f>VLOOKUP(C2531,layoffs_location!A:C,3,FALSE)</f>
        <v>New York</v>
      </c>
      <c r="F2531" s="68" t="str">
        <f>VLOOKUP(C2531,layoffs_location!A:D,4,FALSE)</f>
        <v>USA</v>
      </c>
      <c r="G2531" s="68" t="str">
        <f>VLOOKUP(C2531,layoffs_location!A:E,5,FALSE)</f>
        <v>North America</v>
      </c>
      <c r="H2531" s="68">
        <v>130</v>
      </c>
      <c r="I2531" s="70">
        <v>46114</v>
      </c>
      <c r="J2531" s="68"/>
      <c r="K2531" s="68"/>
      <c r="L2531" s="68"/>
      <c r="M2531" s="68" t="s">
        <v>4544</v>
      </c>
      <c r="N2531" s="68" t="s">
        <v>22</v>
      </c>
      <c r="O2531" s="68"/>
      <c r="P2531" s="68">
        <v>2026</v>
      </c>
      <c r="Q2531" s="83">
        <f>VLOOKUP(C2531,layoffs_location!A:F,6,FALSE)</f>
        <v>40.7127281</v>
      </c>
      <c r="R2531" s="83">
        <f>VLOOKUP(C2531,layoffs_location!A:G,7,FALSE)</f>
        <v>-74.006015199999993</v>
      </c>
      <c r="S2531" s="68"/>
      <c r="T2531" s="68"/>
    </row>
    <row r="2532" spans="1:20" x14ac:dyDescent="0.2">
      <c r="A2532" s="68">
        <v>2531</v>
      </c>
      <c r="B2532" s="69" t="s">
        <v>4629</v>
      </c>
      <c r="C2532" s="68" t="s">
        <v>13</v>
      </c>
      <c r="D2532" s="68" t="str">
        <f>VLOOKUP(C2532,layoffs_location!A:B,2,FALSE)</f>
        <v>other</v>
      </c>
      <c r="E2532" s="68" t="str">
        <f>VLOOKUP(C2532,layoffs_location!A:C,3,FALSE)</f>
        <v>Karnataka</v>
      </c>
      <c r="F2532" s="68" t="str">
        <f>VLOOKUP(C2532,layoffs_location!A:D,4,FALSE)</f>
        <v>India</v>
      </c>
      <c r="G2532" s="68" t="str">
        <f>VLOOKUP(C2532,layoffs_location!A:E,5,FALSE)</f>
        <v>Asia</v>
      </c>
      <c r="H2532" s="68"/>
      <c r="I2532" s="70">
        <v>46115</v>
      </c>
      <c r="J2532" s="68">
        <v>100</v>
      </c>
      <c r="K2532" s="68"/>
      <c r="L2532" s="68"/>
      <c r="M2532" s="68" t="s">
        <v>2259</v>
      </c>
      <c r="N2532" s="68" t="s">
        <v>22</v>
      </c>
      <c r="O2532" s="68"/>
      <c r="P2532" s="68">
        <v>2026</v>
      </c>
      <c r="Q2532" s="83">
        <f>VLOOKUP(C2532,layoffs_location!A:F,6,FALSE)</f>
        <v>12.98815675</v>
      </c>
      <c r="R2532" s="83">
        <f>VLOOKUP(C2532,layoffs_location!A:G,7,FALSE)</f>
        <v>77.622600037959998</v>
      </c>
      <c r="S2532" s="68"/>
      <c r="T2532" s="68"/>
    </row>
    <row r="2533" spans="1:20" x14ac:dyDescent="0.15">
      <c r="A2533" s="68">
        <v>2532</v>
      </c>
      <c r="B2533" s="68" t="s">
        <v>34</v>
      </c>
      <c r="C2533" s="68" t="s">
        <v>1370</v>
      </c>
      <c r="D2533" s="68" t="str">
        <f>VLOOKUP(C2533,layoffs_location!A:B,2,FALSE)</f>
        <v>San Francisco Bay Area</v>
      </c>
      <c r="E2533" s="68" t="str">
        <f>VLOOKUP(C2533,layoffs_location!A:C,3,FALSE)</f>
        <v>California</v>
      </c>
      <c r="F2533" s="68" t="str">
        <f>VLOOKUP(C2533,layoffs_location!A:D,4,FALSE)</f>
        <v>USA</v>
      </c>
      <c r="G2533" s="68" t="str">
        <f>VLOOKUP(C2533,layoffs_location!A:E,5,FALSE)</f>
        <v>North America</v>
      </c>
      <c r="H2533" s="68"/>
      <c r="I2533" s="70">
        <v>46117</v>
      </c>
      <c r="J2533" s="68">
        <v>33</v>
      </c>
      <c r="K2533" s="68"/>
      <c r="L2533" s="68"/>
      <c r="M2533" s="68" t="s">
        <v>35</v>
      </c>
      <c r="N2533" s="68" t="s">
        <v>22</v>
      </c>
      <c r="O2533" s="68"/>
      <c r="P2533" s="68">
        <v>2026</v>
      </c>
      <c r="Q2533" s="83">
        <f>VLOOKUP(C2533,layoffs_location!A:F,6,FALSE)</f>
        <v>37.779258800000001</v>
      </c>
      <c r="R2533" s="83">
        <f>VLOOKUP(C2533,layoffs_location!A:G,7,FALSE)</f>
        <v>-122.4193286</v>
      </c>
      <c r="S2533" s="68"/>
      <c r="T2533" s="68"/>
    </row>
    <row r="2534" spans="1:20" x14ac:dyDescent="0.15">
      <c r="A2534" s="68">
        <v>2533</v>
      </c>
      <c r="B2534" s="68" t="s">
        <v>1691</v>
      </c>
      <c r="C2534" s="68" t="s">
        <v>39</v>
      </c>
      <c r="D2534" s="68" t="str">
        <f>VLOOKUP(C2534,layoffs_location!A:B,2,FALSE)</f>
        <v>New York</v>
      </c>
      <c r="E2534" s="68" t="str">
        <f>VLOOKUP(C2534,layoffs_location!A:C,3,FALSE)</f>
        <v>New York</v>
      </c>
      <c r="F2534" s="68" t="str">
        <f>VLOOKUP(C2534,layoffs_location!A:D,4,FALSE)</f>
        <v>USA</v>
      </c>
      <c r="G2534" s="68" t="str">
        <f>VLOOKUP(C2534,layoffs_location!A:E,5,FALSE)</f>
        <v>North America</v>
      </c>
      <c r="H2534" s="68"/>
      <c r="I2534" s="70">
        <v>46117</v>
      </c>
      <c r="J2534" s="68"/>
      <c r="K2534" s="68"/>
      <c r="L2534" s="68"/>
      <c r="M2534" s="68" t="s">
        <v>1460</v>
      </c>
      <c r="N2534" s="68" t="s">
        <v>22</v>
      </c>
      <c r="O2534" s="68"/>
      <c r="P2534" s="68">
        <v>2026</v>
      </c>
      <c r="Q2534" s="83">
        <f>VLOOKUP(C2534,layoffs_location!A:F,6,FALSE)</f>
        <v>40.7127281</v>
      </c>
      <c r="R2534" s="83">
        <f>VLOOKUP(C2534,layoffs_location!A:G,7,FALSE)</f>
        <v>-74.006015199999993</v>
      </c>
      <c r="S2534" s="68"/>
      <c r="T2534" s="68"/>
    </row>
    <row r="2535" spans="1:20" x14ac:dyDescent="0.15">
      <c r="A2535" s="68">
        <v>2534</v>
      </c>
      <c r="B2535" s="68" t="s">
        <v>1197</v>
      </c>
      <c r="C2535" s="68" t="s">
        <v>1713</v>
      </c>
      <c r="D2535" s="68" t="str">
        <f>VLOOKUP(C2535,layoffs_location!A:B,2,FALSE)</f>
        <v>San Francisco Bay Area</v>
      </c>
      <c r="E2535" s="68" t="str">
        <f>VLOOKUP(C2535,layoffs_location!A:C,3,FALSE)</f>
        <v>California</v>
      </c>
      <c r="F2535" s="68" t="str">
        <f>VLOOKUP(C2535,layoffs_location!A:D,4,FALSE)</f>
        <v>USA</v>
      </c>
      <c r="G2535" s="68" t="str">
        <f>VLOOKUP(C2535,layoffs_location!A:E,5,FALSE)</f>
        <v>North America</v>
      </c>
      <c r="H2535" s="68">
        <v>145</v>
      </c>
      <c r="I2535" s="70">
        <v>46119</v>
      </c>
      <c r="J2535" s="68">
        <v>23</v>
      </c>
      <c r="K2535" s="68">
        <v>630</v>
      </c>
      <c r="L2535" s="68">
        <v>485</v>
      </c>
      <c r="M2535" s="68" t="s">
        <v>4630</v>
      </c>
      <c r="N2535" s="68" t="s">
        <v>22</v>
      </c>
      <c r="O2535" s="68"/>
      <c r="P2535" s="68">
        <v>2026</v>
      </c>
      <c r="Q2535" s="83">
        <f>VLOOKUP(C2535,layoffs_location!A:F,6,FALSE)</f>
        <v>37.496904000000001</v>
      </c>
      <c r="R2535" s="83">
        <f>VLOOKUP(C2535,layoffs_location!A:G,7,FALSE)</f>
        <v>-122.33305729999999</v>
      </c>
      <c r="S2535" s="68"/>
      <c r="T2535" s="68"/>
    </row>
    <row r="2536" spans="1:20" x14ac:dyDescent="0.15">
      <c r="A2536" s="68">
        <v>2535</v>
      </c>
      <c r="B2536" s="68" t="s">
        <v>255</v>
      </c>
      <c r="C2536" s="68" t="s">
        <v>121</v>
      </c>
      <c r="D2536" s="68" t="str">
        <f>VLOOKUP(C2536,layoffs_location!A:B,2,FALSE)</f>
        <v>other</v>
      </c>
      <c r="E2536" s="68" t="str">
        <f>VLOOKUP(C2536,layoffs_location!A:C,3,FALSE)</f>
        <v>North Carolina</v>
      </c>
      <c r="F2536" s="68" t="str">
        <f>VLOOKUP(C2536,layoffs_location!A:D,4,FALSE)</f>
        <v>USA</v>
      </c>
      <c r="G2536" s="68" t="str">
        <f>VLOOKUP(C2536,layoffs_location!A:E,5,FALSE)</f>
        <v>North America</v>
      </c>
      <c r="H2536" s="68">
        <v>90</v>
      </c>
      <c r="I2536" s="70">
        <v>46119</v>
      </c>
      <c r="J2536" s="68">
        <v>10</v>
      </c>
      <c r="K2536" s="68">
        <v>900</v>
      </c>
      <c r="L2536" s="68">
        <v>810</v>
      </c>
      <c r="M2536" s="68" t="s">
        <v>4631</v>
      </c>
      <c r="N2536" s="68" t="s">
        <v>22</v>
      </c>
      <c r="O2536" s="68"/>
      <c r="P2536" s="68">
        <v>2026</v>
      </c>
      <c r="Q2536" s="83">
        <f>VLOOKUP(C2536,layoffs_location!A:F,6,FALSE)</f>
        <v>35.780397700000002</v>
      </c>
      <c r="R2536" s="83">
        <f>VLOOKUP(C2536,layoffs_location!A:G,7,FALSE)</f>
        <v>-78.639098899999993</v>
      </c>
      <c r="S2536" s="68"/>
      <c r="T2536" s="68"/>
    </row>
    <row r="2537" spans="1:20" x14ac:dyDescent="0.15">
      <c r="A2537" s="68">
        <v>2536</v>
      </c>
      <c r="B2537" s="68" t="s">
        <v>4577</v>
      </c>
      <c r="C2537" s="68" t="s">
        <v>67</v>
      </c>
      <c r="D2537" s="68" t="str">
        <f>VLOOKUP(C2537,layoffs_location!A:B,2,FALSE)</f>
        <v>other</v>
      </c>
      <c r="E2537" s="68" t="str">
        <f>VLOOKUP(C2537,layoffs_location!A:C,3,FALSE)</f>
        <v>Uttar Pradesh</v>
      </c>
      <c r="F2537" s="68" t="str">
        <f>VLOOKUP(C2537,layoffs_location!A:D,4,FALSE)</f>
        <v>India</v>
      </c>
      <c r="G2537" s="68" t="str">
        <f>VLOOKUP(C2537,layoffs_location!A:E,5,FALSE)</f>
        <v>Asia</v>
      </c>
      <c r="H2537" s="68">
        <v>120</v>
      </c>
      <c r="I2537" s="70">
        <v>46120</v>
      </c>
      <c r="J2537" s="68"/>
      <c r="K2537" s="68"/>
      <c r="L2537" s="68"/>
      <c r="M2537" s="68" t="s">
        <v>2156</v>
      </c>
      <c r="N2537" s="68" t="s">
        <v>22</v>
      </c>
      <c r="O2537" s="68"/>
      <c r="P2537" s="68">
        <v>2026</v>
      </c>
      <c r="Q2537" s="83">
        <f>VLOOKUP(C2537,layoffs_location!A:F,6,FALSE)</f>
        <v>28.570633300000001</v>
      </c>
      <c r="R2537" s="83">
        <f>VLOOKUP(C2537,layoffs_location!A:G,7,FALSE)</f>
        <v>77.327214699999999</v>
      </c>
      <c r="S2537" s="68"/>
      <c r="T2537" s="68"/>
    </row>
    <row r="2538" spans="1:20" x14ac:dyDescent="0.15">
      <c r="A2538" s="68">
        <v>2537</v>
      </c>
      <c r="B2538" s="68" t="s">
        <v>3749</v>
      </c>
      <c r="C2538" s="68" t="s">
        <v>1713</v>
      </c>
      <c r="D2538" s="68" t="str">
        <f>VLOOKUP(C2538,layoffs_location!A:B,2,FALSE)</f>
        <v>San Francisco Bay Area</v>
      </c>
      <c r="E2538" s="68" t="str">
        <f>VLOOKUP(C2538,layoffs_location!A:C,3,FALSE)</f>
        <v>California</v>
      </c>
      <c r="F2538" s="68" t="str">
        <f>VLOOKUP(C2538,layoffs_location!A:D,4,FALSE)</f>
        <v>USA</v>
      </c>
      <c r="G2538" s="68" t="str">
        <f>VLOOKUP(C2538,layoffs_location!A:E,5,FALSE)</f>
        <v>North America</v>
      </c>
      <c r="H2538" s="68"/>
      <c r="I2538" s="70">
        <v>46122</v>
      </c>
      <c r="J2538" s="68"/>
      <c r="K2538" s="68"/>
      <c r="L2538" s="68"/>
      <c r="M2538" s="68" t="s">
        <v>4632</v>
      </c>
      <c r="N2538" s="68" t="s">
        <v>22</v>
      </c>
      <c r="O2538" s="68"/>
      <c r="P2538" s="68">
        <v>2026</v>
      </c>
      <c r="Q2538" s="83">
        <f>VLOOKUP(C2538,layoffs_location!A:F,6,FALSE)</f>
        <v>37.496904000000001</v>
      </c>
      <c r="R2538" s="83">
        <f>VLOOKUP(C2538,layoffs_location!A:G,7,FALSE)</f>
        <v>-122.33305729999999</v>
      </c>
      <c r="S2538" s="68"/>
      <c r="T2538" s="68"/>
    </row>
    <row r="2539" spans="1:20" x14ac:dyDescent="0.15">
      <c r="A2539" s="68">
        <v>2538</v>
      </c>
      <c r="B2539" s="68" t="s">
        <v>4633</v>
      </c>
      <c r="C2539" s="68" t="s">
        <v>74</v>
      </c>
      <c r="D2539" s="68" t="str">
        <f>VLOOKUP(C2539,layoffs_location!A:B,2,FALSE)</f>
        <v>other</v>
      </c>
      <c r="E2539" s="68" t="str">
        <f>VLOOKUP(C2539,layoffs_location!A:C,3,FALSE)</f>
        <v>California</v>
      </c>
      <c r="F2539" s="68" t="str">
        <f>VLOOKUP(C2539,layoffs_location!A:D,4,FALSE)</f>
        <v>USA</v>
      </c>
      <c r="G2539" s="68" t="str">
        <f>VLOOKUP(C2539,layoffs_location!A:E,5,FALSE)</f>
        <v>North America</v>
      </c>
      <c r="H2539" s="68">
        <v>66</v>
      </c>
      <c r="I2539" s="70">
        <v>46122</v>
      </c>
      <c r="J2539" s="68"/>
      <c r="K2539" s="68"/>
      <c r="L2539" s="68"/>
      <c r="M2539" s="68" t="s">
        <v>2139</v>
      </c>
      <c r="N2539" s="68" t="s">
        <v>22</v>
      </c>
      <c r="O2539" s="68"/>
      <c r="P2539" s="68">
        <v>2026</v>
      </c>
      <c r="Q2539" s="83">
        <f>VLOOKUP(C2539,layoffs_location!A:F,6,FALSE)</f>
        <v>32.717420199999999</v>
      </c>
      <c r="R2539" s="83">
        <f>VLOOKUP(C2539,layoffs_location!A:G,7,FALSE)</f>
        <v>-117.162772</v>
      </c>
      <c r="S2539" s="68"/>
      <c r="T2539" s="68"/>
    </row>
    <row r="2540" spans="1:20" x14ac:dyDescent="0.15">
      <c r="A2540" s="68">
        <v>2539</v>
      </c>
      <c r="B2540" s="68" t="s">
        <v>4634</v>
      </c>
      <c r="C2540" s="68" t="s">
        <v>47</v>
      </c>
      <c r="D2540" s="68" t="str">
        <f>VLOOKUP(C2540,layoffs_location!A:B,2,FALSE)</f>
        <v>other</v>
      </c>
      <c r="E2540" s="68" t="str">
        <f>VLOOKUP(C2540,layoffs_location!A:C,3,FALSE)</f>
        <v>non</v>
      </c>
      <c r="F2540" s="68" t="str">
        <f>VLOOKUP(C2540,layoffs_location!A:D,4,FALSE)</f>
        <v>Israel</v>
      </c>
      <c r="G2540" s="68" t="str">
        <f>VLOOKUP(C2540,layoffs_location!A:E,5,FALSE)</f>
        <v>Asia</v>
      </c>
      <c r="H2540" s="68"/>
      <c r="I2540" s="70">
        <v>46125</v>
      </c>
      <c r="J2540" s="68"/>
      <c r="K2540" s="68"/>
      <c r="L2540" s="68"/>
      <c r="M2540" s="68" t="s">
        <v>1400</v>
      </c>
      <c r="N2540" s="68" t="s">
        <v>22</v>
      </c>
      <c r="O2540" s="68"/>
      <c r="P2540" s="68">
        <v>2026</v>
      </c>
      <c r="Q2540" s="83">
        <f>VLOOKUP(C2540,layoffs_location!A:F,6,FALSE)</f>
        <v>32.0852997</v>
      </c>
      <c r="R2540" s="83">
        <f>VLOOKUP(C2540,layoffs_location!A:G,7,FALSE)</f>
        <v>34.781806400000001</v>
      </c>
      <c r="S2540" s="68"/>
      <c r="T2540" s="68"/>
    </row>
    <row r="2541" spans="1:20" x14ac:dyDescent="0.15">
      <c r="A2541" s="68">
        <v>2540</v>
      </c>
      <c r="B2541" s="68" t="s">
        <v>4635</v>
      </c>
      <c r="C2541" s="68" t="s">
        <v>76</v>
      </c>
      <c r="D2541" s="68" t="str">
        <f>VLOOKUP(C2541,layoffs_location!A:B,2,FALSE)</f>
        <v>other</v>
      </c>
      <c r="E2541" s="68" t="str">
        <f>VLOOKUP(C2541,layoffs_location!A:C,3,FALSE)</f>
        <v>California</v>
      </c>
      <c r="F2541" s="68" t="str">
        <f>VLOOKUP(C2541,layoffs_location!A:D,4,FALSE)</f>
        <v>USA</v>
      </c>
      <c r="G2541" s="68" t="str">
        <f>VLOOKUP(C2541,layoffs_location!A:E,5,FALSE)</f>
        <v>North America</v>
      </c>
      <c r="H2541" s="68">
        <v>1000</v>
      </c>
      <c r="I2541" s="70">
        <v>46126</v>
      </c>
      <c r="J2541" s="68"/>
      <c r="K2541" s="68"/>
      <c r="L2541" s="68"/>
      <c r="M2541" s="68" t="s">
        <v>1374</v>
      </c>
      <c r="N2541" s="68" t="s">
        <v>22</v>
      </c>
      <c r="O2541" s="68"/>
      <c r="P2541" s="68">
        <v>2026</v>
      </c>
      <c r="Q2541" s="83">
        <f>VLOOKUP(C2541,layoffs_location!A:F,6,FALSE)</f>
        <v>34.053690899999999</v>
      </c>
      <c r="R2541" s="83">
        <f>VLOOKUP(C2541,layoffs_location!A:G,7,FALSE)</f>
        <v>-118.242766</v>
      </c>
      <c r="S2541" s="68"/>
      <c r="T2541" s="68"/>
    </row>
    <row r="2542" spans="1:20" x14ac:dyDescent="0.15">
      <c r="A2542" s="68">
        <v>2541</v>
      </c>
      <c r="B2542" s="68" t="s">
        <v>412</v>
      </c>
      <c r="C2542" s="68" t="s">
        <v>1370</v>
      </c>
      <c r="D2542" s="68" t="str">
        <f>VLOOKUP(C2542,layoffs_location!A:B,2,FALSE)</f>
        <v>San Francisco Bay Area</v>
      </c>
      <c r="E2542" s="68" t="str">
        <f>VLOOKUP(C2542,layoffs_location!A:C,3,FALSE)</f>
        <v>California</v>
      </c>
      <c r="F2542" s="68" t="str">
        <f>VLOOKUP(C2542,layoffs_location!A:D,4,FALSE)</f>
        <v>USA</v>
      </c>
      <c r="G2542" s="68" t="str">
        <f>VLOOKUP(C2542,layoffs_location!A:E,5,FALSE)</f>
        <v>North America</v>
      </c>
      <c r="H2542" s="68"/>
      <c r="I2542" s="70">
        <v>46126</v>
      </c>
      <c r="J2542" s="68"/>
      <c r="K2542" s="68"/>
      <c r="L2542" s="68"/>
      <c r="M2542" s="68" t="s">
        <v>4636</v>
      </c>
      <c r="N2542" s="68" t="s">
        <v>22</v>
      </c>
      <c r="O2542" s="68"/>
      <c r="P2542" s="68">
        <v>2026</v>
      </c>
      <c r="Q2542" s="83">
        <f>VLOOKUP(C2542,layoffs_location!A:F,6,FALSE)</f>
        <v>37.779258800000001</v>
      </c>
      <c r="R2542" s="83">
        <f>VLOOKUP(C2542,layoffs_location!A:G,7,FALSE)</f>
        <v>-122.4193286</v>
      </c>
      <c r="S2542" s="68"/>
      <c r="T2542" s="68"/>
    </row>
    <row r="2543" spans="1:20" x14ac:dyDescent="0.15">
      <c r="A2543" s="68">
        <v>2542</v>
      </c>
      <c r="B2543" s="68" t="s">
        <v>2314</v>
      </c>
      <c r="C2543" s="68" t="s">
        <v>2174</v>
      </c>
      <c r="D2543" s="68" t="str">
        <f>VLOOKUP(C2543,layoffs_location!A:B,2,FALSE)</f>
        <v>other</v>
      </c>
      <c r="E2543" s="68" t="str">
        <f>VLOOKUP(C2543,layoffs_location!A:C,3,FALSE)</f>
        <v>non</v>
      </c>
      <c r="F2543" s="68" t="str">
        <f>VLOOKUP(C2543,layoffs_location!A:D,4,FALSE)</f>
        <v>Israel</v>
      </c>
      <c r="G2543" s="68" t="str">
        <f>VLOOKUP(C2543,layoffs_location!A:E,5,FALSE)</f>
        <v>Asia</v>
      </c>
      <c r="H2543" s="68">
        <v>32</v>
      </c>
      <c r="I2543" s="70">
        <v>46127</v>
      </c>
      <c r="J2543" s="68">
        <v>3</v>
      </c>
      <c r="K2543" s="68">
        <v>1067</v>
      </c>
      <c r="L2543" s="68">
        <v>1035</v>
      </c>
      <c r="M2543" s="68" t="s">
        <v>2169</v>
      </c>
      <c r="N2543" s="68" t="s">
        <v>22</v>
      </c>
      <c r="O2543" s="68"/>
      <c r="P2543" s="68">
        <v>2026</v>
      </c>
      <c r="Q2543" s="83">
        <f>VLOOKUP(C2543,layoffs_location!A:F,6,FALSE)</f>
        <v>32.175277271939102</v>
      </c>
      <c r="R2543" s="83">
        <f>VLOOKUP(C2543,layoffs_location!A:G,7,FALSE)</f>
        <v>34.829547799125997</v>
      </c>
      <c r="S2543" s="68"/>
      <c r="T2543" s="68"/>
    </row>
    <row r="2544" spans="1:20" x14ac:dyDescent="0.15">
      <c r="A2544" s="68">
        <v>2543</v>
      </c>
      <c r="B2544" s="68" t="s">
        <v>803</v>
      </c>
      <c r="C2544" s="68" t="s">
        <v>4586</v>
      </c>
      <c r="D2544" s="68" t="str">
        <f>VLOOKUP(C2544,layoffs_location!A:B,2,FALSE)</f>
        <v>Los Angeles</v>
      </c>
      <c r="E2544" s="68" t="str">
        <f>VLOOKUP(C2544,layoffs_location!A:C,3,FALSE)</f>
        <v>California</v>
      </c>
      <c r="F2544" s="68" t="str">
        <f>VLOOKUP(C2544,layoffs_location!A:D,4,FALSE)</f>
        <v>USA</v>
      </c>
      <c r="G2544" s="68" t="str">
        <f>VLOOKUP(C2544,layoffs_location!A:E,5,FALSE)</f>
        <v>North America</v>
      </c>
      <c r="H2544" s="68">
        <v>1000</v>
      </c>
      <c r="I2544" s="70">
        <v>46127</v>
      </c>
      <c r="J2544" s="68"/>
      <c r="K2544" s="68"/>
      <c r="L2544" s="68"/>
      <c r="M2544" s="68" t="s">
        <v>1400</v>
      </c>
      <c r="N2544" s="68" t="s">
        <v>22</v>
      </c>
      <c r="O2544" s="68"/>
      <c r="P2544" s="68">
        <v>2026</v>
      </c>
      <c r="Q2544" s="83">
        <f>VLOOKUP(C2544,layoffs_location!A:F,6,FALSE)</f>
        <v>34.006580569674199</v>
      </c>
      <c r="R2544" s="83">
        <f>VLOOKUP(C2544,layoffs_location!A:G,7,FALSE)</f>
        <v>-118.48941014956699</v>
      </c>
      <c r="S2544" s="68"/>
      <c r="T2544" s="68"/>
    </row>
    <row r="2545" spans="1:20" x14ac:dyDescent="0.15">
      <c r="A2545" s="68">
        <v>2544</v>
      </c>
      <c r="B2545" s="68" t="s">
        <v>4637</v>
      </c>
      <c r="C2545" s="68" t="s">
        <v>1352</v>
      </c>
      <c r="D2545" s="68" t="str">
        <f>VLOOKUP(C2545,layoffs_location!A:B,2,FALSE)</f>
        <v>other</v>
      </c>
      <c r="E2545" s="68" t="str">
        <f>VLOOKUP(C2545,layoffs_location!A:C,3,FALSE)</f>
        <v>non</v>
      </c>
      <c r="F2545" s="68" t="str">
        <f>VLOOKUP(C2545,layoffs_location!A:D,4,FALSE)</f>
        <v>Lithuania</v>
      </c>
      <c r="G2545" s="68" t="str">
        <f>VLOOKUP(C2545,layoffs_location!A:E,5,FALSE)</f>
        <v>Europe</v>
      </c>
      <c r="H2545" s="68"/>
      <c r="I2545" s="70">
        <v>46127</v>
      </c>
      <c r="J2545" s="68">
        <v>40</v>
      </c>
      <c r="K2545" s="68"/>
      <c r="L2545" s="68"/>
      <c r="M2545" s="68" t="s">
        <v>4625</v>
      </c>
      <c r="N2545" s="68" t="s">
        <v>22</v>
      </c>
      <c r="O2545" s="68"/>
      <c r="P2545" s="68">
        <v>2026</v>
      </c>
      <c r="Q2545" s="83">
        <f>VLOOKUP(C2545,layoffs_location!A:F,6,FALSE)</f>
        <v>54.6870458</v>
      </c>
      <c r="R2545" s="83">
        <f>VLOOKUP(C2545,layoffs_location!A:G,7,FALSE)</f>
        <v>25.2829111</v>
      </c>
      <c r="S2545" s="68"/>
      <c r="T2545" s="68"/>
    </row>
    <row r="2546" spans="1:20" x14ac:dyDescent="0.15">
      <c r="A2546" s="68">
        <v>2545</v>
      </c>
      <c r="B2546" s="68" t="s">
        <v>790</v>
      </c>
      <c r="C2546" s="68" t="s">
        <v>39</v>
      </c>
      <c r="D2546" s="68" t="str">
        <f>VLOOKUP(C2546,layoffs_location!A:B,2,FALSE)</f>
        <v>New York</v>
      </c>
      <c r="E2546" s="68" t="str">
        <f>VLOOKUP(C2546,layoffs_location!A:C,3,FALSE)</f>
        <v>New York</v>
      </c>
      <c r="F2546" s="68" t="str">
        <f>VLOOKUP(C2546,layoffs_location!A:D,4,FALSE)</f>
        <v>USA</v>
      </c>
      <c r="G2546" s="68" t="str">
        <f>VLOOKUP(C2546,layoffs_location!A:E,5,FALSE)</f>
        <v>North America</v>
      </c>
      <c r="H2546" s="68">
        <v>100</v>
      </c>
      <c r="I2546" s="70">
        <v>46127</v>
      </c>
      <c r="J2546" s="68">
        <v>5</v>
      </c>
      <c r="K2546" s="68">
        <v>2000</v>
      </c>
      <c r="L2546" s="68">
        <v>1900</v>
      </c>
      <c r="M2546" s="68" t="s">
        <v>4638</v>
      </c>
      <c r="N2546" s="68" t="s">
        <v>22</v>
      </c>
      <c r="O2546" s="68"/>
      <c r="P2546" s="68">
        <v>2026</v>
      </c>
      <c r="Q2546" s="83">
        <f>VLOOKUP(C2546,layoffs_location!A:F,6,FALSE)</f>
        <v>40.7127281</v>
      </c>
      <c r="R2546" s="83">
        <f>VLOOKUP(C2546,layoffs_location!A:G,7,FALSE)</f>
        <v>-74.006015199999993</v>
      </c>
      <c r="S2546" s="68"/>
      <c r="T2546" s="68"/>
    </row>
    <row r="2547" spans="1:20" x14ac:dyDescent="0.15">
      <c r="A2547" s="68">
        <v>2546</v>
      </c>
      <c r="B2547" s="68" t="s">
        <v>1625</v>
      </c>
      <c r="C2547" s="68" t="s">
        <v>1370</v>
      </c>
      <c r="D2547" s="68" t="str">
        <f>VLOOKUP(C2547,layoffs_location!A:B,2,FALSE)</f>
        <v>San Francisco Bay Area</v>
      </c>
      <c r="E2547" s="68" t="str">
        <f>VLOOKUP(C2547,layoffs_location!A:C,3,FALSE)</f>
        <v>California</v>
      </c>
      <c r="F2547" s="68" t="str">
        <f>VLOOKUP(C2547,layoffs_location!A:D,4,FALSE)</f>
        <v>USA</v>
      </c>
      <c r="G2547" s="68" t="str">
        <f>VLOOKUP(C2547,layoffs_location!A:E,5,FALSE)</f>
        <v>North America</v>
      </c>
      <c r="H2547" s="68"/>
      <c r="I2547" s="70">
        <v>46127</v>
      </c>
      <c r="J2547" s="68">
        <v>30</v>
      </c>
      <c r="K2547" s="68"/>
      <c r="L2547" s="68"/>
      <c r="M2547" s="68" t="s">
        <v>48</v>
      </c>
      <c r="N2547" s="68" t="s">
        <v>22</v>
      </c>
      <c r="O2547" s="68"/>
      <c r="P2547" s="68">
        <v>2026</v>
      </c>
      <c r="Q2547" s="83">
        <f>VLOOKUP(C2547,layoffs_location!A:F,6,FALSE)</f>
        <v>37.779258800000001</v>
      </c>
      <c r="R2547" s="83">
        <f>VLOOKUP(C2547,layoffs_location!A:G,7,FALSE)</f>
        <v>-122.4193286</v>
      </c>
      <c r="S2547" s="68"/>
      <c r="T2547" s="68"/>
    </row>
    <row r="2548" spans="1:20" x14ac:dyDescent="0.15">
      <c r="A2548" s="68">
        <v>2547</v>
      </c>
      <c r="B2548" s="68" t="s">
        <v>4639</v>
      </c>
      <c r="C2548" s="68" t="s">
        <v>1694</v>
      </c>
      <c r="D2548" s="68" t="str">
        <f>VLOOKUP(C2548,layoffs_location!A:B,2,FALSE)</f>
        <v>San Francisco Bay Area</v>
      </c>
      <c r="E2548" s="68" t="str">
        <f>VLOOKUP(C2548,layoffs_location!A:C,3,FALSE)</f>
        <v>California</v>
      </c>
      <c r="F2548" s="68" t="str">
        <f>VLOOKUP(C2548,layoffs_location!A:D,4,FALSE)</f>
        <v>USA</v>
      </c>
      <c r="G2548" s="68" t="str">
        <f>VLOOKUP(C2548,layoffs_location!A:E,5,FALSE)</f>
        <v>North America</v>
      </c>
      <c r="H2548" s="68">
        <v>80</v>
      </c>
      <c r="I2548" s="70">
        <v>46128</v>
      </c>
      <c r="J2548" s="68"/>
      <c r="K2548" s="68"/>
      <c r="L2548" s="68"/>
      <c r="M2548" s="68" t="s">
        <v>4640</v>
      </c>
      <c r="N2548" s="68" t="s">
        <v>22</v>
      </c>
      <c r="O2548" s="68"/>
      <c r="P2548" s="68">
        <v>2026</v>
      </c>
      <c r="Q2548" s="83">
        <f>VLOOKUP(C2548,layoffs_location!A:F,6,FALSE)</f>
        <v>37.336166300000002</v>
      </c>
      <c r="R2548" s="83">
        <f>VLOOKUP(C2548,layoffs_location!A:G,7,FALSE)</f>
        <v>-121.890591</v>
      </c>
      <c r="S2548" s="68"/>
      <c r="T2548" s="68"/>
    </row>
    <row r="2549" spans="1:20" x14ac:dyDescent="0.15">
      <c r="A2549" s="68">
        <v>2548</v>
      </c>
      <c r="B2549" s="68" t="s">
        <v>4641</v>
      </c>
      <c r="C2549" s="68" t="s">
        <v>1473</v>
      </c>
      <c r="D2549" s="68" t="str">
        <f>VLOOKUP(C2549,layoffs_location!A:B,2,FALSE)</f>
        <v>San Francisco Bay Area</v>
      </c>
      <c r="E2549" s="68" t="str">
        <f>VLOOKUP(C2549,layoffs_location!A:C,3,FALSE)</f>
        <v>California</v>
      </c>
      <c r="F2549" s="68" t="str">
        <f>VLOOKUP(C2549,layoffs_location!A:D,4,FALSE)</f>
        <v>USA</v>
      </c>
      <c r="G2549" s="68" t="str">
        <f>VLOOKUP(C2549,layoffs_location!A:E,5,FALSE)</f>
        <v>North America</v>
      </c>
      <c r="H2549" s="68"/>
      <c r="I2549" s="70">
        <v>46128</v>
      </c>
      <c r="J2549" s="68">
        <v>90</v>
      </c>
      <c r="K2549" s="68"/>
      <c r="L2549" s="68"/>
      <c r="M2549" s="68" t="s">
        <v>4642</v>
      </c>
      <c r="N2549" s="68" t="s">
        <v>22</v>
      </c>
      <c r="O2549" s="68"/>
      <c r="P2549" s="68">
        <v>2026</v>
      </c>
      <c r="Q2549" s="83">
        <f>VLOOKUP(C2549,layoffs_location!A:F,6,FALSE)</f>
        <v>37.4443293</v>
      </c>
      <c r="R2549" s="83">
        <f>VLOOKUP(C2549,layoffs_location!A:G,7,FALSE)</f>
        <v>-122.1598465</v>
      </c>
      <c r="S2549" s="68"/>
      <c r="T2549" s="68"/>
    </row>
    <row r="2550" spans="1:20" x14ac:dyDescent="0.15">
      <c r="A2550" s="68">
        <v>2549</v>
      </c>
      <c r="B2550" s="68" t="s">
        <v>233</v>
      </c>
      <c r="C2550" s="68" t="s">
        <v>39</v>
      </c>
      <c r="D2550" s="68" t="str">
        <f>VLOOKUP(C2550,layoffs_location!A:B,2,FALSE)</f>
        <v>New York</v>
      </c>
      <c r="E2550" s="68" t="str">
        <f>VLOOKUP(C2550,layoffs_location!A:C,3,FALSE)</f>
        <v>New York</v>
      </c>
      <c r="F2550" s="68" t="str">
        <f>VLOOKUP(C2550,layoffs_location!A:D,4,FALSE)</f>
        <v>USA</v>
      </c>
      <c r="G2550" s="68" t="str">
        <f>VLOOKUP(C2550,layoffs_location!A:E,5,FALSE)</f>
        <v>North America</v>
      </c>
      <c r="H2550" s="68"/>
      <c r="I2550" s="70">
        <v>46129</v>
      </c>
      <c r="J2550" s="68"/>
      <c r="K2550" s="68"/>
      <c r="L2550" s="68"/>
      <c r="M2550" s="68" t="s">
        <v>4643</v>
      </c>
      <c r="N2550" s="68" t="s">
        <v>22</v>
      </c>
      <c r="O2550" s="68"/>
      <c r="P2550" s="68">
        <v>2026</v>
      </c>
      <c r="Q2550" s="83">
        <f>VLOOKUP(C2550,layoffs_location!A:F,6,FALSE)</f>
        <v>40.7127281</v>
      </c>
      <c r="R2550" s="83">
        <f>VLOOKUP(C2550,layoffs_location!A:G,7,FALSE)</f>
        <v>-74.006015199999993</v>
      </c>
      <c r="S2550" s="68"/>
      <c r="T2550" s="68"/>
    </row>
    <row r="2551" spans="1:20" x14ac:dyDescent="0.15">
      <c r="A2551" s="68">
        <v>2550</v>
      </c>
      <c r="B2551" s="68" t="s">
        <v>4644</v>
      </c>
      <c r="C2551" s="68" t="s">
        <v>271</v>
      </c>
      <c r="D2551" s="68" t="str">
        <f>VLOOKUP(C2551,layoffs_location!A:B,2,FALSE)</f>
        <v>Cascadia</v>
      </c>
      <c r="E2551" s="68" t="str">
        <f>VLOOKUP(C2551,layoffs_location!A:C,3,FALSE)</f>
        <v>British Columbia</v>
      </c>
      <c r="F2551" s="68" t="str">
        <f>VLOOKUP(C2551,layoffs_location!A:D,4,FALSE)</f>
        <v>Canada</v>
      </c>
      <c r="G2551" s="68" t="str">
        <f>VLOOKUP(C2551,layoffs_location!A:E,5,FALSE)</f>
        <v>North America</v>
      </c>
      <c r="H2551" s="68">
        <v>80</v>
      </c>
      <c r="I2551" s="70">
        <v>46129</v>
      </c>
      <c r="J2551" s="68">
        <v>15</v>
      </c>
      <c r="K2551" s="68">
        <v>533</v>
      </c>
      <c r="L2551" s="68">
        <v>453</v>
      </c>
      <c r="M2551" s="68" t="s">
        <v>1400</v>
      </c>
      <c r="N2551" s="68" t="s">
        <v>22</v>
      </c>
      <c r="O2551" s="68"/>
      <c r="P2551" s="68">
        <v>2026</v>
      </c>
      <c r="Q2551" s="83">
        <f>VLOOKUP(C2551,layoffs_location!A:F,6,FALSE)</f>
        <v>49.260872399999997</v>
      </c>
      <c r="R2551" s="83">
        <f>VLOOKUP(C2551,layoffs_location!A:G,7,FALSE)</f>
        <v>-123.113952</v>
      </c>
      <c r="S2551" s="68"/>
      <c r="T2551" s="68"/>
    </row>
    <row r="2552" spans="1:20" x14ac:dyDescent="0.15">
      <c r="A2552" s="68">
        <v>2551</v>
      </c>
      <c r="B2552" s="68" t="s">
        <v>4645</v>
      </c>
      <c r="C2552" s="68" t="s">
        <v>164</v>
      </c>
      <c r="D2552" s="68" t="str">
        <f>VLOOKUP(C2552,layoffs_location!A:B,2,FALSE)</f>
        <v>other</v>
      </c>
      <c r="E2552" s="68" t="str">
        <f>VLOOKUP(C2552,layoffs_location!A:C,3,FALSE)</f>
        <v>non</v>
      </c>
      <c r="F2552" s="68" t="str">
        <f>VLOOKUP(C2552,layoffs_location!A:D,4,FALSE)</f>
        <v>Kenya</v>
      </c>
      <c r="G2552" s="68" t="str">
        <f>VLOOKUP(C2552,layoffs_location!A:E,5,FALSE)</f>
        <v>Africa</v>
      </c>
      <c r="H2552" s="68">
        <v>1100</v>
      </c>
      <c r="I2552" s="70">
        <v>46129</v>
      </c>
      <c r="J2552" s="68"/>
      <c r="K2552" s="68"/>
      <c r="L2552" s="68"/>
      <c r="M2552" s="68" t="s">
        <v>4646</v>
      </c>
      <c r="N2552" s="68" t="s">
        <v>22</v>
      </c>
      <c r="O2552" s="68"/>
      <c r="P2552" s="68">
        <v>2026</v>
      </c>
      <c r="Q2552" s="83">
        <f>VLOOKUP(C2552,layoffs_location!A:F,6,FALSE)</f>
        <v>-1.2832532999999999</v>
      </c>
      <c r="R2552" s="83">
        <f>VLOOKUP(C2552,layoffs_location!A:G,7,FALSE)</f>
        <v>36.817244899999999</v>
      </c>
      <c r="S2552" s="68"/>
      <c r="T2552" s="68"/>
    </row>
    <row r="2553" spans="1:20" x14ac:dyDescent="0.15">
      <c r="A2553" s="68">
        <v>2552</v>
      </c>
      <c r="B2553" s="68" t="s">
        <v>4647</v>
      </c>
      <c r="C2553" s="68" t="s">
        <v>154</v>
      </c>
      <c r="D2553" s="68" t="str">
        <f>VLOOKUP(C2553,layoffs_location!A:B,2,FALSE)</f>
        <v>other</v>
      </c>
      <c r="E2553" s="68" t="str">
        <f>VLOOKUP(C2553,layoffs_location!A:C,3,FALSE)</f>
        <v>Illinois</v>
      </c>
      <c r="F2553" s="68" t="str">
        <f>VLOOKUP(C2553,layoffs_location!A:D,4,FALSE)</f>
        <v>USA</v>
      </c>
      <c r="G2553" s="68" t="str">
        <f>VLOOKUP(C2553,layoffs_location!A:E,5,FALSE)</f>
        <v>North America</v>
      </c>
      <c r="H2553" s="68"/>
      <c r="I2553" s="70">
        <v>46129</v>
      </c>
      <c r="J2553" s="68"/>
      <c r="K2553" s="68"/>
      <c r="L2553" s="68"/>
      <c r="M2553" s="68" t="s">
        <v>2138</v>
      </c>
      <c r="N2553" s="68" t="s">
        <v>22</v>
      </c>
      <c r="O2553" s="68"/>
      <c r="P2553" s="68">
        <v>2026</v>
      </c>
      <c r="Q2553" s="83">
        <f>VLOOKUP(C2553,layoffs_location!A:F,6,FALSE)</f>
        <v>41.875561599999997</v>
      </c>
      <c r="R2553" s="83">
        <f>VLOOKUP(C2553,layoffs_location!A:G,7,FALSE)</f>
        <v>-87.6244212</v>
      </c>
      <c r="S2553" s="68"/>
      <c r="T2553" s="68"/>
    </row>
    <row r="2554" spans="1:20" x14ac:dyDescent="0.15">
      <c r="A2554" s="68">
        <v>2553</v>
      </c>
      <c r="B2554" s="68" t="s">
        <v>1272</v>
      </c>
      <c r="C2554" s="68" t="s">
        <v>13</v>
      </c>
      <c r="D2554" s="68" t="str">
        <f>VLOOKUP(C2554,layoffs_location!A:B,2,FALSE)</f>
        <v>other</v>
      </c>
      <c r="E2554" s="68" t="str">
        <f>VLOOKUP(C2554,layoffs_location!A:C,3,FALSE)</f>
        <v>Karnataka</v>
      </c>
      <c r="F2554" s="68" t="str">
        <f>VLOOKUP(C2554,layoffs_location!A:D,4,FALSE)</f>
        <v>India</v>
      </c>
      <c r="G2554" s="68" t="str">
        <f>VLOOKUP(C2554,layoffs_location!A:E,5,FALSE)</f>
        <v>Asia</v>
      </c>
      <c r="H2554" s="68">
        <v>60</v>
      </c>
      <c r="I2554" s="70">
        <v>46132</v>
      </c>
      <c r="J2554" s="68">
        <v>5</v>
      </c>
      <c r="K2554" s="68">
        <v>1200</v>
      </c>
      <c r="L2554" s="68">
        <v>1140</v>
      </c>
      <c r="M2554" s="68" t="s">
        <v>1465</v>
      </c>
      <c r="N2554" s="68" t="s">
        <v>22</v>
      </c>
      <c r="O2554" s="68"/>
      <c r="P2554" s="68">
        <v>2026</v>
      </c>
      <c r="Q2554" s="83">
        <f>VLOOKUP(C2554,layoffs_location!A:F,6,FALSE)</f>
        <v>12.98815675</v>
      </c>
      <c r="R2554" s="83">
        <f>VLOOKUP(C2554,layoffs_location!A:G,7,FALSE)</f>
        <v>77.622600037959998</v>
      </c>
      <c r="S2554" s="68"/>
      <c r="T2554" s="68"/>
    </row>
    <row r="2555" spans="1:20" x14ac:dyDescent="0.15">
      <c r="A2555" s="68">
        <v>2554</v>
      </c>
      <c r="B2555" s="68" t="s">
        <v>376</v>
      </c>
      <c r="C2555" s="68" t="s">
        <v>43</v>
      </c>
      <c r="D2555" s="68" t="str">
        <f>VLOOKUP(C2555,layoffs_location!A:B,2,FALSE)</f>
        <v>Cascadia</v>
      </c>
      <c r="E2555" s="68" t="str">
        <f>VLOOKUP(C2555,layoffs_location!A:C,3,FALSE)</f>
        <v>Washington</v>
      </c>
      <c r="F2555" s="68" t="str">
        <f>VLOOKUP(C2555,layoffs_location!A:D,4,FALSE)</f>
        <v>USA</v>
      </c>
      <c r="G2555" s="68" t="str">
        <f>VLOOKUP(C2555,layoffs_location!A:E,5,FALSE)</f>
        <v>North America</v>
      </c>
      <c r="H2555" s="68">
        <v>600</v>
      </c>
      <c r="I2555" s="70">
        <v>46132</v>
      </c>
      <c r="J2555" s="68"/>
      <c r="K2555" s="68"/>
      <c r="L2555" s="68"/>
      <c r="M2555" s="68" t="s">
        <v>2123</v>
      </c>
      <c r="N2555" s="68" t="s">
        <v>22</v>
      </c>
      <c r="O2555" s="68"/>
      <c r="P2555" s="68">
        <v>2026</v>
      </c>
      <c r="Q2555" s="83">
        <f>VLOOKUP(C2555,layoffs_location!A:F,6,FALSE)</f>
        <v>47.603832099999998</v>
      </c>
      <c r="R2555" s="83">
        <f>VLOOKUP(C2555,layoffs_location!A:G,7,FALSE)</f>
        <v>-122.330062</v>
      </c>
      <c r="S2555" s="68"/>
      <c r="T2555" s="68"/>
    </row>
    <row r="2556" spans="1:20" x14ac:dyDescent="0.15">
      <c r="A2556" s="68">
        <v>2555</v>
      </c>
      <c r="B2556" s="68" t="s">
        <v>385</v>
      </c>
      <c r="C2556" s="68" t="s">
        <v>1443</v>
      </c>
      <c r="D2556" s="68" t="str">
        <f>VLOOKUP(C2556,layoffs_location!A:B,2,FALSE)</f>
        <v>San Francisco Bay Area</v>
      </c>
      <c r="E2556" s="68" t="str">
        <f>VLOOKUP(C2556,layoffs_location!A:C,3,FALSE)</f>
        <v>California</v>
      </c>
      <c r="F2556" s="68" t="str">
        <f>VLOOKUP(C2556,layoffs_location!A:D,4,FALSE)</f>
        <v>USA</v>
      </c>
      <c r="G2556" s="68" t="str">
        <f>VLOOKUP(C2556,layoffs_location!A:E,5,FALSE)</f>
        <v>North America</v>
      </c>
      <c r="H2556" s="68">
        <v>8000</v>
      </c>
      <c r="I2556" s="70">
        <v>46132</v>
      </c>
      <c r="J2556" s="68"/>
      <c r="K2556" s="68"/>
      <c r="L2556" s="68"/>
      <c r="M2556" s="68" t="s">
        <v>1400</v>
      </c>
      <c r="N2556" s="68" t="s">
        <v>22</v>
      </c>
      <c r="O2556" s="68"/>
      <c r="P2556" s="68">
        <v>2026</v>
      </c>
      <c r="Q2556" s="83">
        <f>VLOOKUP(C2556,layoffs_location!A:F,6,FALSE)</f>
        <v>37.451967099999997</v>
      </c>
      <c r="R2556" s="83">
        <f>VLOOKUP(C2556,layoffs_location!A:G,7,FALSE)</f>
        <v>-122.177992</v>
      </c>
      <c r="S2556" s="68"/>
      <c r="T2556" s="68"/>
    </row>
    <row r="2557" spans="1:20" x14ac:dyDescent="0.15">
      <c r="A2557" s="68">
        <v>2556</v>
      </c>
      <c r="B2557" s="68" t="s">
        <v>4648</v>
      </c>
      <c r="C2557" s="68" t="s">
        <v>47</v>
      </c>
      <c r="D2557" s="68" t="str">
        <f>VLOOKUP(C2557,layoffs_location!A:B,2,FALSE)</f>
        <v>other</v>
      </c>
      <c r="E2557" s="68" t="str">
        <f>VLOOKUP(C2557,layoffs_location!A:C,3,FALSE)</f>
        <v>non</v>
      </c>
      <c r="F2557" s="68" t="str">
        <f>VLOOKUP(C2557,layoffs_location!A:D,4,FALSE)</f>
        <v>Israel</v>
      </c>
      <c r="G2557" s="68" t="str">
        <f>VLOOKUP(C2557,layoffs_location!A:E,5,FALSE)</f>
        <v>Asia</v>
      </c>
      <c r="H2557" s="68">
        <v>20</v>
      </c>
      <c r="I2557" s="70">
        <v>46133</v>
      </c>
      <c r="J2557" s="68">
        <v>100</v>
      </c>
      <c r="K2557" s="68">
        <v>20</v>
      </c>
      <c r="L2557" s="68">
        <v>0</v>
      </c>
      <c r="M2557" s="68" t="s">
        <v>1416</v>
      </c>
      <c r="N2557" s="68" t="s">
        <v>22</v>
      </c>
      <c r="O2557" s="68"/>
      <c r="P2557" s="68">
        <v>2026</v>
      </c>
      <c r="Q2557" s="83">
        <f>VLOOKUP(C2557,layoffs_location!A:F,6,FALSE)</f>
        <v>32.0852997</v>
      </c>
      <c r="R2557" s="83">
        <f>VLOOKUP(C2557,layoffs_location!A:G,7,FALSE)</f>
        <v>34.781806400000001</v>
      </c>
      <c r="S2557" s="68"/>
      <c r="T2557" s="68"/>
    </row>
    <row r="2558" spans="1:20" x14ac:dyDescent="0.15">
      <c r="A2558" s="68">
        <v>2557</v>
      </c>
      <c r="B2558" s="68" t="s">
        <v>112</v>
      </c>
      <c r="C2558" s="68" t="s">
        <v>43</v>
      </c>
      <c r="D2558" s="68" t="str">
        <f>VLOOKUP(C2558,layoffs_location!A:B,2,FALSE)</f>
        <v>Cascadia</v>
      </c>
      <c r="E2558" s="68" t="str">
        <f>VLOOKUP(C2558,layoffs_location!A:C,3,FALSE)</f>
        <v>Washington</v>
      </c>
      <c r="F2558" s="68" t="str">
        <f>VLOOKUP(C2558,layoffs_location!A:D,4,FALSE)</f>
        <v>USA</v>
      </c>
      <c r="G2558" s="68" t="str">
        <f>VLOOKUP(C2558,layoffs_location!A:E,5,FALSE)</f>
        <v>North America</v>
      </c>
      <c r="H2558" s="68">
        <v>5</v>
      </c>
      <c r="I2558" s="70">
        <v>46136</v>
      </c>
      <c r="J2558" s="68"/>
      <c r="K2558" s="68"/>
      <c r="L2558" s="68"/>
      <c r="M2558" s="68" t="s">
        <v>1400</v>
      </c>
      <c r="N2558" s="68" t="s">
        <v>22</v>
      </c>
      <c r="O2558" s="68"/>
      <c r="P2558" s="68">
        <v>2026</v>
      </c>
      <c r="Q2558" s="83">
        <f>VLOOKUP(C2558,layoffs_location!A:F,6,FALSE)</f>
        <v>47.603832099999998</v>
      </c>
      <c r="R2558" s="83">
        <f>VLOOKUP(C2558,layoffs_location!A:G,7,FALSE)</f>
        <v>-122.330062</v>
      </c>
      <c r="S2558" s="68"/>
      <c r="T2558" s="68"/>
    </row>
    <row r="2559" spans="1:20" x14ac:dyDescent="0.15">
      <c r="A2559" s="68">
        <v>2558</v>
      </c>
      <c r="B2559" s="68" t="s">
        <v>4649</v>
      </c>
      <c r="C2559" s="68" t="s">
        <v>626</v>
      </c>
      <c r="D2559" s="68" t="str">
        <f>VLOOKUP(C2559,layoffs_location!A:B,2,FALSE)</f>
        <v>other</v>
      </c>
      <c r="E2559" s="68" t="str">
        <f>VLOOKUP(C2559,layoffs_location!A:C,3,FALSE)</f>
        <v>Vermont</v>
      </c>
      <c r="F2559" s="68" t="str">
        <f>VLOOKUP(C2559,layoffs_location!A:D,4,FALSE)</f>
        <v>USA</v>
      </c>
      <c r="G2559" s="68" t="str">
        <f>VLOOKUP(C2559,layoffs_location!A:E,5,FALSE)</f>
        <v>North America</v>
      </c>
      <c r="H2559" s="68">
        <v>40</v>
      </c>
      <c r="I2559" s="70">
        <v>46139</v>
      </c>
      <c r="J2559" s="68">
        <v>10</v>
      </c>
      <c r="K2559" s="68">
        <v>400</v>
      </c>
      <c r="L2559" s="68">
        <v>360</v>
      </c>
      <c r="M2559" s="68" t="s">
        <v>4650</v>
      </c>
      <c r="N2559" s="68" t="s">
        <v>22</v>
      </c>
      <c r="O2559" s="68"/>
      <c r="P2559" s="68">
        <v>2026</v>
      </c>
      <c r="Q2559" s="83">
        <f>VLOOKUP(C2559,layoffs_location!A:F,6,FALSE)</f>
        <v>44.476160100000001</v>
      </c>
      <c r="R2559" s="83">
        <f>VLOOKUP(C2559,layoffs_location!A:G,7,FALSE)</f>
        <v>-73.212906000000004</v>
      </c>
      <c r="S2559" s="68"/>
      <c r="T2559" s="68"/>
    </row>
    <row r="2560" spans="1:20" x14ac:dyDescent="0.15">
      <c r="A2560" s="68">
        <v>2559</v>
      </c>
      <c r="B2560" s="68" t="s">
        <v>1568</v>
      </c>
      <c r="C2560" s="68" t="s">
        <v>39</v>
      </c>
      <c r="D2560" s="68" t="str">
        <f>VLOOKUP(C2560,layoffs_location!A:B,2,FALSE)</f>
        <v>New York</v>
      </c>
      <c r="E2560" s="68" t="str">
        <f>VLOOKUP(C2560,layoffs_location!A:C,3,FALSE)</f>
        <v>New York</v>
      </c>
      <c r="F2560" s="68" t="str">
        <f>VLOOKUP(C2560,layoffs_location!A:D,4,FALSE)</f>
        <v>USA</v>
      </c>
      <c r="G2560" s="68" t="str">
        <f>VLOOKUP(C2560,layoffs_location!A:E,5,FALSE)</f>
        <v>North America</v>
      </c>
      <c r="H2560" s="68">
        <v>77</v>
      </c>
      <c r="I2560" s="70">
        <v>46140</v>
      </c>
      <c r="J2560" s="68"/>
      <c r="K2560" s="68"/>
      <c r="L2560" s="68"/>
      <c r="M2560" s="68" t="s">
        <v>1400</v>
      </c>
      <c r="N2560" s="68" t="s">
        <v>22</v>
      </c>
      <c r="O2560" s="68"/>
      <c r="P2560" s="68">
        <v>2026</v>
      </c>
      <c r="Q2560" s="83">
        <f>VLOOKUP(C2560,layoffs_location!A:F,6,FALSE)</f>
        <v>40.7127281</v>
      </c>
      <c r="R2560" s="83">
        <f>VLOOKUP(C2560,layoffs_location!A:G,7,FALSE)</f>
        <v>-74.006015199999993</v>
      </c>
      <c r="S2560" s="68"/>
      <c r="T2560" s="68"/>
    </row>
    <row r="2561" spans="1:20" x14ac:dyDescent="0.15">
      <c r="A2561" s="68">
        <v>2560</v>
      </c>
      <c r="B2561" s="68" t="s">
        <v>301</v>
      </c>
      <c r="C2561" s="68" t="s">
        <v>302</v>
      </c>
      <c r="D2561" s="68" t="str">
        <f>VLOOKUP(C2561,layoffs_location!A:B,2,FALSE)</f>
        <v>other</v>
      </c>
      <c r="E2561" s="68" t="str">
        <f>VLOOKUP(C2561,layoffs_location!A:C,3,FALSE)</f>
        <v>Ontario</v>
      </c>
      <c r="F2561" s="68" t="str">
        <f>VLOOKUP(C2561,layoffs_location!A:D,4,FALSE)</f>
        <v>Canada</v>
      </c>
      <c r="G2561" s="68" t="str">
        <f>VLOOKUP(C2561,layoffs_location!A:E,5,FALSE)</f>
        <v>North America</v>
      </c>
      <c r="H2561" s="68">
        <v>30</v>
      </c>
      <c r="I2561" s="70">
        <v>46146</v>
      </c>
      <c r="J2561" s="68"/>
      <c r="K2561" s="68"/>
      <c r="L2561" s="68"/>
      <c r="M2561" s="68" t="s">
        <v>2123</v>
      </c>
      <c r="N2561" s="68" t="s">
        <v>22</v>
      </c>
      <c r="O2561" s="68"/>
      <c r="P2561" s="68">
        <v>2026</v>
      </c>
      <c r="Q2561" s="83">
        <f>VLOOKUP(C2561,layoffs_location!A:F,6,FALSE)</f>
        <v>45.420877699999998</v>
      </c>
      <c r="R2561" s="83">
        <f>VLOOKUP(C2561,layoffs_location!A:G,7,FALSE)</f>
        <v>-75.690110599999997</v>
      </c>
      <c r="S2561" s="68"/>
      <c r="T2561" s="68"/>
    </row>
    <row r="2562" spans="1:20" x14ac:dyDescent="0.15">
      <c r="A2562" s="68">
        <v>2561</v>
      </c>
      <c r="B2562" s="68" t="s">
        <v>4651</v>
      </c>
      <c r="C2562" s="68" t="s">
        <v>392</v>
      </c>
      <c r="D2562" s="68" t="str">
        <f>VLOOKUP(C2562,layoffs_location!A:B,2,FALSE)</f>
        <v>other</v>
      </c>
      <c r="E2562" s="68" t="str">
        <f>VLOOKUP(C2562,layoffs_location!A:C,3,FALSE)</f>
        <v>Minnesota</v>
      </c>
      <c r="F2562" s="68" t="str">
        <f>VLOOKUP(C2562,layoffs_location!A:D,4,FALSE)</f>
        <v>USA</v>
      </c>
      <c r="G2562" s="68" t="str">
        <f>VLOOKUP(C2562,layoffs_location!A:E,5,FALSE)</f>
        <v>North America</v>
      </c>
      <c r="H2562" s="68">
        <v>250</v>
      </c>
      <c r="I2562" s="70">
        <v>46148</v>
      </c>
      <c r="J2562" s="68">
        <v>10</v>
      </c>
      <c r="K2562" s="68">
        <v>2500</v>
      </c>
      <c r="L2562" s="68">
        <v>2250</v>
      </c>
      <c r="M2562" s="68" t="s">
        <v>2157</v>
      </c>
      <c r="N2562" s="68" t="s">
        <v>22</v>
      </c>
      <c r="O2562" s="68"/>
      <c r="P2562" s="68">
        <v>2026</v>
      </c>
      <c r="Q2562" s="83">
        <f>VLOOKUP(C2562,layoffs_location!A:F,6,FALSE)</f>
        <v>44.977299500000001</v>
      </c>
      <c r="R2562" s="83">
        <f>VLOOKUP(C2562,layoffs_location!A:G,7,FALSE)</f>
        <v>-93.265469199999998</v>
      </c>
      <c r="S2562" s="68"/>
      <c r="T2562" s="68"/>
    </row>
    <row r="2563" spans="1:20" x14ac:dyDescent="0.15">
      <c r="A2563" s="68">
        <v>2562</v>
      </c>
      <c r="B2563" s="68" t="s">
        <v>379</v>
      </c>
      <c r="C2563" s="68" t="s">
        <v>1713</v>
      </c>
      <c r="D2563" s="68" t="str">
        <f>VLOOKUP(C2563,layoffs_location!A:B,2,FALSE)</f>
        <v>San Francisco Bay Area</v>
      </c>
      <c r="E2563" s="68" t="str">
        <f>VLOOKUP(C2563,layoffs_location!A:C,3,FALSE)</f>
        <v>California</v>
      </c>
      <c r="F2563" s="68" t="str">
        <f>VLOOKUP(C2563,layoffs_location!A:D,4,FALSE)</f>
        <v>USA</v>
      </c>
      <c r="G2563" s="68" t="str">
        <f>VLOOKUP(C2563,layoffs_location!A:E,5,FALSE)</f>
        <v>North America</v>
      </c>
      <c r="H2563" s="68">
        <v>500</v>
      </c>
      <c r="I2563" s="70">
        <v>46148</v>
      </c>
      <c r="J2563" s="68">
        <v>11</v>
      </c>
      <c r="K2563" s="68">
        <v>4545</v>
      </c>
      <c r="L2563" s="68">
        <v>4045</v>
      </c>
      <c r="M2563" s="68" t="s">
        <v>1400</v>
      </c>
      <c r="N2563" s="68" t="s">
        <v>22</v>
      </c>
      <c r="O2563" s="68"/>
      <c r="P2563" s="68">
        <v>2026</v>
      </c>
      <c r="Q2563" s="83">
        <f>VLOOKUP(C2563,layoffs_location!A:F,6,FALSE)</f>
        <v>37.496904000000001</v>
      </c>
      <c r="R2563" s="83">
        <f>VLOOKUP(C2563,layoffs_location!A:G,7,FALSE)</f>
        <v>-122.33305729999999</v>
      </c>
      <c r="S2563" s="68"/>
      <c r="T2563" s="68"/>
    </row>
    <row r="2564" spans="1:20" x14ac:dyDescent="0.15">
      <c r="A2564" s="68">
        <v>2563</v>
      </c>
      <c r="B2564" s="68" t="s">
        <v>2072</v>
      </c>
      <c r="C2564" s="68" t="s">
        <v>13</v>
      </c>
      <c r="D2564" s="68" t="str">
        <f>VLOOKUP(C2564,layoffs_location!A:B,2,FALSE)</f>
        <v>other</v>
      </c>
      <c r="E2564" s="68" t="str">
        <f>VLOOKUP(C2564,layoffs_location!A:C,3,FALSE)</f>
        <v>Karnataka</v>
      </c>
      <c r="F2564" s="68" t="str">
        <f>VLOOKUP(C2564,layoffs_location!A:D,4,FALSE)</f>
        <v>India</v>
      </c>
      <c r="G2564" s="68" t="str">
        <f>VLOOKUP(C2564,layoffs_location!A:E,5,FALSE)</f>
        <v>Asia</v>
      </c>
      <c r="H2564" s="68">
        <v>120</v>
      </c>
      <c r="I2564" s="70">
        <v>46148</v>
      </c>
      <c r="J2564" s="68">
        <v>10</v>
      </c>
      <c r="K2564" s="68">
        <v>1200</v>
      </c>
      <c r="L2564" s="68">
        <v>1080</v>
      </c>
      <c r="M2564" s="68" t="s">
        <v>1374</v>
      </c>
      <c r="N2564" s="68" t="s">
        <v>22</v>
      </c>
      <c r="O2564" s="68"/>
      <c r="P2564" s="68">
        <v>2026</v>
      </c>
      <c r="Q2564" s="83">
        <f>VLOOKUP(C2564,layoffs_location!A:F,6,FALSE)</f>
        <v>12.98815675</v>
      </c>
      <c r="R2564" s="83">
        <f>VLOOKUP(C2564,layoffs_location!A:G,7,FALSE)</f>
        <v>77.622600037959998</v>
      </c>
      <c r="S2564" s="68"/>
      <c r="T2564" s="68"/>
    </row>
    <row r="2565" spans="1:20" x14ac:dyDescent="0.15">
      <c r="A2565" s="68">
        <v>2564</v>
      </c>
      <c r="B2565" s="68" t="s">
        <v>4652</v>
      </c>
      <c r="C2565" s="68" t="s">
        <v>47</v>
      </c>
      <c r="D2565" s="68" t="str">
        <f>VLOOKUP(C2565,layoffs_location!A:B,2,FALSE)</f>
        <v>other</v>
      </c>
      <c r="E2565" s="68" t="str">
        <f>VLOOKUP(C2565,layoffs_location!A:C,3,FALSE)</f>
        <v>non</v>
      </c>
      <c r="F2565" s="68" t="str">
        <f>VLOOKUP(C2565,layoffs_location!A:D,4,FALSE)</f>
        <v>Israel</v>
      </c>
      <c r="G2565" s="68" t="str">
        <f>VLOOKUP(C2565,layoffs_location!A:E,5,FALSE)</f>
        <v>Asia</v>
      </c>
      <c r="H2565" s="68">
        <v>40</v>
      </c>
      <c r="I2565" s="70">
        <v>46148</v>
      </c>
      <c r="J2565" s="68">
        <v>20</v>
      </c>
      <c r="K2565" s="68">
        <v>200</v>
      </c>
      <c r="L2565" s="68">
        <v>160</v>
      </c>
      <c r="M2565" s="68" t="s">
        <v>4653</v>
      </c>
      <c r="N2565" s="68" t="s">
        <v>22</v>
      </c>
      <c r="O2565" s="68"/>
      <c r="P2565" s="68">
        <v>2026</v>
      </c>
      <c r="Q2565" s="83">
        <f>VLOOKUP(C2565,layoffs_location!A:F,6,FALSE)</f>
        <v>32.0852997</v>
      </c>
      <c r="R2565" s="83">
        <f>VLOOKUP(C2565,layoffs_location!A:G,7,FALSE)</f>
        <v>34.781806400000001</v>
      </c>
      <c r="S2565" s="68"/>
      <c r="T2565" s="68"/>
    </row>
    <row r="2566" spans="1:20" x14ac:dyDescent="0.15">
      <c r="A2566" s="68">
        <v>2565</v>
      </c>
      <c r="B2566" s="68" t="s">
        <v>308</v>
      </c>
      <c r="C2566" s="68" t="s">
        <v>1370</v>
      </c>
      <c r="D2566" s="68" t="str">
        <f>VLOOKUP(C2566,layoffs_location!A:B,2,FALSE)</f>
        <v>San Francisco Bay Area</v>
      </c>
      <c r="E2566" s="68" t="str">
        <f>VLOOKUP(C2566,layoffs_location!A:C,3,FALSE)</f>
        <v>California</v>
      </c>
      <c r="F2566" s="68" t="str">
        <f>VLOOKUP(C2566,layoffs_location!A:D,4,FALSE)</f>
        <v>USA</v>
      </c>
      <c r="G2566" s="68" t="str">
        <f>VLOOKUP(C2566,layoffs_location!A:E,5,FALSE)</f>
        <v>North America</v>
      </c>
      <c r="H2566" s="68"/>
      <c r="I2566" s="70">
        <v>46149</v>
      </c>
      <c r="J2566" s="68">
        <v>24</v>
      </c>
      <c r="K2566" s="68"/>
      <c r="L2566" s="68"/>
      <c r="M2566" s="68" t="s">
        <v>1400</v>
      </c>
      <c r="N2566" s="68" t="s">
        <v>22</v>
      </c>
      <c r="O2566" s="68"/>
      <c r="P2566" s="68">
        <v>2026</v>
      </c>
      <c r="Q2566" s="83">
        <f>VLOOKUP(C2566,layoffs_location!A:F,6,FALSE)</f>
        <v>37.779258800000001</v>
      </c>
      <c r="R2566" s="83">
        <f>VLOOKUP(C2566,layoffs_location!A:G,7,FALSE)</f>
        <v>-122.4193286</v>
      </c>
      <c r="S2566" s="68"/>
      <c r="T2566" s="68"/>
    </row>
    <row r="2567" spans="1:20" x14ac:dyDescent="0.15">
      <c r="A2567" s="68">
        <v>2566</v>
      </c>
      <c r="B2567" s="68" t="s">
        <v>4654</v>
      </c>
      <c r="C2567" s="68" t="s">
        <v>76</v>
      </c>
      <c r="D2567" s="68" t="str">
        <f>VLOOKUP(C2567,layoffs_location!A:B,2,FALSE)</f>
        <v>other</v>
      </c>
      <c r="E2567" s="68" t="str">
        <f>VLOOKUP(C2567,layoffs_location!A:C,3,FALSE)</f>
        <v>California</v>
      </c>
      <c r="F2567" s="68" t="str">
        <f>VLOOKUP(C2567,layoffs_location!A:D,4,FALSE)</f>
        <v>USA</v>
      </c>
      <c r="G2567" s="68" t="str">
        <f>VLOOKUP(C2567,layoffs_location!A:E,5,FALSE)</f>
        <v>North America</v>
      </c>
      <c r="H2567" s="68">
        <v>350</v>
      </c>
      <c r="I2567" s="70">
        <v>46149</v>
      </c>
      <c r="J2567" s="68">
        <v>8</v>
      </c>
      <c r="K2567" s="68">
        <v>4375</v>
      </c>
      <c r="L2567" s="68">
        <v>4025</v>
      </c>
      <c r="M2567" s="68" t="s">
        <v>1374</v>
      </c>
      <c r="N2567" s="68" t="s">
        <v>22</v>
      </c>
      <c r="O2567" s="68"/>
      <c r="P2567" s="68">
        <v>2026</v>
      </c>
      <c r="Q2567" s="83">
        <f>VLOOKUP(C2567,layoffs_location!A:F,6,FALSE)</f>
        <v>34.053690899999999</v>
      </c>
      <c r="R2567" s="83">
        <f>VLOOKUP(C2567,layoffs_location!A:G,7,FALSE)</f>
        <v>-118.242766</v>
      </c>
      <c r="S2567" s="68"/>
      <c r="T2567" s="68"/>
    </row>
    <row r="2568" spans="1:20" x14ac:dyDescent="0.15">
      <c r="A2568" s="68">
        <v>2567</v>
      </c>
      <c r="B2568" s="68" t="s">
        <v>4655</v>
      </c>
      <c r="C2568" s="68" t="s">
        <v>4656</v>
      </c>
      <c r="D2568" s="68" t="str">
        <f>VLOOKUP(C2568,layoffs_location!A:B,2,FALSE)</f>
        <v>other</v>
      </c>
      <c r="E2568" s="68" t="str">
        <f>VLOOKUP(C2568,layoffs_location!A:C,3,FALSE)</f>
        <v>NRW</v>
      </c>
      <c r="F2568" s="68" t="str">
        <f>VLOOKUP(C2568,layoffs_location!A:D,4,FALSE)</f>
        <v>Germany</v>
      </c>
      <c r="G2568" s="68" t="str">
        <f>VLOOKUP(C2568,layoffs_location!A:E,5,FALSE)</f>
        <v>Europe</v>
      </c>
      <c r="H2568" s="68">
        <v>250</v>
      </c>
      <c r="I2568" s="70">
        <v>46149</v>
      </c>
      <c r="J2568" s="68">
        <v>25</v>
      </c>
      <c r="K2568" s="68">
        <v>1000</v>
      </c>
      <c r="L2568" s="68">
        <v>750</v>
      </c>
      <c r="M2568" s="68" t="s">
        <v>1400</v>
      </c>
      <c r="N2568" s="68" t="s">
        <v>22</v>
      </c>
      <c r="O2568" s="68"/>
      <c r="P2568" s="68">
        <v>2026</v>
      </c>
      <c r="Q2568" s="83">
        <f>VLOOKUP(C2568,layoffs_location!A:F,6,FALSE)</f>
        <v>50.925997035942302</v>
      </c>
      <c r="R2568" s="83">
        <f>VLOOKUP(C2568,layoffs_location!A:G,7,FALSE)</f>
        <v>6.9494399320497697</v>
      </c>
      <c r="S2568" s="68"/>
      <c r="T2568" s="68"/>
    </row>
    <row r="2569" spans="1:20" x14ac:dyDescent="0.15">
      <c r="A2569" s="68">
        <v>2568</v>
      </c>
      <c r="B2569" s="68" t="s">
        <v>1530</v>
      </c>
      <c r="C2569" s="68" t="s">
        <v>1370</v>
      </c>
      <c r="D2569" s="68" t="str">
        <f>VLOOKUP(C2569,layoffs_location!A:B,2,FALSE)</f>
        <v>San Francisco Bay Area</v>
      </c>
      <c r="E2569" s="68" t="str">
        <f>VLOOKUP(C2569,layoffs_location!A:C,3,FALSE)</f>
        <v>California</v>
      </c>
      <c r="F2569" s="68" t="str">
        <f>VLOOKUP(C2569,layoffs_location!A:D,4,FALSE)</f>
        <v>USA</v>
      </c>
      <c r="G2569" s="68" t="str">
        <f>VLOOKUP(C2569,layoffs_location!A:E,5,FALSE)</f>
        <v>North America</v>
      </c>
      <c r="H2569" s="68">
        <v>1100</v>
      </c>
      <c r="I2569" s="70">
        <v>46150</v>
      </c>
      <c r="J2569" s="68">
        <v>20</v>
      </c>
      <c r="K2569" s="68">
        <v>5500</v>
      </c>
      <c r="L2569" s="68">
        <v>4400</v>
      </c>
      <c r="M2569" s="68" t="s">
        <v>2157</v>
      </c>
      <c r="N2569" s="68" t="s">
        <v>22</v>
      </c>
      <c r="O2569" s="68"/>
      <c r="P2569" s="68">
        <v>2026</v>
      </c>
      <c r="Q2569" s="83">
        <f>VLOOKUP(C2569,layoffs_location!A:F,6,FALSE)</f>
        <v>37.779258800000001</v>
      </c>
      <c r="R2569" s="83">
        <f>VLOOKUP(C2569,layoffs_location!A:G,7,FALSE)</f>
        <v>-122.4193286</v>
      </c>
      <c r="S2569" s="68"/>
      <c r="T2569" s="68"/>
    </row>
    <row r="2570" spans="1:20" x14ac:dyDescent="0.15">
      <c r="A2570" s="68">
        <v>2569</v>
      </c>
      <c r="B2570" s="68" t="s">
        <v>2216</v>
      </c>
      <c r="C2570" s="68" t="s">
        <v>1694</v>
      </c>
      <c r="D2570" s="68" t="str">
        <f>VLOOKUP(C2570,layoffs_location!A:B,2,FALSE)</f>
        <v>San Francisco Bay Area</v>
      </c>
      <c r="E2570" s="68" t="str">
        <f>VLOOKUP(C2570,layoffs_location!A:C,3,FALSE)</f>
        <v>California</v>
      </c>
      <c r="F2570" s="68" t="str">
        <f>VLOOKUP(C2570,layoffs_location!A:D,4,FALSE)</f>
        <v>USA</v>
      </c>
      <c r="G2570" s="68" t="str">
        <f>VLOOKUP(C2570,layoffs_location!A:E,5,FALSE)</f>
        <v>North America</v>
      </c>
      <c r="H2570" s="68"/>
      <c r="I2570" s="70">
        <v>46150</v>
      </c>
      <c r="J2570" s="68">
        <v>30</v>
      </c>
      <c r="K2570" s="68"/>
      <c r="L2570" s="68"/>
      <c r="M2570" s="68" t="s">
        <v>4657</v>
      </c>
      <c r="N2570" s="68" t="s">
        <v>22</v>
      </c>
      <c r="O2570" s="68"/>
      <c r="P2570" s="68">
        <v>2026</v>
      </c>
      <c r="Q2570" s="83">
        <f>VLOOKUP(C2570,layoffs_location!A:F,6,FALSE)</f>
        <v>37.336166300000002</v>
      </c>
      <c r="R2570" s="83">
        <f>VLOOKUP(C2570,layoffs_location!A:G,7,FALSE)</f>
        <v>-121.890591</v>
      </c>
      <c r="S2570" s="68"/>
      <c r="T2570" s="68"/>
    </row>
    <row r="2571" spans="1:20" x14ac:dyDescent="0.15">
      <c r="A2571" s="68">
        <v>2570</v>
      </c>
      <c r="B2571" s="68" t="s">
        <v>3808</v>
      </c>
      <c r="C2571" s="68" t="s">
        <v>51</v>
      </c>
      <c r="D2571" s="68" t="str">
        <f>VLOOKUP(C2571,layoffs_location!A:B,2,FALSE)</f>
        <v>other</v>
      </c>
      <c r="E2571" s="68" t="str">
        <f>VLOOKUP(C2571,layoffs_location!A:C,3,FALSE)</f>
        <v>non</v>
      </c>
      <c r="F2571" s="68" t="str">
        <f>VLOOKUP(C2571,layoffs_location!A:D,4,FALSE)</f>
        <v>Sweden</v>
      </c>
      <c r="G2571" s="68" t="str">
        <f>VLOOKUP(C2571,layoffs_location!A:E,5,FALSE)</f>
        <v>Europe</v>
      </c>
      <c r="H2571" s="68">
        <v>70</v>
      </c>
      <c r="I2571" s="70">
        <v>46150</v>
      </c>
      <c r="J2571" s="68"/>
      <c r="K2571" s="68"/>
      <c r="L2571" s="68"/>
      <c r="M2571" s="68" t="s">
        <v>1400</v>
      </c>
      <c r="N2571" s="68" t="s">
        <v>22</v>
      </c>
      <c r="O2571" s="68"/>
      <c r="P2571" s="68">
        <v>2026</v>
      </c>
      <c r="Q2571" s="83">
        <f>VLOOKUP(C2571,layoffs_location!A:F,6,FALSE)</f>
        <v>59.325117200000001</v>
      </c>
      <c r="R2571" s="83">
        <f>VLOOKUP(C2571,layoffs_location!A:G,7,FALSE)</f>
        <v>18.0710935</v>
      </c>
      <c r="S2571" s="68"/>
      <c r="T2571" s="68"/>
    </row>
    <row r="2572" spans="1:20" x14ac:dyDescent="0.15">
      <c r="A2572" s="68">
        <v>2571</v>
      </c>
      <c r="B2572" s="68" t="s">
        <v>2237</v>
      </c>
      <c r="C2572" s="68" t="s">
        <v>1473</v>
      </c>
      <c r="D2572" s="68" t="str">
        <f>VLOOKUP(C2572,layoffs_location!A:B,2,FALSE)</f>
        <v>San Francisco Bay Area</v>
      </c>
      <c r="E2572" s="68" t="str">
        <f>VLOOKUP(C2572,layoffs_location!A:C,3,FALSE)</f>
        <v>California</v>
      </c>
      <c r="F2572" s="68" t="str">
        <f>VLOOKUP(C2572,layoffs_location!A:D,4,FALSE)</f>
        <v>USA</v>
      </c>
      <c r="G2572" s="68" t="str">
        <f>VLOOKUP(C2572,layoffs_location!A:E,5,FALSE)</f>
        <v>North America</v>
      </c>
      <c r="H2572" s="68">
        <v>10</v>
      </c>
      <c r="I2572" s="70">
        <v>46151</v>
      </c>
      <c r="J2572" s="68"/>
      <c r="K2572" s="68"/>
      <c r="L2572" s="68"/>
      <c r="M2572" s="68" t="s">
        <v>2125</v>
      </c>
      <c r="N2572" s="68" t="s">
        <v>22</v>
      </c>
      <c r="O2572" s="68"/>
      <c r="P2572" s="68">
        <v>2026</v>
      </c>
      <c r="Q2572" s="83">
        <f>VLOOKUP(C2572,layoffs_location!A:F,6,FALSE)</f>
        <v>37.4443293</v>
      </c>
      <c r="R2572" s="83">
        <f>VLOOKUP(C2572,layoffs_location!A:G,7,FALSE)</f>
        <v>-122.1598465</v>
      </c>
      <c r="S2572" s="68"/>
      <c r="T2572" s="68"/>
    </row>
    <row r="2573" spans="1:20" x14ac:dyDescent="0.15">
      <c r="A2573" s="68">
        <v>2572</v>
      </c>
      <c r="B2573" s="68" t="s">
        <v>4658</v>
      </c>
      <c r="C2573" s="68" t="s">
        <v>39</v>
      </c>
      <c r="D2573" s="68" t="str">
        <f>VLOOKUP(C2573,layoffs_location!A:B,2,FALSE)</f>
        <v>New York</v>
      </c>
      <c r="E2573" s="68" t="str">
        <f>VLOOKUP(C2573,layoffs_location!A:C,3,FALSE)</f>
        <v>New York</v>
      </c>
      <c r="F2573" s="68" t="str">
        <f>VLOOKUP(C2573,layoffs_location!A:D,4,FALSE)</f>
        <v>USA</v>
      </c>
      <c r="G2573" s="68" t="str">
        <f>VLOOKUP(C2573,layoffs_location!A:E,5,FALSE)</f>
        <v>North America</v>
      </c>
      <c r="H2573" s="68"/>
      <c r="I2573" s="70">
        <v>46151</v>
      </c>
      <c r="J2573" s="68">
        <v>100</v>
      </c>
      <c r="K2573" s="68"/>
      <c r="L2573" s="68"/>
      <c r="M2573" s="68" t="s">
        <v>1377</v>
      </c>
      <c r="N2573" s="68" t="s">
        <v>22</v>
      </c>
      <c r="O2573" s="68"/>
      <c r="P2573" s="68">
        <v>2026</v>
      </c>
      <c r="Q2573" s="83">
        <f>VLOOKUP(C2573,layoffs_location!A:F,6,FALSE)</f>
        <v>40.7127281</v>
      </c>
      <c r="R2573" s="83">
        <f>VLOOKUP(C2573,layoffs_location!A:G,7,FALSE)</f>
        <v>-74.006015199999993</v>
      </c>
      <c r="S2573" s="68"/>
      <c r="T2573" s="68"/>
    </row>
    <row r="2574" spans="1:20" x14ac:dyDescent="0.15">
      <c r="A2574" s="68">
        <v>2573</v>
      </c>
      <c r="B2574" s="68" t="s">
        <v>4659</v>
      </c>
      <c r="C2574" s="68" t="s">
        <v>182</v>
      </c>
      <c r="D2574" s="68" t="str">
        <f>VLOOKUP(C2574,layoffs_location!A:B,2,FALSE)</f>
        <v>other</v>
      </c>
      <c r="E2574" s="68" t="str">
        <f>VLOOKUP(C2574,layoffs_location!A:C,3,FALSE)</f>
        <v>Haryana</v>
      </c>
      <c r="F2574" s="68" t="str">
        <f>VLOOKUP(C2574,layoffs_location!A:D,4,FALSE)</f>
        <v>India</v>
      </c>
      <c r="G2574" s="68" t="str">
        <f>VLOOKUP(C2574,layoffs_location!A:E,5,FALSE)</f>
        <v>Asia</v>
      </c>
      <c r="H2574" s="68">
        <v>200</v>
      </c>
      <c r="I2574" s="70">
        <v>46152</v>
      </c>
      <c r="J2574" s="68">
        <v>20</v>
      </c>
      <c r="K2574" s="68">
        <v>1000</v>
      </c>
      <c r="L2574" s="68">
        <v>800</v>
      </c>
      <c r="M2574" s="68" t="s">
        <v>4660</v>
      </c>
      <c r="N2574" s="68" t="s">
        <v>22</v>
      </c>
      <c r="O2574" s="68"/>
      <c r="P2574" s="68">
        <v>2026</v>
      </c>
      <c r="Q2574" s="83">
        <f>VLOOKUP(C2574,layoffs_location!A:F,6,FALSE)</f>
        <v>28.4646148</v>
      </c>
      <c r="R2574" s="83">
        <f>VLOOKUP(C2574,layoffs_location!A:G,7,FALSE)</f>
        <v>77.029919399999997</v>
      </c>
      <c r="S2574" s="68"/>
      <c r="T2574" s="68"/>
    </row>
    <row r="2575" spans="1:20" x14ac:dyDescent="0.15">
      <c r="A2575" s="68">
        <v>2574</v>
      </c>
      <c r="B2575" s="68" t="s">
        <v>270</v>
      </c>
      <c r="C2575" s="68" t="s">
        <v>271</v>
      </c>
      <c r="D2575" s="68" t="str">
        <f>VLOOKUP(C2575,layoffs_location!A:B,2,FALSE)</f>
        <v>Cascadia</v>
      </c>
      <c r="E2575" s="68" t="str">
        <f>VLOOKUP(C2575,layoffs_location!A:C,3,FALSE)</f>
        <v>British Columbia</v>
      </c>
      <c r="F2575" s="68" t="str">
        <f>VLOOKUP(C2575,layoffs_location!A:D,4,FALSE)</f>
        <v>Canada</v>
      </c>
      <c r="G2575" s="68" t="str">
        <f>VLOOKUP(C2575,layoffs_location!A:E,5,FALSE)</f>
        <v>North America</v>
      </c>
      <c r="H2575" s="68">
        <v>300</v>
      </c>
      <c r="I2575" s="70">
        <v>46153</v>
      </c>
      <c r="J2575" s="68"/>
      <c r="K2575" s="68"/>
      <c r="L2575" s="68"/>
      <c r="M2575" s="68" t="s">
        <v>1400</v>
      </c>
      <c r="N2575" s="68" t="s">
        <v>22</v>
      </c>
      <c r="O2575" s="68"/>
      <c r="P2575" s="68">
        <v>2026</v>
      </c>
      <c r="Q2575" s="83">
        <f>VLOOKUP(C2575,layoffs_location!A:F,6,FALSE)</f>
        <v>49.260872399999997</v>
      </c>
      <c r="R2575" s="83">
        <f>VLOOKUP(C2575,layoffs_location!A:G,7,FALSE)</f>
        <v>-123.113952</v>
      </c>
      <c r="S2575" s="68"/>
      <c r="T2575" s="68"/>
    </row>
    <row r="2576" spans="1:20" x14ac:dyDescent="0.15">
      <c r="A2576" s="68">
        <v>2575</v>
      </c>
      <c r="B2576" s="68" t="s">
        <v>4661</v>
      </c>
      <c r="C2576" s="68" t="s">
        <v>4662</v>
      </c>
      <c r="D2576" s="68" t="str">
        <f>VLOOKUP(C2576,layoffs_location!A:B,2,FALSE)</f>
        <v>other</v>
      </c>
      <c r="E2576" s="68" t="str">
        <f>VLOOKUP(C2576,layoffs_location!A:C,3,FALSE)</f>
        <v>Arkansas</v>
      </c>
      <c r="F2576" s="68" t="str">
        <f>VLOOKUP(C2576,layoffs_location!A:D,4,FALSE)</f>
        <v>USA</v>
      </c>
      <c r="G2576" s="68" t="str">
        <f>VLOOKUP(C2576,layoffs_location!A:E,5,FALSE)</f>
        <v>North America</v>
      </c>
      <c r="H2576" s="68">
        <v>1000</v>
      </c>
      <c r="I2576" s="70">
        <v>46154</v>
      </c>
      <c r="J2576" s="68"/>
      <c r="K2576" s="68"/>
      <c r="L2576" s="68"/>
      <c r="M2576" s="68" t="s">
        <v>4663</v>
      </c>
      <c r="N2576" s="68" t="s">
        <v>22</v>
      </c>
      <c r="O2576" s="68"/>
      <c r="P2576" s="68">
        <v>2026</v>
      </c>
      <c r="Q2576" s="83">
        <f>VLOOKUP(C2576,layoffs_location!A:F,6,FALSE)</f>
        <v>36.362992598576</v>
      </c>
      <c r="R2576" s="83">
        <f>VLOOKUP(C2576,layoffs_location!A:G,7,FALSE)</f>
        <v>-94.207101456519695</v>
      </c>
      <c r="S2576" s="68"/>
      <c r="T2576" s="68"/>
    </row>
    <row r="2577" spans="1:20" x14ac:dyDescent="0.15">
      <c r="A2577" s="68">
        <v>2576</v>
      </c>
      <c r="B2577" s="68" t="s">
        <v>4664</v>
      </c>
      <c r="C2577" s="68" t="s">
        <v>1079</v>
      </c>
      <c r="D2577" s="68" t="str">
        <f>VLOOKUP(C2577,layoffs_location!A:B,2,FALSE)</f>
        <v>other</v>
      </c>
      <c r="E2577" s="68" t="str">
        <f>VLOOKUP(C2577,layoffs_location!A:C,3,FALSE)</f>
        <v>Nevada</v>
      </c>
      <c r="F2577" s="68" t="str">
        <f>VLOOKUP(C2577,layoffs_location!A:D,4,FALSE)</f>
        <v>USA</v>
      </c>
      <c r="G2577" s="68" t="str">
        <f>VLOOKUP(C2577,layoffs_location!A:E,5,FALSE)</f>
        <v>North America</v>
      </c>
      <c r="H2577" s="68"/>
      <c r="I2577" s="70">
        <v>46155</v>
      </c>
      <c r="J2577" s="68"/>
      <c r="K2577" s="68"/>
      <c r="L2577" s="68"/>
      <c r="M2577" s="68" t="s">
        <v>2138</v>
      </c>
      <c r="N2577" s="68" t="s">
        <v>22</v>
      </c>
      <c r="O2577" s="68"/>
      <c r="P2577" s="68">
        <v>2026</v>
      </c>
      <c r="Q2577" s="83">
        <f>VLOOKUP(C2577,layoffs_location!A:F,6,FALSE)</f>
        <v>36.167255900000001</v>
      </c>
      <c r="R2577" s="83">
        <f>VLOOKUP(C2577,layoffs_location!A:G,7,FALSE)</f>
        <v>-115.148516</v>
      </c>
      <c r="S2577" s="68"/>
      <c r="T2577" s="68"/>
    </row>
    <row r="2578" spans="1:20" x14ac:dyDescent="0.15">
      <c r="A2578" s="68">
        <v>2577</v>
      </c>
      <c r="B2578" s="68" t="s">
        <v>4665</v>
      </c>
      <c r="C2578" s="68" t="s">
        <v>47</v>
      </c>
      <c r="D2578" s="68" t="str">
        <f>VLOOKUP(C2578,layoffs_location!A:B,2,FALSE)</f>
        <v>other</v>
      </c>
      <c r="E2578" s="68" t="str">
        <f>VLOOKUP(C2578,layoffs_location!A:C,3,FALSE)</f>
        <v>non</v>
      </c>
      <c r="F2578" s="68" t="str">
        <f>VLOOKUP(C2578,layoffs_location!A:D,4,FALSE)</f>
        <v>Israel</v>
      </c>
      <c r="G2578" s="68" t="str">
        <f>VLOOKUP(C2578,layoffs_location!A:E,5,FALSE)</f>
        <v>Asia</v>
      </c>
      <c r="H2578" s="68">
        <v>20</v>
      </c>
      <c r="I2578" s="70">
        <v>46155</v>
      </c>
      <c r="J2578" s="68"/>
      <c r="K2578" s="68"/>
      <c r="L2578" s="68"/>
      <c r="M2578" s="68" t="s">
        <v>4666</v>
      </c>
      <c r="N2578" s="68" t="s">
        <v>22</v>
      </c>
      <c r="O2578" s="68"/>
      <c r="P2578" s="68">
        <v>2026</v>
      </c>
      <c r="Q2578" s="83">
        <f>VLOOKUP(C2578,layoffs_location!A:F,6,FALSE)</f>
        <v>32.0852997</v>
      </c>
      <c r="R2578" s="83">
        <f>VLOOKUP(C2578,layoffs_location!A:G,7,FALSE)</f>
        <v>34.781806400000001</v>
      </c>
      <c r="S2578" s="68"/>
      <c r="T2578" s="68"/>
    </row>
    <row r="2579" spans="1:20" x14ac:dyDescent="0.15">
      <c r="A2579" s="68">
        <v>2578</v>
      </c>
      <c r="B2579" s="68" t="s">
        <v>1621</v>
      </c>
      <c r="C2579" s="68" t="s">
        <v>135</v>
      </c>
      <c r="D2579" s="68" t="str">
        <f>VLOOKUP(C2579,layoffs_location!A:B,2,FALSE)</f>
        <v>other</v>
      </c>
      <c r="E2579" s="68" t="str">
        <f>VLOOKUP(C2579,layoffs_location!A:C,3,FALSE)</f>
        <v>Berlin</v>
      </c>
      <c r="F2579" s="68" t="str">
        <f>VLOOKUP(C2579,layoffs_location!A:D,4,FALSE)</f>
        <v>Germany</v>
      </c>
      <c r="G2579" s="68" t="str">
        <f>VLOOKUP(C2579,layoffs_location!A:E,5,FALSE)</f>
        <v>Europe</v>
      </c>
      <c r="H2579" s="68"/>
      <c r="I2579" s="70">
        <v>46156</v>
      </c>
      <c r="J2579" s="68"/>
      <c r="K2579" s="68"/>
      <c r="L2579" s="68"/>
      <c r="M2579" s="68" t="s">
        <v>2138</v>
      </c>
      <c r="N2579" s="68" t="s">
        <v>22</v>
      </c>
      <c r="O2579" s="68"/>
      <c r="P2579" s="68">
        <v>2026</v>
      </c>
      <c r="Q2579" s="83">
        <f>VLOOKUP(C2579,layoffs_location!A:F,6,FALSE)</f>
        <v>52.517036500000003</v>
      </c>
      <c r="R2579" s="83">
        <f>VLOOKUP(C2579,layoffs_location!A:G,7,FALSE)</f>
        <v>13.3888599</v>
      </c>
      <c r="S2579" s="68"/>
      <c r="T2579" s="68"/>
    </row>
    <row r="2580" spans="1:20" x14ac:dyDescent="0.15">
      <c r="A2580" s="68">
        <v>2579</v>
      </c>
      <c r="B2580" s="68" t="s">
        <v>674</v>
      </c>
      <c r="C2580" s="68" t="s">
        <v>1694</v>
      </c>
      <c r="D2580" s="68" t="str">
        <f>VLOOKUP(C2580,layoffs_location!A:B,2,FALSE)</f>
        <v>San Francisco Bay Area</v>
      </c>
      <c r="E2580" s="68" t="str">
        <f>VLOOKUP(C2580,layoffs_location!A:C,3,FALSE)</f>
        <v>California</v>
      </c>
      <c r="F2580" s="68" t="str">
        <f>VLOOKUP(C2580,layoffs_location!A:D,4,FALSE)</f>
        <v>USA</v>
      </c>
      <c r="G2580" s="68" t="str">
        <f>VLOOKUP(C2580,layoffs_location!A:E,5,FALSE)</f>
        <v>North America</v>
      </c>
      <c r="H2580" s="68">
        <v>4000</v>
      </c>
      <c r="I2580" s="70">
        <v>46156</v>
      </c>
      <c r="J2580" s="68"/>
      <c r="K2580" s="68"/>
      <c r="L2580" s="68"/>
      <c r="M2580" s="68" t="s">
        <v>1400</v>
      </c>
      <c r="N2580" s="68" t="s">
        <v>22</v>
      </c>
      <c r="O2580" s="68"/>
      <c r="P2580" s="68">
        <v>2026</v>
      </c>
      <c r="Q2580" s="83">
        <f>VLOOKUP(C2580,layoffs_location!A:F,6,FALSE)</f>
        <v>37.336166300000002</v>
      </c>
      <c r="R2580" s="83">
        <f>VLOOKUP(C2580,layoffs_location!A:G,7,FALSE)</f>
        <v>-121.890591</v>
      </c>
      <c r="S2580" s="68"/>
      <c r="T2580" s="68"/>
    </row>
    <row r="2581" spans="1:20" x14ac:dyDescent="0.15">
      <c r="A2581" s="68">
        <v>2580</v>
      </c>
      <c r="B2581" s="68" t="s">
        <v>101</v>
      </c>
      <c r="C2581" s="68" t="s">
        <v>1720</v>
      </c>
      <c r="D2581" s="68" t="str">
        <f>VLOOKUP(C2581,layoffs_location!A:B,2,FALSE)</f>
        <v>San Francisco Bay Area</v>
      </c>
      <c r="E2581" s="68" t="str">
        <f>VLOOKUP(C2581,layoffs_location!A:C,3,FALSE)</f>
        <v>California</v>
      </c>
      <c r="F2581" s="68" t="str">
        <f>VLOOKUP(C2581,layoffs_location!A:D,4,FALSE)</f>
        <v>USA</v>
      </c>
      <c r="G2581" s="68" t="str">
        <f>VLOOKUP(C2581,layoffs_location!A:E,5,FALSE)</f>
        <v>North America</v>
      </c>
      <c r="H2581" s="68">
        <v>875</v>
      </c>
      <c r="I2581" s="70">
        <v>46156</v>
      </c>
      <c r="J2581" s="68">
        <v>5</v>
      </c>
      <c r="K2581" s="68">
        <v>17500</v>
      </c>
      <c r="L2581" s="68">
        <v>16625</v>
      </c>
      <c r="M2581" s="68" t="s">
        <v>1400</v>
      </c>
      <c r="N2581" s="68" t="s">
        <v>22</v>
      </c>
      <c r="O2581" s="68"/>
      <c r="P2581" s="68">
        <v>2026</v>
      </c>
      <c r="Q2581" s="83">
        <f>VLOOKUP(C2581,layoffs_location!A:F,6,FALSE)</f>
        <v>37.368830099999997</v>
      </c>
      <c r="R2581" s="83">
        <f>VLOOKUP(C2581,layoffs_location!A:G,7,FALSE)</f>
        <v>-122.036349</v>
      </c>
      <c r="S2581" s="68"/>
      <c r="T2581" s="68"/>
    </row>
    <row r="2582" spans="1:20" x14ac:dyDescent="0.15">
      <c r="A2582" s="68">
        <v>2581</v>
      </c>
      <c r="B2582" s="68" t="s">
        <v>505</v>
      </c>
      <c r="C2582" s="68" t="s">
        <v>1370</v>
      </c>
      <c r="D2582" s="68" t="str">
        <f>VLOOKUP(C2582,layoffs_location!A:B,2,FALSE)</f>
        <v>San Francisco Bay Area</v>
      </c>
      <c r="E2582" s="68" t="str">
        <f>VLOOKUP(C2582,layoffs_location!A:C,3,FALSE)</f>
        <v>California</v>
      </c>
      <c r="F2582" s="68" t="str">
        <f>VLOOKUP(C2582,layoffs_location!A:D,4,FALSE)</f>
        <v>USA</v>
      </c>
      <c r="G2582" s="68" t="str">
        <f>VLOOKUP(C2582,layoffs_location!A:E,5,FALSE)</f>
        <v>North America</v>
      </c>
      <c r="H2582" s="68">
        <v>340</v>
      </c>
      <c r="I2582" s="70">
        <v>46157</v>
      </c>
      <c r="J2582" s="68"/>
      <c r="K2582" s="68"/>
      <c r="L2582" s="68"/>
      <c r="M2582" s="68" t="s">
        <v>21</v>
      </c>
      <c r="N2582" s="68" t="s">
        <v>22</v>
      </c>
      <c r="O2582" s="68"/>
      <c r="P2582" s="68">
        <v>2026</v>
      </c>
      <c r="Q2582" s="83">
        <f>VLOOKUP(C2582,layoffs_location!A:F,6,FALSE)</f>
        <v>37.779258800000001</v>
      </c>
      <c r="R2582" s="83">
        <f>VLOOKUP(C2582,layoffs_location!A:G,7,FALSE)</f>
        <v>-122.4193286</v>
      </c>
      <c r="S2582" s="68"/>
      <c r="T2582" s="68"/>
    </row>
    <row r="2583" spans="1:20" x14ac:dyDescent="0.2">
      <c r="A2583" s="68">
        <v>2582</v>
      </c>
      <c r="B2583" s="69" t="s">
        <v>4667</v>
      </c>
      <c r="C2583" s="68" t="s">
        <v>217</v>
      </c>
      <c r="D2583" s="68" t="str">
        <f>VLOOKUP(C2583,layoffs_location!A:B,2,FALSE)</f>
        <v>other</v>
      </c>
      <c r="E2583" s="68" t="str">
        <f>VLOOKUP(C2583,layoffs_location!A:C,3,FALSE)</f>
        <v>non</v>
      </c>
      <c r="F2583" s="68" t="str">
        <f>VLOOKUP(C2583,layoffs_location!A:D,4,FALSE)</f>
        <v>Ireland</v>
      </c>
      <c r="G2583" s="68" t="str">
        <f>VLOOKUP(C2583,layoffs_location!A:E,5,FALSE)</f>
        <v>Europe</v>
      </c>
      <c r="H2583" s="68"/>
      <c r="I2583" s="70">
        <v>46157</v>
      </c>
      <c r="J2583" s="68">
        <v>25</v>
      </c>
      <c r="K2583" s="68"/>
      <c r="L2583" s="68"/>
      <c r="M2583" s="68" t="s">
        <v>4668</v>
      </c>
      <c r="N2583" s="68" t="s">
        <v>22</v>
      </c>
      <c r="O2583" s="68"/>
      <c r="P2583" s="68">
        <v>2026</v>
      </c>
      <c r="Q2583" s="83">
        <f>VLOOKUP(C2583,layoffs_location!A:F,6,FALSE)</f>
        <v>53.349379499999998</v>
      </c>
      <c r="R2583" s="83">
        <f>VLOOKUP(C2583,layoffs_location!A:G,7,FALSE)</f>
        <v>-6.2605592999999997</v>
      </c>
      <c r="S2583" s="68"/>
      <c r="T2583" s="68"/>
    </row>
    <row r="2584" spans="1:20" x14ac:dyDescent="0.15">
      <c r="A2584" s="68">
        <v>2583</v>
      </c>
      <c r="B2584" s="68" t="s">
        <v>4669</v>
      </c>
      <c r="C2584" s="68" t="s">
        <v>4670</v>
      </c>
      <c r="D2584" s="68" t="str">
        <f>VLOOKUP(C2584,layoffs_location!A:B,2,FALSE)</f>
        <v>other</v>
      </c>
      <c r="E2584" s="68" t="str">
        <f>VLOOKUP(C2584,layoffs_location!A:C,3,FALSE)</f>
        <v>non</v>
      </c>
      <c r="F2584" s="68" t="str">
        <f>VLOOKUP(C2584,layoffs_location!A:D,4,FALSE)</f>
        <v>Cyprus</v>
      </c>
      <c r="G2584" s="68" t="str">
        <f>VLOOKUP(C2584,layoffs_location!A:E,5,FALSE)</f>
        <v>Europe</v>
      </c>
      <c r="H2584" s="68">
        <v>40</v>
      </c>
      <c r="I2584" s="70">
        <v>46157</v>
      </c>
      <c r="J2584" s="68"/>
      <c r="K2584" s="68"/>
      <c r="L2584" s="68"/>
      <c r="M2584" s="68" t="s">
        <v>2138</v>
      </c>
      <c r="N2584" s="68" t="s">
        <v>22</v>
      </c>
      <c r="O2584" s="68"/>
      <c r="P2584" s="68">
        <v>2026</v>
      </c>
      <c r="Q2584" s="83">
        <f>VLOOKUP(C2584,layoffs_location!A:F,6,FALSE)</f>
        <v>34.684085744459601</v>
      </c>
      <c r="R2584" s="83">
        <f>VLOOKUP(C2584,layoffs_location!A:G,7,FALSE)</f>
        <v>33.056589549976501</v>
      </c>
      <c r="S2584" s="68"/>
      <c r="T2584" s="68"/>
    </row>
    <row r="2585" spans="1:20" x14ac:dyDescent="0.15">
      <c r="A2585" s="68">
        <v>2584</v>
      </c>
      <c r="B2585" s="68" t="s">
        <v>632</v>
      </c>
      <c r="C2585" s="68" t="s">
        <v>4671</v>
      </c>
      <c r="D2585" s="68" t="str">
        <f>VLOOKUP(C2585,layoffs_location!A:B,2,FALSE)</f>
        <v>other</v>
      </c>
      <c r="E2585" s="68" t="str">
        <f>VLOOKUP(C2585,layoffs_location!A:C,3,FALSE)</f>
        <v>Wyoming</v>
      </c>
      <c r="F2585" s="68" t="str">
        <f>VLOOKUP(C2585,layoffs_location!A:D,4,FALSE)</f>
        <v>USA</v>
      </c>
      <c r="G2585" s="68" t="str">
        <f>VLOOKUP(C2585,layoffs_location!A:E,5,FALSE)</f>
        <v>North America</v>
      </c>
      <c r="H2585" s="68">
        <v>150</v>
      </c>
      <c r="I2585" s="70">
        <v>46157</v>
      </c>
      <c r="J2585" s="68">
        <v>5</v>
      </c>
      <c r="K2585" s="68">
        <v>3000</v>
      </c>
      <c r="L2585" s="68">
        <v>2850</v>
      </c>
      <c r="M2585" s="68" t="s">
        <v>2169</v>
      </c>
      <c r="N2585" s="68" t="s">
        <v>22</v>
      </c>
      <c r="O2585" s="68"/>
      <c r="P2585" s="68">
        <v>2026</v>
      </c>
      <c r="Q2585" s="83">
        <f>VLOOKUP(C2585,layoffs_location!A:F,6,FALSE)</f>
        <v>41.123743791454501</v>
      </c>
      <c r="R2585" s="83">
        <f>VLOOKUP(C2585,layoffs_location!A:G,7,FALSE)</f>
        <v>-104.798240838391</v>
      </c>
      <c r="S2585" s="68"/>
      <c r="T2585" s="68"/>
    </row>
    <row r="2586" spans="1:20" x14ac:dyDescent="0.15">
      <c r="A2586" s="68">
        <v>2585</v>
      </c>
      <c r="B2586" s="68" t="s">
        <v>4672</v>
      </c>
      <c r="C2586" s="68" t="s">
        <v>725</v>
      </c>
      <c r="D2586" s="68" t="str">
        <f>VLOOKUP(C2586,layoffs_location!A:B,2,FALSE)</f>
        <v>other</v>
      </c>
      <c r="E2586" s="68" t="str">
        <f>VLOOKUP(C2586,layoffs_location!A:C,3,FALSE)</f>
        <v>non</v>
      </c>
      <c r="F2586" s="68" t="str">
        <f>VLOOKUP(C2586,layoffs_location!A:D,4,FALSE)</f>
        <v>Norway</v>
      </c>
      <c r="G2586" s="68" t="str">
        <f>VLOOKUP(C2586,layoffs_location!A:E,5,FALSE)</f>
        <v>Europe</v>
      </c>
      <c r="H2586" s="68"/>
      <c r="I2586" s="70">
        <v>46157</v>
      </c>
      <c r="J2586" s="68">
        <v>25</v>
      </c>
      <c r="K2586" s="68"/>
      <c r="L2586" s="68"/>
      <c r="M2586" s="68" t="s">
        <v>4673</v>
      </c>
      <c r="N2586" s="68" t="s">
        <v>22</v>
      </c>
      <c r="O2586" s="68"/>
      <c r="P2586" s="68">
        <v>2026</v>
      </c>
      <c r="Q2586" s="83">
        <f>VLOOKUP(C2586,layoffs_location!A:F,6,FALSE)</f>
        <v>59.913330100000003</v>
      </c>
      <c r="R2586" s="83">
        <f>VLOOKUP(C2586,layoffs_location!A:G,7,FALSE)</f>
        <v>10.7389701</v>
      </c>
      <c r="S2586" s="68"/>
      <c r="T2586" s="68"/>
    </row>
    <row r="2587" spans="1:20" x14ac:dyDescent="0.15">
      <c r="A2587" s="68">
        <v>2586</v>
      </c>
      <c r="B2587" s="68" t="s">
        <v>900</v>
      </c>
      <c r="C2587" s="68" t="s">
        <v>39</v>
      </c>
      <c r="D2587" s="68" t="str">
        <f>VLOOKUP(C2587,layoffs_location!A:B,2,FALSE)</f>
        <v>New York</v>
      </c>
      <c r="E2587" s="68" t="str">
        <f>VLOOKUP(C2587,layoffs_location!A:C,3,FALSE)</f>
        <v>New York</v>
      </c>
      <c r="F2587" s="68" t="str">
        <f>VLOOKUP(C2587,layoffs_location!A:D,4,FALSE)</f>
        <v>USA</v>
      </c>
      <c r="G2587" s="68" t="str">
        <f>VLOOKUP(C2587,layoffs_location!A:E,5,FALSE)</f>
        <v>North America</v>
      </c>
      <c r="H2587" s="68"/>
      <c r="I2587" s="70">
        <v>46160</v>
      </c>
      <c r="J2587" s="68">
        <v>100</v>
      </c>
      <c r="K2587" s="68"/>
      <c r="L2587" s="68"/>
      <c r="M2587" s="68" t="s">
        <v>1400</v>
      </c>
      <c r="N2587" s="68" t="s">
        <v>22</v>
      </c>
      <c r="O2587" s="68"/>
      <c r="P2587" s="68">
        <v>2026</v>
      </c>
      <c r="Q2587" s="83">
        <f>VLOOKUP(C2587,layoffs_location!A:F,6,FALSE)</f>
        <v>40.7127281</v>
      </c>
      <c r="R2587" s="83">
        <f>VLOOKUP(C2587,layoffs_location!A:G,7,FALSE)</f>
        <v>-74.006015199999993</v>
      </c>
      <c r="S2587" s="68"/>
      <c r="T2587" s="68"/>
    </row>
    <row r="2588" spans="1:20" x14ac:dyDescent="0.15">
      <c r="A2588" s="68">
        <v>2587</v>
      </c>
      <c r="B2588" s="68" t="s">
        <v>4674</v>
      </c>
      <c r="C2588" s="68" t="s">
        <v>47</v>
      </c>
      <c r="D2588" s="68" t="str">
        <f>VLOOKUP(C2588,layoffs_location!A:B,2,FALSE)</f>
        <v>other</v>
      </c>
      <c r="E2588" s="68" t="str">
        <f>VLOOKUP(C2588,layoffs_location!A:C,3,FALSE)</f>
        <v>non</v>
      </c>
      <c r="F2588" s="68" t="str">
        <f>VLOOKUP(C2588,layoffs_location!A:D,4,FALSE)</f>
        <v>Israel</v>
      </c>
      <c r="G2588" s="68" t="str">
        <f>VLOOKUP(C2588,layoffs_location!A:E,5,FALSE)</f>
        <v>Asia</v>
      </c>
      <c r="H2588" s="68"/>
      <c r="I2588" s="70">
        <v>46160</v>
      </c>
      <c r="J2588" s="68">
        <v>60</v>
      </c>
      <c r="K2588" s="68"/>
      <c r="L2588" s="68"/>
      <c r="M2588" s="68" t="s">
        <v>1400</v>
      </c>
      <c r="N2588" s="68" t="s">
        <v>22</v>
      </c>
      <c r="O2588" s="68"/>
      <c r="P2588" s="68">
        <v>2026</v>
      </c>
      <c r="Q2588" s="83">
        <f>VLOOKUP(C2588,layoffs_location!A:F,6,FALSE)</f>
        <v>32.0852997</v>
      </c>
      <c r="R2588" s="83">
        <f>VLOOKUP(C2588,layoffs_location!A:G,7,FALSE)</f>
        <v>34.781806400000001</v>
      </c>
      <c r="S2588" s="68"/>
      <c r="T2588" s="68"/>
    </row>
    <row r="2589" spans="1:20" x14ac:dyDescent="0.15">
      <c r="A2589" s="68">
        <v>2588</v>
      </c>
      <c r="B2589" s="68" t="s">
        <v>1099</v>
      </c>
      <c r="C2589" s="68" t="s">
        <v>1408</v>
      </c>
      <c r="D2589" s="68" t="str">
        <f>VLOOKUP(C2589,layoffs_location!A:B,2,FALSE)</f>
        <v>San Francisco Bay Area</v>
      </c>
      <c r="E2589" s="68" t="str">
        <f>VLOOKUP(C2589,layoffs_location!A:C,3,FALSE)</f>
        <v>California</v>
      </c>
      <c r="F2589" s="68" t="str">
        <f>VLOOKUP(C2589,layoffs_location!A:D,4,FALSE)</f>
        <v>USA</v>
      </c>
      <c r="G2589" s="68" t="str">
        <f>VLOOKUP(C2589,layoffs_location!A:E,5,FALSE)</f>
        <v>North America</v>
      </c>
      <c r="H2589" s="68">
        <v>3000</v>
      </c>
      <c r="I2589" s="70">
        <v>46162</v>
      </c>
      <c r="J2589" s="68">
        <v>17</v>
      </c>
      <c r="K2589" s="68">
        <v>17647</v>
      </c>
      <c r="L2589" s="68">
        <v>14647</v>
      </c>
      <c r="M2589" s="68" t="s">
        <v>4675</v>
      </c>
      <c r="N2589" s="68" t="s">
        <v>22</v>
      </c>
      <c r="O2589" s="68"/>
      <c r="P2589" s="68">
        <v>2026</v>
      </c>
      <c r="Q2589" s="83">
        <f>VLOOKUP(C2589,layoffs_location!A:F,6,FALSE)</f>
        <v>37.3893889</v>
      </c>
      <c r="R2589" s="83">
        <f>VLOOKUP(C2589,layoffs_location!A:G,7,FALSE)</f>
        <v>-122.0832101</v>
      </c>
      <c r="S2589" s="68"/>
      <c r="T2589" s="68"/>
    </row>
    <row r="2590" spans="1:20" x14ac:dyDescent="0.15">
      <c r="A2590" s="68">
        <v>2589</v>
      </c>
      <c r="B2590" s="68" t="s">
        <v>385</v>
      </c>
      <c r="C2590" s="68" t="s">
        <v>1443</v>
      </c>
      <c r="D2590" s="68" t="str">
        <f>VLOOKUP(C2590,layoffs_location!A:B,2,FALSE)</f>
        <v>San Francisco Bay Area</v>
      </c>
      <c r="E2590" s="68" t="str">
        <f>VLOOKUP(C2590,layoffs_location!A:C,3,FALSE)</f>
        <v>California</v>
      </c>
      <c r="F2590" s="68" t="str">
        <f>VLOOKUP(C2590,layoffs_location!A:D,4,FALSE)</f>
        <v>USA</v>
      </c>
      <c r="G2590" s="68" t="str">
        <f>VLOOKUP(C2590,layoffs_location!A:E,5,FALSE)</f>
        <v>North America</v>
      </c>
      <c r="H2590" s="68">
        <v>8000</v>
      </c>
      <c r="I2590" s="70">
        <v>46162</v>
      </c>
      <c r="J2590" s="68">
        <v>10</v>
      </c>
      <c r="K2590" s="68">
        <v>80000</v>
      </c>
      <c r="L2590" s="68">
        <v>72000</v>
      </c>
      <c r="M2590" s="68" t="s">
        <v>1400</v>
      </c>
      <c r="N2590" s="68" t="s">
        <v>22</v>
      </c>
      <c r="O2590" s="68"/>
      <c r="P2590" s="68">
        <v>2026</v>
      </c>
      <c r="Q2590" s="83">
        <f>VLOOKUP(C2590,layoffs_location!A:F,6,FALSE)</f>
        <v>37.451967099999997</v>
      </c>
      <c r="R2590" s="83">
        <f>VLOOKUP(C2590,layoffs_location!A:G,7,FALSE)</f>
        <v>-122.177992</v>
      </c>
      <c r="S2590" s="68"/>
      <c r="T2590" s="68"/>
    </row>
    <row r="2591" spans="1:20" x14ac:dyDescent="0.15">
      <c r="A2591" s="68">
        <v>2590</v>
      </c>
      <c r="B2591" s="68" t="s">
        <v>4676</v>
      </c>
      <c r="C2591" s="68" t="s">
        <v>4764</v>
      </c>
      <c r="D2591" s="68" t="str">
        <f>VLOOKUP(C2591,layoffs_location!A:B,2,FALSE)</f>
        <v>other</v>
      </c>
      <c r="E2591" s="68" t="str">
        <f>VLOOKUP(C2591,layoffs_location!A:C,3,FALSE)</f>
        <v>Virginia</v>
      </c>
      <c r="F2591" s="68" t="str">
        <f>VLOOKUP(C2591,layoffs_location!A:D,4,FALSE)</f>
        <v>USA</v>
      </c>
      <c r="G2591" s="68" t="str">
        <f>VLOOKUP(C2591,layoffs_location!A:E,5,FALSE)</f>
        <v>North America</v>
      </c>
      <c r="H2591" s="68"/>
      <c r="I2591" s="70">
        <v>46163</v>
      </c>
      <c r="J2591" s="68"/>
      <c r="K2591" s="68"/>
      <c r="L2591" s="68"/>
      <c r="M2591" s="68" t="s">
        <v>4677</v>
      </c>
      <c r="N2591" s="68" t="s">
        <v>22</v>
      </c>
      <c r="O2591" s="68"/>
      <c r="P2591" s="68">
        <v>2026</v>
      </c>
      <c r="Q2591" s="83">
        <f>VLOOKUP(C2591,layoffs_location!A:F,6,FALSE)</f>
        <v>36.919128491508197</v>
      </c>
      <c r="R2591" s="83">
        <f>VLOOKUP(C2591,layoffs_location!A:G,7,FALSE)</f>
        <v>-76.212257524459901</v>
      </c>
      <c r="S2591" s="68"/>
      <c r="T2591" s="68"/>
    </row>
    <row r="2592" spans="1:20" x14ac:dyDescent="0.15">
      <c r="A2592" s="68">
        <v>2591</v>
      </c>
      <c r="B2592" s="68" t="s">
        <v>236</v>
      </c>
      <c r="C2592" s="68" t="s">
        <v>74</v>
      </c>
      <c r="D2592" s="68" t="str">
        <f>VLOOKUP(C2592,layoffs_location!A:B,2,FALSE)</f>
        <v>other</v>
      </c>
      <c r="E2592" s="68" t="str">
        <f>VLOOKUP(C2592,layoffs_location!A:C,3,FALSE)</f>
        <v>California</v>
      </c>
      <c r="F2592" s="68" t="str">
        <f>VLOOKUP(C2592,layoffs_location!A:D,4,FALSE)</f>
        <v>USA</v>
      </c>
      <c r="G2592" s="68" t="str">
        <f>VLOOKUP(C2592,layoffs_location!A:E,5,FALSE)</f>
        <v>North America</v>
      </c>
      <c r="H2592" s="68"/>
      <c r="I2592" s="70">
        <v>46163</v>
      </c>
      <c r="J2592" s="68">
        <v>22</v>
      </c>
      <c r="K2592" s="68"/>
      <c r="L2592" s="68"/>
      <c r="M2592" s="68" t="s">
        <v>4678</v>
      </c>
      <c r="N2592" s="68" t="s">
        <v>22</v>
      </c>
      <c r="O2592" s="68"/>
      <c r="P2592" s="68">
        <v>2026</v>
      </c>
      <c r="Q2592" s="83">
        <f>VLOOKUP(C2592,layoffs_location!A:F,6,FALSE)</f>
        <v>32.717420199999999</v>
      </c>
      <c r="R2592" s="83">
        <f>VLOOKUP(C2592,layoffs_location!A:G,7,FALSE)</f>
        <v>-117.162772</v>
      </c>
      <c r="S2592" s="68"/>
      <c r="T2592" s="68"/>
    </row>
    <row r="2593" spans="1:20" x14ac:dyDescent="0.15">
      <c r="A2593" s="68">
        <v>2592</v>
      </c>
      <c r="B2593" s="68" t="s">
        <v>4679</v>
      </c>
      <c r="C2593" s="68" t="s">
        <v>97</v>
      </c>
      <c r="D2593" s="68" t="str">
        <f>VLOOKUP(C2593,layoffs_location!A:B,2,FALSE)</f>
        <v>other</v>
      </c>
      <c r="E2593" s="68" t="str">
        <f>VLOOKUP(C2593,layoffs_location!A:C,3,FALSE)</f>
        <v>non</v>
      </c>
      <c r="F2593" s="68" t="str">
        <f>VLOOKUP(C2593,layoffs_location!A:D,4,FALSE)</f>
        <v>France</v>
      </c>
      <c r="G2593" s="68" t="str">
        <f>VLOOKUP(C2593,layoffs_location!A:E,5,FALSE)</f>
        <v>Europe</v>
      </c>
      <c r="H2593" s="68">
        <v>95</v>
      </c>
      <c r="I2593" s="70">
        <v>46163</v>
      </c>
      <c r="J2593" s="68"/>
      <c r="K2593" s="68"/>
      <c r="L2593" s="68"/>
      <c r="M2593" s="68" t="s">
        <v>2138</v>
      </c>
      <c r="N2593" s="68" t="s">
        <v>22</v>
      </c>
      <c r="O2593" s="68"/>
      <c r="P2593" s="68">
        <v>2026</v>
      </c>
      <c r="Q2593" s="83">
        <f>VLOOKUP(C2593,layoffs_location!A:F,6,FALSE)</f>
        <v>48.858889699999999</v>
      </c>
      <c r="R2593" s="83">
        <f>VLOOKUP(C2593,layoffs_location!A:G,7,FALSE)</f>
        <v>2.32004102172007</v>
      </c>
      <c r="S2593" s="68"/>
      <c r="T2593" s="68"/>
    </row>
    <row r="2594" spans="1:20" x14ac:dyDescent="0.15">
      <c r="A2594" s="68">
        <v>2593</v>
      </c>
      <c r="B2594" s="71" t="s">
        <v>4680</v>
      </c>
      <c r="C2594" s="71" t="s">
        <v>47</v>
      </c>
      <c r="D2594" s="68" t="str">
        <f>VLOOKUP(C2594,layoffs_location!A:B,2,FALSE)</f>
        <v>other</v>
      </c>
      <c r="E2594" s="68" t="str">
        <f>VLOOKUP(C2594,layoffs_location!A:C,3,FALSE)</f>
        <v>non</v>
      </c>
      <c r="F2594" s="68" t="str">
        <f>VLOOKUP(C2594,layoffs_location!A:D,4,FALSE)</f>
        <v>Israel</v>
      </c>
      <c r="G2594" s="68" t="str">
        <f>VLOOKUP(C2594,layoffs_location!A:E,5,FALSE)</f>
        <v>Asia</v>
      </c>
      <c r="H2594" s="74">
        <v>1000</v>
      </c>
      <c r="I2594" s="75">
        <v>46167</v>
      </c>
      <c r="J2594" s="76">
        <v>20</v>
      </c>
      <c r="K2594" s="77"/>
      <c r="L2594" s="77"/>
      <c r="M2594" s="72" t="s">
        <v>4681</v>
      </c>
      <c r="N2594" s="81" t="s">
        <v>28</v>
      </c>
      <c r="O2594" s="71" t="s">
        <v>4682</v>
      </c>
      <c r="P2594" s="68">
        <v>2026</v>
      </c>
      <c r="Q2594" s="83">
        <f>VLOOKUP(C2594,layoffs_location!A:F,6,FALSE)</f>
        <v>32.0852997</v>
      </c>
      <c r="R2594" s="83">
        <f>VLOOKUP(C2594,layoffs_location!A:G,7,FALSE)</f>
        <v>34.781806400000001</v>
      </c>
    </row>
    <row r="2595" spans="1:20" x14ac:dyDescent="0.15">
      <c r="A2595" s="68">
        <v>2594</v>
      </c>
      <c r="B2595" s="72" t="s">
        <v>4683</v>
      </c>
      <c r="C2595" s="71" t="s">
        <v>43</v>
      </c>
      <c r="D2595" s="68" t="str">
        <f>VLOOKUP(C2595,layoffs_location!A:B,2,FALSE)</f>
        <v>Cascadia</v>
      </c>
      <c r="E2595" s="68" t="str">
        <f>VLOOKUP(C2595,layoffs_location!A:C,3,FALSE)</f>
        <v>Washington</v>
      </c>
      <c r="F2595" s="68" t="str">
        <f>VLOOKUP(C2595,layoffs_location!A:D,4,FALSE)</f>
        <v>USA</v>
      </c>
      <c r="G2595" s="68" t="str">
        <f>VLOOKUP(C2595,layoffs_location!A:E,5,FALSE)</f>
        <v>North America</v>
      </c>
      <c r="H2595" s="78"/>
      <c r="I2595" s="75">
        <v>46168</v>
      </c>
      <c r="J2595" s="76">
        <v>100</v>
      </c>
      <c r="K2595" s="78"/>
      <c r="L2595" s="78"/>
      <c r="M2595" s="72" t="s">
        <v>4684</v>
      </c>
      <c r="N2595" s="72" t="s">
        <v>4685</v>
      </c>
      <c r="O2595" s="71" t="s">
        <v>4686</v>
      </c>
      <c r="P2595" s="68">
        <v>2026</v>
      </c>
      <c r="Q2595" s="83">
        <f>VLOOKUP(C2595,layoffs_location!A:F,6,FALSE)</f>
        <v>47.603832099999998</v>
      </c>
      <c r="R2595" s="83">
        <f>VLOOKUP(C2595,layoffs_location!A:G,7,FALSE)</f>
        <v>-122.330062</v>
      </c>
    </row>
    <row r="2596" spans="1:20" x14ac:dyDescent="0.15">
      <c r="A2596" s="68">
        <v>2595</v>
      </c>
      <c r="B2596" s="72" t="s">
        <v>4687</v>
      </c>
      <c r="C2596" s="71" t="s">
        <v>39</v>
      </c>
      <c r="D2596" s="68" t="str">
        <f>VLOOKUP(C2596,layoffs_location!A:B,2,FALSE)</f>
        <v>New York</v>
      </c>
      <c r="E2596" s="68" t="str">
        <f>VLOOKUP(C2596,layoffs_location!A:C,3,FALSE)</f>
        <v>New York</v>
      </c>
      <c r="F2596" s="68" t="str">
        <f>VLOOKUP(C2596,layoffs_location!A:D,4,FALSE)</f>
        <v>USA</v>
      </c>
      <c r="G2596" s="68" t="str">
        <f>VLOOKUP(C2596,layoffs_location!A:E,5,FALSE)</f>
        <v>North America</v>
      </c>
      <c r="H2596" s="78"/>
      <c r="I2596" s="75">
        <v>46168</v>
      </c>
      <c r="J2596" s="76">
        <v>20</v>
      </c>
      <c r="K2596" s="77"/>
      <c r="L2596" s="77"/>
      <c r="M2596" s="72" t="s">
        <v>4688</v>
      </c>
      <c r="N2596" s="72" t="s">
        <v>4689</v>
      </c>
      <c r="O2596" s="71" t="s">
        <v>4690</v>
      </c>
      <c r="P2596" s="68">
        <v>2026</v>
      </c>
      <c r="Q2596" s="83">
        <f>VLOOKUP(C2596,layoffs_location!A:F,6,FALSE)</f>
        <v>40.7127281</v>
      </c>
      <c r="R2596" s="83">
        <f>VLOOKUP(C2596,layoffs_location!A:G,7,FALSE)</f>
        <v>-74.006015199999993</v>
      </c>
    </row>
    <row r="2597" spans="1:20" x14ac:dyDescent="0.15">
      <c r="A2597" s="68">
        <v>2596</v>
      </c>
      <c r="B2597" s="72" t="s">
        <v>4691</v>
      </c>
      <c r="C2597" s="71" t="s">
        <v>154</v>
      </c>
      <c r="D2597" s="68" t="str">
        <f>VLOOKUP(C2597,layoffs_location!A:B,2,FALSE)</f>
        <v>other</v>
      </c>
      <c r="E2597" s="68" t="str">
        <f>VLOOKUP(C2597,layoffs_location!A:C,3,FALSE)</f>
        <v>Illinois</v>
      </c>
      <c r="F2597" s="68" t="str">
        <f>VLOOKUP(C2597,layoffs_location!A:D,4,FALSE)</f>
        <v>USA</v>
      </c>
      <c r="G2597" s="68" t="str">
        <f>VLOOKUP(C2597,layoffs_location!A:E,5,FALSE)</f>
        <v>North America</v>
      </c>
      <c r="H2597" s="74">
        <v>400</v>
      </c>
      <c r="I2597" s="75">
        <v>46168</v>
      </c>
      <c r="J2597" s="76">
        <v>25</v>
      </c>
      <c r="K2597" s="77"/>
      <c r="L2597" s="77"/>
      <c r="M2597" s="72" t="s">
        <v>4692</v>
      </c>
      <c r="N2597" s="82" t="s">
        <v>22</v>
      </c>
      <c r="O2597" s="71" t="s">
        <v>4693</v>
      </c>
      <c r="P2597" s="68">
        <v>2026</v>
      </c>
      <c r="Q2597" s="83">
        <f>VLOOKUP(C2597,layoffs_location!A:F,6,FALSE)</f>
        <v>41.875561599999997</v>
      </c>
      <c r="R2597" s="83">
        <f>VLOOKUP(C2597,layoffs_location!A:G,7,FALSE)</f>
        <v>-87.6244212</v>
      </c>
    </row>
    <row r="2598" spans="1:20" x14ac:dyDescent="0.15">
      <c r="A2598" s="68">
        <v>2597</v>
      </c>
      <c r="B2598" s="71" t="s">
        <v>4694</v>
      </c>
      <c r="C2598" s="71" t="s">
        <v>1370</v>
      </c>
      <c r="D2598" s="68" t="str">
        <f>VLOOKUP(C2598,layoffs_location!A:B,2,FALSE)</f>
        <v>San Francisco Bay Area</v>
      </c>
      <c r="E2598" s="68" t="str">
        <f>VLOOKUP(C2598,layoffs_location!A:C,3,FALSE)</f>
        <v>California</v>
      </c>
      <c r="F2598" s="68" t="str">
        <f>VLOOKUP(C2598,layoffs_location!A:D,4,FALSE)</f>
        <v>USA</v>
      </c>
      <c r="G2598" s="68" t="str">
        <f>VLOOKUP(C2598,layoffs_location!A:E,5,FALSE)</f>
        <v>North America</v>
      </c>
      <c r="H2598" s="78"/>
      <c r="I2598" s="75">
        <v>46169</v>
      </c>
      <c r="J2598" s="79"/>
      <c r="K2598" s="78"/>
      <c r="L2598" s="78"/>
      <c r="M2598" s="72" t="s">
        <v>4695</v>
      </c>
      <c r="N2598" s="82" t="s">
        <v>22</v>
      </c>
      <c r="O2598" s="73"/>
      <c r="P2598" s="68">
        <v>2026</v>
      </c>
      <c r="Q2598" s="83">
        <f>VLOOKUP(C2598,layoffs_location!A:F,6,FALSE)</f>
        <v>37.779258800000001</v>
      </c>
      <c r="R2598" s="83">
        <f>VLOOKUP(C2598,layoffs_location!A:G,7,FALSE)</f>
        <v>-122.4193286</v>
      </c>
    </row>
    <row r="2599" spans="1:20" x14ac:dyDescent="0.15">
      <c r="A2599" s="68">
        <v>2598</v>
      </c>
      <c r="B2599" s="72" t="s">
        <v>4696</v>
      </c>
      <c r="C2599" s="71" t="s">
        <v>1694</v>
      </c>
      <c r="D2599" s="68" t="str">
        <f>VLOOKUP(C2599,layoffs_location!A:B,2,FALSE)</f>
        <v>San Francisco Bay Area</v>
      </c>
      <c r="E2599" s="68" t="str">
        <f>VLOOKUP(C2599,layoffs_location!A:C,3,FALSE)</f>
        <v>California</v>
      </c>
      <c r="F2599" s="68" t="str">
        <f>VLOOKUP(C2599,layoffs_location!A:D,4,FALSE)</f>
        <v>USA</v>
      </c>
      <c r="G2599" s="68" t="str">
        <f>VLOOKUP(C2599,layoffs_location!A:E,5,FALSE)</f>
        <v>North America</v>
      </c>
      <c r="H2599" s="74">
        <v>77</v>
      </c>
      <c r="I2599" s="75">
        <v>46169</v>
      </c>
      <c r="J2599" s="79"/>
      <c r="K2599" s="78"/>
      <c r="L2599" s="78"/>
      <c r="M2599" s="72" t="s">
        <v>4697</v>
      </c>
      <c r="N2599" s="80" t="s">
        <v>28</v>
      </c>
      <c r="O2599" s="73"/>
      <c r="P2599" s="68">
        <v>2026</v>
      </c>
      <c r="Q2599" s="83">
        <f>VLOOKUP(C2,layoffs_location!A:F,6,FALSE)</f>
        <v>34.053690899999999</v>
      </c>
      <c r="R2599" s="83">
        <f>VLOOKUP(C2599,layoffs_location!A:G,7,FALSE)</f>
        <v>-121.890591</v>
      </c>
    </row>
    <row r="2600" spans="1:20" x14ac:dyDescent="0.15">
      <c r="A2600" s="68">
        <v>2599</v>
      </c>
      <c r="B2600" s="72" t="s">
        <v>4698</v>
      </c>
      <c r="C2600" s="71" t="s">
        <v>47</v>
      </c>
      <c r="D2600" s="68" t="str">
        <f>VLOOKUP(C2600,layoffs_location!A:B,2,FALSE)</f>
        <v>other</v>
      </c>
      <c r="E2600" s="68" t="str">
        <f>VLOOKUP(C2600,layoffs_location!A:C,3,FALSE)</f>
        <v>non</v>
      </c>
      <c r="F2600" s="68" t="str">
        <f>VLOOKUP(C2600,layoffs_location!A:D,4,FALSE)</f>
        <v>Israel</v>
      </c>
      <c r="G2600" s="68" t="str">
        <f>VLOOKUP(C2600,layoffs_location!A:E,5,FALSE)</f>
        <v>Asia</v>
      </c>
      <c r="H2600" s="78"/>
      <c r="I2600" s="75">
        <v>46170</v>
      </c>
      <c r="J2600" s="79"/>
      <c r="K2600" s="77"/>
      <c r="L2600" s="77"/>
      <c r="M2600" s="72" t="s">
        <v>4697</v>
      </c>
      <c r="N2600" s="72" t="s">
        <v>4699</v>
      </c>
      <c r="O2600" s="71" t="s">
        <v>4700</v>
      </c>
      <c r="P2600" s="68">
        <v>2026</v>
      </c>
      <c r="Q2600" s="83">
        <f>VLOOKUP(C2600,layoffs_location!A:F,6,FALSE)</f>
        <v>32.0852997</v>
      </c>
      <c r="R2600" s="83">
        <f>VLOOKUP(C2600,layoffs_location!A:G,7,FALSE)</f>
        <v>34.781806400000001</v>
      </c>
    </row>
    <row r="2601" spans="1:20" x14ac:dyDescent="0.15">
      <c r="A2601" s="68">
        <v>2600</v>
      </c>
      <c r="B2601" s="72" t="s">
        <v>4701</v>
      </c>
      <c r="C2601" s="71" t="s">
        <v>392</v>
      </c>
      <c r="D2601" s="68" t="str">
        <f>VLOOKUP(C2601,layoffs_location!A:B,2,FALSE)</f>
        <v>other</v>
      </c>
      <c r="E2601" s="68" t="str">
        <f>VLOOKUP(C2601,layoffs_location!A:C,3,FALSE)</f>
        <v>Minnesota</v>
      </c>
      <c r="F2601" s="68" t="str">
        <f>VLOOKUP(C2601,layoffs_location!A:D,4,FALSE)</f>
        <v>USA</v>
      </c>
      <c r="G2601" s="68" t="str">
        <f>VLOOKUP(C2601,layoffs_location!A:E,5,FALSE)</f>
        <v>North America</v>
      </c>
      <c r="H2601" s="78"/>
      <c r="I2601" s="75">
        <v>46170</v>
      </c>
      <c r="J2601" s="76">
        <v>7</v>
      </c>
      <c r="K2601" s="78"/>
      <c r="L2601" s="78"/>
      <c r="M2601" s="72" t="s">
        <v>4702</v>
      </c>
      <c r="N2601" s="72" t="s">
        <v>4703</v>
      </c>
      <c r="O2601" s="71" t="s">
        <v>4704</v>
      </c>
      <c r="P2601" s="68">
        <v>2026</v>
      </c>
      <c r="Q2601" s="83">
        <f>VLOOKUP(C2601,layoffs_location!A:F,6,FALSE)</f>
        <v>44.977299500000001</v>
      </c>
      <c r="R2601" s="83">
        <f>VLOOKUP(C2601,layoffs_location!A:G,7,FALSE)</f>
        <v>-93.265469199999998</v>
      </c>
    </row>
    <row r="2602" spans="1:20" x14ac:dyDescent="0.15">
      <c r="A2602" s="68">
        <v>2601</v>
      </c>
      <c r="B2602" s="72" t="s">
        <v>4705</v>
      </c>
      <c r="C2602" s="71" t="s">
        <v>1415</v>
      </c>
      <c r="D2602" s="68" t="str">
        <f>VLOOKUP(C2602,layoffs_location!A:B,2,FALSE)</f>
        <v>San Francisco Bay Area</v>
      </c>
      <c r="E2602" s="68" t="str">
        <f>VLOOKUP(C2602,layoffs_location!A:C,3,FALSE)</f>
        <v>California</v>
      </c>
      <c r="F2602" s="68" t="str">
        <f>VLOOKUP(C2602,layoffs_location!A:D,4,FALSE)</f>
        <v>USA</v>
      </c>
      <c r="G2602" s="68" t="str">
        <f>VLOOKUP(C2602,layoffs_location!A:E,5,FALSE)</f>
        <v>North America</v>
      </c>
      <c r="H2602" s="74">
        <v>50</v>
      </c>
      <c r="I2602" s="75">
        <v>46171</v>
      </c>
      <c r="J2602" s="79"/>
      <c r="K2602" s="77"/>
      <c r="L2602" s="77"/>
      <c r="M2602" s="72" t="s">
        <v>4692</v>
      </c>
      <c r="N2602" s="72" t="s">
        <v>4706</v>
      </c>
      <c r="O2602" s="73"/>
      <c r="P2602" s="68">
        <v>2026</v>
      </c>
      <c r="Q2602" s="83">
        <f>VLOOKUP(C2602,layoffs_location!A:F,6,FALSE)</f>
        <v>37.354106999999999</v>
      </c>
      <c r="R2602" s="83">
        <f>VLOOKUP(C2602,layoffs_location!A:G,7,FALSE)</f>
        <v>-121.95523799999999</v>
      </c>
    </row>
    <row r="2603" spans="1:20" x14ac:dyDescent="0.15">
      <c r="A2603" s="68">
        <v>2602</v>
      </c>
      <c r="B2603" s="72" t="s">
        <v>4707</v>
      </c>
      <c r="C2603" s="71" t="s">
        <v>1408</v>
      </c>
      <c r="D2603" s="68" t="str">
        <f>VLOOKUP(C2603,layoffs_location!A:B,2,FALSE)</f>
        <v>San Francisco Bay Area</v>
      </c>
      <c r="E2603" s="68" t="str">
        <f>VLOOKUP(C2603,layoffs_location!A:C,3,FALSE)</f>
        <v>California</v>
      </c>
      <c r="F2603" s="68" t="str">
        <f>VLOOKUP(C2603,layoffs_location!A:D,4,FALSE)</f>
        <v>USA</v>
      </c>
      <c r="G2603" s="68" t="str">
        <f>VLOOKUP(C2603,layoffs_location!A:E,5,FALSE)</f>
        <v>North America</v>
      </c>
      <c r="H2603" s="74">
        <v>230</v>
      </c>
      <c r="I2603" s="75">
        <v>46171</v>
      </c>
      <c r="J2603" s="76">
        <v>8</v>
      </c>
      <c r="K2603" s="78"/>
      <c r="L2603" s="78"/>
      <c r="M2603" s="72" t="s">
        <v>4708</v>
      </c>
      <c r="N2603" s="72" t="s">
        <v>4685</v>
      </c>
      <c r="O2603" s="71" t="s">
        <v>4709</v>
      </c>
      <c r="P2603" s="68">
        <v>2026</v>
      </c>
      <c r="Q2603" s="83">
        <f>VLOOKUP(C2603,layoffs_location!A:F,6,FALSE)</f>
        <v>37.3893889</v>
      </c>
      <c r="R2603" s="83">
        <f>VLOOKUP(C2603,layoffs_location!A:G,7,FALSE)</f>
        <v>-122.0832101</v>
      </c>
    </row>
    <row r="2604" spans="1:20" x14ac:dyDescent="0.15">
      <c r="A2604" s="68">
        <v>2603</v>
      </c>
      <c r="B2604" s="72" t="s">
        <v>4710</v>
      </c>
      <c r="C2604" s="71" t="s">
        <v>1726</v>
      </c>
      <c r="D2604" s="68" t="str">
        <f>VLOOKUP(C2604,layoffs_location!A:B,2,FALSE)</f>
        <v>San Francisco Bay Area</v>
      </c>
      <c r="E2604" s="68" t="str">
        <f>VLOOKUP(C2604,layoffs_location!A:C,3,FALSE)</f>
        <v>California</v>
      </c>
      <c r="F2604" s="68" t="str">
        <f>VLOOKUP(C2604,layoffs_location!A:D,4,FALSE)</f>
        <v>USA</v>
      </c>
      <c r="G2604" s="68" t="str">
        <f>VLOOKUP(C2604,layoffs_location!A:E,5,FALSE)</f>
        <v>North America</v>
      </c>
      <c r="H2604" s="74">
        <v>117</v>
      </c>
      <c r="I2604" s="75">
        <v>46172</v>
      </c>
      <c r="J2604" s="79"/>
      <c r="K2604" s="77"/>
      <c r="L2604" s="77"/>
      <c r="M2604" s="72" t="s">
        <v>4711</v>
      </c>
      <c r="N2604" s="82" t="s">
        <v>22</v>
      </c>
      <c r="O2604" s="71" t="s">
        <v>4712</v>
      </c>
      <c r="P2604" s="68">
        <v>2026</v>
      </c>
      <c r="Q2604" s="83">
        <f>VLOOKUP(C2604,layoffs_location!A:F,6,FALSE)</f>
        <v>37.804455699999998</v>
      </c>
      <c r="R2604" s="83">
        <f>VLOOKUP(C2604,layoffs_location!A:G,7,FALSE)</f>
        <v>-122.271356</v>
      </c>
    </row>
    <row r="2605" spans="1:20" x14ac:dyDescent="0.15">
      <c r="A2605" s="68">
        <v>2604</v>
      </c>
      <c r="B2605" s="72" t="s">
        <v>4713</v>
      </c>
      <c r="C2605" s="71" t="s">
        <v>743</v>
      </c>
      <c r="D2605" s="68" t="str">
        <f>VLOOKUP(C2605,layoffs_location!A:B,2,FALSE)</f>
        <v>other</v>
      </c>
      <c r="E2605" s="68" t="str">
        <f>VLOOKUP(C2605,layoffs_location!A:C,3,FALSE)</f>
        <v>non</v>
      </c>
      <c r="F2605" s="68" t="str">
        <f>VLOOKUP(C2605,layoffs_location!A:D,4,FALSE)</f>
        <v>Israel</v>
      </c>
      <c r="G2605" s="68" t="str">
        <f>VLOOKUP(C2605,layoffs_location!A:E,5,FALSE)</f>
        <v>Asia</v>
      </c>
      <c r="H2605" s="74">
        <v>75</v>
      </c>
      <c r="I2605" s="75">
        <v>46174</v>
      </c>
      <c r="J2605" s="76">
        <v>17</v>
      </c>
      <c r="K2605" s="78"/>
      <c r="L2605" s="78"/>
      <c r="M2605" s="72" t="s">
        <v>4714</v>
      </c>
      <c r="N2605" s="72" t="s">
        <v>4715</v>
      </c>
      <c r="O2605" s="71" t="s">
        <v>4716</v>
      </c>
      <c r="P2605" s="68">
        <v>2026</v>
      </c>
      <c r="Q2605" s="83">
        <f>VLOOKUP(C2605,layoffs_location!A:F,6,FALSE)</f>
        <v>31.788471850000001</v>
      </c>
      <c r="R2605" s="83">
        <f>VLOOKUP(C2605,layoffs_location!A:G,7,FALSE)</f>
        <v>35.218794410944902</v>
      </c>
    </row>
    <row r="2606" spans="1:20" x14ac:dyDescent="0.15">
      <c r="A2606" s="68">
        <v>2605</v>
      </c>
      <c r="B2606" s="80" t="s">
        <v>2796</v>
      </c>
      <c r="C2606" s="71" t="s">
        <v>171</v>
      </c>
      <c r="D2606" s="68" t="str">
        <f>VLOOKUP(C2606,layoffs_location!A:B,2,FALSE)</f>
        <v>other</v>
      </c>
      <c r="E2606" s="68" t="str">
        <f>VLOOKUP(C2606,layoffs_location!A:C,3,FALSE)</f>
        <v>Georgia</v>
      </c>
      <c r="F2606" s="68" t="str">
        <f>VLOOKUP(C2606,layoffs_location!A:D,4,FALSE)</f>
        <v>USA</v>
      </c>
      <c r="G2606" s="68" t="str">
        <f>VLOOKUP(C2606,layoffs_location!A:E,5,FALSE)</f>
        <v>North America</v>
      </c>
      <c r="H2606" s="78"/>
      <c r="I2606" s="75">
        <v>46175</v>
      </c>
      <c r="J2606" s="76">
        <v>6</v>
      </c>
      <c r="K2606" s="77"/>
      <c r="L2606" s="77"/>
      <c r="M2606" s="72" t="s">
        <v>4708</v>
      </c>
      <c r="N2606" s="80" t="s">
        <v>28</v>
      </c>
      <c r="O2606" s="71" t="s">
        <v>4717</v>
      </c>
      <c r="P2606" s="68">
        <v>2026</v>
      </c>
      <c r="Q2606" s="83">
        <f>VLOOKUP(C2606,layoffs_location!A:F,6,FALSE)</f>
        <v>33.748992399999999</v>
      </c>
      <c r="R2606" s="83">
        <f>VLOOKUP(C2606,layoffs_location!A:G,7,FALSE)</f>
        <v>-84.390264400000007</v>
      </c>
    </row>
    <row r="2607" spans="1:20" x14ac:dyDescent="0.15">
      <c r="A2607" s="68">
        <v>2606</v>
      </c>
      <c r="B2607" s="72" t="s">
        <v>4718</v>
      </c>
      <c r="C2607" s="71" t="s">
        <v>47</v>
      </c>
      <c r="D2607" s="68" t="str">
        <f>VLOOKUP(C2607,layoffs_location!A:B,2,FALSE)</f>
        <v>other</v>
      </c>
      <c r="E2607" s="68" t="str">
        <f>VLOOKUP(C2607,layoffs_location!A:C,3,FALSE)</f>
        <v>non</v>
      </c>
      <c r="F2607" s="68" t="str">
        <f>VLOOKUP(C2607,layoffs_location!A:D,4,FALSE)</f>
        <v>Israel</v>
      </c>
      <c r="G2607" s="68" t="str">
        <f>VLOOKUP(C2607,layoffs_location!A:E,5,FALSE)</f>
        <v>Asia</v>
      </c>
      <c r="H2607" s="74">
        <v>10</v>
      </c>
      <c r="I2607" s="75">
        <v>46175</v>
      </c>
      <c r="J2607" s="79"/>
      <c r="K2607" s="78"/>
      <c r="L2607" s="78"/>
      <c r="M2607" s="72" t="s">
        <v>4684</v>
      </c>
      <c r="N2607" s="82" t="s">
        <v>22</v>
      </c>
      <c r="O2607" s="73"/>
      <c r="P2607" s="68">
        <v>2026</v>
      </c>
      <c r="Q2607" s="83">
        <f>VLOOKUP(C2607,layoffs_location!A:F,6,FALSE)</f>
        <v>32.0852997</v>
      </c>
      <c r="R2607" s="83">
        <f>VLOOKUP(C2607,layoffs_location!A:G,7,FALSE)</f>
        <v>34.781806400000001</v>
      </c>
    </row>
    <row r="2608" spans="1:20" x14ac:dyDescent="0.15">
      <c r="A2608" s="68">
        <v>2607</v>
      </c>
      <c r="B2608" s="72" t="s">
        <v>4719</v>
      </c>
      <c r="C2608" s="71" t="s">
        <v>1370</v>
      </c>
      <c r="D2608" s="68" t="str">
        <f>VLOOKUP(C2608,layoffs_location!A:B,2,FALSE)</f>
        <v>San Francisco Bay Area</v>
      </c>
      <c r="E2608" s="68" t="str">
        <f>VLOOKUP(C2608,layoffs_location!A:C,3,FALSE)</f>
        <v>California</v>
      </c>
      <c r="F2608" s="68" t="str">
        <f>VLOOKUP(C2608,layoffs_location!A:D,4,FALSE)</f>
        <v>USA</v>
      </c>
      <c r="G2608" s="68" t="str">
        <f>VLOOKUP(C2608,layoffs_location!A:E,5,FALSE)</f>
        <v>North America</v>
      </c>
      <c r="H2608" s="74">
        <v>350</v>
      </c>
      <c r="I2608" s="75">
        <v>46175</v>
      </c>
      <c r="J2608" s="76">
        <v>14</v>
      </c>
      <c r="K2608" s="77"/>
      <c r="L2608" s="77"/>
      <c r="M2608" s="72" t="s">
        <v>4695</v>
      </c>
      <c r="N2608" s="80" t="s">
        <v>28</v>
      </c>
      <c r="O2608" s="71" t="s">
        <v>4720</v>
      </c>
      <c r="P2608" s="68">
        <v>2026</v>
      </c>
      <c r="Q2608" s="83">
        <f>VLOOKUP(C2608,layoffs_location!A:F,6,FALSE)</f>
        <v>37.779258800000001</v>
      </c>
      <c r="R2608" s="83">
        <f>VLOOKUP(C2608,layoffs_location!A:G,7,FALSE)</f>
        <v>-122.4193286</v>
      </c>
    </row>
    <row r="2609" spans="1:18" x14ac:dyDescent="0.15">
      <c r="A2609" s="68">
        <v>2608</v>
      </c>
      <c r="B2609" s="71" t="s">
        <v>4721</v>
      </c>
      <c r="C2609" s="71" t="s">
        <v>1370</v>
      </c>
      <c r="D2609" s="68" t="str">
        <f>VLOOKUP(C2609,layoffs_location!A:B,2,FALSE)</f>
        <v>San Francisco Bay Area</v>
      </c>
      <c r="E2609" s="68" t="str">
        <f>VLOOKUP(C2609,layoffs_location!A:C,3,FALSE)</f>
        <v>California</v>
      </c>
      <c r="F2609" s="68" t="str">
        <f>VLOOKUP(C2609,layoffs_location!A:D,4,FALSE)</f>
        <v>USA</v>
      </c>
      <c r="G2609" s="68" t="str">
        <f>VLOOKUP(C2609,layoffs_location!A:E,5,FALSE)</f>
        <v>North America</v>
      </c>
      <c r="H2609" s="78"/>
      <c r="I2609" s="75">
        <v>46176</v>
      </c>
      <c r="J2609" s="76">
        <v>1</v>
      </c>
      <c r="K2609" s="78"/>
      <c r="L2609" s="78"/>
      <c r="M2609" s="72" t="s">
        <v>4684</v>
      </c>
      <c r="N2609" s="72" t="s">
        <v>4699</v>
      </c>
      <c r="O2609" s="71" t="s">
        <v>4722</v>
      </c>
      <c r="P2609" s="68">
        <v>2026</v>
      </c>
      <c r="Q2609" s="83">
        <f>VLOOKUP(C2609,layoffs_location!A:F,6,FALSE)</f>
        <v>37.779258800000001</v>
      </c>
      <c r="R2609" s="83">
        <f>VLOOKUP(C2609,layoffs_location!A:G,7,FALSE)</f>
        <v>-122.4193286</v>
      </c>
    </row>
    <row r="2610" spans="1:18" x14ac:dyDescent="0.15">
      <c r="A2610" s="68">
        <v>2609</v>
      </c>
      <c r="B2610" s="72" t="s">
        <v>4723</v>
      </c>
      <c r="C2610" s="71" t="s">
        <v>47</v>
      </c>
      <c r="D2610" s="68" t="str">
        <f>VLOOKUP(C2610,layoffs_location!A:B,2,FALSE)</f>
        <v>other</v>
      </c>
      <c r="E2610" s="68" t="str">
        <f>VLOOKUP(C2610,layoffs_location!A:C,3,FALSE)</f>
        <v>non</v>
      </c>
      <c r="F2610" s="68" t="str">
        <f>VLOOKUP(C2610,layoffs_location!A:D,4,FALSE)</f>
        <v>Israel</v>
      </c>
      <c r="G2610" s="68" t="str">
        <f>VLOOKUP(C2610,layoffs_location!A:E,5,FALSE)</f>
        <v>Asia</v>
      </c>
      <c r="H2610" s="74">
        <v>100</v>
      </c>
      <c r="I2610" s="75">
        <v>46176</v>
      </c>
      <c r="J2610" s="76">
        <v>20</v>
      </c>
      <c r="K2610" s="77"/>
      <c r="L2610" s="77"/>
      <c r="M2610" s="72" t="s">
        <v>4681</v>
      </c>
      <c r="N2610" s="80" t="s">
        <v>28</v>
      </c>
      <c r="O2610" s="73"/>
      <c r="P2610" s="68">
        <v>2026</v>
      </c>
      <c r="Q2610" s="83">
        <f>VLOOKUP(C2610,layoffs_location!A:F,6,FALSE)</f>
        <v>32.0852997</v>
      </c>
      <c r="R2610" s="83">
        <f>VLOOKUP(C2610,layoffs_location!A:G,7,FALSE)</f>
        <v>34.781806400000001</v>
      </c>
    </row>
    <row r="2611" spans="1:18" x14ac:dyDescent="0.15">
      <c r="A2611" s="68">
        <v>2610</v>
      </c>
      <c r="B2611" s="72" t="s">
        <v>4724</v>
      </c>
      <c r="C2611" s="71" t="s">
        <v>39</v>
      </c>
      <c r="D2611" s="68" t="str">
        <f>VLOOKUP(C2611,layoffs_location!A:B,2,FALSE)</f>
        <v>New York</v>
      </c>
      <c r="E2611" s="68" t="str">
        <f>VLOOKUP(C2611,layoffs_location!A:C,3,FALSE)</f>
        <v>New York</v>
      </c>
      <c r="F2611" s="68" t="str">
        <f>VLOOKUP(C2611,layoffs_location!A:D,4,FALSE)</f>
        <v>USA</v>
      </c>
      <c r="G2611" s="68" t="str">
        <f>VLOOKUP(C2611,layoffs_location!A:E,5,FALSE)</f>
        <v>North America</v>
      </c>
      <c r="H2611" s="74">
        <v>160</v>
      </c>
      <c r="I2611" s="75">
        <v>46176</v>
      </c>
      <c r="J2611" s="79"/>
      <c r="K2611" s="77"/>
      <c r="L2611" s="77"/>
      <c r="M2611" s="72" t="s">
        <v>4711</v>
      </c>
      <c r="N2611" s="82" t="s">
        <v>22</v>
      </c>
      <c r="O2611" s="71" t="s">
        <v>4725</v>
      </c>
      <c r="P2611" s="68">
        <v>2026</v>
      </c>
      <c r="Q2611" s="83">
        <f>VLOOKUP(C2611,layoffs_location!A:F,6,FALSE)</f>
        <v>40.7127281</v>
      </c>
      <c r="R2611" s="83">
        <f>VLOOKUP(C2611,layoffs_location!A:G,7,FALSE)</f>
        <v>-74.006015199999993</v>
      </c>
    </row>
    <row r="2612" spans="1:18" x14ac:dyDescent="0.15">
      <c r="A2612" s="68">
        <v>2611</v>
      </c>
      <c r="B2612" s="72" t="s">
        <v>4726</v>
      </c>
      <c r="C2612" s="71" t="s">
        <v>1408</v>
      </c>
      <c r="D2612" s="68" t="str">
        <f>VLOOKUP(C2612,layoffs_location!A:B,2,FALSE)</f>
        <v>San Francisco Bay Area</v>
      </c>
      <c r="E2612" s="68" t="str">
        <f>VLOOKUP(C2612,layoffs_location!A:C,3,FALSE)</f>
        <v>California</v>
      </c>
      <c r="F2612" s="68" t="str">
        <f>VLOOKUP(C2612,layoffs_location!A:D,4,FALSE)</f>
        <v>USA</v>
      </c>
      <c r="G2612" s="68" t="str">
        <f>VLOOKUP(C2612,layoffs_location!A:E,5,FALSE)</f>
        <v>North America</v>
      </c>
      <c r="H2612" s="78"/>
      <c r="I2612" s="75">
        <v>46177</v>
      </c>
      <c r="J2612" s="79"/>
      <c r="K2612" s="77"/>
      <c r="L2612" s="77"/>
      <c r="M2612" s="72" t="s">
        <v>4727</v>
      </c>
      <c r="N2612" s="72" t="s">
        <v>4685</v>
      </c>
      <c r="O2612" s="71" t="s">
        <v>4728</v>
      </c>
      <c r="P2612" s="68">
        <v>2026</v>
      </c>
      <c r="Q2612" s="83">
        <f>VLOOKUP(C2612,layoffs_location!A:F,6,FALSE)</f>
        <v>37.3893889</v>
      </c>
      <c r="R2612" s="83">
        <f>VLOOKUP(C2612,layoffs_location!A:G,7,FALSE)</f>
        <v>-122.0832101</v>
      </c>
    </row>
    <row r="2613" spans="1:18" x14ac:dyDescent="0.15">
      <c r="A2613" s="68">
        <v>2612</v>
      </c>
      <c r="B2613" s="72" t="s">
        <v>4729</v>
      </c>
      <c r="C2613" s="71" t="s">
        <v>39</v>
      </c>
      <c r="D2613" s="68" t="str">
        <f>VLOOKUP(C2613,layoffs_location!A:B,2,FALSE)</f>
        <v>New York</v>
      </c>
      <c r="E2613" s="68" t="str">
        <f>VLOOKUP(C2613,layoffs_location!A:C,3,FALSE)</f>
        <v>New York</v>
      </c>
      <c r="F2613" s="68" t="str">
        <f>VLOOKUP(C2613,layoffs_location!A:D,4,FALSE)</f>
        <v>USA</v>
      </c>
      <c r="G2613" s="68" t="str">
        <f>VLOOKUP(C2613,layoffs_location!A:E,5,FALSE)</f>
        <v>North America</v>
      </c>
      <c r="H2613" s="78"/>
      <c r="I2613" s="75">
        <v>46178</v>
      </c>
      <c r="J2613" s="79"/>
      <c r="K2613" s="77"/>
      <c r="L2613" s="77"/>
      <c r="M2613" s="71" t="s">
        <v>4730</v>
      </c>
      <c r="N2613" s="80" t="s">
        <v>28</v>
      </c>
      <c r="O2613" s="71" t="s">
        <v>4731</v>
      </c>
      <c r="P2613" s="68">
        <v>2026</v>
      </c>
      <c r="Q2613" s="83">
        <f>VLOOKUP(C2613,layoffs_location!A:F,6,FALSE)</f>
        <v>40.7127281</v>
      </c>
      <c r="R2613" s="83">
        <f>VLOOKUP(C2613,layoffs_location!A:G,7,FALSE)</f>
        <v>-74.006015199999993</v>
      </c>
    </row>
    <row r="2614" spans="1:18" x14ac:dyDescent="0.15">
      <c r="A2614" s="68">
        <v>2613</v>
      </c>
      <c r="B2614" s="72" t="s">
        <v>4732</v>
      </c>
      <c r="C2614" s="71" t="s">
        <v>1370</v>
      </c>
      <c r="D2614" s="68" t="str">
        <f>VLOOKUP(C2614,layoffs_location!A:B,2,FALSE)</f>
        <v>San Francisco Bay Area</v>
      </c>
      <c r="E2614" s="68" t="str">
        <f>VLOOKUP(C2614,layoffs_location!A:C,3,FALSE)</f>
        <v>California</v>
      </c>
      <c r="F2614" s="68" t="str">
        <f>VLOOKUP(C2614,layoffs_location!A:D,4,FALSE)</f>
        <v>USA</v>
      </c>
      <c r="G2614" s="68" t="str">
        <f>VLOOKUP(C2614,layoffs_location!A:E,5,FALSE)</f>
        <v>North America</v>
      </c>
      <c r="H2614" s="74">
        <v>79</v>
      </c>
      <c r="I2614" s="75">
        <v>46178</v>
      </c>
      <c r="J2614" s="79"/>
      <c r="K2614" s="77"/>
      <c r="L2614" s="77"/>
      <c r="M2614" s="71" t="s">
        <v>4730</v>
      </c>
      <c r="N2614" s="72" t="s">
        <v>4733</v>
      </c>
      <c r="O2614" s="71" t="s">
        <v>4734</v>
      </c>
      <c r="P2614" s="68">
        <v>2026</v>
      </c>
      <c r="Q2614" s="83">
        <f>VLOOKUP(C2614,layoffs_location!A:F,6,FALSE)</f>
        <v>37.779258800000001</v>
      </c>
      <c r="R2614" s="83">
        <f>VLOOKUP(C2614,layoffs_location!A:G,7,FALSE)</f>
        <v>-122.4193286</v>
      </c>
    </row>
    <row r="2615" spans="1:18" x14ac:dyDescent="0.15">
      <c r="A2615" s="68">
        <v>2614</v>
      </c>
      <c r="B2615" s="71" t="s">
        <v>4735</v>
      </c>
      <c r="C2615" s="71" t="s">
        <v>47</v>
      </c>
      <c r="D2615" s="68" t="str">
        <f>VLOOKUP(C2615,layoffs_location!A:B,2,FALSE)</f>
        <v>other</v>
      </c>
      <c r="E2615" s="68" t="str">
        <f>VLOOKUP(C2615,layoffs_location!A:C,3,FALSE)</f>
        <v>non</v>
      </c>
      <c r="F2615" s="68" t="str">
        <f>VLOOKUP(C2615,layoffs_location!A:D,4,FALSE)</f>
        <v>Israel</v>
      </c>
      <c r="G2615" s="68" t="str">
        <f>VLOOKUP(C2615,layoffs_location!A:E,5,FALSE)</f>
        <v>Asia</v>
      </c>
      <c r="H2615" s="74">
        <v>15</v>
      </c>
      <c r="I2615" s="75">
        <v>46180</v>
      </c>
      <c r="J2615" s="79"/>
      <c r="K2615" s="78"/>
      <c r="L2615" s="78"/>
      <c r="M2615" s="72" t="s">
        <v>4736</v>
      </c>
      <c r="N2615" s="72" t="s">
        <v>4685</v>
      </c>
      <c r="O2615" s="71" t="s">
        <v>4704</v>
      </c>
      <c r="P2615" s="68">
        <v>2026</v>
      </c>
      <c r="Q2615" s="83">
        <f>VLOOKUP(C2615,layoffs_location!A:F,6,FALSE)</f>
        <v>32.0852997</v>
      </c>
      <c r="R2615" s="83">
        <f>VLOOKUP(C2615,layoffs_location!A:G,7,FALSE)</f>
        <v>34.781806400000001</v>
      </c>
    </row>
    <row r="2616" spans="1:18" x14ac:dyDescent="0.15">
      <c r="A2616" s="68">
        <v>2615</v>
      </c>
      <c r="B2616" s="71" t="s">
        <v>4737</v>
      </c>
      <c r="C2616" s="71" t="s">
        <v>1370</v>
      </c>
      <c r="D2616" s="68" t="str">
        <f>VLOOKUP(C2616,layoffs_location!A:B,2,FALSE)</f>
        <v>San Francisco Bay Area</v>
      </c>
      <c r="E2616" s="68" t="str">
        <f>VLOOKUP(C2616,layoffs_location!A:C,3,FALSE)</f>
        <v>California</v>
      </c>
      <c r="F2616" s="68" t="str">
        <f>VLOOKUP(C2616,layoffs_location!A:D,4,FALSE)</f>
        <v>USA</v>
      </c>
      <c r="G2616" s="68" t="str">
        <f>VLOOKUP(C2616,layoffs_location!A:E,5,FALSE)</f>
        <v>North America</v>
      </c>
      <c r="H2616" s="78"/>
      <c r="I2616" s="75">
        <v>46181</v>
      </c>
      <c r="J2616" s="79"/>
      <c r="K2616" s="77"/>
      <c r="L2616" s="77"/>
      <c r="M2616" s="71" t="s">
        <v>4738</v>
      </c>
      <c r="N2616" s="80" t="s">
        <v>28</v>
      </c>
      <c r="O2616" s="73"/>
      <c r="P2616" s="68">
        <v>2026</v>
      </c>
      <c r="Q2616" s="83">
        <f>VLOOKUP(C2616,layoffs_location!A:F,6,FALSE)</f>
        <v>37.779258800000001</v>
      </c>
      <c r="R2616" s="83">
        <f>VLOOKUP(C2616,layoffs_location!A:G,7,FALSE)</f>
        <v>-122.4193286</v>
      </c>
    </row>
    <row r="2617" spans="1:18" x14ac:dyDescent="0.15">
      <c r="A2617" s="68">
        <v>2616</v>
      </c>
      <c r="B2617" s="72" t="s">
        <v>4739</v>
      </c>
      <c r="C2617" s="71" t="s">
        <v>47</v>
      </c>
      <c r="D2617" s="68" t="str">
        <f>VLOOKUP(C2617,layoffs_location!A:B,2,FALSE)</f>
        <v>other</v>
      </c>
      <c r="E2617" s="68" t="str">
        <f>VLOOKUP(C2617,layoffs_location!A:C,3,FALSE)</f>
        <v>non</v>
      </c>
      <c r="F2617" s="68" t="str">
        <f>VLOOKUP(C2617,layoffs_location!A:D,4,FALSE)</f>
        <v>Israel</v>
      </c>
      <c r="G2617" s="68" t="str">
        <f>VLOOKUP(C2617,layoffs_location!A:E,5,FALSE)</f>
        <v>Asia</v>
      </c>
      <c r="H2617" s="74">
        <v>110</v>
      </c>
      <c r="I2617" s="75">
        <v>46181</v>
      </c>
      <c r="J2617" s="76">
        <v>50</v>
      </c>
      <c r="K2617" s="77"/>
      <c r="L2617" s="77"/>
      <c r="M2617" s="72" t="s">
        <v>4714</v>
      </c>
      <c r="N2617" s="72" t="s">
        <v>4733</v>
      </c>
      <c r="O2617" s="71" t="s">
        <v>4740</v>
      </c>
      <c r="P2617" s="68">
        <v>2026</v>
      </c>
      <c r="Q2617" s="83">
        <f>VLOOKUP(C2617,layoffs_location!A:F,6,FALSE)</f>
        <v>32.0852997</v>
      </c>
      <c r="R2617" s="83">
        <f>VLOOKUP(C2617,layoffs_location!A:G,7,FALSE)</f>
        <v>34.781806400000001</v>
      </c>
    </row>
    <row r="2618" spans="1:18" x14ac:dyDescent="0.15">
      <c r="A2618" s="68">
        <v>2617</v>
      </c>
      <c r="B2618" s="71" t="s">
        <v>4741</v>
      </c>
      <c r="C2618" s="71" t="s">
        <v>76</v>
      </c>
      <c r="D2618" s="68" t="str">
        <f>VLOOKUP(C2618,layoffs_location!A:B,2,FALSE)</f>
        <v>other</v>
      </c>
      <c r="E2618" s="68" t="str">
        <f>VLOOKUP(C2618,layoffs_location!A:C,3,FALSE)</f>
        <v>California</v>
      </c>
      <c r="F2618" s="68" t="str">
        <f>VLOOKUP(C2618,layoffs_location!A:D,4,FALSE)</f>
        <v>USA</v>
      </c>
      <c r="G2618" s="68" t="str">
        <f>VLOOKUP(C2618,layoffs_location!A:E,5,FALSE)</f>
        <v>North America</v>
      </c>
      <c r="H2618" s="74">
        <v>58</v>
      </c>
      <c r="I2618" s="75">
        <v>46182</v>
      </c>
      <c r="J2618" s="79"/>
      <c r="K2618" s="77"/>
      <c r="L2618" s="77"/>
      <c r="M2618" s="72" t="s">
        <v>4742</v>
      </c>
      <c r="N2618" s="80" t="s">
        <v>28</v>
      </c>
      <c r="O2618" s="71" t="s">
        <v>4743</v>
      </c>
      <c r="P2618" s="68">
        <v>2026</v>
      </c>
      <c r="Q2618" s="83">
        <f>VLOOKUP(C2618,layoffs_location!A:F,6,FALSE)</f>
        <v>34.053690899999999</v>
      </c>
      <c r="R2618" s="83">
        <f>VLOOKUP(C2618,layoffs_location!A:G,7,FALSE)</f>
        <v>-118.242766</v>
      </c>
    </row>
    <row r="2619" spans="1:18" x14ac:dyDescent="0.15">
      <c r="A2619" s="68">
        <v>2618</v>
      </c>
      <c r="B2619" s="72" t="s">
        <v>4744</v>
      </c>
      <c r="C2619" s="71" t="s">
        <v>1370</v>
      </c>
      <c r="D2619" s="68" t="str">
        <f>VLOOKUP(C2619,layoffs_location!A:B,2,FALSE)</f>
        <v>San Francisco Bay Area</v>
      </c>
      <c r="E2619" s="68" t="str">
        <f>VLOOKUP(C2619,layoffs_location!A:C,3,FALSE)</f>
        <v>California</v>
      </c>
      <c r="F2619" s="68" t="str">
        <f>VLOOKUP(C2619,layoffs_location!A:D,4,FALSE)</f>
        <v>USA</v>
      </c>
      <c r="G2619" s="68" t="str">
        <f>VLOOKUP(C2619,layoffs_location!A:E,5,FALSE)</f>
        <v>North America</v>
      </c>
      <c r="H2619" s="74">
        <v>86</v>
      </c>
      <c r="I2619" s="75">
        <v>46182</v>
      </c>
      <c r="J2619" s="79"/>
      <c r="K2619" s="77"/>
      <c r="L2619" s="77"/>
      <c r="M2619" s="72" t="s">
        <v>4688</v>
      </c>
      <c r="N2619" s="82" t="s">
        <v>22</v>
      </c>
      <c r="O2619" s="71" t="s">
        <v>4745</v>
      </c>
      <c r="P2619" s="68">
        <v>2026</v>
      </c>
      <c r="Q2619" s="83">
        <f>VLOOKUP(C2619,layoffs_location!A:F,6,FALSE)</f>
        <v>37.779258800000001</v>
      </c>
      <c r="R2619" s="83">
        <f>VLOOKUP(C2619,layoffs_location!A:G,7,FALSE)</f>
        <v>-122.4193286</v>
      </c>
    </row>
    <row r="2620" spans="1:18" x14ac:dyDescent="0.15">
      <c r="A2620" s="68">
        <v>2619</v>
      </c>
      <c r="B2620" s="72" t="s">
        <v>4746</v>
      </c>
      <c r="C2620" s="71" t="s">
        <v>67</v>
      </c>
      <c r="D2620" s="68" t="str">
        <f>VLOOKUP(C2620,layoffs_location!A:B,2,FALSE)</f>
        <v>other</v>
      </c>
      <c r="E2620" s="68" t="str">
        <f>VLOOKUP(C2620,layoffs_location!A:C,3,FALSE)</f>
        <v>Uttar Pradesh</v>
      </c>
      <c r="F2620" s="68" t="str">
        <f>VLOOKUP(C2620,layoffs_location!A:D,4,FALSE)</f>
        <v>India</v>
      </c>
      <c r="G2620" s="68" t="str">
        <f>VLOOKUP(C2620,layoffs_location!A:E,5,FALSE)</f>
        <v>Asia</v>
      </c>
      <c r="H2620" s="74">
        <v>400</v>
      </c>
      <c r="I2620" s="75">
        <v>46182</v>
      </c>
      <c r="J2620" s="76">
        <v>1</v>
      </c>
      <c r="K2620" s="78"/>
      <c r="L2620" s="78"/>
      <c r="M2620" s="72" t="s">
        <v>4742</v>
      </c>
      <c r="N2620" s="81" t="s">
        <v>4756</v>
      </c>
      <c r="O2620" s="71" t="s">
        <v>4747</v>
      </c>
      <c r="P2620" s="68">
        <v>2026</v>
      </c>
      <c r="Q2620" s="83">
        <f>VLOOKUP(C2620,layoffs_location!A:F,6,FALSE)</f>
        <v>28.570633300000001</v>
      </c>
      <c r="R2620" s="83">
        <f>VLOOKUP(C2620,layoffs_location!A:G,7,FALSE)</f>
        <v>77.327214699999999</v>
      </c>
    </row>
    <row r="2621" spans="1:18" x14ac:dyDescent="0.15">
      <c r="A2621" s="68">
        <v>2620</v>
      </c>
      <c r="B2621" s="72" t="s">
        <v>4748</v>
      </c>
      <c r="C2621" s="71" t="s">
        <v>244</v>
      </c>
      <c r="D2621" s="68" t="str">
        <f>VLOOKUP(C2621,layoffs_location!A:B,2,FALSE)</f>
        <v>other</v>
      </c>
      <c r="E2621" s="68" t="str">
        <f>VLOOKUP(C2621,layoffs_location!A:C,3,FALSE)</f>
        <v>non</v>
      </c>
      <c r="F2621" s="68" t="str">
        <f>VLOOKUP(C2621,layoffs_location!A:D,4,FALSE)</f>
        <v>Singapore</v>
      </c>
      <c r="G2621" s="68" t="str">
        <f>VLOOKUP(C2621,layoffs_location!A:E,5,FALSE)</f>
        <v>Asia</v>
      </c>
      <c r="H2621" s="78"/>
      <c r="I2621" s="75">
        <v>46183</v>
      </c>
      <c r="J2621" s="76">
        <v>8</v>
      </c>
      <c r="K2621" s="78"/>
      <c r="L2621" s="78"/>
      <c r="M2621" s="72" t="s">
        <v>4711</v>
      </c>
      <c r="N2621" s="82" t="s">
        <v>22</v>
      </c>
      <c r="O2621" s="71" t="s">
        <v>4749</v>
      </c>
      <c r="P2621" s="68">
        <v>2026</v>
      </c>
      <c r="Q2621" s="83">
        <f>VLOOKUP(C2621,layoffs_location!A:F,6,FALSE)</f>
        <v>1.2899175000000001</v>
      </c>
      <c r="R2621" s="83">
        <f>VLOOKUP(C2621,layoffs_location!A:G,7,FALSE)</f>
        <v>103.8519072</v>
      </c>
    </row>
    <row r="2622" spans="1:18" x14ac:dyDescent="0.15">
      <c r="A2622" s="68">
        <v>2621</v>
      </c>
      <c r="B2622" s="71" t="s">
        <v>4750</v>
      </c>
      <c r="C2622" s="71" t="s">
        <v>76</v>
      </c>
      <c r="D2622" s="68" t="str">
        <f>VLOOKUP(C2622,layoffs_location!A:B,2,FALSE)</f>
        <v>other</v>
      </c>
      <c r="E2622" s="68" t="str">
        <f>VLOOKUP(C2622,layoffs_location!A:C,3,FALSE)</f>
        <v>California</v>
      </c>
      <c r="F2622" s="68" t="str">
        <f>VLOOKUP(C2622,layoffs_location!A:D,4,FALSE)</f>
        <v>USA</v>
      </c>
      <c r="G2622" s="68" t="str">
        <f>VLOOKUP(C2622,layoffs_location!A:E,5,FALSE)</f>
        <v>North America</v>
      </c>
      <c r="H2622" s="74">
        <v>111</v>
      </c>
      <c r="I2622" s="75">
        <v>46183</v>
      </c>
      <c r="J2622" s="76">
        <v>25</v>
      </c>
      <c r="K2622" s="77"/>
      <c r="L2622" s="77"/>
      <c r="M2622" s="72" t="s">
        <v>4695</v>
      </c>
      <c r="N2622" s="72" t="s">
        <v>4685</v>
      </c>
      <c r="O2622" s="71" t="s">
        <v>4751</v>
      </c>
      <c r="P2622" s="68">
        <v>2026</v>
      </c>
      <c r="Q2622" s="83">
        <f>VLOOKUP(C2622,layoffs_location!A:F,6,FALSE)</f>
        <v>34.053690899999999</v>
      </c>
      <c r="R2622" s="83">
        <f>VLOOKUP(C2622,layoffs_location!A:G,7,FALSE)</f>
        <v>-118.242766</v>
      </c>
    </row>
    <row r="2623" spans="1:18" x14ac:dyDescent="0.15">
      <c r="A2623" s="68">
        <v>2622</v>
      </c>
      <c r="B2623" s="72" t="s">
        <v>4752</v>
      </c>
      <c r="C2623" s="71" t="s">
        <v>13</v>
      </c>
      <c r="D2623" s="68" t="str">
        <f>VLOOKUP(C2623,layoffs_location!A:B,2,FALSE)</f>
        <v>other</v>
      </c>
      <c r="E2623" s="68" t="str">
        <f>VLOOKUP(C2623,layoffs_location!A:C,3,FALSE)</f>
        <v>Karnataka</v>
      </c>
      <c r="F2623" s="68" t="str">
        <f>VLOOKUP(C2623,layoffs_location!A:D,4,FALSE)</f>
        <v>India</v>
      </c>
      <c r="G2623" s="68" t="str">
        <f>VLOOKUP(C2623,layoffs_location!A:E,5,FALSE)</f>
        <v>Asia</v>
      </c>
      <c r="H2623" s="74">
        <v>250</v>
      </c>
      <c r="I2623" s="75">
        <v>46183</v>
      </c>
      <c r="J2623" s="79"/>
      <c r="K2623" s="77"/>
      <c r="L2623" s="77"/>
      <c r="M2623" s="71" t="s">
        <v>4730</v>
      </c>
      <c r="N2623" s="80" t="s">
        <v>28</v>
      </c>
      <c r="O2623" s="71" t="s">
        <v>4753</v>
      </c>
      <c r="P2623" s="68">
        <v>2026</v>
      </c>
      <c r="Q2623" s="83">
        <f>VLOOKUP(C2623,layoffs_location!A:F,6,FALSE)</f>
        <v>12.98815675</v>
      </c>
      <c r="R2623" s="83">
        <f>VLOOKUP(C2623,layoffs_location!A:G,7,FALSE)</f>
        <v>77.622600037959998</v>
      </c>
    </row>
    <row r="2624" spans="1:18" x14ac:dyDescent="0.15">
      <c r="A2624" s="68">
        <v>2623</v>
      </c>
      <c r="B2624" s="72" t="s">
        <v>4754</v>
      </c>
      <c r="C2624" s="71" t="s">
        <v>1415</v>
      </c>
      <c r="D2624" s="68" t="str">
        <f>VLOOKUP(C2624,layoffs_location!A:B,2,FALSE)</f>
        <v>San Francisco Bay Area</v>
      </c>
      <c r="E2624" s="68" t="str">
        <f>VLOOKUP(C2624,layoffs_location!A:C,3,FALSE)</f>
        <v>California</v>
      </c>
      <c r="F2624" s="68" t="str">
        <f>VLOOKUP(C2624,layoffs_location!A:D,4,FALSE)</f>
        <v>USA</v>
      </c>
      <c r="G2624" s="68" t="str">
        <f>VLOOKUP(C2624,layoffs_location!A:E,5,FALSE)</f>
        <v>North America</v>
      </c>
      <c r="H2624" s="74">
        <v>54</v>
      </c>
      <c r="I2624" s="75">
        <v>46184</v>
      </c>
      <c r="J2624" s="79"/>
      <c r="K2624" s="78"/>
      <c r="L2624" s="78"/>
      <c r="M2624" s="72" t="s">
        <v>4742</v>
      </c>
      <c r="N2624" s="72" t="s">
        <v>4703</v>
      </c>
      <c r="O2624" s="71" t="s">
        <v>4755</v>
      </c>
      <c r="P2624" s="68">
        <v>2026</v>
      </c>
      <c r="Q2624" s="83">
        <f>VLOOKUP(C2624,layoffs_location!A:F,6,FALSE)</f>
        <v>37.354106999999999</v>
      </c>
      <c r="R2624" s="83">
        <f>VLOOKUP(C2624,layoffs_location!A:G,7,FALSE)</f>
        <v>-121.95523799999999</v>
      </c>
    </row>
  </sheetData>
  <phoneticPr fontId="3" type="noConversion"/>
  <hyperlinks>
    <hyperlink ref="N1863" r:id="rId1" display="https://www.travelweekly.com/Travel-News/Travel-Agent-Issues/Priceline-chops-more-than-100-jobs" xr:uid="{7A40C239-F329-9D47-A3D5-3841BA71F34E}"/>
    <hyperlink ref="N1861" r:id="rId2" display="https://www.bisnow.com/national/news/multifamily/realpage-to-lay-off-4-of-its-workforce-price-fixing-allegations-124885" xr:uid="{37FF327D-5291-F44D-A10C-2CC52B9BC368}"/>
    <hyperlink ref="N1817" r:id="rId3" display="https://www.businesswire.com/news/home/20240617323391/en/Chegg-Announces-Restructuring-Plan-and-New-Vision-for-Growth" xr:uid="{8FDB6715-AA1C-3A43-B236-75C3836EC588}"/>
    <hyperlink ref="N1809" r:id="rId4" display="https://www.massdevice.com/medtronic-layoffs-global-confirmed/" xr:uid="{D7F600C8-1D08-0147-AEDB-B409C66CB21A}"/>
    <hyperlink ref="N1808" r:id="rId5" display="https://www.sfgate.com/tech/article/bay-area-lab-meat-company-shuts-down-19511362.php" xr:uid="{8DBE3A46-74DC-8846-AC35-D7A8C3A4C82A}"/>
    <hyperlink ref="N1797" r:id="rId6" display="https://techcrunch.com/2024/06/06/revels-latest-pivot-ditching-all-employee-ride-hail-in-favor-of-gig-worker-model/" xr:uid="{C7B4AA8F-BF32-3940-AF73-5C1CF4845C61}"/>
    <hyperlink ref="N1792" r:id="rId7" display="https://www.calcalistech.com/ctechnews/article/hkdwxv0na" xr:uid="{6ADE7CEB-E28B-4643-8393-4E08D8391D17}"/>
    <hyperlink ref="N1789" r:id="rId8" display="https://www.theverge.com/2024/6/3/24170902/microsoft-hololens-2-mixed-reality-azure-layoffs" xr:uid="{49E6E0AF-52D9-804C-8B6F-4DA68F6D3BB6}"/>
    <hyperlink ref="N1786" r:id="rId9" display="https://agfundernews.com/breaking-ag-insights-platform-gro-intelligence-is-closing-down" xr:uid="{5DBE5F22-DAD4-6240-A033-E0C194247B05}"/>
    <hyperlink ref="N1787" r:id="rId10" display="https://techcrunch.com/2024/05/31/general-catalyst-backed-jasper-health-lays-off-staff/" xr:uid="{9AF4EC43-D49F-874C-B24B-51BE9DAA1DF7}"/>
    <hyperlink ref="N1780" r:id="rId11" display="https://markets.ft.com/data/announce/detail?dockey=600-202405290435DGAP____UKPR_____UK_Regulatory_1913105-1" xr:uid="{D07C6793-233A-F443-A093-F29826D8032C}"/>
    <hyperlink ref="N1776" r:id="rId12" display="https://spacenews.com/satellogic-lays-off-13-of-workforce/" xr:uid="{F44B229B-3897-224A-8B2F-3D7D831019B7}"/>
    <hyperlink ref="N1773" r:id="rId13" display="https://techcrunch.com/2024/05/22/food-supply-chain-software-maker-silo-lays-off-30-of-staff-amid-ma-discussions/" xr:uid="{C30C9ADA-2AFE-4F4E-A61A-3D2C7E8B2CED}"/>
    <hyperlink ref="N1751" r:id="rId14" display="https://www.calcalistech.com/ctechnews/article/rkhuj119gc" xr:uid="{675058F6-E965-A34F-90AE-5C3D6EED580A}"/>
    <hyperlink ref="N1748" r:id="rId15" display="https://investors.kinaxis.com/news-releases/news-release-details/2024/Kinaxis-Inc.-Reports-First-Quarter-2024-Results/default.aspx" xr:uid="{6EF237D5-AF66-C841-B69C-BB7FF3977878}"/>
    <hyperlink ref="N1738" r:id="rId16" display="https://seekingalpha.com/news/4099966-crypto-platform-bakkt-to-lay-off-28-employees" xr:uid="{68AE82B4-25A2-9C4A-ABDA-8B276FF13E53}"/>
    <hyperlink ref="N1735" r:id="rId17" display="https://www.epe.es/es/activos/20240502/cabify-ejecuta-veintena-despidos-staff-101773083" xr:uid="{8C7C5E35-DEFB-A844-A4B7-372D16CD19E4}"/>
    <hyperlink ref="N1733" r:id="rId18" display="https://www.cnbc.com/2024/05/01/google-cuts-hundreds-of-core-workers-moves-jobs-to-india-mexico.html" xr:uid="{C60AD276-87B1-0E4E-AE5C-E7ED0AEC4C8E}"/>
    <hyperlink ref="N1727" r:id="rId19" display="https://investors.akiliinteractive.com/news/news-details/2024/Akili-Announces-Amended-Agreement-with-Shionogi-Shift-in-Corporate-Strategy-and-Release-Date-for-First-Quarter-2024-Financial-Results/default.aspx" xr:uid="{1C020477-9921-DA40-A975-1A1112711813}"/>
    <hyperlink ref="N1725" r:id="rId20" display="https://www.theedgesingapore.com/news/company-news/second-round-layoffs-ninja-van-less-three-months-5-singapore-staff-affected" xr:uid="{FFDFC481-674E-6B44-9732-8E046120D4C0}"/>
    <hyperlink ref="N1723" r:id="rId21" display="https://www.businessinsider.com/tax-compliance-startup-raised-millions-then-it-abruptly-shut-down-2024-4" xr:uid="{597B3C09-A004-8441-B875-23EE8C775D7A}"/>
    <hyperlink ref="N1709" r:id="rId22" display="https://observador.pt/2024/04/19/unicornio-outsystems-faz-reducao-de-8-no-total-de-trabalhadores/" xr:uid="{6334167F-F47F-F44B-AB1C-C93065239727}"/>
    <hyperlink ref="N1708" r:id="rId23" display="https://www.sltrib.com/news/business/2024/04/19/homie-utah-company-meant-disrupt/" xr:uid="{7D583FFB-D44F-7E46-A4D2-D9DA76C5A8C4}"/>
    <hyperlink ref="N1707" r:id="rId24" display="https://economictimes.indiatimes.com/tech/technology/content-to-commerce-platform-the-good-glamm-group-lays-off-150-employees/articleshow/109401639.cms" xr:uid="{7E44C511-C3EC-924A-987D-1AE2F5CEADC5}"/>
    <hyperlink ref="N1705" r:id="rId25" display="https://www.tijd.be/ondernemen/technologie/techbedrijf-showpad-slaat-met-nieuwe-ontslagronde-pad-naar-winst-in-we-willen-overnames-doen/10540237.html" xr:uid="{99FA6669-72C8-7144-9ADB-333C0F8E954B}"/>
    <hyperlink ref="N1697" r:id="rId26" display="https://www.semafor.com/article/04/16/2024/ai-startup-tome-lays-off-staff-to-focus-on-revenue" xr:uid="{5F8B603A-4FD8-A442-A6C3-FA009B32FD5A}"/>
    <hyperlink ref="N1689" r:id="rId27" display="https://www.businessinsider.com/criteo-layoffs-global-staff-job-reductions-2024-4" xr:uid="{CC72B11C-5DDD-1944-8A44-98CCFCCF8FC3}"/>
    <hyperlink ref="N1690" r:id="rId28" display="https://beteve.cat/economia/glovo-acomiada-25-treballadors-oficines-barcelona/" xr:uid="{CB084A93-FDDA-4E41-9D49-3C1761B83A03}"/>
    <hyperlink ref="N1685" r:id="rId29" display="https://www.calcalistech.com/ctechnews/article/hyfcqfhlr" xr:uid="{46F2F96C-F9CE-E141-BEC8-76D3F28E0A11}"/>
    <hyperlink ref="N1683" r:id="rId30" display="https://dfmas.df.cl/df-mas/coffee-break/uber-chile-despide-a-200-personas" xr:uid="{DDBAE15F-F58D-704D-A24F-DEB33401BF9A}"/>
    <hyperlink ref="N1680" r:id="rId31" display="https://aimgroup.com/2024/04/08/vinted-reportedly-lays-off-all-trendsales-employees-after-takeover/" xr:uid="{C55AA78E-59B1-4E42-A7E3-389F00E64896}"/>
    <hyperlink ref="N1679" r:id="rId32" display="https://www.gamesindustry.biz/singularity-6-reduces-workforce-by-35" xr:uid="{3CABB338-F445-0049-908C-426665D21FAE}"/>
    <hyperlink ref="N1678" r:id="rId33" display="https://fission.codes/blog/farewell-from-fission/" xr:uid="{A2313F9C-AFCA-4841-9355-61F0D878DF29}"/>
    <hyperlink ref="N1670" r:id="rId34" display="https://www.bizjournals.com/portland/news/2024/04/03/layoffs-reported-at-new-relic.html" xr:uid="{424753B3-C85D-BD46-BE9E-3330F3EEBA04}"/>
    <hyperlink ref="N1672" r:id="rId35" display="https://thespoon.tech/whirlpool-lays-off-entire-team-for-cooking-and-recipe-app-yummly/" xr:uid="{15B6878A-01B9-274F-AE69-129BCB0979F8}"/>
    <hyperlink ref="N1663" r:id="rId36" display="https://techpoint.africa/2024/04/01/nigerian-startup-thepeer-to-shut-down/" xr:uid="{C1D61FCF-49B0-FF44-A4F1-94CADF5FEBB5}"/>
    <hyperlink ref="N1657" r:id="rId37" display="https://www.medtechdive.com/news/osso-vr-lay-off-67-people-san-francisco/711814/" xr:uid="{751FA2D4-5F2D-244C-B78E-7A16BC949615}"/>
    <hyperlink ref="N1658" r:id="rId38" display="http://www.linkedin.c/" xr:uid="{F8BAD00B-08A2-1241-BA5B-A77071A44937}"/>
    <hyperlink ref="N1659" r:id="rId39" display="https://therealdeal.com/national/2024/04/01/rental-platform-rezi-runs-out-of-money-shuts-down/" xr:uid="{C3126A50-4234-BC46-AB23-B2D48F6F7A2E}"/>
    <hyperlink ref="N1696" r:id="rId40" display="https://www.semafor.com/article/04/16/2024/ai-startup-tome-lays-off-staff-to-focus-on-revenue" xr:uid="{353F5A23-7F2F-F44D-B11A-6AF556A2526A}"/>
    <hyperlink ref="B2430" r:id="rId41" display="http://code.org/" xr:uid="{DA6412F7-CE78-3D45-8394-96C88F71646C}"/>
    <hyperlink ref="B2480" r:id="rId42" display="http://c3.ai/" xr:uid="{D65169B4-287B-A844-8365-6F119F597B73}"/>
    <hyperlink ref="B2507" r:id="rId43" display="http://crypto.com/" xr:uid="{3D68652C-1225-DF44-9BF3-1E2093D3B1ED}"/>
    <hyperlink ref="B2532" r:id="rId44" display="http://neuropixel.ai/" xr:uid="{6A8F0F9A-EEC7-2D48-BD63-5C828FAB8254}"/>
    <hyperlink ref="B2583" r:id="rId45" display="http://gambling.com/" xr:uid="{DCB3C9DB-08A1-9B45-98E3-75A4156831A4}"/>
  </hyperlinks>
  <pageMargins left="0.7" right="0.7" top="0.75" bottom="0.75" header="0.3" footer="0.3"/>
  <tableParts count="1">
    <tablePart r:id="rId4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5C1F-8CAF-204F-B07C-7CF106703944}">
  <sheetPr>
    <pageSetUpPr fitToPage="1"/>
  </sheetPr>
  <dimension ref="A1:M261"/>
  <sheetViews>
    <sheetView showGridLines="0" zoomScale="120" zoomScaleNormal="120" workbookViewId="0">
      <pane ySplit="1" topLeftCell="A190" activePane="bottomLeft" state="frozen"/>
      <selection pane="bottomLeft" activeCell="B197" sqref="B197"/>
    </sheetView>
  </sheetViews>
  <sheetFormatPr baseColWidth="10" defaultColWidth="8.33203125" defaultRowHeight="20" customHeight="1" x14ac:dyDescent="0.2"/>
  <cols>
    <col min="1" max="1" width="16.1640625" style="61" customWidth="1"/>
    <col min="2" max="2" width="19.33203125" style="60" customWidth="1"/>
    <col min="3" max="3" width="14.83203125" style="60" customWidth="1"/>
    <col min="4" max="5" width="19.5" style="60" customWidth="1"/>
    <col min="6" max="6" width="17.6640625" style="62" customWidth="1"/>
    <col min="7" max="7" width="16.5" style="62" customWidth="1"/>
    <col min="8" max="16384" width="8.33203125" style="60"/>
  </cols>
  <sheetData>
    <row r="1" spans="1:7" ht="20.25" customHeight="1" x14ac:dyDescent="0.2">
      <c r="A1" s="49" t="s">
        <v>1732</v>
      </c>
      <c r="B1" s="50" t="s">
        <v>1707</v>
      </c>
      <c r="C1" s="50" t="s">
        <v>1731</v>
      </c>
      <c r="D1" s="50" t="s">
        <v>2</v>
      </c>
      <c r="E1" s="50" t="s">
        <v>3</v>
      </c>
      <c r="F1" s="51" t="s">
        <v>1733</v>
      </c>
      <c r="G1" s="51" t="s">
        <v>1734</v>
      </c>
    </row>
    <row r="2" spans="1:7" ht="20.25" customHeight="1" x14ac:dyDescent="0.2">
      <c r="A2" s="49" t="s">
        <v>1453</v>
      </c>
      <c r="B2" s="52" t="s">
        <v>2322</v>
      </c>
      <c r="C2" s="52" t="s">
        <v>2324</v>
      </c>
      <c r="D2" s="53" t="s">
        <v>199</v>
      </c>
      <c r="E2" s="53" t="s">
        <v>1890</v>
      </c>
      <c r="F2" s="54">
        <v>-34.928180500000003</v>
      </c>
      <c r="G2" s="54">
        <v>138.59993119999999</v>
      </c>
    </row>
    <row r="3" spans="1:7" ht="20" customHeight="1" x14ac:dyDescent="0.2">
      <c r="A3" s="49" t="s">
        <v>1727</v>
      </c>
      <c r="B3" s="53" t="s">
        <v>2322</v>
      </c>
      <c r="C3" s="53" t="s">
        <v>1369</v>
      </c>
      <c r="D3" s="53" t="s">
        <v>25</v>
      </c>
      <c r="E3" s="53" t="s">
        <v>26</v>
      </c>
      <c r="F3" s="54">
        <v>34.147910000000003</v>
      </c>
      <c r="G3" s="54">
        <v>-118.7657042</v>
      </c>
    </row>
    <row r="4" spans="1:7" ht="20" customHeight="1" x14ac:dyDescent="0.2">
      <c r="A4" s="49" t="s">
        <v>1128</v>
      </c>
      <c r="B4" s="52" t="s">
        <v>2322</v>
      </c>
      <c r="C4" s="52" t="s">
        <v>2325</v>
      </c>
      <c r="D4" s="53" t="s">
        <v>14</v>
      </c>
      <c r="E4" s="53" t="s">
        <v>15</v>
      </c>
      <c r="F4" s="54">
        <v>23.0216238</v>
      </c>
      <c r="G4" s="54">
        <v>72.579706799999997</v>
      </c>
    </row>
    <row r="5" spans="1:7" ht="20" customHeight="1" x14ac:dyDescent="0.2">
      <c r="A5" s="49" t="s">
        <v>1709</v>
      </c>
      <c r="B5" s="53" t="s">
        <v>24</v>
      </c>
      <c r="C5" s="53" t="s">
        <v>1369</v>
      </c>
      <c r="D5" s="53" t="s">
        <v>25</v>
      </c>
      <c r="E5" s="53" t="s">
        <v>26</v>
      </c>
      <c r="F5" s="54">
        <v>37.609029100000001</v>
      </c>
      <c r="G5" s="54">
        <v>-121.899142</v>
      </c>
    </row>
    <row r="6" spans="1:7" ht="20" customHeight="1" x14ac:dyDescent="0.2">
      <c r="A6" s="49" t="s">
        <v>99</v>
      </c>
      <c r="B6" s="52" t="s">
        <v>2322</v>
      </c>
      <c r="C6" s="52" t="s">
        <v>2326</v>
      </c>
      <c r="D6" s="53" t="s">
        <v>100</v>
      </c>
      <c r="E6" s="53" t="s">
        <v>53</v>
      </c>
      <c r="F6" s="54">
        <v>52.373079599999997</v>
      </c>
      <c r="G6" s="54">
        <v>4.8924534</v>
      </c>
    </row>
    <row r="7" spans="1:7" ht="20" customHeight="1" x14ac:dyDescent="0.2">
      <c r="A7" s="49" t="s">
        <v>1218</v>
      </c>
      <c r="B7" s="52" t="s">
        <v>2322</v>
      </c>
      <c r="C7" s="52" t="s">
        <v>1919</v>
      </c>
      <c r="D7" s="53" t="s">
        <v>25</v>
      </c>
      <c r="E7" s="53" t="s">
        <v>26</v>
      </c>
      <c r="F7" s="54">
        <v>42.2813722</v>
      </c>
      <c r="G7" s="54">
        <v>-83.748461599999999</v>
      </c>
    </row>
    <row r="8" spans="1:7" ht="20" customHeight="1" x14ac:dyDescent="0.2">
      <c r="A8" s="49" t="s">
        <v>2264</v>
      </c>
      <c r="B8" s="52" t="s">
        <v>2322</v>
      </c>
      <c r="C8" s="52" t="s">
        <v>1921</v>
      </c>
      <c r="D8" s="53" t="s">
        <v>25</v>
      </c>
      <c r="E8" s="53" t="s">
        <v>26</v>
      </c>
      <c r="F8" s="54">
        <v>32.729130835629697</v>
      </c>
      <c r="G8" s="54">
        <v>-97.110122485566706</v>
      </c>
    </row>
    <row r="9" spans="1:7" ht="20" customHeight="1" x14ac:dyDescent="0.2">
      <c r="A9" s="49" t="s">
        <v>171</v>
      </c>
      <c r="B9" s="52" t="s">
        <v>2322</v>
      </c>
      <c r="C9" s="52" t="s">
        <v>1920</v>
      </c>
      <c r="D9" s="53" t="s">
        <v>25</v>
      </c>
      <c r="E9" s="53" t="s">
        <v>26</v>
      </c>
      <c r="F9" s="54">
        <v>33.748992399999999</v>
      </c>
      <c r="G9" s="54">
        <v>-84.390264400000007</v>
      </c>
    </row>
    <row r="10" spans="1:7" ht="20" customHeight="1" x14ac:dyDescent="0.2">
      <c r="A10" s="49" t="s">
        <v>197</v>
      </c>
      <c r="B10" s="52" t="s">
        <v>2322</v>
      </c>
      <c r="C10" s="52" t="s">
        <v>2326</v>
      </c>
      <c r="D10" s="53" t="s">
        <v>198</v>
      </c>
      <c r="E10" s="53" t="s">
        <v>1890</v>
      </c>
      <c r="F10" s="54">
        <v>-36.852094999999998</v>
      </c>
      <c r="G10" s="54">
        <v>174.76318029999999</v>
      </c>
    </row>
    <row r="11" spans="1:7" ht="20" customHeight="1" x14ac:dyDescent="0.2">
      <c r="A11" s="49" t="s">
        <v>83</v>
      </c>
      <c r="B11" s="52" t="s">
        <v>2322</v>
      </c>
      <c r="C11" s="52" t="s">
        <v>1921</v>
      </c>
      <c r="D11" s="53" t="s">
        <v>25</v>
      </c>
      <c r="E11" s="53" t="s">
        <v>26</v>
      </c>
      <c r="F11" s="54">
        <v>30.271128600000001</v>
      </c>
      <c r="G11" s="54">
        <v>-97.743699500000005</v>
      </c>
    </row>
    <row r="12" spans="1:7" ht="20" customHeight="1" x14ac:dyDescent="0.2">
      <c r="A12" s="49" t="s">
        <v>269</v>
      </c>
      <c r="B12" s="52" t="s">
        <v>2322</v>
      </c>
      <c r="C12" s="52" t="s">
        <v>1922</v>
      </c>
      <c r="D12" s="53" t="s">
        <v>25</v>
      </c>
      <c r="E12" s="53" t="s">
        <v>26</v>
      </c>
      <c r="F12" s="54">
        <v>39.290881599999999</v>
      </c>
      <c r="G12" s="54">
        <v>-76.610759000000002</v>
      </c>
    </row>
    <row r="13" spans="1:7" ht="20" customHeight="1" x14ac:dyDescent="0.2">
      <c r="A13" s="49" t="s">
        <v>794</v>
      </c>
      <c r="B13" s="52" t="s">
        <v>2322</v>
      </c>
      <c r="C13" s="52" t="s">
        <v>2326</v>
      </c>
      <c r="D13" s="53" t="s">
        <v>795</v>
      </c>
      <c r="E13" s="53" t="s">
        <v>15</v>
      </c>
      <c r="F13" s="54">
        <v>13.7524938</v>
      </c>
      <c r="G13" s="54">
        <v>100.49350889999999</v>
      </c>
    </row>
    <row r="14" spans="1:7" ht="20" customHeight="1" x14ac:dyDescent="0.2">
      <c r="A14" s="49" t="s">
        <v>487</v>
      </c>
      <c r="B14" s="52" t="s">
        <v>2322</v>
      </c>
      <c r="C14" s="52" t="s">
        <v>2327</v>
      </c>
      <c r="D14" s="53" t="s">
        <v>358</v>
      </c>
      <c r="E14" s="53" t="s">
        <v>53</v>
      </c>
      <c r="F14" s="54">
        <v>41.382893899999999</v>
      </c>
      <c r="G14" s="54">
        <v>2.1774322000000002</v>
      </c>
    </row>
    <row r="15" spans="1:7" ht="20" customHeight="1" x14ac:dyDescent="0.2">
      <c r="A15" s="55" t="s">
        <v>1739</v>
      </c>
      <c r="B15" s="56" t="s">
        <v>2322</v>
      </c>
      <c r="C15" s="56" t="s">
        <v>2326</v>
      </c>
      <c r="D15" s="56" t="s">
        <v>569</v>
      </c>
      <c r="E15" s="56" t="s">
        <v>15</v>
      </c>
      <c r="F15" s="57">
        <v>39.916668000000001</v>
      </c>
      <c r="G15" s="57">
        <v>116.383331</v>
      </c>
    </row>
    <row r="16" spans="1:7" ht="20" customHeight="1" x14ac:dyDescent="0.2">
      <c r="A16" s="49" t="s">
        <v>1402</v>
      </c>
      <c r="B16" s="52" t="s">
        <v>2322</v>
      </c>
      <c r="C16" s="52" t="s">
        <v>1919</v>
      </c>
      <c r="D16" s="53" t="s">
        <v>25</v>
      </c>
      <c r="E16" s="53" t="s">
        <v>26</v>
      </c>
      <c r="F16" s="54">
        <v>38.513580500000003</v>
      </c>
      <c r="G16" s="54">
        <v>-89.984162699999999</v>
      </c>
    </row>
    <row r="17" spans="1:7" ht="20" customHeight="1" x14ac:dyDescent="0.2">
      <c r="A17" s="49" t="s">
        <v>2221</v>
      </c>
      <c r="B17" s="52" t="s">
        <v>2322</v>
      </c>
      <c r="C17" s="52" t="s">
        <v>1947</v>
      </c>
      <c r="D17" s="53" t="s">
        <v>25</v>
      </c>
      <c r="E17" s="53" t="s">
        <v>26</v>
      </c>
      <c r="F17" s="54">
        <v>47.593467945109602</v>
      </c>
      <c r="G17" s="54">
        <v>-122.190877725398</v>
      </c>
    </row>
    <row r="18" spans="1:7" ht="20" customHeight="1" x14ac:dyDescent="0.2">
      <c r="A18" s="49" t="s">
        <v>750</v>
      </c>
      <c r="B18" s="52" t="s">
        <v>2322</v>
      </c>
      <c r="C18" s="52" t="s">
        <v>2328</v>
      </c>
      <c r="D18" s="53" t="s">
        <v>188</v>
      </c>
      <c r="E18" s="53" t="s">
        <v>189</v>
      </c>
      <c r="F18" s="54">
        <v>-19.922731800000001</v>
      </c>
      <c r="G18" s="54">
        <v>-43.9450948</v>
      </c>
    </row>
    <row r="19" spans="1:7" ht="20" customHeight="1" x14ac:dyDescent="0.2">
      <c r="A19" s="49" t="s">
        <v>998</v>
      </c>
      <c r="B19" s="52" t="s">
        <v>2322</v>
      </c>
      <c r="C19" s="52" t="s">
        <v>1923</v>
      </c>
      <c r="D19" s="53" t="s">
        <v>25</v>
      </c>
      <c r="E19" s="53" t="s">
        <v>26</v>
      </c>
      <c r="F19" s="54">
        <v>44.058172800000001</v>
      </c>
      <c r="G19" s="54">
        <v>-121.31530960000001</v>
      </c>
    </row>
    <row r="20" spans="1:7" ht="20" customHeight="1" x14ac:dyDescent="0.2">
      <c r="A20" s="49" t="s">
        <v>13</v>
      </c>
      <c r="B20" s="52" t="s">
        <v>2322</v>
      </c>
      <c r="C20" s="52" t="s">
        <v>2329</v>
      </c>
      <c r="D20" s="53" t="s">
        <v>14</v>
      </c>
      <c r="E20" s="53" t="s">
        <v>15</v>
      </c>
      <c r="F20" s="54">
        <v>12.98815675</v>
      </c>
      <c r="G20" s="54">
        <v>77.622600037959998</v>
      </c>
    </row>
    <row r="21" spans="1:7" ht="20" customHeight="1" x14ac:dyDescent="0.2">
      <c r="A21" s="49" t="s">
        <v>4662</v>
      </c>
      <c r="B21" s="52" t="s">
        <v>2322</v>
      </c>
      <c r="C21" s="52" t="s">
        <v>2082</v>
      </c>
      <c r="D21" s="53" t="s">
        <v>25</v>
      </c>
      <c r="E21" s="53" t="s">
        <v>26</v>
      </c>
      <c r="F21" s="54">
        <v>36.362992598576</v>
      </c>
      <c r="G21" s="54">
        <v>-94.207101456519695</v>
      </c>
    </row>
    <row r="22" spans="1:7" ht="20" customHeight="1" x14ac:dyDescent="0.2">
      <c r="A22" s="49" t="s">
        <v>1716</v>
      </c>
      <c r="B22" s="53" t="s">
        <v>24</v>
      </c>
      <c r="C22" s="53" t="s">
        <v>1369</v>
      </c>
      <c r="D22" s="53" t="s">
        <v>25</v>
      </c>
      <c r="E22" s="53" t="s">
        <v>26</v>
      </c>
      <c r="F22" s="54">
        <v>37.8708393</v>
      </c>
      <c r="G22" s="54">
        <v>-122.272863</v>
      </c>
    </row>
    <row r="23" spans="1:7" ht="20" customHeight="1" x14ac:dyDescent="0.2">
      <c r="A23" s="49" t="s">
        <v>135</v>
      </c>
      <c r="B23" s="52" t="s">
        <v>2322</v>
      </c>
      <c r="C23" s="52" t="s">
        <v>135</v>
      </c>
      <c r="D23" s="53" t="s">
        <v>136</v>
      </c>
      <c r="E23" s="53" t="s">
        <v>53</v>
      </c>
      <c r="F23" s="54">
        <v>52.517036500000003</v>
      </c>
      <c r="G23" s="54">
        <v>13.3888599</v>
      </c>
    </row>
    <row r="24" spans="1:7" ht="20" customHeight="1" x14ac:dyDescent="0.2">
      <c r="A24" s="49" t="s">
        <v>2214</v>
      </c>
      <c r="B24" s="52" t="s">
        <v>2322</v>
      </c>
      <c r="C24" s="52" t="s">
        <v>1922</v>
      </c>
      <c r="D24" s="53" t="s">
        <v>25</v>
      </c>
      <c r="E24" s="53" t="s">
        <v>26</v>
      </c>
      <c r="F24" s="54">
        <v>38.962627897759802</v>
      </c>
      <c r="G24" s="54">
        <v>-77.081555456346194</v>
      </c>
    </row>
    <row r="25" spans="1:7" ht="20" customHeight="1" x14ac:dyDescent="0.2">
      <c r="A25" s="59" t="s">
        <v>1970</v>
      </c>
      <c r="B25" s="56" t="s">
        <v>2322</v>
      </c>
      <c r="C25" s="56" t="s">
        <v>1948</v>
      </c>
      <c r="D25" s="56" t="s">
        <v>25</v>
      </c>
      <c r="E25" s="56" t="s">
        <v>26</v>
      </c>
      <c r="F25" s="57">
        <v>33.516664599999999</v>
      </c>
      <c r="G25" s="57">
        <v>-86.799996800000002</v>
      </c>
    </row>
    <row r="26" spans="1:7" ht="20" customHeight="1" x14ac:dyDescent="0.2">
      <c r="A26" s="49" t="s">
        <v>1188</v>
      </c>
      <c r="B26" s="52" t="s">
        <v>2322</v>
      </c>
      <c r="C26" s="52" t="s">
        <v>2330</v>
      </c>
      <c r="D26" s="53" t="s">
        <v>188</v>
      </c>
      <c r="E26" s="53" t="s">
        <v>189</v>
      </c>
      <c r="F26" s="54">
        <v>-26.919556700000001</v>
      </c>
      <c r="G26" s="54">
        <v>-49.065802499999997</v>
      </c>
    </row>
    <row r="27" spans="1:7" ht="20" customHeight="1" x14ac:dyDescent="0.2">
      <c r="A27" s="49" t="s">
        <v>430</v>
      </c>
      <c r="B27" s="52" t="s">
        <v>2322</v>
      </c>
      <c r="C27" s="52" t="s">
        <v>1924</v>
      </c>
      <c r="D27" s="53" t="s">
        <v>25</v>
      </c>
      <c r="E27" s="53" t="s">
        <v>26</v>
      </c>
      <c r="F27" s="54">
        <v>43.616616299999997</v>
      </c>
      <c r="G27" s="54">
        <v>-116.200886</v>
      </c>
    </row>
    <row r="28" spans="1:7" ht="20" customHeight="1" x14ac:dyDescent="0.2">
      <c r="A28" s="49" t="s">
        <v>71</v>
      </c>
      <c r="B28" s="52" t="s">
        <v>2322</v>
      </c>
      <c r="C28" s="52" t="s">
        <v>1925</v>
      </c>
      <c r="D28" s="53" t="s">
        <v>25</v>
      </c>
      <c r="E28" s="53" t="s">
        <v>26</v>
      </c>
      <c r="F28" s="54">
        <v>42.355433400000003</v>
      </c>
      <c r="G28" s="54">
        <v>-71.060511000000005</v>
      </c>
    </row>
    <row r="29" spans="1:7" ht="20" customHeight="1" x14ac:dyDescent="0.2">
      <c r="A29" s="49" t="s">
        <v>531</v>
      </c>
      <c r="B29" s="52" t="s">
        <v>2322</v>
      </c>
      <c r="C29" s="52" t="s">
        <v>1926</v>
      </c>
      <c r="D29" s="53" t="s">
        <v>25</v>
      </c>
      <c r="E29" s="53" t="s">
        <v>26</v>
      </c>
      <c r="F29" s="54">
        <v>40.014985600000003</v>
      </c>
      <c r="G29" s="54">
        <v>-105.270545</v>
      </c>
    </row>
    <row r="30" spans="1:7" ht="20" customHeight="1" x14ac:dyDescent="0.2">
      <c r="A30" s="49" t="s">
        <v>4612</v>
      </c>
      <c r="B30" s="52" t="s">
        <v>2322</v>
      </c>
      <c r="C30" s="52" t="s">
        <v>1941</v>
      </c>
      <c r="D30" s="53" t="s">
        <v>25</v>
      </c>
      <c r="E30" s="53" t="s">
        <v>26</v>
      </c>
      <c r="F30" s="54">
        <v>45.6884720246344</v>
      </c>
      <c r="G30" s="54">
        <v>-111.034516210107</v>
      </c>
    </row>
    <row r="31" spans="1:7" ht="20" customHeight="1" x14ac:dyDescent="0.2">
      <c r="A31" s="49" t="s">
        <v>321</v>
      </c>
      <c r="B31" s="52" t="s">
        <v>2322</v>
      </c>
      <c r="C31" s="52" t="s">
        <v>2331</v>
      </c>
      <c r="D31" s="53" t="s">
        <v>199</v>
      </c>
      <c r="E31" s="53" t="s">
        <v>1890</v>
      </c>
      <c r="F31" s="54">
        <v>-27.468968199999999</v>
      </c>
      <c r="G31" s="54">
        <v>153.02349910000001</v>
      </c>
    </row>
    <row r="32" spans="1:7" ht="20" customHeight="1" x14ac:dyDescent="0.2">
      <c r="A32" s="49" t="s">
        <v>808</v>
      </c>
      <c r="B32" s="52" t="s">
        <v>2322</v>
      </c>
      <c r="C32" s="52" t="s">
        <v>2332</v>
      </c>
      <c r="D32" s="53" t="s">
        <v>1357</v>
      </c>
      <c r="E32" s="53" t="s">
        <v>53</v>
      </c>
      <c r="F32" s="54">
        <v>51.453802199999998</v>
      </c>
      <c r="G32" s="54">
        <v>-2.5972985</v>
      </c>
    </row>
    <row r="33" spans="1:7" ht="20" customHeight="1" x14ac:dyDescent="0.2">
      <c r="A33" s="49" t="s">
        <v>1341</v>
      </c>
      <c r="B33" s="52" t="s">
        <v>2322</v>
      </c>
      <c r="C33" s="52" t="s">
        <v>2326</v>
      </c>
      <c r="D33" s="53" t="s">
        <v>1342</v>
      </c>
      <c r="E33" s="53" t="s">
        <v>53</v>
      </c>
      <c r="F33" s="54">
        <v>49.192244299999999</v>
      </c>
      <c r="G33" s="54">
        <v>16.611338199999999</v>
      </c>
    </row>
    <row r="34" spans="1:7" ht="20" customHeight="1" x14ac:dyDescent="0.2">
      <c r="A34" s="49" t="s">
        <v>2319</v>
      </c>
      <c r="B34" s="52" t="s">
        <v>2322</v>
      </c>
      <c r="C34" s="52" t="s">
        <v>2326</v>
      </c>
      <c r="D34" s="53" t="s">
        <v>2184</v>
      </c>
      <c r="E34" s="53" t="s">
        <v>53</v>
      </c>
      <c r="F34" s="54">
        <v>44.439177569552299</v>
      </c>
      <c r="G34" s="54">
        <v>26.078148619476099</v>
      </c>
    </row>
    <row r="35" spans="1:7" ht="20" customHeight="1" x14ac:dyDescent="0.2">
      <c r="A35" s="49" t="s">
        <v>639</v>
      </c>
      <c r="B35" s="52" t="s">
        <v>2322</v>
      </c>
      <c r="C35" s="52" t="s">
        <v>2326</v>
      </c>
      <c r="D35" s="53" t="s">
        <v>640</v>
      </c>
      <c r="E35" s="53" t="s">
        <v>189</v>
      </c>
      <c r="F35" s="54">
        <v>-34.603718100000002</v>
      </c>
      <c r="G35" s="54">
        <v>-58.381529999999998</v>
      </c>
    </row>
    <row r="36" spans="1:7" ht="20" customHeight="1" x14ac:dyDescent="0.2">
      <c r="A36" s="49" t="s">
        <v>1718</v>
      </c>
      <c r="B36" s="53" t="s">
        <v>24</v>
      </c>
      <c r="C36" s="53" t="s">
        <v>1369</v>
      </c>
      <c r="D36" s="53" t="s">
        <v>25</v>
      </c>
      <c r="E36" s="53" t="s">
        <v>26</v>
      </c>
      <c r="F36" s="54">
        <v>37.578096500000001</v>
      </c>
      <c r="G36" s="54">
        <v>-122.3473099</v>
      </c>
    </row>
    <row r="37" spans="1:7" ht="20" customHeight="1" x14ac:dyDescent="0.2">
      <c r="A37" s="49" t="s">
        <v>626</v>
      </c>
      <c r="B37" s="52" t="s">
        <v>2322</v>
      </c>
      <c r="C37" s="52" t="s">
        <v>1927</v>
      </c>
      <c r="D37" s="53" t="s">
        <v>25</v>
      </c>
      <c r="E37" s="53" t="s">
        <v>26</v>
      </c>
      <c r="F37" s="54">
        <v>44.476160100000001</v>
      </c>
      <c r="G37" s="54">
        <v>-73.212906000000004</v>
      </c>
    </row>
    <row r="38" spans="1:7" ht="20" customHeight="1" x14ac:dyDescent="0.2">
      <c r="A38" s="49" t="s">
        <v>94</v>
      </c>
      <c r="B38" s="52" t="s">
        <v>2322</v>
      </c>
      <c r="C38" s="52" t="s">
        <v>2333</v>
      </c>
      <c r="D38" s="53" t="s">
        <v>95</v>
      </c>
      <c r="E38" s="53" t="s">
        <v>26</v>
      </c>
      <c r="F38" s="54">
        <v>51.045606399999997</v>
      </c>
      <c r="G38" s="54">
        <v>-114.057541</v>
      </c>
    </row>
    <row r="39" spans="1:7" ht="20" customHeight="1" x14ac:dyDescent="0.2">
      <c r="A39" s="49" t="s">
        <v>1328</v>
      </c>
      <c r="B39" s="52" t="s">
        <v>2322</v>
      </c>
      <c r="C39" s="52" t="s">
        <v>1369</v>
      </c>
      <c r="D39" s="53" t="s">
        <v>25</v>
      </c>
      <c r="E39" s="53" t="s">
        <v>26</v>
      </c>
      <c r="F39" s="54">
        <v>34.217637099999997</v>
      </c>
      <c r="G39" s="54">
        <v>-119.03835410000001</v>
      </c>
    </row>
    <row r="40" spans="1:7" ht="20" customHeight="1" x14ac:dyDescent="0.2">
      <c r="A40" s="49" t="s">
        <v>1705</v>
      </c>
      <c r="B40" s="53" t="s">
        <v>24</v>
      </c>
      <c r="C40" s="53" t="s">
        <v>1369</v>
      </c>
      <c r="D40" s="53" t="s">
        <v>25</v>
      </c>
      <c r="E40" s="53" t="s">
        <v>26</v>
      </c>
      <c r="F40" s="54">
        <v>37.287166999999997</v>
      </c>
      <c r="G40" s="54">
        <v>-121.94995900000001</v>
      </c>
    </row>
    <row r="41" spans="1:7" ht="20" customHeight="1" x14ac:dyDescent="0.2">
      <c r="A41" s="49" t="s">
        <v>2189</v>
      </c>
      <c r="B41" s="53" t="s">
        <v>2322</v>
      </c>
      <c r="C41" s="53" t="s">
        <v>1932</v>
      </c>
      <c r="D41" s="53" t="s">
        <v>25</v>
      </c>
      <c r="E41" s="53" t="s">
        <v>26</v>
      </c>
      <c r="F41" s="54">
        <v>35.774958401745401</v>
      </c>
      <c r="G41" s="54">
        <v>-78.790015317774206</v>
      </c>
    </row>
    <row r="42" spans="1:7" ht="20" customHeight="1" x14ac:dyDescent="0.2">
      <c r="A42" s="49" t="s">
        <v>1340</v>
      </c>
      <c r="B42" s="52" t="s">
        <v>2322</v>
      </c>
      <c r="C42" s="52" t="s">
        <v>2326</v>
      </c>
      <c r="D42" s="53" t="s">
        <v>1340</v>
      </c>
      <c r="E42" s="53" t="s">
        <v>26</v>
      </c>
      <c r="F42" s="54">
        <v>19.703182249999902</v>
      </c>
      <c r="G42" s="54">
        <v>-79.917462724324594</v>
      </c>
    </row>
    <row r="43" spans="1:7" ht="20" customHeight="1" x14ac:dyDescent="0.2">
      <c r="A43" s="55" t="s">
        <v>1736</v>
      </c>
      <c r="B43" s="56" t="s">
        <v>2322</v>
      </c>
      <c r="C43" s="56" t="s">
        <v>1955</v>
      </c>
      <c r="D43" s="56" t="s">
        <v>25</v>
      </c>
      <c r="E43" s="56" t="s">
        <v>26</v>
      </c>
      <c r="F43" s="57">
        <v>42.534900999999998</v>
      </c>
      <c r="G43" s="57">
        <v>-92.445312000000001</v>
      </c>
    </row>
    <row r="44" spans="1:7" ht="20" customHeight="1" x14ac:dyDescent="0.2">
      <c r="A44" s="49" t="s">
        <v>1348</v>
      </c>
      <c r="B44" s="52" t="s">
        <v>2322</v>
      </c>
      <c r="C44" s="52" t="s">
        <v>1928</v>
      </c>
      <c r="D44" s="53" t="s">
        <v>25</v>
      </c>
      <c r="E44" s="53" t="s">
        <v>26</v>
      </c>
      <c r="F44" s="54">
        <v>32.788436300000001</v>
      </c>
      <c r="G44" s="54">
        <v>-79.939930899999993</v>
      </c>
    </row>
    <row r="45" spans="1:7" ht="20" customHeight="1" x14ac:dyDescent="0.2">
      <c r="A45" s="55" t="s">
        <v>1891</v>
      </c>
      <c r="B45" s="56" t="s">
        <v>2322</v>
      </c>
      <c r="C45" s="56" t="s">
        <v>1939</v>
      </c>
      <c r="D45" s="56" t="s">
        <v>25</v>
      </c>
      <c r="E45" s="56" t="s">
        <v>26</v>
      </c>
      <c r="F45" s="58">
        <v>35.045631</v>
      </c>
      <c r="G45" s="57">
        <v>-85.309676999999994</v>
      </c>
    </row>
    <row r="46" spans="1:7" ht="20" customHeight="1" x14ac:dyDescent="0.2">
      <c r="A46" s="49" t="s">
        <v>222</v>
      </c>
      <c r="B46" s="52" t="s">
        <v>2322</v>
      </c>
      <c r="C46" s="52" t="s">
        <v>2334</v>
      </c>
      <c r="D46" s="53" t="s">
        <v>14</v>
      </c>
      <c r="E46" s="53" t="s">
        <v>15</v>
      </c>
      <c r="F46" s="54">
        <v>13.0836939</v>
      </c>
      <c r="G46" s="54">
        <v>80.270185999999995</v>
      </c>
    </row>
    <row r="47" spans="1:7" ht="20" customHeight="1" x14ac:dyDescent="0.2">
      <c r="A47" s="49" t="s">
        <v>372</v>
      </c>
      <c r="B47" s="52" t="s">
        <v>2322</v>
      </c>
      <c r="C47" s="52" t="s">
        <v>2332</v>
      </c>
      <c r="D47" s="53" t="s">
        <v>1357</v>
      </c>
      <c r="E47" s="53" t="s">
        <v>53</v>
      </c>
      <c r="F47" s="54">
        <v>53.1908873</v>
      </c>
      <c r="G47" s="54">
        <v>-2.8908955000000001</v>
      </c>
    </row>
    <row r="48" spans="1:7" ht="20" customHeight="1" x14ac:dyDescent="0.2">
      <c r="A48" s="49" t="s">
        <v>4671</v>
      </c>
      <c r="B48" s="52" t="s">
        <v>2322</v>
      </c>
      <c r="C48" s="52" t="s">
        <v>4763</v>
      </c>
      <c r="D48" s="53" t="s">
        <v>25</v>
      </c>
      <c r="E48" s="53" t="s">
        <v>26</v>
      </c>
      <c r="F48" s="54">
        <v>41.123743791454501</v>
      </c>
      <c r="G48" s="54">
        <v>-104.798240838391</v>
      </c>
    </row>
    <row r="49" spans="1:7" ht="20" customHeight="1" x14ac:dyDescent="0.2">
      <c r="A49" s="49" t="s">
        <v>154</v>
      </c>
      <c r="B49" s="52" t="s">
        <v>2322</v>
      </c>
      <c r="C49" s="52" t="s">
        <v>1929</v>
      </c>
      <c r="D49" s="53" t="s">
        <v>25</v>
      </c>
      <c r="E49" s="53" t="s">
        <v>26</v>
      </c>
      <c r="F49" s="54">
        <v>41.875561599999997</v>
      </c>
      <c r="G49" s="54">
        <v>-87.6244212</v>
      </c>
    </row>
    <row r="50" spans="1:7" ht="20" customHeight="1" x14ac:dyDescent="0.2">
      <c r="A50" s="49" t="s">
        <v>341</v>
      </c>
      <c r="B50" s="52" t="s">
        <v>2322</v>
      </c>
      <c r="C50" s="52" t="s">
        <v>1930</v>
      </c>
      <c r="D50" s="53" t="s">
        <v>25</v>
      </c>
      <c r="E50" s="53" t="s">
        <v>26</v>
      </c>
      <c r="F50" s="54">
        <v>39.1014537</v>
      </c>
      <c r="G50" s="54">
        <v>-84.512460200000007</v>
      </c>
    </row>
    <row r="51" spans="1:7" ht="20" customHeight="1" x14ac:dyDescent="0.2">
      <c r="A51" s="49" t="s">
        <v>4656</v>
      </c>
      <c r="B51" s="52" t="s">
        <v>2322</v>
      </c>
      <c r="C51" s="52" t="s">
        <v>4762</v>
      </c>
      <c r="D51" s="53" t="s">
        <v>136</v>
      </c>
      <c r="E51" s="53" t="s">
        <v>53</v>
      </c>
      <c r="F51" s="54">
        <v>50.925997035942302</v>
      </c>
      <c r="G51" s="54">
        <v>6.9494399320497697</v>
      </c>
    </row>
    <row r="52" spans="1:7" ht="20" customHeight="1" x14ac:dyDescent="0.2">
      <c r="A52" s="49" t="s">
        <v>452</v>
      </c>
      <c r="B52" s="52" t="s">
        <v>2322</v>
      </c>
      <c r="C52" s="52" t="s">
        <v>1930</v>
      </c>
      <c r="D52" s="53" t="s">
        <v>25</v>
      </c>
      <c r="E52" s="53" t="s">
        <v>26</v>
      </c>
      <c r="F52" s="54">
        <v>39.962260100000002</v>
      </c>
      <c r="G52" s="54">
        <v>-83.000706500000007</v>
      </c>
    </row>
    <row r="53" spans="1:7" ht="20" customHeight="1" x14ac:dyDescent="0.2">
      <c r="A53" s="49" t="s">
        <v>715</v>
      </c>
      <c r="B53" s="52" t="s">
        <v>2322</v>
      </c>
      <c r="C53" s="52" t="s">
        <v>2326</v>
      </c>
      <c r="D53" s="53" t="s">
        <v>716</v>
      </c>
      <c r="E53" s="53" t="s">
        <v>53</v>
      </c>
      <c r="F53" s="54">
        <v>55.686724300000002</v>
      </c>
      <c r="G53" s="54">
        <v>12.570072400000001</v>
      </c>
    </row>
    <row r="54" spans="1:7" ht="20" customHeight="1" x14ac:dyDescent="0.2">
      <c r="A54" s="49" t="s">
        <v>1399</v>
      </c>
      <c r="B54" s="52" t="s">
        <v>2322</v>
      </c>
      <c r="C54" s="52" t="s">
        <v>1931</v>
      </c>
      <c r="D54" s="53" t="s">
        <v>25</v>
      </c>
      <c r="E54" s="53" t="s">
        <v>26</v>
      </c>
      <c r="F54" s="54">
        <v>25.733110499999999</v>
      </c>
      <c r="G54" s="54">
        <v>-80.258510700000002</v>
      </c>
    </row>
    <row r="55" spans="1:7" ht="20" customHeight="1" x14ac:dyDescent="0.2">
      <c r="A55" s="49" t="s">
        <v>1346</v>
      </c>
      <c r="B55" s="52" t="s">
        <v>2322</v>
      </c>
      <c r="C55" s="52" t="s">
        <v>1923</v>
      </c>
      <c r="D55" s="53" t="s">
        <v>25</v>
      </c>
      <c r="E55" s="53" t="s">
        <v>26</v>
      </c>
      <c r="F55" s="54">
        <v>44.564565899999998</v>
      </c>
      <c r="G55" s="54">
        <v>-123.2620435</v>
      </c>
    </row>
    <row r="56" spans="1:7" ht="20" customHeight="1" x14ac:dyDescent="0.2">
      <c r="A56" s="49" t="s">
        <v>1708</v>
      </c>
      <c r="B56" s="53" t="s">
        <v>24</v>
      </c>
      <c r="C56" s="53" t="s">
        <v>1369</v>
      </c>
      <c r="D56" s="53" t="s">
        <v>25</v>
      </c>
      <c r="E56" s="53" t="s">
        <v>26</v>
      </c>
      <c r="F56" s="54">
        <v>37.322893399999998</v>
      </c>
      <c r="G56" s="54">
        <v>-122.0322895</v>
      </c>
    </row>
    <row r="57" spans="1:7" ht="20" customHeight="1" x14ac:dyDescent="0.2">
      <c r="A57" s="49" t="s">
        <v>836</v>
      </c>
      <c r="B57" s="52" t="s">
        <v>2322</v>
      </c>
      <c r="C57" s="52" t="s">
        <v>2335</v>
      </c>
      <c r="D57" s="53" t="s">
        <v>188</v>
      </c>
      <c r="E57" s="53" t="s">
        <v>189</v>
      </c>
      <c r="F57" s="54">
        <v>-25.4295963</v>
      </c>
      <c r="G57" s="54">
        <v>-49.271272400000001</v>
      </c>
    </row>
    <row r="58" spans="1:7" ht="20" customHeight="1" x14ac:dyDescent="0.2">
      <c r="A58" s="49" t="s">
        <v>885</v>
      </c>
      <c r="B58" s="52" t="s">
        <v>2322</v>
      </c>
      <c r="C58" s="52" t="s">
        <v>2326</v>
      </c>
      <c r="D58" s="53" t="s">
        <v>886</v>
      </c>
      <c r="E58" s="53" t="s">
        <v>166</v>
      </c>
      <c r="F58" s="54">
        <v>14.693425</v>
      </c>
      <c r="G58" s="54">
        <v>-17.447938000000001</v>
      </c>
    </row>
    <row r="59" spans="1:7" ht="20" customHeight="1" x14ac:dyDescent="0.2">
      <c r="A59" s="49" t="s">
        <v>304</v>
      </c>
      <c r="B59" s="52" t="s">
        <v>2322</v>
      </c>
      <c r="C59" s="52" t="s">
        <v>1921</v>
      </c>
      <c r="D59" s="53" t="s">
        <v>25</v>
      </c>
      <c r="E59" s="53" t="s">
        <v>26</v>
      </c>
      <c r="F59" s="54">
        <v>32.776271899999998</v>
      </c>
      <c r="G59" s="54">
        <v>-96.796855899999997</v>
      </c>
    </row>
    <row r="60" spans="1:7" ht="20" customHeight="1" x14ac:dyDescent="0.2">
      <c r="A60" s="49" t="s">
        <v>132</v>
      </c>
      <c r="B60" s="52" t="s">
        <v>2322</v>
      </c>
      <c r="C60" s="52" t="s">
        <v>1926</v>
      </c>
      <c r="D60" s="53" t="s">
        <v>25</v>
      </c>
      <c r="E60" s="53" t="s">
        <v>26</v>
      </c>
      <c r="F60" s="54">
        <v>39.739236400000003</v>
      </c>
      <c r="G60" s="54">
        <v>-104.98486200000001</v>
      </c>
    </row>
    <row r="61" spans="1:7" ht="20" customHeight="1" x14ac:dyDescent="0.2">
      <c r="A61" s="49" t="s">
        <v>65</v>
      </c>
      <c r="B61" s="52" t="s">
        <v>2322</v>
      </c>
      <c r="C61" s="52" t="s">
        <v>1919</v>
      </c>
      <c r="D61" s="53" t="s">
        <v>25</v>
      </c>
      <c r="E61" s="53" t="s">
        <v>26</v>
      </c>
      <c r="F61" s="54">
        <v>42.331550900000003</v>
      </c>
      <c r="G61" s="54">
        <v>-83.046640300000007</v>
      </c>
    </row>
    <row r="62" spans="1:7" ht="20" customHeight="1" x14ac:dyDescent="0.2">
      <c r="A62" s="49" t="s">
        <v>678</v>
      </c>
      <c r="B62" s="52" t="s">
        <v>2322</v>
      </c>
      <c r="C62" s="52" t="s">
        <v>1930</v>
      </c>
      <c r="D62" s="53" t="s">
        <v>25</v>
      </c>
      <c r="E62" s="53" t="s">
        <v>26</v>
      </c>
      <c r="F62" s="54">
        <v>39.158168000000003</v>
      </c>
      <c r="G62" s="54">
        <v>-75.524368199999998</v>
      </c>
    </row>
    <row r="63" spans="1:7" ht="20" customHeight="1" x14ac:dyDescent="0.2">
      <c r="A63" s="49" t="s">
        <v>663</v>
      </c>
      <c r="B63" s="52" t="s">
        <v>2322</v>
      </c>
      <c r="C63" s="52" t="s">
        <v>2326</v>
      </c>
      <c r="D63" s="53" t="s">
        <v>664</v>
      </c>
      <c r="E63" s="53" t="s">
        <v>15</v>
      </c>
      <c r="F63" s="54">
        <v>25.276986999999998</v>
      </c>
      <c r="G63" s="54">
        <v>55.296249000000003</v>
      </c>
    </row>
    <row r="64" spans="1:7" ht="20" customHeight="1" x14ac:dyDescent="0.2">
      <c r="A64" s="49" t="s">
        <v>217</v>
      </c>
      <c r="B64" s="52" t="s">
        <v>2322</v>
      </c>
      <c r="C64" s="52" t="s">
        <v>2326</v>
      </c>
      <c r="D64" s="53" t="s">
        <v>218</v>
      </c>
      <c r="E64" s="53" t="s">
        <v>53</v>
      </c>
      <c r="F64" s="54">
        <v>53.349379499999998</v>
      </c>
      <c r="G64" s="54">
        <v>-6.2605592999999997</v>
      </c>
    </row>
    <row r="65" spans="1:7" ht="20" customHeight="1" x14ac:dyDescent="0.2">
      <c r="A65" s="49" t="s">
        <v>1391</v>
      </c>
      <c r="B65" s="52" t="s">
        <v>2322</v>
      </c>
      <c r="C65" s="52" t="s">
        <v>1932</v>
      </c>
      <c r="D65" s="53" t="s">
        <v>25</v>
      </c>
      <c r="E65" s="53" t="s">
        <v>26</v>
      </c>
      <c r="F65" s="54">
        <v>35.996653000000002</v>
      </c>
      <c r="G65" s="54">
        <v>-78.901805300000007</v>
      </c>
    </row>
    <row r="66" spans="1:7" ht="20" customHeight="1" x14ac:dyDescent="0.2">
      <c r="A66" s="49" t="s">
        <v>1093</v>
      </c>
      <c r="B66" s="52" t="s">
        <v>2322</v>
      </c>
      <c r="C66" s="52" t="s">
        <v>2336</v>
      </c>
      <c r="D66" s="53" t="s">
        <v>1357</v>
      </c>
      <c r="E66" s="53" t="s">
        <v>53</v>
      </c>
      <c r="F66" s="54">
        <v>55.953345599999999</v>
      </c>
      <c r="G66" s="54">
        <v>-3.1883748999999999</v>
      </c>
    </row>
    <row r="67" spans="1:7" ht="20" customHeight="1" x14ac:dyDescent="0.2">
      <c r="A67" s="49" t="s">
        <v>2211</v>
      </c>
      <c r="B67" s="52" t="s">
        <v>2322</v>
      </c>
      <c r="C67" s="52" t="s">
        <v>1369</v>
      </c>
      <c r="D67" s="53" t="s">
        <v>25</v>
      </c>
      <c r="E67" s="53" t="s">
        <v>26</v>
      </c>
      <c r="F67" s="54">
        <v>33.914625024982698</v>
      </c>
      <c r="G67" s="54">
        <v>-118.40718381338201</v>
      </c>
    </row>
    <row r="68" spans="1:7" ht="20" customHeight="1" x14ac:dyDescent="0.2">
      <c r="A68" s="49" t="s">
        <v>1337</v>
      </c>
      <c r="B68" s="52" t="s">
        <v>2322</v>
      </c>
      <c r="C68" s="52" t="s">
        <v>2326</v>
      </c>
      <c r="D68" s="53" t="s">
        <v>965</v>
      </c>
      <c r="E68" s="53" t="s">
        <v>53</v>
      </c>
      <c r="F68" s="54">
        <v>60.204767199999999</v>
      </c>
      <c r="G68" s="54">
        <v>24.656843500000001</v>
      </c>
    </row>
    <row r="69" spans="1:7" ht="20" customHeight="1" x14ac:dyDescent="0.2">
      <c r="A69" s="49" t="s">
        <v>4598</v>
      </c>
      <c r="B69" s="52" t="s">
        <v>2322</v>
      </c>
      <c r="C69" s="52" t="s">
        <v>2332</v>
      </c>
      <c r="D69" s="53" t="s">
        <v>1357</v>
      </c>
      <c r="E69" s="53" t="s">
        <v>53</v>
      </c>
      <c r="F69" s="54">
        <v>51.294349592365002</v>
      </c>
      <c r="G69" s="54">
        <v>-0.77476773144357503</v>
      </c>
    </row>
    <row r="70" spans="1:7" ht="20" customHeight="1" x14ac:dyDescent="0.2">
      <c r="A70" s="49" t="s">
        <v>873</v>
      </c>
      <c r="B70" s="52" t="s">
        <v>2322</v>
      </c>
      <c r="C70" s="52" t="s">
        <v>2337</v>
      </c>
      <c r="D70" s="53" t="s">
        <v>95</v>
      </c>
      <c r="E70" s="53" t="s">
        <v>26</v>
      </c>
      <c r="F70" s="54">
        <v>45.964993</v>
      </c>
      <c r="G70" s="54">
        <v>-66.646332000000001</v>
      </c>
    </row>
    <row r="71" spans="1:7" ht="20" customHeight="1" x14ac:dyDescent="0.2">
      <c r="A71" s="49" t="s">
        <v>891</v>
      </c>
      <c r="B71" s="52" t="s">
        <v>2322</v>
      </c>
      <c r="C71" s="52" t="s">
        <v>2330</v>
      </c>
      <c r="D71" s="53" t="s">
        <v>188</v>
      </c>
      <c r="E71" s="53" t="s">
        <v>189</v>
      </c>
      <c r="F71" s="54">
        <v>-27.597300199999999</v>
      </c>
      <c r="G71" s="54">
        <v>-48.549609799999999</v>
      </c>
    </row>
    <row r="72" spans="1:7" ht="20" customHeight="1" x14ac:dyDescent="0.2">
      <c r="A72" s="49" t="s">
        <v>2127</v>
      </c>
      <c r="B72" s="52" t="s">
        <v>2322</v>
      </c>
      <c r="C72" s="52" t="s">
        <v>1369</v>
      </c>
      <c r="D72" s="53" t="s">
        <v>25</v>
      </c>
      <c r="E72" s="53" t="s">
        <v>26</v>
      </c>
      <c r="F72" s="54">
        <v>38.667146310825302</v>
      </c>
      <c r="G72" s="54">
        <v>-121.159461653926</v>
      </c>
    </row>
    <row r="73" spans="1:7" ht="20" customHeight="1" x14ac:dyDescent="0.2">
      <c r="A73" s="49" t="s">
        <v>1730</v>
      </c>
      <c r="B73" s="53" t="s">
        <v>24</v>
      </c>
      <c r="C73" s="53" t="s">
        <v>1369</v>
      </c>
      <c r="D73" s="53" t="s">
        <v>25</v>
      </c>
      <c r="E73" s="53" t="s">
        <v>26</v>
      </c>
      <c r="F73" s="54">
        <v>37.558546499999999</v>
      </c>
      <c r="G73" s="54">
        <v>-122.2710788</v>
      </c>
    </row>
    <row r="74" spans="1:7" ht="20" customHeight="1" x14ac:dyDescent="0.2">
      <c r="A74" s="49" t="s">
        <v>1338</v>
      </c>
      <c r="B74" s="52" t="s">
        <v>2322</v>
      </c>
      <c r="C74" s="52" t="s">
        <v>1926</v>
      </c>
      <c r="D74" s="53" t="s">
        <v>25</v>
      </c>
      <c r="E74" s="53" t="s">
        <v>26</v>
      </c>
      <c r="F74" s="54">
        <v>40.587178199999997</v>
      </c>
      <c r="G74" s="54">
        <v>-105.0770113</v>
      </c>
    </row>
    <row r="75" spans="1:7" ht="20" customHeight="1" x14ac:dyDescent="0.2">
      <c r="A75" s="55" t="s">
        <v>1737</v>
      </c>
      <c r="B75" s="56" t="s">
        <v>24</v>
      </c>
      <c r="C75" s="56" t="s">
        <v>1369</v>
      </c>
      <c r="D75" s="56" t="s">
        <v>25</v>
      </c>
      <c r="E75" s="56" t="s">
        <v>26</v>
      </c>
      <c r="F75" s="57">
        <v>37.561881100000001</v>
      </c>
      <c r="G75" s="57">
        <v>-122.266445</v>
      </c>
    </row>
    <row r="76" spans="1:7" ht="20" customHeight="1" x14ac:dyDescent="0.2">
      <c r="A76" s="49" t="s">
        <v>1488</v>
      </c>
      <c r="B76" s="52" t="s">
        <v>2322</v>
      </c>
      <c r="C76" s="52" t="s">
        <v>1951</v>
      </c>
      <c r="D76" s="53" t="s">
        <v>136</v>
      </c>
      <c r="E76" s="53" t="s">
        <v>53</v>
      </c>
      <c r="F76" s="54">
        <v>50.110644399999998</v>
      </c>
      <c r="G76" s="54">
        <v>8.6820917000000009</v>
      </c>
    </row>
    <row r="77" spans="1:7" ht="20" customHeight="1" x14ac:dyDescent="0.2">
      <c r="A77" s="49" t="s">
        <v>1329</v>
      </c>
      <c r="B77" s="52" t="s">
        <v>24</v>
      </c>
      <c r="C77" s="52" t="s">
        <v>1369</v>
      </c>
      <c r="D77" s="53" t="s">
        <v>25</v>
      </c>
      <c r="E77" s="53" t="s">
        <v>26</v>
      </c>
      <c r="F77" s="54">
        <v>37.548269699999999</v>
      </c>
      <c r="G77" s="54">
        <v>-121.98857099999999</v>
      </c>
    </row>
    <row r="78" spans="1:7" ht="20" customHeight="1" x14ac:dyDescent="0.2">
      <c r="A78" s="49" t="s">
        <v>1326</v>
      </c>
      <c r="B78" s="52" t="s">
        <v>2322</v>
      </c>
      <c r="C78" s="52" t="s">
        <v>1369</v>
      </c>
      <c r="D78" s="53" t="s">
        <v>25</v>
      </c>
      <c r="E78" s="53" t="s">
        <v>26</v>
      </c>
      <c r="F78" s="54">
        <v>36.739442099999998</v>
      </c>
      <c r="G78" s="54">
        <v>-119.78483</v>
      </c>
    </row>
    <row r="79" spans="1:7" ht="20" customHeight="1" x14ac:dyDescent="0.2">
      <c r="A79" s="49" t="s">
        <v>2279</v>
      </c>
      <c r="B79" s="52" t="s">
        <v>2322</v>
      </c>
      <c r="C79" s="52" t="s">
        <v>2326</v>
      </c>
      <c r="D79" s="53" t="s">
        <v>1340</v>
      </c>
      <c r="E79" s="53" t="s">
        <v>26</v>
      </c>
      <c r="F79" s="54">
        <v>19.295713927366101</v>
      </c>
      <c r="G79" s="54">
        <v>-81.380066921605305</v>
      </c>
    </row>
    <row r="80" spans="1:7" ht="20" customHeight="1" x14ac:dyDescent="0.2">
      <c r="A80" s="49" t="s">
        <v>1489</v>
      </c>
      <c r="B80" s="52" t="s">
        <v>2322</v>
      </c>
      <c r="C80" s="52" t="s">
        <v>2326</v>
      </c>
      <c r="D80" s="53" t="s">
        <v>1683</v>
      </c>
      <c r="E80" s="53" t="s">
        <v>53</v>
      </c>
      <c r="F80" s="54">
        <v>51.053828600000003</v>
      </c>
      <c r="G80" s="54">
        <v>3.7250120999999998</v>
      </c>
    </row>
    <row r="81" spans="1:7" ht="20" customHeight="1" x14ac:dyDescent="0.2">
      <c r="A81" s="49" t="s">
        <v>1719</v>
      </c>
      <c r="B81" s="53" t="s">
        <v>24</v>
      </c>
      <c r="C81" s="53" t="s">
        <v>1369</v>
      </c>
      <c r="D81" s="53" t="s">
        <v>25</v>
      </c>
      <c r="E81" s="53" t="s">
        <v>26</v>
      </c>
      <c r="F81" s="54">
        <v>37.006507800000001</v>
      </c>
      <c r="G81" s="54">
        <v>-121.56317230000001</v>
      </c>
    </row>
    <row r="82" spans="1:7" ht="20" customHeight="1" x14ac:dyDescent="0.2">
      <c r="A82" s="49" t="s">
        <v>669</v>
      </c>
      <c r="B82" s="52" t="s">
        <v>2322</v>
      </c>
      <c r="C82" s="52" t="s">
        <v>2326</v>
      </c>
      <c r="D82" s="53" t="s">
        <v>52</v>
      </c>
      <c r="E82" s="53" t="s">
        <v>53</v>
      </c>
      <c r="F82" s="54">
        <v>57.707232599999998</v>
      </c>
      <c r="G82" s="54">
        <v>11.9670171</v>
      </c>
    </row>
    <row r="83" spans="1:7" ht="20" customHeight="1" x14ac:dyDescent="0.2">
      <c r="A83" s="59" t="s">
        <v>1988</v>
      </c>
      <c r="B83" s="56" t="s">
        <v>2322</v>
      </c>
      <c r="C83" s="56" t="s">
        <v>1919</v>
      </c>
      <c r="D83" s="56" t="s">
        <v>25</v>
      </c>
      <c r="E83" s="56" t="s">
        <v>26</v>
      </c>
      <c r="F83" s="57">
        <v>42.966872187679101</v>
      </c>
      <c r="G83" s="57">
        <v>-85.658255274960297</v>
      </c>
    </row>
    <row r="84" spans="1:7" ht="20" customHeight="1" x14ac:dyDescent="0.2">
      <c r="A84" s="49" t="s">
        <v>1363</v>
      </c>
      <c r="B84" s="52" t="s">
        <v>2322</v>
      </c>
      <c r="C84" s="52" t="s">
        <v>1926</v>
      </c>
      <c r="D84" s="53" t="s">
        <v>25</v>
      </c>
      <c r="E84" s="53" t="s">
        <v>26</v>
      </c>
      <c r="F84" s="54">
        <v>39.617210100000001</v>
      </c>
      <c r="G84" s="54">
        <v>-104.95081399999999</v>
      </c>
    </row>
    <row r="85" spans="1:7" ht="20" customHeight="1" x14ac:dyDescent="0.2">
      <c r="A85" s="49" t="s">
        <v>1186</v>
      </c>
      <c r="B85" s="52" t="s">
        <v>2322</v>
      </c>
      <c r="C85" s="52" t="s">
        <v>2338</v>
      </c>
      <c r="D85" s="53" t="s">
        <v>1018</v>
      </c>
      <c r="E85" s="53" t="s">
        <v>26</v>
      </c>
      <c r="F85" s="54">
        <v>20.672037499999998</v>
      </c>
      <c r="G85" s="54">
        <v>-103.338396</v>
      </c>
    </row>
    <row r="86" spans="1:7" ht="20" customHeight="1" x14ac:dyDescent="0.2">
      <c r="A86" s="49" t="s">
        <v>2137</v>
      </c>
      <c r="B86" s="52" t="s">
        <v>2322</v>
      </c>
      <c r="C86" s="52" t="s">
        <v>2332</v>
      </c>
      <c r="D86" s="53" t="s">
        <v>1357</v>
      </c>
      <c r="E86" s="53" t="s">
        <v>53</v>
      </c>
      <c r="F86" s="54">
        <v>51.235467771035196</v>
      </c>
      <c r="G86" s="54">
        <v>-0.56847236065713302</v>
      </c>
    </row>
    <row r="87" spans="1:7" ht="20" customHeight="1" x14ac:dyDescent="0.2">
      <c r="A87" s="49" t="s">
        <v>182</v>
      </c>
      <c r="B87" s="52" t="s">
        <v>2322</v>
      </c>
      <c r="C87" s="52" t="s">
        <v>2339</v>
      </c>
      <c r="D87" s="53" t="s">
        <v>14</v>
      </c>
      <c r="E87" s="53" t="s">
        <v>15</v>
      </c>
      <c r="F87" s="54">
        <v>28.4646148</v>
      </c>
      <c r="G87" s="54">
        <v>77.029919399999997</v>
      </c>
    </row>
    <row r="88" spans="1:7" ht="20" customHeight="1" x14ac:dyDescent="0.2">
      <c r="A88" s="49" t="s">
        <v>19</v>
      </c>
      <c r="B88" s="52" t="s">
        <v>2322</v>
      </c>
      <c r="C88" s="52" t="s">
        <v>2326</v>
      </c>
      <c r="D88" s="53" t="s">
        <v>20</v>
      </c>
      <c r="E88" s="53" t="s">
        <v>15</v>
      </c>
      <c r="F88" s="54">
        <v>32.799312999999998</v>
      </c>
      <c r="G88" s="54">
        <v>34.989571715728196</v>
      </c>
    </row>
    <row r="89" spans="1:7" ht="20" customHeight="1" x14ac:dyDescent="0.2">
      <c r="A89" s="49" t="s">
        <v>588</v>
      </c>
      <c r="B89" s="52" t="s">
        <v>2322</v>
      </c>
      <c r="C89" s="52" t="s">
        <v>588</v>
      </c>
      <c r="D89" s="53" t="s">
        <v>136</v>
      </c>
      <c r="E89" s="53" t="s">
        <v>53</v>
      </c>
      <c r="F89" s="54">
        <v>53.550341000000003</v>
      </c>
      <c r="G89" s="54">
        <v>10.000654000000001</v>
      </c>
    </row>
    <row r="90" spans="1:7" ht="20" customHeight="1" x14ac:dyDescent="0.2">
      <c r="A90" s="49" t="s">
        <v>4549</v>
      </c>
      <c r="B90" s="52" t="s">
        <v>2322</v>
      </c>
      <c r="C90" s="52" t="s">
        <v>2326</v>
      </c>
      <c r="D90" s="53" t="s">
        <v>569</v>
      </c>
      <c r="E90" s="53" t="s">
        <v>15</v>
      </c>
      <c r="F90" s="54">
        <v>30.2707761799232</v>
      </c>
      <c r="G90" s="54">
        <v>120.210330393993</v>
      </c>
    </row>
    <row r="91" spans="1:7" ht="20" customHeight="1" x14ac:dyDescent="0.2">
      <c r="A91" s="49" t="s">
        <v>1467</v>
      </c>
      <c r="B91" s="52" t="s">
        <v>2322</v>
      </c>
      <c r="C91" s="52" t="s">
        <v>1933</v>
      </c>
      <c r="D91" s="53" t="s">
        <v>25</v>
      </c>
      <c r="E91" s="53" t="s">
        <v>26</v>
      </c>
      <c r="F91" s="54">
        <v>41.764581999999997</v>
      </c>
      <c r="G91" s="54">
        <v>-72.690854700000003</v>
      </c>
    </row>
    <row r="92" spans="1:7" ht="20" customHeight="1" x14ac:dyDescent="0.2">
      <c r="A92" s="49" t="s">
        <v>4561</v>
      </c>
      <c r="B92" s="52" t="s">
        <v>58</v>
      </c>
      <c r="C92" s="52" t="s">
        <v>2332</v>
      </c>
      <c r="D92" s="53" t="s">
        <v>1357</v>
      </c>
      <c r="E92" s="53" t="s">
        <v>53</v>
      </c>
      <c r="F92" s="54">
        <v>51.760068088661903</v>
      </c>
      <c r="G92" s="54">
        <v>-0.22349345472846099</v>
      </c>
    </row>
    <row r="93" spans="1:7" ht="20" customHeight="1" x14ac:dyDescent="0.2">
      <c r="A93" s="49" t="s">
        <v>1729</v>
      </c>
      <c r="B93" s="53" t="s">
        <v>24</v>
      </c>
      <c r="C93" s="53" t="s">
        <v>1369</v>
      </c>
      <c r="D93" s="53" t="s">
        <v>25</v>
      </c>
      <c r="E93" s="53" t="s">
        <v>26</v>
      </c>
      <c r="F93" s="54">
        <v>37.668820500000002</v>
      </c>
      <c r="G93" s="54">
        <v>-122.08079600000001</v>
      </c>
    </row>
    <row r="94" spans="1:7" ht="20" customHeight="1" x14ac:dyDescent="0.2">
      <c r="A94" s="49" t="s">
        <v>964</v>
      </c>
      <c r="B94" s="52" t="s">
        <v>2322</v>
      </c>
      <c r="C94" s="52" t="s">
        <v>2326</v>
      </c>
      <c r="D94" s="53" t="s">
        <v>965</v>
      </c>
      <c r="E94" s="53" t="s">
        <v>53</v>
      </c>
      <c r="F94" s="54">
        <v>60.1674881</v>
      </c>
      <c r="G94" s="54">
        <v>24.942747300000001</v>
      </c>
    </row>
    <row r="95" spans="1:7" ht="20" customHeight="1" x14ac:dyDescent="0.2">
      <c r="A95" s="49" t="s">
        <v>2174</v>
      </c>
      <c r="B95" s="52" t="s">
        <v>2322</v>
      </c>
      <c r="C95" s="52" t="s">
        <v>2326</v>
      </c>
      <c r="D95" s="53" t="s">
        <v>20</v>
      </c>
      <c r="E95" s="53" t="s">
        <v>15</v>
      </c>
      <c r="F95" s="54">
        <v>32.175277271939102</v>
      </c>
      <c r="G95" s="54">
        <v>34.829547799125997</v>
      </c>
    </row>
    <row r="96" spans="1:7" ht="20" customHeight="1" x14ac:dyDescent="0.2">
      <c r="A96" s="55" t="s">
        <v>1743</v>
      </c>
      <c r="B96" s="56" t="s">
        <v>2322</v>
      </c>
      <c r="C96" s="56" t="s">
        <v>1956</v>
      </c>
      <c r="D96" s="56" t="s">
        <v>25</v>
      </c>
      <c r="E96" s="56" t="s">
        <v>26</v>
      </c>
      <c r="F96" s="57">
        <v>40.330599999999997</v>
      </c>
      <c r="G96" s="57">
        <v>-74.141000000000005</v>
      </c>
    </row>
    <row r="97" spans="1:7" ht="20" customHeight="1" x14ac:dyDescent="0.2">
      <c r="A97" s="55" t="s">
        <v>2118</v>
      </c>
      <c r="B97" s="56" t="s">
        <v>2322</v>
      </c>
      <c r="C97" s="56" t="s">
        <v>2326</v>
      </c>
      <c r="D97" s="56" t="s">
        <v>20</v>
      </c>
      <c r="E97" s="56" t="s">
        <v>15</v>
      </c>
      <c r="F97" s="57">
        <v>32.018322929723702</v>
      </c>
      <c r="G97" s="57">
        <v>34.771423841420201</v>
      </c>
    </row>
    <row r="98" spans="1:7" ht="20" customHeight="1" x14ac:dyDescent="0.2">
      <c r="A98" s="49" t="s">
        <v>903</v>
      </c>
      <c r="B98" s="52" t="s">
        <v>2322</v>
      </c>
      <c r="C98" s="52" t="s">
        <v>2326</v>
      </c>
      <c r="D98" s="53" t="s">
        <v>903</v>
      </c>
      <c r="E98" s="53" t="s">
        <v>15</v>
      </c>
      <c r="F98" s="54">
        <v>22.279327800000001</v>
      </c>
      <c r="G98" s="54">
        <v>114.16281309999999</v>
      </c>
    </row>
    <row r="99" spans="1:7" ht="20" customHeight="1" x14ac:dyDescent="0.2">
      <c r="A99" s="49" t="s">
        <v>1365</v>
      </c>
      <c r="B99" s="52" t="s">
        <v>2322</v>
      </c>
      <c r="C99" s="52" t="s">
        <v>2326</v>
      </c>
      <c r="D99" s="53" t="s">
        <v>100</v>
      </c>
      <c r="E99" s="53" t="s">
        <v>53</v>
      </c>
      <c r="F99" s="54">
        <v>52.305554000000001</v>
      </c>
      <c r="G99" s="54">
        <v>4.6926644</v>
      </c>
    </row>
    <row r="100" spans="1:7" ht="20" customHeight="1" x14ac:dyDescent="0.2">
      <c r="A100" s="49" t="s">
        <v>2192</v>
      </c>
      <c r="B100" s="52" t="s">
        <v>2322</v>
      </c>
      <c r="C100" s="52" t="s">
        <v>1921</v>
      </c>
      <c r="D100" s="53" t="s">
        <v>25</v>
      </c>
      <c r="E100" s="53" t="s">
        <v>26</v>
      </c>
      <c r="F100" s="54">
        <v>29.724792550831499</v>
      </c>
      <c r="G100" s="54">
        <v>-95.329543368153296</v>
      </c>
    </row>
    <row r="101" spans="1:7" ht="20" customHeight="1" x14ac:dyDescent="0.2">
      <c r="A101" s="49" t="s">
        <v>1715</v>
      </c>
      <c r="B101" s="53" t="s">
        <v>2322</v>
      </c>
      <c r="C101" s="53" t="s">
        <v>1369</v>
      </c>
      <c r="D101" s="53" t="s">
        <v>25</v>
      </c>
      <c r="E101" s="53" t="s">
        <v>26</v>
      </c>
      <c r="F101" s="54">
        <v>33.678333600000002</v>
      </c>
      <c r="G101" s="54">
        <v>-118.000016</v>
      </c>
    </row>
    <row r="102" spans="1:7" ht="20" customHeight="1" x14ac:dyDescent="0.2">
      <c r="A102" s="49" t="s">
        <v>2253</v>
      </c>
      <c r="B102" s="53" t="s">
        <v>2322</v>
      </c>
      <c r="C102" s="53" t="s">
        <v>2340</v>
      </c>
      <c r="D102" s="53" t="s">
        <v>14</v>
      </c>
      <c r="E102" s="53" t="s">
        <v>15</v>
      </c>
      <c r="F102" s="54">
        <v>17.4212491186112</v>
      </c>
      <c r="G102" s="54">
        <v>78.388767125272906</v>
      </c>
    </row>
    <row r="103" spans="1:7" ht="20" customHeight="1" x14ac:dyDescent="0.2">
      <c r="A103" s="49" t="s">
        <v>824</v>
      </c>
      <c r="B103" s="52" t="s">
        <v>2322</v>
      </c>
      <c r="C103" s="52" t="s">
        <v>1934</v>
      </c>
      <c r="D103" s="53" t="s">
        <v>25</v>
      </c>
      <c r="E103" s="53" t="s">
        <v>26</v>
      </c>
      <c r="F103" s="54">
        <v>39.7683331</v>
      </c>
      <c r="G103" s="54">
        <v>-86.158350200000001</v>
      </c>
    </row>
    <row r="104" spans="1:7" ht="20" customHeight="1" x14ac:dyDescent="0.2">
      <c r="A104" s="49" t="s">
        <v>2257</v>
      </c>
      <c r="B104" s="52" t="s">
        <v>2322</v>
      </c>
      <c r="C104" s="52" t="s">
        <v>1369</v>
      </c>
      <c r="D104" s="53" t="s">
        <v>25</v>
      </c>
      <c r="E104" s="53" t="s">
        <v>26</v>
      </c>
      <c r="F104" s="54">
        <v>33.671740193463201</v>
      </c>
      <c r="G104" s="54">
        <v>-117.802915090542</v>
      </c>
    </row>
    <row r="105" spans="1:7" ht="20" customHeight="1" x14ac:dyDescent="0.2">
      <c r="A105" s="55" t="s">
        <v>1744</v>
      </c>
      <c r="B105" s="56" t="s">
        <v>2322</v>
      </c>
      <c r="C105" s="56" t="s">
        <v>2326</v>
      </c>
      <c r="D105" s="56" t="s">
        <v>1344</v>
      </c>
      <c r="E105" s="56" t="s">
        <v>15</v>
      </c>
      <c r="F105" s="57">
        <v>33.738045</v>
      </c>
      <c r="G105" s="57">
        <v>73.084487999999993</v>
      </c>
    </row>
    <row r="106" spans="1:7" ht="20" customHeight="1" x14ac:dyDescent="0.2">
      <c r="A106" s="49" t="s">
        <v>445</v>
      </c>
      <c r="B106" s="52" t="s">
        <v>2322</v>
      </c>
      <c r="C106" s="52" t="s">
        <v>2326</v>
      </c>
      <c r="D106" s="53" t="s">
        <v>446</v>
      </c>
      <c r="E106" s="53" t="s">
        <v>15</v>
      </c>
      <c r="F106" s="54">
        <v>-6.1752469999999997</v>
      </c>
      <c r="G106" s="54">
        <v>106.8270488</v>
      </c>
    </row>
    <row r="107" spans="1:7" ht="20" customHeight="1" x14ac:dyDescent="0.2">
      <c r="A107" s="49" t="s">
        <v>743</v>
      </c>
      <c r="B107" s="52" t="s">
        <v>2322</v>
      </c>
      <c r="C107" s="52" t="s">
        <v>2326</v>
      </c>
      <c r="D107" s="53" t="s">
        <v>20</v>
      </c>
      <c r="E107" s="53" t="s">
        <v>15</v>
      </c>
      <c r="F107" s="54">
        <v>31.788471850000001</v>
      </c>
      <c r="G107" s="54">
        <v>35.218794410944902</v>
      </c>
    </row>
    <row r="108" spans="1:7" ht="20" customHeight="1" x14ac:dyDescent="0.2">
      <c r="A108" s="49" t="s">
        <v>1132</v>
      </c>
      <c r="B108" s="52" t="s">
        <v>2322</v>
      </c>
      <c r="C108" s="52" t="s">
        <v>2330</v>
      </c>
      <c r="D108" s="53" t="s">
        <v>188</v>
      </c>
      <c r="E108" s="53" t="s">
        <v>189</v>
      </c>
      <c r="F108" s="54">
        <v>-26.304489799999999</v>
      </c>
      <c r="G108" s="54">
        <v>-48.8486726</v>
      </c>
    </row>
    <row r="109" spans="1:7" ht="20" customHeight="1" x14ac:dyDescent="0.2">
      <c r="A109" s="49" t="s">
        <v>2152</v>
      </c>
      <c r="B109" s="52" t="s">
        <v>2341</v>
      </c>
      <c r="C109" s="52" t="s">
        <v>2341</v>
      </c>
      <c r="D109" s="53" t="s">
        <v>548</v>
      </c>
      <c r="E109" s="53" t="s">
        <v>15</v>
      </c>
      <c r="F109" s="54">
        <v>34.7375356622765</v>
      </c>
      <c r="G109" s="54">
        <v>135.59754620382699</v>
      </c>
    </row>
    <row r="110" spans="1:7" ht="20" customHeight="1" x14ac:dyDescent="0.2">
      <c r="A110" s="49" t="s">
        <v>103</v>
      </c>
      <c r="B110" s="52" t="s">
        <v>2322</v>
      </c>
      <c r="C110" s="52" t="s">
        <v>1935</v>
      </c>
      <c r="D110" s="53" t="s">
        <v>25</v>
      </c>
      <c r="E110" s="53" t="s">
        <v>26</v>
      </c>
      <c r="F110" s="54">
        <v>39.100104999999999</v>
      </c>
      <c r="G110" s="54">
        <v>-94.578141599999995</v>
      </c>
    </row>
    <row r="111" spans="1:7" ht="20" customHeight="1" x14ac:dyDescent="0.2">
      <c r="A111" s="49" t="s">
        <v>1343</v>
      </c>
      <c r="B111" s="52" t="s">
        <v>2322</v>
      </c>
      <c r="C111" s="52" t="s">
        <v>2326</v>
      </c>
      <c r="D111" s="53" t="s">
        <v>1344</v>
      </c>
      <c r="E111" s="53" t="s">
        <v>15</v>
      </c>
      <c r="F111" s="54">
        <v>24.854684200000001</v>
      </c>
      <c r="G111" s="54">
        <v>67.020705500000005</v>
      </c>
    </row>
    <row r="112" spans="1:7" ht="20" customHeight="1" x14ac:dyDescent="0.2">
      <c r="A112" s="49" t="s">
        <v>491</v>
      </c>
      <c r="B112" s="52" t="s">
        <v>2322</v>
      </c>
      <c r="C112" s="52" t="s">
        <v>1952</v>
      </c>
      <c r="D112" s="53" t="s">
        <v>136</v>
      </c>
      <c r="E112" s="53" t="s">
        <v>53</v>
      </c>
      <c r="F112" s="54">
        <v>49.006870499999998</v>
      </c>
      <c r="G112" s="54">
        <v>8.4034195</v>
      </c>
    </row>
    <row r="113" spans="1:7" ht="20" customHeight="1" x14ac:dyDescent="0.2">
      <c r="A113" s="49" t="s">
        <v>285</v>
      </c>
      <c r="B113" s="52" t="s">
        <v>2322</v>
      </c>
      <c r="C113" s="52" t="s">
        <v>2326</v>
      </c>
      <c r="D113" s="53" t="s">
        <v>20</v>
      </c>
      <c r="E113" s="53" t="s">
        <v>15</v>
      </c>
      <c r="F113" s="54">
        <v>32.180234849999998</v>
      </c>
      <c r="G113" s="54">
        <v>34.918054204052297</v>
      </c>
    </row>
    <row r="114" spans="1:7" ht="20" customHeight="1" x14ac:dyDescent="0.2">
      <c r="A114" s="49" t="s">
        <v>508</v>
      </c>
      <c r="B114" s="52" t="s">
        <v>2322</v>
      </c>
      <c r="C114" s="52" t="s">
        <v>1953</v>
      </c>
      <c r="D114" s="53" t="s">
        <v>136</v>
      </c>
      <c r="E114" s="53" t="s">
        <v>53</v>
      </c>
      <c r="F114" s="54">
        <v>54.322708499999997</v>
      </c>
      <c r="G114" s="54">
        <v>10.135555</v>
      </c>
    </row>
    <row r="115" spans="1:7" ht="20" customHeight="1" x14ac:dyDescent="0.2">
      <c r="A115" s="49" t="s">
        <v>390</v>
      </c>
      <c r="B115" s="52" t="s">
        <v>2322</v>
      </c>
      <c r="C115" s="52" t="s">
        <v>2342</v>
      </c>
      <c r="D115" s="53" t="s">
        <v>95</v>
      </c>
      <c r="E115" s="53" t="s">
        <v>26</v>
      </c>
      <c r="F115" s="54">
        <v>43.451290999999998</v>
      </c>
      <c r="G115" s="54">
        <v>-80.492781500000007</v>
      </c>
    </row>
    <row r="116" spans="1:7" ht="20" customHeight="1" x14ac:dyDescent="0.2">
      <c r="A116" s="49" t="s">
        <v>1333</v>
      </c>
      <c r="B116" s="52" t="s">
        <v>2322</v>
      </c>
      <c r="C116" s="52" t="s">
        <v>2326</v>
      </c>
      <c r="D116" s="53" t="s">
        <v>1334</v>
      </c>
      <c r="E116" s="53" t="s">
        <v>53</v>
      </c>
      <c r="F116" s="54">
        <v>50.046943200000001</v>
      </c>
      <c r="G116" s="54">
        <v>19.997153435836601</v>
      </c>
    </row>
    <row r="117" spans="1:7" ht="20" customHeight="1" x14ac:dyDescent="0.2">
      <c r="A117" s="49" t="s">
        <v>992</v>
      </c>
      <c r="B117" s="52" t="s">
        <v>2322</v>
      </c>
      <c r="C117" s="52" t="s">
        <v>2326</v>
      </c>
      <c r="D117" s="53" t="s">
        <v>993</v>
      </c>
      <c r="E117" s="53" t="s">
        <v>15</v>
      </c>
      <c r="F117" s="54">
        <v>3.1516964000000001</v>
      </c>
      <c r="G117" s="54">
        <v>101.6942371</v>
      </c>
    </row>
    <row r="118" spans="1:7" ht="20" customHeight="1" x14ac:dyDescent="0.2">
      <c r="A118" s="49" t="s">
        <v>655</v>
      </c>
      <c r="B118" s="52" t="s">
        <v>2322</v>
      </c>
      <c r="C118" s="52" t="s">
        <v>2326</v>
      </c>
      <c r="D118" s="53" t="s">
        <v>656</v>
      </c>
      <c r="E118" s="53" t="s">
        <v>166</v>
      </c>
      <c r="F118" s="54">
        <v>6.4550574999999997</v>
      </c>
      <c r="G118" s="54">
        <v>3.3941794999999999</v>
      </c>
    </row>
    <row r="119" spans="1:7" ht="20" customHeight="1" x14ac:dyDescent="0.2">
      <c r="A119" s="49" t="s">
        <v>1079</v>
      </c>
      <c r="B119" s="52" t="s">
        <v>2322</v>
      </c>
      <c r="C119" s="52" t="s">
        <v>1936</v>
      </c>
      <c r="D119" s="53" t="s">
        <v>25</v>
      </c>
      <c r="E119" s="53" t="s">
        <v>26</v>
      </c>
      <c r="F119" s="54">
        <v>36.167255900000001</v>
      </c>
      <c r="G119" s="54">
        <v>-115.148516</v>
      </c>
    </row>
    <row r="120" spans="1:7" ht="20" customHeight="1" x14ac:dyDescent="0.2">
      <c r="A120" s="49" t="s">
        <v>1367</v>
      </c>
      <c r="B120" s="52" t="s">
        <v>2322</v>
      </c>
      <c r="C120" s="52" t="s">
        <v>2332</v>
      </c>
      <c r="D120" s="53" t="s">
        <v>1357</v>
      </c>
      <c r="E120" s="53" t="s">
        <v>53</v>
      </c>
      <c r="F120" s="54">
        <v>52.291339399999998</v>
      </c>
      <c r="G120" s="54">
        <v>-1.5364040000000001</v>
      </c>
    </row>
    <row r="121" spans="1:7" ht="20" customHeight="1" x14ac:dyDescent="0.2">
      <c r="A121" s="49" t="s">
        <v>699</v>
      </c>
      <c r="B121" s="52" t="s">
        <v>2322</v>
      </c>
      <c r="C121" s="52" t="s">
        <v>1937</v>
      </c>
      <c r="D121" s="53" t="s">
        <v>25</v>
      </c>
      <c r="E121" s="53" t="s">
        <v>26</v>
      </c>
      <c r="F121" s="54">
        <v>40.3881114</v>
      </c>
      <c r="G121" s="54">
        <v>-111.84860190000001</v>
      </c>
    </row>
    <row r="122" spans="1:7" ht="20" customHeight="1" x14ac:dyDescent="0.2">
      <c r="A122" s="49" t="s">
        <v>4670</v>
      </c>
      <c r="B122" s="52" t="s">
        <v>2322</v>
      </c>
      <c r="C122" s="52" t="s">
        <v>2326</v>
      </c>
      <c r="D122" s="53" t="s">
        <v>2025</v>
      </c>
      <c r="E122" s="53" t="s">
        <v>53</v>
      </c>
      <c r="F122" s="54">
        <v>34.684085744459601</v>
      </c>
      <c r="G122" s="54">
        <v>33.056589549976501</v>
      </c>
    </row>
    <row r="123" spans="1:7" ht="20" customHeight="1" x14ac:dyDescent="0.2">
      <c r="A123" s="55" t="s">
        <v>1738</v>
      </c>
      <c r="B123" s="56" t="s">
        <v>2322</v>
      </c>
      <c r="C123" s="56" t="s">
        <v>2326</v>
      </c>
      <c r="D123" s="56" t="s">
        <v>938</v>
      </c>
      <c r="E123" s="56" t="s">
        <v>53</v>
      </c>
      <c r="F123" s="57">
        <v>48.30639</v>
      </c>
      <c r="G123" s="57">
        <v>14.286110000000001</v>
      </c>
    </row>
    <row r="124" spans="1:7" ht="20" customHeight="1" x14ac:dyDescent="0.2">
      <c r="A124" s="49" t="s">
        <v>1225</v>
      </c>
      <c r="B124" s="52" t="s">
        <v>2322</v>
      </c>
      <c r="C124" s="52" t="s">
        <v>2326</v>
      </c>
      <c r="D124" s="53" t="s">
        <v>1226</v>
      </c>
      <c r="E124" s="53" t="s">
        <v>53</v>
      </c>
      <c r="F124" s="54">
        <v>38.707750699999998</v>
      </c>
      <c r="G124" s="54">
        <v>-9.1365919000000009</v>
      </c>
    </row>
    <row r="125" spans="1:7" ht="20" customHeight="1" x14ac:dyDescent="0.2">
      <c r="A125" s="49" t="s">
        <v>2034</v>
      </c>
      <c r="B125" s="52" t="s">
        <v>2322</v>
      </c>
      <c r="C125" s="52" t="s">
        <v>2082</v>
      </c>
      <c r="D125" s="53" t="s">
        <v>25</v>
      </c>
      <c r="E125" s="53" t="s">
        <v>26</v>
      </c>
      <c r="F125" s="54">
        <v>34.734997059999998</v>
      </c>
      <c r="G125" s="54">
        <v>-92.325332032000006</v>
      </c>
    </row>
    <row r="126" spans="1:7" ht="20" customHeight="1" x14ac:dyDescent="0.2">
      <c r="A126" s="59" t="s">
        <v>1986</v>
      </c>
      <c r="B126" s="56" t="s">
        <v>24</v>
      </c>
      <c r="C126" s="56" t="s">
        <v>1369</v>
      </c>
      <c r="D126" s="56" t="s">
        <v>25</v>
      </c>
      <c r="E126" s="56" t="s">
        <v>26</v>
      </c>
      <c r="F126" s="57">
        <v>37.684023374031</v>
      </c>
      <c r="G126" s="57">
        <v>-121.771291918299</v>
      </c>
    </row>
    <row r="127" spans="1:7" ht="20" customHeight="1" x14ac:dyDescent="0.2">
      <c r="A127" s="49" t="s">
        <v>1350</v>
      </c>
      <c r="B127" s="52" t="s">
        <v>2322</v>
      </c>
      <c r="C127" s="52" t="s">
        <v>2326</v>
      </c>
      <c r="D127" s="53" t="s">
        <v>1334</v>
      </c>
      <c r="E127" s="53" t="s">
        <v>53</v>
      </c>
      <c r="F127" s="54">
        <v>51.768732300000003</v>
      </c>
      <c r="G127" s="54">
        <v>19.4569911</v>
      </c>
    </row>
    <row r="128" spans="1:7" ht="20" customHeight="1" x14ac:dyDescent="0.2">
      <c r="A128" s="49" t="s">
        <v>688</v>
      </c>
      <c r="B128" s="52" t="s">
        <v>2322</v>
      </c>
      <c r="C128" s="52" t="s">
        <v>1937</v>
      </c>
      <c r="D128" s="53" t="s">
        <v>25</v>
      </c>
      <c r="E128" s="53" t="s">
        <v>26</v>
      </c>
      <c r="F128" s="54">
        <v>40.107508899999999</v>
      </c>
      <c r="G128" s="54">
        <v>-89.3768539</v>
      </c>
    </row>
    <row r="129" spans="1:7" ht="20" customHeight="1" x14ac:dyDescent="0.2">
      <c r="A129" s="49" t="s">
        <v>58</v>
      </c>
      <c r="B129" s="52" t="s">
        <v>2322</v>
      </c>
      <c r="C129" s="52" t="s">
        <v>2332</v>
      </c>
      <c r="D129" s="53" t="s">
        <v>1357</v>
      </c>
      <c r="E129" s="53" t="s">
        <v>53</v>
      </c>
      <c r="F129" s="54">
        <v>51.489333500000001</v>
      </c>
      <c r="G129" s="54">
        <v>-0.14405508452768701</v>
      </c>
    </row>
    <row r="130" spans="1:7" ht="20" customHeight="1" x14ac:dyDescent="0.2">
      <c r="A130" s="49" t="s">
        <v>2149</v>
      </c>
      <c r="B130" s="52" t="s">
        <v>2322</v>
      </c>
      <c r="C130" s="52" t="s">
        <v>2332</v>
      </c>
      <c r="D130" s="53" t="s">
        <v>1357</v>
      </c>
      <c r="E130" s="53" t="s">
        <v>53</v>
      </c>
      <c r="F130" s="54">
        <v>51.7160867101462</v>
      </c>
      <c r="G130" s="54">
        <v>-0.28567613987442197</v>
      </c>
    </row>
    <row r="131" spans="1:7" ht="20" customHeight="1" x14ac:dyDescent="0.2">
      <c r="A131" s="49" t="s">
        <v>2083</v>
      </c>
      <c r="B131" s="52" t="s">
        <v>24</v>
      </c>
      <c r="C131" s="52" t="s">
        <v>1369</v>
      </c>
      <c r="D131" s="53" t="s">
        <v>25</v>
      </c>
      <c r="E131" s="53" t="s">
        <v>26</v>
      </c>
      <c r="F131" s="54">
        <v>37.385219999999997</v>
      </c>
      <c r="G131" s="54">
        <v>-122.11413</v>
      </c>
    </row>
    <row r="132" spans="1:7" ht="20" customHeight="1" x14ac:dyDescent="0.2">
      <c r="A132" s="49" t="s">
        <v>76</v>
      </c>
      <c r="B132" s="52" t="s">
        <v>2322</v>
      </c>
      <c r="C132" s="52" t="s">
        <v>1369</v>
      </c>
      <c r="D132" s="53" t="s">
        <v>25</v>
      </c>
      <c r="E132" s="53" t="s">
        <v>26</v>
      </c>
      <c r="F132" s="54">
        <v>34.053690899999999</v>
      </c>
      <c r="G132" s="54">
        <v>-118.242766</v>
      </c>
    </row>
    <row r="133" spans="1:7" ht="20" customHeight="1" x14ac:dyDescent="0.2">
      <c r="A133" s="49" t="s">
        <v>1723</v>
      </c>
      <c r="B133" s="53" t="s">
        <v>24</v>
      </c>
      <c r="C133" s="53" t="s">
        <v>1369</v>
      </c>
      <c r="D133" s="53" t="s">
        <v>25</v>
      </c>
      <c r="E133" s="53" t="s">
        <v>26</v>
      </c>
      <c r="F133" s="54">
        <v>37.226610999999998</v>
      </c>
      <c r="G133" s="54">
        <v>-121.9746797</v>
      </c>
    </row>
    <row r="134" spans="1:7" ht="20" customHeight="1" x14ac:dyDescent="0.2">
      <c r="A134" s="59" t="s">
        <v>2008</v>
      </c>
      <c r="B134" s="56" t="s">
        <v>2322</v>
      </c>
      <c r="C134" s="56" t="s">
        <v>2026</v>
      </c>
      <c r="D134" s="56" t="s">
        <v>25</v>
      </c>
      <c r="E134" s="56" t="s">
        <v>26</v>
      </c>
      <c r="F134" s="57">
        <v>38.223999104000001</v>
      </c>
      <c r="G134" s="57">
        <v>-85.742997028000005</v>
      </c>
    </row>
    <row r="135" spans="1:7" ht="20" customHeight="1" x14ac:dyDescent="0.2">
      <c r="A135" s="49" t="s">
        <v>2122</v>
      </c>
      <c r="B135" s="53" t="s">
        <v>2322</v>
      </c>
      <c r="C135" s="53" t="s">
        <v>2326</v>
      </c>
      <c r="D135" s="53" t="s">
        <v>2122</v>
      </c>
      <c r="E135" s="53" t="s">
        <v>53</v>
      </c>
      <c r="F135" s="54">
        <v>49.609567093187401</v>
      </c>
      <c r="G135" s="54">
        <v>6.1335749402626298</v>
      </c>
    </row>
    <row r="136" spans="1:7" ht="20" customHeight="1" x14ac:dyDescent="0.2">
      <c r="A136" s="49" t="s">
        <v>387</v>
      </c>
      <c r="B136" s="52" t="s">
        <v>2322</v>
      </c>
      <c r="C136" s="52" t="s">
        <v>1938</v>
      </c>
      <c r="D136" s="53" t="s">
        <v>25</v>
      </c>
      <c r="E136" s="53" t="s">
        <v>26</v>
      </c>
      <c r="F136" s="54">
        <v>43.074761000000002</v>
      </c>
      <c r="G136" s="54">
        <v>-89.383761300000003</v>
      </c>
    </row>
    <row r="137" spans="1:7" ht="20" customHeight="1" x14ac:dyDescent="0.2">
      <c r="A137" s="49" t="s">
        <v>357</v>
      </c>
      <c r="B137" s="52" t="s">
        <v>2322</v>
      </c>
      <c r="C137" s="52" t="s">
        <v>2343</v>
      </c>
      <c r="D137" s="53" t="s">
        <v>358</v>
      </c>
      <c r="E137" s="53" t="s">
        <v>53</v>
      </c>
      <c r="F137" s="54">
        <v>40.416704699999997</v>
      </c>
      <c r="G137" s="54">
        <v>-3.7035825</v>
      </c>
    </row>
    <row r="138" spans="1:7" ht="20" customHeight="1" x14ac:dyDescent="0.2">
      <c r="A138" s="49" t="s">
        <v>987</v>
      </c>
      <c r="B138" s="52" t="s">
        <v>2322</v>
      </c>
      <c r="C138" s="52" t="s">
        <v>2326</v>
      </c>
      <c r="D138" s="53" t="s">
        <v>52</v>
      </c>
      <c r="E138" s="53" t="s">
        <v>53</v>
      </c>
      <c r="F138" s="54">
        <v>55.605293099999997</v>
      </c>
      <c r="G138" s="54">
        <v>13.0001566</v>
      </c>
    </row>
    <row r="139" spans="1:7" ht="20" customHeight="1" x14ac:dyDescent="0.2">
      <c r="A139" s="49" t="s">
        <v>1335</v>
      </c>
      <c r="B139" s="52" t="s">
        <v>2322</v>
      </c>
      <c r="C139" s="52" t="s">
        <v>2332</v>
      </c>
      <c r="D139" s="53" t="s">
        <v>1357</v>
      </c>
      <c r="E139" s="53" t="s">
        <v>53</v>
      </c>
      <c r="F139" s="54">
        <v>53.479489200000003</v>
      </c>
      <c r="G139" s="54">
        <v>-2.2451148000000001</v>
      </c>
    </row>
    <row r="140" spans="1:7" ht="20" customHeight="1" x14ac:dyDescent="0.2">
      <c r="A140" s="49" t="s">
        <v>4564</v>
      </c>
      <c r="B140" s="52" t="s">
        <v>4760</v>
      </c>
      <c r="C140" s="52" t="s">
        <v>4759</v>
      </c>
      <c r="D140" s="53" t="s">
        <v>25</v>
      </c>
      <c r="E140" s="53" t="s">
        <v>26</v>
      </c>
      <c r="F140" s="54">
        <v>38.944883105931197</v>
      </c>
      <c r="G140" s="54">
        <v>-77.187318735298206</v>
      </c>
    </row>
    <row r="141" spans="1:7" ht="20" customHeight="1" x14ac:dyDescent="0.2">
      <c r="A141" s="49" t="s">
        <v>267</v>
      </c>
      <c r="B141" s="52" t="s">
        <v>2322</v>
      </c>
      <c r="C141" s="52" t="s">
        <v>2344</v>
      </c>
      <c r="D141" s="53" t="s">
        <v>199</v>
      </c>
      <c r="E141" s="53" t="s">
        <v>1890</v>
      </c>
      <c r="F141" s="54">
        <v>-37.814245399999997</v>
      </c>
      <c r="G141" s="54">
        <v>144.9631732</v>
      </c>
    </row>
    <row r="142" spans="1:7" ht="20" customHeight="1" x14ac:dyDescent="0.2">
      <c r="A142" s="49" t="s">
        <v>1345</v>
      </c>
      <c r="B142" s="52" t="s">
        <v>2322</v>
      </c>
      <c r="C142" s="52" t="s">
        <v>1939</v>
      </c>
      <c r="D142" s="53" t="s">
        <v>25</v>
      </c>
      <c r="E142" s="53" t="s">
        <v>26</v>
      </c>
      <c r="F142" s="54">
        <v>35.1460249</v>
      </c>
      <c r="G142" s="54">
        <v>-90.051763800000003</v>
      </c>
    </row>
    <row r="143" spans="1:7" ht="20" customHeight="1" x14ac:dyDescent="0.2">
      <c r="A143" s="49" t="s">
        <v>1443</v>
      </c>
      <c r="B143" s="53" t="s">
        <v>24</v>
      </c>
      <c r="C143" s="53" t="s">
        <v>1369</v>
      </c>
      <c r="D143" s="53" t="s">
        <v>25</v>
      </c>
      <c r="E143" s="53" t="s">
        <v>26</v>
      </c>
      <c r="F143" s="54">
        <v>37.451967099999997</v>
      </c>
      <c r="G143" s="54">
        <v>-122.177992</v>
      </c>
    </row>
    <row r="144" spans="1:7" ht="20" customHeight="1" x14ac:dyDescent="0.2">
      <c r="A144" s="49" t="s">
        <v>1017</v>
      </c>
      <c r="B144" s="52" t="s">
        <v>2322</v>
      </c>
      <c r="C144" s="52" t="s">
        <v>2326</v>
      </c>
      <c r="D144" s="53" t="s">
        <v>1018</v>
      </c>
      <c r="E144" s="53" t="s">
        <v>26</v>
      </c>
      <c r="F144" s="54">
        <v>19.432629599999999</v>
      </c>
      <c r="G144" s="54">
        <v>-99.1331785</v>
      </c>
    </row>
    <row r="145" spans="1:7" ht="20" customHeight="1" x14ac:dyDescent="0.2">
      <c r="A145" s="49" t="s">
        <v>220</v>
      </c>
      <c r="B145" s="52" t="s">
        <v>2322</v>
      </c>
      <c r="C145" s="52" t="s">
        <v>1931</v>
      </c>
      <c r="D145" s="53" t="s">
        <v>25</v>
      </c>
      <c r="E145" s="53" t="s">
        <v>26</v>
      </c>
      <c r="F145" s="54">
        <v>25.774172799999999</v>
      </c>
      <c r="G145" s="54">
        <v>-80.193619999999996</v>
      </c>
    </row>
    <row r="146" spans="1:7" ht="20" customHeight="1" x14ac:dyDescent="0.2">
      <c r="A146" s="49" t="s">
        <v>1706</v>
      </c>
      <c r="B146" s="53" t="s">
        <v>24</v>
      </c>
      <c r="C146" s="53" t="s">
        <v>1369</v>
      </c>
      <c r="D146" s="53" t="s">
        <v>25</v>
      </c>
      <c r="E146" s="53" t="s">
        <v>26</v>
      </c>
      <c r="F146" s="54">
        <v>37.433227299999999</v>
      </c>
      <c r="G146" s="54">
        <v>-121.8989248</v>
      </c>
    </row>
    <row r="147" spans="1:7" ht="20" customHeight="1" x14ac:dyDescent="0.2">
      <c r="A147" s="49" t="s">
        <v>1210</v>
      </c>
      <c r="B147" s="52" t="s">
        <v>2322</v>
      </c>
      <c r="C147" s="52" t="s">
        <v>1938</v>
      </c>
      <c r="D147" s="53" t="s">
        <v>25</v>
      </c>
      <c r="E147" s="53" t="s">
        <v>26</v>
      </c>
      <c r="F147" s="54">
        <v>43.038647500000003</v>
      </c>
      <c r="G147" s="54">
        <v>-87.909075099999995</v>
      </c>
    </row>
    <row r="148" spans="1:7" ht="20" customHeight="1" x14ac:dyDescent="0.2">
      <c r="A148" s="49" t="s">
        <v>2228</v>
      </c>
      <c r="B148" s="52" t="s">
        <v>547</v>
      </c>
      <c r="C148" s="52" t="s">
        <v>547</v>
      </c>
      <c r="D148" s="53" t="s">
        <v>548</v>
      </c>
      <c r="E148" s="53" t="s">
        <v>15</v>
      </c>
      <c r="F148" s="54">
        <v>35.637643052983499</v>
      </c>
      <c r="G148" s="54">
        <v>139.729558441938</v>
      </c>
    </row>
    <row r="149" spans="1:7" ht="20" customHeight="1" x14ac:dyDescent="0.2">
      <c r="A149" s="49" t="s">
        <v>392</v>
      </c>
      <c r="B149" s="52" t="s">
        <v>2322</v>
      </c>
      <c r="C149" s="52" t="s">
        <v>1940</v>
      </c>
      <c r="D149" s="53" t="s">
        <v>25</v>
      </c>
      <c r="E149" s="53" t="s">
        <v>26</v>
      </c>
      <c r="F149" s="54">
        <v>44.977299500000001</v>
      </c>
      <c r="G149" s="54">
        <v>-93.265469199999998</v>
      </c>
    </row>
    <row r="150" spans="1:7" ht="20" customHeight="1" x14ac:dyDescent="0.2">
      <c r="A150" s="49" t="s">
        <v>1167</v>
      </c>
      <c r="B150" s="52" t="s">
        <v>2322</v>
      </c>
      <c r="C150" s="52" t="s">
        <v>1941</v>
      </c>
      <c r="D150" s="53" t="s">
        <v>25</v>
      </c>
      <c r="E150" s="53" t="s">
        <v>26</v>
      </c>
      <c r="F150" s="54">
        <v>46.870104900000001</v>
      </c>
      <c r="G150" s="54">
        <v>-113.995267</v>
      </c>
    </row>
    <row r="151" spans="1:7" ht="20" customHeight="1" x14ac:dyDescent="0.2">
      <c r="A151" s="49" t="s">
        <v>1432</v>
      </c>
      <c r="B151" s="52" t="s">
        <v>2322</v>
      </c>
      <c r="C151" s="52" t="s">
        <v>2326</v>
      </c>
      <c r="D151" s="53" t="s">
        <v>1433</v>
      </c>
      <c r="E151" s="53" t="s">
        <v>189</v>
      </c>
      <c r="F151" s="54">
        <v>-34.901111999999998</v>
      </c>
      <c r="G151" s="54">
        <v>-56.164532000000001</v>
      </c>
    </row>
    <row r="152" spans="1:7" ht="20" customHeight="1" x14ac:dyDescent="0.2">
      <c r="A152" s="49" t="s">
        <v>115</v>
      </c>
      <c r="B152" s="52" t="s">
        <v>2322</v>
      </c>
      <c r="C152" s="52" t="s">
        <v>2090</v>
      </c>
      <c r="D152" s="53" t="s">
        <v>95</v>
      </c>
      <c r="E152" s="53" t="s">
        <v>26</v>
      </c>
      <c r="F152" s="54">
        <v>45.5031824</v>
      </c>
      <c r="G152" s="54">
        <v>-73.569806499999999</v>
      </c>
    </row>
    <row r="153" spans="1:7" ht="20" customHeight="1" x14ac:dyDescent="0.2">
      <c r="A153" s="49" t="s">
        <v>2299</v>
      </c>
      <c r="B153" s="52" t="s">
        <v>2322</v>
      </c>
      <c r="C153" s="52" t="s">
        <v>1932</v>
      </c>
      <c r="D153" s="53" t="s">
        <v>25</v>
      </c>
      <c r="E153" s="53" t="s">
        <v>26</v>
      </c>
      <c r="F153" s="54">
        <v>35.816259357005599</v>
      </c>
      <c r="G153" s="54">
        <v>-78.834884194677699</v>
      </c>
    </row>
    <row r="154" spans="1:7" ht="20" customHeight="1" x14ac:dyDescent="0.2">
      <c r="A154" s="49" t="s">
        <v>1036</v>
      </c>
      <c r="B154" s="52" t="s">
        <v>2322</v>
      </c>
      <c r="C154" s="52" t="s">
        <v>2326</v>
      </c>
      <c r="D154" s="53" t="s">
        <v>1037</v>
      </c>
      <c r="E154" s="53" t="s">
        <v>53</v>
      </c>
      <c r="F154" s="54">
        <v>55.750541200000001</v>
      </c>
      <c r="G154" s="54">
        <v>37.617478200000001</v>
      </c>
    </row>
    <row r="155" spans="1:7" ht="20" customHeight="1" x14ac:dyDescent="0.2">
      <c r="A155" s="49" t="s">
        <v>1408</v>
      </c>
      <c r="B155" s="53" t="s">
        <v>24</v>
      </c>
      <c r="C155" s="53" t="s">
        <v>1369</v>
      </c>
      <c r="D155" s="53" t="s">
        <v>25</v>
      </c>
      <c r="E155" s="53" t="s">
        <v>26</v>
      </c>
      <c r="F155" s="54">
        <v>37.3893889</v>
      </c>
      <c r="G155" s="54">
        <v>-122.0832101</v>
      </c>
    </row>
    <row r="156" spans="1:7" ht="20" customHeight="1" x14ac:dyDescent="0.2">
      <c r="A156" s="49" t="s">
        <v>56</v>
      </c>
      <c r="B156" s="52" t="s">
        <v>2322</v>
      </c>
      <c r="C156" s="52" t="s">
        <v>2345</v>
      </c>
      <c r="D156" s="53" t="s">
        <v>14</v>
      </c>
      <c r="E156" s="53" t="s">
        <v>15</v>
      </c>
      <c r="F156" s="54">
        <v>19.078545099999999</v>
      </c>
      <c r="G156" s="54">
        <v>72.878175999999996</v>
      </c>
    </row>
    <row r="157" spans="1:7" ht="20" customHeight="1" x14ac:dyDescent="0.2">
      <c r="A157" s="49" t="s">
        <v>600</v>
      </c>
      <c r="B157" s="52" t="s">
        <v>2322</v>
      </c>
      <c r="C157" s="52" t="s">
        <v>1954</v>
      </c>
      <c r="D157" s="53" t="s">
        <v>136</v>
      </c>
      <c r="E157" s="53" t="s">
        <v>53</v>
      </c>
      <c r="F157" s="54">
        <v>48.137107899999997</v>
      </c>
      <c r="G157" s="54">
        <v>11.5753822</v>
      </c>
    </row>
    <row r="158" spans="1:7" ht="20" customHeight="1" x14ac:dyDescent="0.2">
      <c r="A158" s="49" t="s">
        <v>164</v>
      </c>
      <c r="B158" s="52" t="s">
        <v>2322</v>
      </c>
      <c r="C158" s="52" t="s">
        <v>2326</v>
      </c>
      <c r="D158" s="53" t="s">
        <v>165</v>
      </c>
      <c r="E158" s="53" t="s">
        <v>166</v>
      </c>
      <c r="F158" s="54">
        <v>-1.2832532999999999</v>
      </c>
      <c r="G158" s="54">
        <v>36.817244899999999</v>
      </c>
    </row>
    <row r="159" spans="1:7" ht="20" customHeight="1" x14ac:dyDescent="0.2">
      <c r="A159" s="49" t="s">
        <v>1336</v>
      </c>
      <c r="B159" s="52" t="s">
        <v>2322</v>
      </c>
      <c r="C159" s="52" t="s">
        <v>2345</v>
      </c>
      <c r="D159" s="53" t="s">
        <v>14</v>
      </c>
      <c r="E159" s="53" t="s">
        <v>15</v>
      </c>
      <c r="F159" s="54">
        <v>20.0112475</v>
      </c>
      <c r="G159" s="54">
        <v>73.790236399999998</v>
      </c>
    </row>
    <row r="160" spans="1:7" ht="20" customHeight="1" x14ac:dyDescent="0.2">
      <c r="A160" s="49" t="s">
        <v>365</v>
      </c>
      <c r="B160" s="52" t="s">
        <v>2322</v>
      </c>
      <c r="C160" s="52" t="s">
        <v>1942</v>
      </c>
      <c r="D160" s="53" t="s">
        <v>25</v>
      </c>
      <c r="E160" s="53" t="s">
        <v>26</v>
      </c>
      <c r="F160" s="54">
        <v>42.765625100000001</v>
      </c>
      <c r="G160" s="54">
        <v>-71.467703200000003</v>
      </c>
    </row>
    <row r="161" spans="1:7" ht="20" customHeight="1" x14ac:dyDescent="0.2">
      <c r="A161" s="49" t="s">
        <v>562</v>
      </c>
      <c r="B161" s="52" t="s">
        <v>2322</v>
      </c>
      <c r="C161" s="52" t="s">
        <v>1939</v>
      </c>
      <c r="D161" s="53" t="s">
        <v>25</v>
      </c>
      <c r="E161" s="53" t="s">
        <v>26</v>
      </c>
      <c r="F161" s="54">
        <v>36.1622767</v>
      </c>
      <c r="G161" s="54">
        <v>-86.774298400000006</v>
      </c>
    </row>
    <row r="162" spans="1:7" ht="20" customHeight="1" x14ac:dyDescent="0.2">
      <c r="A162" s="49" t="s">
        <v>712</v>
      </c>
      <c r="B162" s="52" t="s">
        <v>2322</v>
      </c>
      <c r="C162" s="52" t="s">
        <v>1943</v>
      </c>
      <c r="D162" s="53" t="s">
        <v>25</v>
      </c>
      <c r="E162" s="53" t="s">
        <v>26</v>
      </c>
      <c r="F162" s="54">
        <v>40.676526000000003</v>
      </c>
      <c r="G162" s="54">
        <v>-95.858694</v>
      </c>
    </row>
    <row r="163" spans="1:7" ht="20" customHeight="1" x14ac:dyDescent="0.2">
      <c r="A163" s="49" t="s">
        <v>2195</v>
      </c>
      <c r="B163" s="52" t="s">
        <v>2322</v>
      </c>
      <c r="C163" s="52" t="s">
        <v>1925</v>
      </c>
      <c r="D163" s="53" t="s">
        <v>25</v>
      </c>
      <c r="E163" s="53" t="s">
        <v>26</v>
      </c>
      <c r="F163" s="54">
        <v>42.279546727388599</v>
      </c>
      <c r="G163" s="54">
        <v>-71.246803901031001</v>
      </c>
    </row>
    <row r="164" spans="1:7" ht="20" customHeight="1" x14ac:dyDescent="0.2">
      <c r="A164" s="49" t="s">
        <v>1435</v>
      </c>
      <c r="B164" s="52" t="s">
        <v>2322</v>
      </c>
      <c r="C164" s="52" t="s">
        <v>2326</v>
      </c>
      <c r="D164" s="53" t="s">
        <v>20</v>
      </c>
      <c r="E164" s="53" t="s">
        <v>15</v>
      </c>
      <c r="F164" s="54">
        <v>31.920863600000001</v>
      </c>
      <c r="G164" s="54">
        <v>34.794139992831198</v>
      </c>
    </row>
    <row r="165" spans="1:7" ht="20" customHeight="1" x14ac:dyDescent="0.2">
      <c r="A165" s="49" t="s">
        <v>748</v>
      </c>
      <c r="B165" s="52" t="s">
        <v>2322</v>
      </c>
      <c r="C165" s="52" t="s">
        <v>2346</v>
      </c>
      <c r="D165" s="53" t="s">
        <v>14</v>
      </c>
      <c r="E165" s="53" t="s">
        <v>15</v>
      </c>
      <c r="F165" s="54">
        <v>28.613895400000001</v>
      </c>
      <c r="G165" s="54">
        <v>77.209005700000006</v>
      </c>
    </row>
    <row r="166" spans="1:7" ht="20" customHeight="1" x14ac:dyDescent="0.2">
      <c r="A166" s="49" t="s">
        <v>39</v>
      </c>
      <c r="B166" s="52" t="s">
        <v>1360</v>
      </c>
      <c r="C166" s="52" t="s">
        <v>1360</v>
      </c>
      <c r="D166" s="53" t="s">
        <v>25</v>
      </c>
      <c r="E166" s="53" t="s">
        <v>26</v>
      </c>
      <c r="F166" s="54">
        <v>40.7127281</v>
      </c>
      <c r="G166" s="54">
        <v>-74.006015199999993</v>
      </c>
    </row>
    <row r="167" spans="1:7" ht="20" customHeight="1" x14ac:dyDescent="0.2">
      <c r="A167" s="49" t="s">
        <v>1721</v>
      </c>
      <c r="B167" s="53" t="s">
        <v>1360</v>
      </c>
      <c r="C167" s="53" t="s">
        <v>1956</v>
      </c>
      <c r="D167" s="53" t="s">
        <v>25</v>
      </c>
      <c r="E167" s="53" t="s">
        <v>26</v>
      </c>
      <c r="F167" s="54">
        <v>40.724285421760499</v>
      </c>
      <c r="G167" s="54">
        <v>-74.169028352019893</v>
      </c>
    </row>
    <row r="168" spans="1:7" ht="20" customHeight="1" x14ac:dyDescent="0.2">
      <c r="A168" s="49" t="s">
        <v>4576</v>
      </c>
      <c r="B168" s="53" t="s">
        <v>2322</v>
      </c>
      <c r="C168" s="53" t="s">
        <v>1925</v>
      </c>
      <c r="D168" s="53" t="s">
        <v>25</v>
      </c>
      <c r="E168" s="53" t="s">
        <v>26</v>
      </c>
      <c r="F168" s="54">
        <v>42.329969895980803</v>
      </c>
      <c r="G168" s="54">
        <v>-71.205521967716194</v>
      </c>
    </row>
    <row r="169" spans="1:7" ht="20" customHeight="1" x14ac:dyDescent="0.2">
      <c r="A169" s="59" t="s">
        <v>2024</v>
      </c>
      <c r="B169" s="56" t="s">
        <v>2322</v>
      </c>
      <c r="C169" s="56" t="s">
        <v>2326</v>
      </c>
      <c r="D169" s="56" t="s">
        <v>2025</v>
      </c>
      <c r="E169" s="56" t="s">
        <v>53</v>
      </c>
      <c r="F169" s="57">
        <v>35.166665999999999</v>
      </c>
      <c r="G169" s="57">
        <v>33.3666652</v>
      </c>
    </row>
    <row r="170" spans="1:7" ht="20" customHeight="1" x14ac:dyDescent="0.2">
      <c r="A170" s="49" t="s">
        <v>67</v>
      </c>
      <c r="B170" s="52" t="s">
        <v>2322</v>
      </c>
      <c r="C170" s="52" t="s">
        <v>2347</v>
      </c>
      <c r="D170" s="53" t="s">
        <v>14</v>
      </c>
      <c r="E170" s="53" t="s">
        <v>15</v>
      </c>
      <c r="F170" s="54">
        <v>28.570633300000001</v>
      </c>
      <c r="G170" s="54">
        <v>77.327214699999999</v>
      </c>
    </row>
    <row r="171" spans="1:7" ht="20" customHeight="1" x14ac:dyDescent="0.2">
      <c r="A171" s="49" t="s">
        <v>4764</v>
      </c>
      <c r="B171" s="52" t="s">
        <v>2322</v>
      </c>
      <c r="C171" s="52" t="s">
        <v>4759</v>
      </c>
      <c r="D171" s="53" t="s">
        <v>25</v>
      </c>
      <c r="E171" s="53" t="s">
        <v>26</v>
      </c>
      <c r="F171" s="54">
        <v>36.919128491508197</v>
      </c>
      <c r="G171" s="54">
        <v>-76.212257524459901</v>
      </c>
    </row>
    <row r="172" spans="1:7" ht="20" customHeight="1" x14ac:dyDescent="0.2">
      <c r="A172" s="49" t="s">
        <v>1714</v>
      </c>
      <c r="B172" s="53" t="s">
        <v>24</v>
      </c>
      <c r="C172" s="53" t="s">
        <v>1369</v>
      </c>
      <c r="D172" s="53" t="s">
        <v>25</v>
      </c>
      <c r="E172" s="53" t="s">
        <v>26</v>
      </c>
      <c r="F172" s="54">
        <v>37.773972000000001</v>
      </c>
      <c r="G172" s="54">
        <v>-122.431297</v>
      </c>
    </row>
    <row r="173" spans="1:7" ht="20" customHeight="1" x14ac:dyDescent="0.2">
      <c r="A173" s="49" t="s">
        <v>1347</v>
      </c>
      <c r="B173" s="52" t="s">
        <v>2322</v>
      </c>
      <c r="C173" s="52" t="s">
        <v>1933</v>
      </c>
      <c r="D173" s="53" t="s">
        <v>25</v>
      </c>
      <c r="E173" s="53" t="s">
        <v>26</v>
      </c>
      <c r="F173" s="54">
        <v>41.117596599999999</v>
      </c>
      <c r="G173" s="54">
        <v>-73.407896800000003</v>
      </c>
    </row>
    <row r="174" spans="1:7" ht="20" customHeight="1" x14ac:dyDescent="0.2">
      <c r="A174" s="49" t="s">
        <v>2250</v>
      </c>
      <c r="B174" s="52" t="s">
        <v>24</v>
      </c>
      <c r="C174" s="52" t="s">
        <v>1369</v>
      </c>
      <c r="D174" s="53" t="s">
        <v>25</v>
      </c>
      <c r="E174" s="53" t="s">
        <v>26</v>
      </c>
      <c r="F174" s="54">
        <v>38.082224978875402</v>
      </c>
      <c r="G174" s="54">
        <v>-122.56195695368</v>
      </c>
    </row>
    <row r="175" spans="1:7" ht="20" customHeight="1" x14ac:dyDescent="0.2">
      <c r="A175" s="49" t="s">
        <v>1726</v>
      </c>
      <c r="B175" s="53" t="s">
        <v>24</v>
      </c>
      <c r="C175" s="53" t="s">
        <v>1369</v>
      </c>
      <c r="D175" s="53" t="s">
        <v>25</v>
      </c>
      <c r="E175" s="53" t="s">
        <v>26</v>
      </c>
      <c r="F175" s="54">
        <v>37.804455699999998</v>
      </c>
      <c r="G175" s="54">
        <v>-122.271356</v>
      </c>
    </row>
    <row r="176" spans="1:7" ht="20" customHeight="1" x14ac:dyDescent="0.2">
      <c r="A176" s="49" t="s">
        <v>2223</v>
      </c>
      <c r="B176" s="53" t="s">
        <v>2322</v>
      </c>
      <c r="C176" s="53" t="s">
        <v>2320</v>
      </c>
      <c r="D176" s="53" t="s">
        <v>25</v>
      </c>
      <c r="E176" s="53" t="s">
        <v>26</v>
      </c>
      <c r="F176" s="54">
        <v>35.443195252372298</v>
      </c>
      <c r="G176" s="54">
        <v>-97.512197997807704</v>
      </c>
    </row>
    <row r="177" spans="1:7" ht="20" customHeight="1" x14ac:dyDescent="0.2">
      <c r="A177" s="49" t="s">
        <v>1475</v>
      </c>
      <c r="B177" s="52" t="s">
        <v>2322</v>
      </c>
      <c r="C177" s="52" t="s">
        <v>1931</v>
      </c>
      <c r="D177" s="53" t="s">
        <v>25</v>
      </c>
      <c r="E177" s="53" t="s">
        <v>26</v>
      </c>
      <c r="F177" s="54">
        <v>28.542110900000001</v>
      </c>
      <c r="G177" s="54">
        <v>-81.379030400000005</v>
      </c>
    </row>
    <row r="178" spans="1:7" ht="20" customHeight="1" x14ac:dyDescent="0.2">
      <c r="A178" s="49" t="s">
        <v>725</v>
      </c>
      <c r="B178" s="52" t="s">
        <v>2322</v>
      </c>
      <c r="C178" s="52" t="s">
        <v>2326</v>
      </c>
      <c r="D178" s="53" t="s">
        <v>726</v>
      </c>
      <c r="E178" s="53" t="s">
        <v>53</v>
      </c>
      <c r="F178" s="54">
        <v>59.913330100000003</v>
      </c>
      <c r="G178" s="54">
        <v>10.7389701</v>
      </c>
    </row>
    <row r="179" spans="1:7" ht="20" customHeight="1" x14ac:dyDescent="0.2">
      <c r="A179" s="49" t="s">
        <v>302</v>
      </c>
      <c r="B179" s="52" t="s">
        <v>2322</v>
      </c>
      <c r="C179" s="52" t="s">
        <v>2342</v>
      </c>
      <c r="D179" s="53" t="s">
        <v>95</v>
      </c>
      <c r="E179" s="53" t="s">
        <v>26</v>
      </c>
      <c r="F179" s="54">
        <v>45.420877699999998</v>
      </c>
      <c r="G179" s="54">
        <v>-75.690110599999997</v>
      </c>
    </row>
    <row r="180" spans="1:7" ht="20" customHeight="1" x14ac:dyDescent="0.2">
      <c r="A180" s="49" t="s">
        <v>525</v>
      </c>
      <c r="B180" s="52" t="s">
        <v>2322</v>
      </c>
      <c r="C180" s="52" t="s">
        <v>2332</v>
      </c>
      <c r="D180" s="53" t="s">
        <v>1357</v>
      </c>
      <c r="E180" s="53" t="s">
        <v>53</v>
      </c>
      <c r="F180" s="54">
        <v>51.752013099999999</v>
      </c>
      <c r="G180" s="54">
        <v>-1.2578499000000001</v>
      </c>
    </row>
    <row r="181" spans="1:7" ht="20" customHeight="1" x14ac:dyDescent="0.2">
      <c r="A181" s="49" t="s">
        <v>1473</v>
      </c>
      <c r="B181" s="53" t="s">
        <v>24</v>
      </c>
      <c r="C181" s="53" t="s">
        <v>1369</v>
      </c>
      <c r="D181" s="53" t="s">
        <v>25</v>
      </c>
      <c r="E181" s="53" t="s">
        <v>26</v>
      </c>
      <c r="F181" s="54">
        <v>37.4443293</v>
      </c>
      <c r="G181" s="54">
        <v>-122.1598465</v>
      </c>
    </row>
    <row r="182" spans="1:7" ht="20" customHeight="1" x14ac:dyDescent="0.2">
      <c r="A182" s="49" t="s">
        <v>97</v>
      </c>
      <c r="B182" s="52" t="s">
        <v>2322</v>
      </c>
      <c r="C182" s="52" t="s">
        <v>2326</v>
      </c>
      <c r="D182" s="53" t="s">
        <v>98</v>
      </c>
      <c r="E182" s="53" t="s">
        <v>53</v>
      </c>
      <c r="F182" s="54">
        <v>48.858889699999999</v>
      </c>
      <c r="G182" s="54">
        <v>2.32004102172007</v>
      </c>
    </row>
    <row r="183" spans="1:7" ht="20" customHeight="1" x14ac:dyDescent="0.2">
      <c r="A183" s="49" t="s">
        <v>2318</v>
      </c>
      <c r="B183" s="52" t="s">
        <v>2322</v>
      </c>
      <c r="C183" s="52" t="s">
        <v>2326</v>
      </c>
      <c r="D183" s="53" t="s">
        <v>20</v>
      </c>
      <c r="E183" s="53" t="s">
        <v>53</v>
      </c>
      <c r="F183" s="54">
        <v>32.087292851720399</v>
      </c>
      <c r="G183" s="54">
        <v>34.869503719105701</v>
      </c>
    </row>
    <row r="184" spans="1:7" ht="20" customHeight="1" x14ac:dyDescent="0.2">
      <c r="A184" s="49" t="s">
        <v>362</v>
      </c>
      <c r="B184" s="52" t="s">
        <v>2322</v>
      </c>
      <c r="C184" s="52" t="s">
        <v>1944</v>
      </c>
      <c r="D184" s="53" t="s">
        <v>25</v>
      </c>
      <c r="E184" s="53" t="s">
        <v>26</v>
      </c>
      <c r="F184" s="54">
        <v>39.9527237</v>
      </c>
      <c r="G184" s="54">
        <v>-75.163526200000007</v>
      </c>
    </row>
    <row r="185" spans="1:7" ht="20" customHeight="1" x14ac:dyDescent="0.2">
      <c r="A185" s="49" t="s">
        <v>264</v>
      </c>
      <c r="B185" s="52" t="s">
        <v>2322</v>
      </c>
      <c r="C185" s="52" t="s">
        <v>1945</v>
      </c>
      <c r="D185" s="53" t="s">
        <v>25</v>
      </c>
      <c r="E185" s="53" t="s">
        <v>26</v>
      </c>
      <c r="F185" s="54">
        <v>33.448436700000002</v>
      </c>
      <c r="G185" s="54">
        <v>-112.074141</v>
      </c>
    </row>
    <row r="186" spans="1:7" ht="20" customHeight="1" x14ac:dyDescent="0.2">
      <c r="A186" s="49" t="s">
        <v>730</v>
      </c>
      <c r="B186" s="52" t="s">
        <v>2322</v>
      </c>
      <c r="C186" s="52" t="s">
        <v>1944</v>
      </c>
      <c r="D186" s="53" t="s">
        <v>25</v>
      </c>
      <c r="E186" s="53" t="s">
        <v>26</v>
      </c>
      <c r="F186" s="54">
        <v>40.441694099999999</v>
      </c>
      <c r="G186" s="54">
        <v>-79.990086099999999</v>
      </c>
    </row>
    <row r="187" spans="1:7" ht="20" customHeight="1" x14ac:dyDescent="0.2">
      <c r="A187" s="49" t="s">
        <v>1704</v>
      </c>
      <c r="B187" s="53" t="s">
        <v>24</v>
      </c>
      <c r="C187" s="53" t="s">
        <v>1369</v>
      </c>
      <c r="D187" s="53" t="s">
        <v>25</v>
      </c>
      <c r="E187" s="53" t="s">
        <v>26</v>
      </c>
      <c r="F187" s="54">
        <v>37.6624312</v>
      </c>
      <c r="G187" s="54">
        <v>-121.87467890000001</v>
      </c>
    </row>
    <row r="188" spans="1:7" ht="20" customHeight="1" x14ac:dyDescent="0.2">
      <c r="A188" s="49" t="s">
        <v>145</v>
      </c>
      <c r="B188" s="52" t="s">
        <v>2323</v>
      </c>
      <c r="C188" s="52" t="s">
        <v>1923</v>
      </c>
      <c r="D188" s="53" t="s">
        <v>25</v>
      </c>
      <c r="E188" s="53" t="s">
        <v>26</v>
      </c>
      <c r="F188" s="54">
        <v>45.520247099999999</v>
      </c>
      <c r="G188" s="54">
        <v>-122.674194</v>
      </c>
    </row>
    <row r="189" spans="1:7" ht="20" customHeight="1" x14ac:dyDescent="0.2">
      <c r="A189" s="49" t="s">
        <v>1394</v>
      </c>
      <c r="B189" s="52" t="s">
        <v>2322</v>
      </c>
      <c r="C189" s="52" t="s">
        <v>2326</v>
      </c>
      <c r="D189" s="53" t="s">
        <v>1342</v>
      </c>
      <c r="E189" s="53" t="s">
        <v>53</v>
      </c>
      <c r="F189" s="54">
        <v>50.087465399999999</v>
      </c>
      <c r="G189" s="54">
        <v>14.421253500000001</v>
      </c>
    </row>
    <row r="190" spans="1:7" ht="20" customHeight="1" x14ac:dyDescent="0.2">
      <c r="A190" s="49" t="s">
        <v>4757</v>
      </c>
      <c r="B190" s="52" t="s">
        <v>2322</v>
      </c>
      <c r="C190" s="52" t="s">
        <v>4758</v>
      </c>
      <c r="D190" s="53" t="s">
        <v>938</v>
      </c>
      <c r="E190" s="53" t="s">
        <v>53</v>
      </c>
      <c r="F190" s="54">
        <v>46.966307836136501</v>
      </c>
      <c r="G190" s="54">
        <v>15.414072746647101</v>
      </c>
    </row>
    <row r="191" spans="1:7" ht="20" customHeight="1" x14ac:dyDescent="0.2">
      <c r="A191" s="49" t="s">
        <v>406</v>
      </c>
      <c r="B191" s="52" t="s">
        <v>2322</v>
      </c>
      <c r="C191" s="52" t="s">
        <v>2345</v>
      </c>
      <c r="D191" s="53" t="s">
        <v>14</v>
      </c>
      <c r="E191" s="53" t="s">
        <v>15</v>
      </c>
      <c r="F191" s="54">
        <v>18.521428</v>
      </c>
      <c r="G191" s="54">
        <v>73.854454099999998</v>
      </c>
    </row>
    <row r="192" spans="1:7" ht="20" customHeight="1" x14ac:dyDescent="0.2">
      <c r="A192" s="49" t="s">
        <v>4531</v>
      </c>
      <c r="B192" s="52" t="s">
        <v>2322</v>
      </c>
      <c r="C192" s="52" t="s">
        <v>2351</v>
      </c>
      <c r="D192" s="53" t="s">
        <v>95</v>
      </c>
      <c r="E192" s="53" t="s">
        <v>26</v>
      </c>
      <c r="F192" s="54">
        <v>49.349635446070401</v>
      </c>
      <c r="G192" s="54">
        <v>-124.451404982922</v>
      </c>
    </row>
    <row r="193" spans="1:7" ht="20" customHeight="1" x14ac:dyDescent="0.2">
      <c r="A193" s="49" t="s">
        <v>2090</v>
      </c>
      <c r="B193" s="52" t="s">
        <v>2322</v>
      </c>
      <c r="C193" s="52" t="s">
        <v>2090</v>
      </c>
      <c r="D193" s="53" t="s">
        <v>95</v>
      </c>
      <c r="E193" s="53" t="s">
        <v>26</v>
      </c>
      <c r="F193" s="54">
        <v>46.812280000000001</v>
      </c>
      <c r="G193" s="54">
        <v>-71.21454</v>
      </c>
    </row>
    <row r="194" spans="1:7" ht="20" customHeight="1" x14ac:dyDescent="0.2">
      <c r="A194" s="49" t="s">
        <v>235</v>
      </c>
      <c r="B194" s="52" t="s">
        <v>2322</v>
      </c>
      <c r="C194" s="52" t="s">
        <v>2326</v>
      </c>
      <c r="D194" s="53" t="s">
        <v>20</v>
      </c>
      <c r="E194" s="53" t="s">
        <v>15</v>
      </c>
      <c r="F194" s="54">
        <v>32.186024400000001</v>
      </c>
      <c r="G194" s="54">
        <v>34.867835900000003</v>
      </c>
    </row>
    <row r="195" spans="1:7" ht="20" customHeight="1" x14ac:dyDescent="0.2">
      <c r="A195" s="49" t="s">
        <v>121</v>
      </c>
      <c r="B195" s="52" t="s">
        <v>2322</v>
      </c>
      <c r="C195" s="52" t="s">
        <v>1932</v>
      </c>
      <c r="D195" s="53" t="s">
        <v>25</v>
      </c>
      <c r="E195" s="53" t="s">
        <v>26</v>
      </c>
      <c r="F195" s="54">
        <v>35.780397700000002</v>
      </c>
      <c r="G195" s="54">
        <v>-78.639098899999993</v>
      </c>
    </row>
    <row r="196" spans="1:7" ht="20" customHeight="1" x14ac:dyDescent="0.2">
      <c r="A196" s="49" t="s">
        <v>2289</v>
      </c>
      <c r="B196" s="52" t="s">
        <v>2322</v>
      </c>
      <c r="C196" s="52" t="s">
        <v>2326</v>
      </c>
      <c r="D196" s="53" t="s">
        <v>20</v>
      </c>
      <c r="E196" s="53" t="s">
        <v>15</v>
      </c>
      <c r="F196" s="54">
        <v>32.062695396092103</v>
      </c>
      <c r="G196" s="54">
        <v>34.825600701559999</v>
      </c>
    </row>
    <row r="197" spans="1:7" ht="20" customHeight="1" x14ac:dyDescent="0.2">
      <c r="A197" s="49" t="s">
        <v>4589</v>
      </c>
      <c r="B197" s="52" t="s">
        <v>2323</v>
      </c>
      <c r="C197" s="52" t="s">
        <v>1947</v>
      </c>
      <c r="D197" s="53" t="s">
        <v>25</v>
      </c>
      <c r="E197" s="53" t="s">
        <v>15</v>
      </c>
      <c r="F197" s="54">
        <v>47.645404522430098</v>
      </c>
      <c r="G197" s="54">
        <v>-122.13299976733499</v>
      </c>
    </row>
    <row r="198" spans="1:7" ht="20" customHeight="1" x14ac:dyDescent="0.2">
      <c r="A198" s="49" t="s">
        <v>1710</v>
      </c>
      <c r="B198" s="53" t="s">
        <v>24</v>
      </c>
      <c r="C198" s="53" t="s">
        <v>1369</v>
      </c>
      <c r="D198" s="53" t="s">
        <v>25</v>
      </c>
      <c r="E198" s="53" t="s">
        <v>26</v>
      </c>
      <c r="F198" s="54">
        <v>37.486323900000002</v>
      </c>
      <c r="G198" s="54">
        <v>-122.232523</v>
      </c>
    </row>
    <row r="199" spans="1:7" ht="20" customHeight="1" x14ac:dyDescent="0.2">
      <c r="A199" s="49" t="s">
        <v>2130</v>
      </c>
      <c r="B199" s="53" t="s">
        <v>2322</v>
      </c>
      <c r="C199" s="53" t="s">
        <v>2326</v>
      </c>
      <c r="D199" s="53" t="s">
        <v>20</v>
      </c>
      <c r="E199" s="53" t="s">
        <v>15</v>
      </c>
      <c r="F199" s="54">
        <v>31.891641407768201</v>
      </c>
      <c r="G199" s="54">
        <v>34.810296499911502</v>
      </c>
    </row>
    <row r="200" spans="1:7" ht="20" customHeight="1" x14ac:dyDescent="0.2">
      <c r="A200" s="49" t="s">
        <v>573</v>
      </c>
      <c r="B200" s="52" t="s">
        <v>2322</v>
      </c>
      <c r="C200" s="52" t="s">
        <v>1936</v>
      </c>
      <c r="D200" s="53" t="s">
        <v>25</v>
      </c>
      <c r="E200" s="53" t="s">
        <v>26</v>
      </c>
      <c r="F200" s="54">
        <v>39.526120599999999</v>
      </c>
      <c r="G200" s="54">
        <v>-119.81265809999999</v>
      </c>
    </row>
    <row r="201" spans="1:7" ht="20" customHeight="1" x14ac:dyDescent="0.2">
      <c r="A201" s="49" t="s">
        <v>1722</v>
      </c>
      <c r="B201" s="53" t="s">
        <v>24</v>
      </c>
      <c r="C201" s="53" t="s">
        <v>1369</v>
      </c>
      <c r="D201" s="53" t="s">
        <v>25</v>
      </c>
      <c r="E201" s="53" t="s">
        <v>26</v>
      </c>
      <c r="F201" s="54">
        <v>37.538508700000001</v>
      </c>
      <c r="G201" s="54">
        <v>-77.434280000000001</v>
      </c>
    </row>
    <row r="202" spans="1:7" ht="20" customHeight="1" x14ac:dyDescent="0.2">
      <c r="A202" s="49" t="s">
        <v>637</v>
      </c>
      <c r="B202" s="52" t="s">
        <v>2322</v>
      </c>
      <c r="C202" s="52" t="s">
        <v>1369</v>
      </c>
      <c r="D202" s="53" t="s">
        <v>25</v>
      </c>
      <c r="E202" s="53" t="s">
        <v>26</v>
      </c>
      <c r="F202" s="54">
        <v>38.581060600000001</v>
      </c>
      <c r="G202" s="54">
        <v>-121.49389499999999</v>
      </c>
    </row>
    <row r="203" spans="1:7" ht="20" customHeight="1" x14ac:dyDescent="0.2">
      <c r="A203" s="49" t="s">
        <v>1339</v>
      </c>
      <c r="B203" s="52" t="s">
        <v>2322</v>
      </c>
      <c r="C203" s="52" t="s">
        <v>2332</v>
      </c>
      <c r="D203" s="53" t="s">
        <v>1357</v>
      </c>
      <c r="E203" s="53" t="s">
        <v>53</v>
      </c>
      <c r="F203" s="54">
        <v>51.069061300000001</v>
      </c>
      <c r="G203" s="54">
        <v>-1.7954133999999999</v>
      </c>
    </row>
    <row r="204" spans="1:7" ht="20" customHeight="1" x14ac:dyDescent="0.2">
      <c r="A204" s="49" t="s">
        <v>113</v>
      </c>
      <c r="B204" s="52" t="s">
        <v>2322</v>
      </c>
      <c r="C204" s="52" t="s">
        <v>1937</v>
      </c>
      <c r="D204" s="53" t="s">
        <v>25</v>
      </c>
      <c r="E204" s="53" t="s">
        <v>26</v>
      </c>
      <c r="F204" s="54">
        <v>40.759619800000003</v>
      </c>
      <c r="G204" s="54">
        <v>-111.886797</v>
      </c>
    </row>
    <row r="205" spans="1:7" ht="20" customHeight="1" x14ac:dyDescent="0.2">
      <c r="A205" s="49" t="s">
        <v>1717</v>
      </c>
      <c r="B205" s="53" t="s">
        <v>24</v>
      </c>
      <c r="C205" s="53" t="s">
        <v>1369</v>
      </c>
      <c r="D205" s="53" t="s">
        <v>25</v>
      </c>
      <c r="E205" s="53" t="s">
        <v>26</v>
      </c>
      <c r="F205" s="54">
        <v>37.624853600000002</v>
      </c>
      <c r="G205" s="54">
        <v>-122.41459860000001</v>
      </c>
    </row>
    <row r="206" spans="1:7" ht="20" customHeight="1" x14ac:dyDescent="0.2">
      <c r="A206" s="49" t="s">
        <v>1724</v>
      </c>
      <c r="B206" s="53" t="s">
        <v>24</v>
      </c>
      <c r="C206" s="53" t="s">
        <v>1369</v>
      </c>
      <c r="D206" s="53" t="s">
        <v>25</v>
      </c>
      <c r="E206" s="53" t="s">
        <v>26</v>
      </c>
      <c r="F206" s="54">
        <v>37.504936000000001</v>
      </c>
      <c r="G206" s="54">
        <v>-122.26182300000001</v>
      </c>
    </row>
    <row r="207" spans="1:7" ht="20" customHeight="1" x14ac:dyDescent="0.2">
      <c r="A207" s="49" t="s">
        <v>74</v>
      </c>
      <c r="B207" s="52" t="s">
        <v>2322</v>
      </c>
      <c r="C207" s="52" t="s">
        <v>1369</v>
      </c>
      <c r="D207" s="53" t="s">
        <v>25</v>
      </c>
      <c r="E207" s="53" t="s">
        <v>26</v>
      </c>
      <c r="F207" s="54">
        <v>32.717420199999999</v>
      </c>
      <c r="G207" s="54">
        <v>-117.162772</v>
      </c>
    </row>
    <row r="208" spans="1:7" ht="20" customHeight="1" x14ac:dyDescent="0.2">
      <c r="A208" s="49" t="s">
        <v>1370</v>
      </c>
      <c r="B208" s="53" t="s">
        <v>24</v>
      </c>
      <c r="C208" s="53" t="s">
        <v>1369</v>
      </c>
      <c r="D208" s="53" t="s">
        <v>25</v>
      </c>
      <c r="E208" s="53" t="s">
        <v>26</v>
      </c>
      <c r="F208" s="54">
        <v>37.779258800000001</v>
      </c>
      <c r="G208" s="54">
        <v>-122.4193286</v>
      </c>
    </row>
    <row r="209" spans="1:13" ht="20" customHeight="1" x14ac:dyDescent="0.2">
      <c r="A209" s="49" t="s">
        <v>1694</v>
      </c>
      <c r="B209" s="53" t="s">
        <v>24</v>
      </c>
      <c r="C209" s="53" t="s">
        <v>1369</v>
      </c>
      <c r="D209" s="53" t="s">
        <v>25</v>
      </c>
      <c r="E209" s="53" t="s">
        <v>26</v>
      </c>
      <c r="F209" s="54">
        <v>37.336166300000002</v>
      </c>
      <c r="G209" s="54">
        <v>-121.890591</v>
      </c>
    </row>
    <row r="210" spans="1:13" ht="20" customHeight="1" x14ac:dyDescent="0.2">
      <c r="A210" s="49" t="s">
        <v>1725</v>
      </c>
      <c r="B210" s="53" t="s">
        <v>24</v>
      </c>
      <c r="C210" s="53" t="s">
        <v>1369</v>
      </c>
      <c r="D210" s="53" t="s">
        <v>25</v>
      </c>
      <c r="E210" s="53" t="s">
        <v>26</v>
      </c>
      <c r="F210" s="54">
        <v>37.724929600000003</v>
      </c>
      <c r="G210" s="54">
        <v>-122.15607679999999</v>
      </c>
    </row>
    <row r="211" spans="1:13" ht="20" customHeight="1" x14ac:dyDescent="0.2">
      <c r="A211" s="49" t="s">
        <v>734</v>
      </c>
      <c r="B211" s="52" t="s">
        <v>2322</v>
      </c>
      <c r="C211" s="52" t="s">
        <v>1369</v>
      </c>
      <c r="D211" s="53" t="s">
        <v>25</v>
      </c>
      <c r="E211" s="53" t="s">
        <v>26</v>
      </c>
      <c r="F211" s="54">
        <v>35.354020900000002</v>
      </c>
      <c r="G211" s="54">
        <v>-120.375716</v>
      </c>
    </row>
    <row r="212" spans="1:13" ht="20" customHeight="1" x14ac:dyDescent="0.2">
      <c r="A212" s="49" t="s">
        <v>1713</v>
      </c>
      <c r="B212" s="53" t="s">
        <v>24</v>
      </c>
      <c r="C212" s="53" t="s">
        <v>1369</v>
      </c>
      <c r="D212" s="53" t="s">
        <v>25</v>
      </c>
      <c r="E212" s="53" t="s">
        <v>26</v>
      </c>
      <c r="F212" s="54">
        <v>37.496904000000001</v>
      </c>
      <c r="G212" s="54">
        <v>-122.33305729999999</v>
      </c>
    </row>
    <row r="213" spans="1:13" ht="20" customHeight="1" x14ac:dyDescent="0.2">
      <c r="A213" s="49" t="s">
        <v>1711</v>
      </c>
      <c r="B213" s="53" t="s">
        <v>24</v>
      </c>
      <c r="C213" s="53" t="s">
        <v>1369</v>
      </c>
      <c r="D213" s="53" t="s">
        <v>25</v>
      </c>
      <c r="E213" s="53" t="s">
        <v>26</v>
      </c>
      <c r="F213" s="54">
        <v>37.974779499999997</v>
      </c>
      <c r="G213" s="54">
        <v>-122.5316686</v>
      </c>
    </row>
    <row r="214" spans="1:13" ht="20" customHeight="1" x14ac:dyDescent="0.2">
      <c r="A214" s="55" t="s">
        <v>1741</v>
      </c>
      <c r="B214" s="56" t="s">
        <v>24</v>
      </c>
      <c r="C214" s="56" t="s">
        <v>1369</v>
      </c>
      <c r="D214" s="56" t="s">
        <v>25</v>
      </c>
      <c r="E214" s="56" t="s">
        <v>26</v>
      </c>
      <c r="F214" s="57">
        <v>37.774663568000001</v>
      </c>
      <c r="G214" s="57">
        <v>-121.973496106</v>
      </c>
    </row>
    <row r="215" spans="1:13" ht="20" customHeight="1" x14ac:dyDescent="0.2">
      <c r="A215" s="49" t="s">
        <v>168</v>
      </c>
      <c r="B215" s="52" t="s">
        <v>2322</v>
      </c>
      <c r="C215" s="52" t="s">
        <v>1369</v>
      </c>
      <c r="D215" s="53" t="s">
        <v>25</v>
      </c>
      <c r="E215" s="53" t="s">
        <v>26</v>
      </c>
      <c r="F215" s="54">
        <v>34.422131899999997</v>
      </c>
      <c r="G215" s="54">
        <v>-119.70266700000001</v>
      </c>
    </row>
    <row r="216" spans="1:13" ht="20" customHeight="1" x14ac:dyDescent="0.2">
      <c r="A216" s="49" t="s">
        <v>1415</v>
      </c>
      <c r="B216" s="53" t="s">
        <v>24</v>
      </c>
      <c r="C216" s="53" t="s">
        <v>1369</v>
      </c>
      <c r="D216" s="53" t="s">
        <v>25</v>
      </c>
      <c r="E216" s="53" t="s">
        <v>26</v>
      </c>
      <c r="F216" s="54">
        <v>37.354106999999999</v>
      </c>
      <c r="G216" s="54">
        <v>-121.95523799999999</v>
      </c>
    </row>
    <row r="217" spans="1:13" ht="20" customHeight="1" x14ac:dyDescent="0.2">
      <c r="A217" s="49" t="s">
        <v>1112</v>
      </c>
      <c r="B217" s="52" t="s">
        <v>2322</v>
      </c>
      <c r="C217" s="52" t="s">
        <v>1946</v>
      </c>
      <c r="D217" s="53" t="s">
        <v>25</v>
      </c>
      <c r="E217" s="53" t="s">
        <v>26</v>
      </c>
      <c r="F217" s="54">
        <v>35.687609600000002</v>
      </c>
      <c r="G217" s="54">
        <v>-105.938456</v>
      </c>
      <c r="M217" s="66"/>
    </row>
    <row r="218" spans="1:13" ht="20" customHeight="1" x14ac:dyDescent="0.2">
      <c r="A218" s="49" t="s">
        <v>4586</v>
      </c>
      <c r="B218" s="52" t="s">
        <v>76</v>
      </c>
      <c r="C218" s="52" t="s">
        <v>1369</v>
      </c>
      <c r="D218" s="53" t="s">
        <v>25</v>
      </c>
      <c r="E218" s="53" t="s">
        <v>26</v>
      </c>
      <c r="F218" s="54">
        <v>34.006580569674199</v>
      </c>
      <c r="G218" s="54">
        <v>-118.48941014956699</v>
      </c>
      <c r="M218" s="84"/>
    </row>
    <row r="219" spans="1:13" ht="20" customHeight="1" x14ac:dyDescent="0.2">
      <c r="A219" s="49" t="s">
        <v>292</v>
      </c>
      <c r="B219" s="52" t="s">
        <v>2322</v>
      </c>
      <c r="C219" s="52" t="s">
        <v>2326</v>
      </c>
      <c r="D219" s="53" t="s">
        <v>293</v>
      </c>
      <c r="E219" s="53" t="s">
        <v>189</v>
      </c>
      <c r="F219" s="54">
        <v>-33.437775600000002</v>
      </c>
      <c r="G219" s="54">
        <v>-70.650450199999995</v>
      </c>
    </row>
    <row r="220" spans="1:13" ht="20" customHeight="1" x14ac:dyDescent="0.2">
      <c r="A220" s="49" t="s">
        <v>187</v>
      </c>
      <c r="B220" s="52" t="s">
        <v>2322</v>
      </c>
      <c r="C220" s="52" t="s">
        <v>2348</v>
      </c>
      <c r="D220" s="53" t="s">
        <v>188</v>
      </c>
      <c r="E220" s="53" t="s">
        <v>189</v>
      </c>
      <c r="F220" s="54">
        <v>-23.550650699999998</v>
      </c>
      <c r="G220" s="54">
        <v>-46.633382400000002</v>
      </c>
    </row>
    <row r="221" spans="1:13" ht="20" customHeight="1" x14ac:dyDescent="0.2">
      <c r="A221" s="49" t="s">
        <v>127</v>
      </c>
      <c r="B221" s="52" t="s">
        <v>2322</v>
      </c>
      <c r="C221" s="52" t="s">
        <v>2349</v>
      </c>
      <c r="D221" s="53" t="s">
        <v>95</v>
      </c>
      <c r="E221" s="53" t="s">
        <v>26</v>
      </c>
      <c r="F221" s="54">
        <v>52.131802</v>
      </c>
      <c r="G221" s="54">
        <v>-106.66076700000001</v>
      </c>
    </row>
    <row r="222" spans="1:13" ht="20" customHeight="1" x14ac:dyDescent="0.2">
      <c r="A222" s="59" t="s">
        <v>1961</v>
      </c>
      <c r="B222" s="56" t="s">
        <v>2322</v>
      </c>
      <c r="C222" s="56" t="s">
        <v>2326</v>
      </c>
      <c r="D222" s="56" t="s">
        <v>20</v>
      </c>
      <c r="E222" s="56" t="s">
        <v>15</v>
      </c>
      <c r="F222" s="57">
        <v>31.526886990008499</v>
      </c>
      <c r="G222" s="57">
        <v>34.5947951673419</v>
      </c>
    </row>
    <row r="223" spans="1:13" ht="20" customHeight="1" x14ac:dyDescent="0.2">
      <c r="A223" s="49" t="s">
        <v>43</v>
      </c>
      <c r="B223" s="52" t="s">
        <v>2323</v>
      </c>
      <c r="C223" s="52" t="s">
        <v>1947</v>
      </c>
      <c r="D223" s="53" t="s">
        <v>25</v>
      </c>
      <c r="E223" s="53" t="s">
        <v>26</v>
      </c>
      <c r="F223" s="54">
        <v>47.603832099999998</v>
      </c>
      <c r="G223" s="54">
        <v>-122.330062</v>
      </c>
    </row>
    <row r="224" spans="1:13" ht="20" customHeight="1" x14ac:dyDescent="0.2">
      <c r="A224" s="49" t="s">
        <v>422</v>
      </c>
      <c r="B224" s="52" t="s">
        <v>2322</v>
      </c>
      <c r="C224" s="52" t="s">
        <v>2326</v>
      </c>
      <c r="D224" s="53" t="s">
        <v>423</v>
      </c>
      <c r="E224" s="53" t="s">
        <v>15</v>
      </c>
      <c r="F224" s="54">
        <v>37.566679100000002</v>
      </c>
      <c r="G224" s="54">
        <v>126.9782914</v>
      </c>
    </row>
    <row r="225" spans="1:7" ht="20" customHeight="1" x14ac:dyDescent="0.2">
      <c r="A225" s="49" t="s">
        <v>1047</v>
      </c>
      <c r="B225" s="52" t="s">
        <v>2322</v>
      </c>
      <c r="C225" s="52" t="s">
        <v>2326</v>
      </c>
      <c r="D225" s="53" t="s">
        <v>569</v>
      </c>
      <c r="E225" s="53" t="s">
        <v>15</v>
      </c>
      <c r="F225" s="54">
        <v>31.2312707</v>
      </c>
      <c r="G225" s="54">
        <v>121.47001520000001</v>
      </c>
    </row>
    <row r="226" spans="1:7" ht="20" customHeight="1" x14ac:dyDescent="0.2">
      <c r="A226" s="49" t="s">
        <v>1418</v>
      </c>
      <c r="B226" s="52" t="s">
        <v>2322</v>
      </c>
      <c r="C226" s="52" t="s">
        <v>1948</v>
      </c>
      <c r="D226" s="53" t="s">
        <v>25</v>
      </c>
      <c r="E226" s="53" t="s">
        <v>26</v>
      </c>
      <c r="F226" s="54">
        <v>34.765088800000001</v>
      </c>
      <c r="G226" s="54">
        <v>-87.698640699999999</v>
      </c>
    </row>
    <row r="227" spans="1:7" ht="20" customHeight="1" x14ac:dyDescent="0.2">
      <c r="A227" s="49" t="s">
        <v>4583</v>
      </c>
      <c r="B227" s="52" t="s">
        <v>4761</v>
      </c>
      <c r="C227" s="52" t="s">
        <v>2326</v>
      </c>
      <c r="D227" s="53" t="s">
        <v>569</v>
      </c>
      <c r="E227" s="53" t="s">
        <v>15</v>
      </c>
      <c r="F227" s="54">
        <v>22.56331973672</v>
      </c>
      <c r="G227" s="54">
        <v>113.930269855311</v>
      </c>
    </row>
    <row r="228" spans="1:7" ht="20" customHeight="1" x14ac:dyDescent="0.2">
      <c r="A228" s="49" t="s">
        <v>244</v>
      </c>
      <c r="B228" s="52" t="s">
        <v>2322</v>
      </c>
      <c r="C228" s="52" t="s">
        <v>2326</v>
      </c>
      <c r="D228" s="53" t="s">
        <v>244</v>
      </c>
      <c r="E228" s="53" t="s">
        <v>15</v>
      </c>
      <c r="F228" s="54">
        <v>1.2899175000000001</v>
      </c>
      <c r="G228" s="54">
        <v>103.8519072</v>
      </c>
    </row>
    <row r="229" spans="1:7" ht="20" customHeight="1" x14ac:dyDescent="0.2">
      <c r="A229" s="59" t="s">
        <v>2005</v>
      </c>
      <c r="B229" s="56" t="s">
        <v>2322</v>
      </c>
      <c r="C229" s="56" t="s">
        <v>2326</v>
      </c>
      <c r="D229" s="56" t="s">
        <v>2006</v>
      </c>
      <c r="E229" s="56" t="s">
        <v>53</v>
      </c>
      <c r="F229" s="57">
        <v>35.912500000000001</v>
      </c>
      <c r="G229" s="57">
        <v>14.502219999999999</v>
      </c>
    </row>
    <row r="230" spans="1:7" ht="20" customHeight="1" x14ac:dyDescent="0.2">
      <c r="A230" s="49" t="s">
        <v>945</v>
      </c>
      <c r="B230" s="52" t="s">
        <v>2322</v>
      </c>
      <c r="C230" s="52" t="s">
        <v>1947</v>
      </c>
      <c r="D230" s="53" t="s">
        <v>25</v>
      </c>
      <c r="E230" s="53" t="s">
        <v>26</v>
      </c>
      <c r="F230" s="54">
        <v>47.657193399999997</v>
      </c>
      <c r="G230" s="54">
        <v>-117.42350999999999</v>
      </c>
    </row>
    <row r="231" spans="1:7" ht="20" customHeight="1" x14ac:dyDescent="0.2">
      <c r="A231" s="49" t="s">
        <v>826</v>
      </c>
      <c r="B231" s="52" t="s">
        <v>2322</v>
      </c>
      <c r="C231" s="52" t="s">
        <v>1933</v>
      </c>
      <c r="D231" s="53" t="s">
        <v>25</v>
      </c>
      <c r="E231" s="53" t="s">
        <v>26</v>
      </c>
      <c r="F231" s="54">
        <v>41.053430200000001</v>
      </c>
      <c r="G231" s="54">
        <v>-73.538734099999999</v>
      </c>
    </row>
    <row r="232" spans="1:7" ht="20" customHeight="1" x14ac:dyDescent="0.2">
      <c r="A232" s="49" t="s">
        <v>51</v>
      </c>
      <c r="B232" s="52" t="s">
        <v>2322</v>
      </c>
      <c r="C232" s="52" t="s">
        <v>2326</v>
      </c>
      <c r="D232" s="53" t="s">
        <v>52</v>
      </c>
      <c r="E232" s="53" t="s">
        <v>53</v>
      </c>
      <c r="F232" s="54">
        <v>59.325117200000001</v>
      </c>
      <c r="G232" s="54">
        <v>18.0710935</v>
      </c>
    </row>
    <row r="233" spans="1:7" ht="20" customHeight="1" x14ac:dyDescent="0.2">
      <c r="A233" s="49" t="s">
        <v>2274</v>
      </c>
      <c r="B233" s="52" t="s">
        <v>2322</v>
      </c>
      <c r="C233" s="52" t="s">
        <v>2332</v>
      </c>
      <c r="D233" s="53" t="s">
        <v>1357</v>
      </c>
      <c r="E233" s="53" t="s">
        <v>53</v>
      </c>
      <c r="F233" s="54">
        <v>52.036521456638802</v>
      </c>
      <c r="G233" s="54">
        <v>0.73092530091821595</v>
      </c>
    </row>
    <row r="234" spans="1:7" ht="20" customHeight="1" x14ac:dyDescent="0.2">
      <c r="A234" s="49" t="s">
        <v>1720</v>
      </c>
      <c r="B234" s="53" t="s">
        <v>24</v>
      </c>
      <c r="C234" s="53" t="s">
        <v>1369</v>
      </c>
      <c r="D234" s="53" t="s">
        <v>25</v>
      </c>
      <c r="E234" s="53" t="s">
        <v>26</v>
      </c>
      <c r="F234" s="54">
        <v>37.368830099999997</v>
      </c>
      <c r="G234" s="54">
        <v>-122.036349</v>
      </c>
    </row>
    <row r="235" spans="1:7" ht="20" customHeight="1" x14ac:dyDescent="0.2">
      <c r="A235" s="49" t="s">
        <v>231</v>
      </c>
      <c r="B235" s="52" t="s">
        <v>2322</v>
      </c>
      <c r="C235" s="52" t="s">
        <v>2350</v>
      </c>
      <c r="D235" s="53" t="s">
        <v>199</v>
      </c>
      <c r="E235" s="53" t="s">
        <v>1890</v>
      </c>
      <c r="F235" s="54">
        <v>-33.869843899999999</v>
      </c>
      <c r="G235" s="54">
        <v>151.2082848</v>
      </c>
    </row>
    <row r="236" spans="1:7" ht="20" customHeight="1" x14ac:dyDescent="0.2">
      <c r="A236" s="49" t="s">
        <v>159</v>
      </c>
      <c r="B236" s="52" t="s">
        <v>2322</v>
      </c>
      <c r="C236" s="52" t="s">
        <v>2326</v>
      </c>
      <c r="D236" s="53" t="s">
        <v>160</v>
      </c>
      <c r="E236" s="53" t="s">
        <v>53</v>
      </c>
      <c r="F236" s="54">
        <v>59.437215500000001</v>
      </c>
      <c r="G236" s="54">
        <v>24.745368800000001</v>
      </c>
    </row>
    <row r="237" spans="1:7" ht="20" customHeight="1" x14ac:dyDescent="0.2">
      <c r="A237" s="49" t="s">
        <v>1404</v>
      </c>
      <c r="B237" s="52" t="s">
        <v>2322</v>
      </c>
      <c r="C237" s="52" t="s">
        <v>1931</v>
      </c>
      <c r="D237" s="53" t="s">
        <v>25</v>
      </c>
      <c r="E237" s="53" t="s">
        <v>26</v>
      </c>
      <c r="F237" s="54">
        <v>27.9477595</v>
      </c>
      <c r="G237" s="54">
        <v>-82.458444</v>
      </c>
    </row>
    <row r="238" spans="1:7" ht="20" customHeight="1" x14ac:dyDescent="0.2">
      <c r="A238" s="49" t="s">
        <v>215</v>
      </c>
      <c r="B238" s="52" t="s">
        <v>2322</v>
      </c>
      <c r="C238" s="52" t="s">
        <v>1931</v>
      </c>
      <c r="D238" s="53" t="s">
        <v>25</v>
      </c>
      <c r="E238" s="53" t="s">
        <v>26</v>
      </c>
      <c r="F238" s="54">
        <v>27.6886419</v>
      </c>
      <c r="G238" s="54">
        <v>-82.572319300000004</v>
      </c>
    </row>
    <row r="239" spans="1:7" ht="20" customHeight="1" x14ac:dyDescent="0.2">
      <c r="A239" s="49" t="s">
        <v>47</v>
      </c>
      <c r="B239" s="52" t="s">
        <v>2322</v>
      </c>
      <c r="C239" s="52" t="s">
        <v>2326</v>
      </c>
      <c r="D239" s="53" t="s">
        <v>20</v>
      </c>
      <c r="E239" s="53" t="s">
        <v>15</v>
      </c>
      <c r="F239" s="54">
        <v>32.0852997</v>
      </c>
      <c r="G239" s="54">
        <v>34.781806400000001</v>
      </c>
    </row>
    <row r="240" spans="1:7" ht="20" customHeight="1" x14ac:dyDescent="0.2">
      <c r="A240" s="49" t="s">
        <v>547</v>
      </c>
      <c r="B240" s="52" t="s">
        <v>547</v>
      </c>
      <c r="C240" s="52" t="s">
        <v>547</v>
      </c>
      <c r="D240" s="53" t="s">
        <v>548</v>
      </c>
      <c r="E240" s="53" t="s">
        <v>15</v>
      </c>
      <c r="F240" s="54">
        <v>35.682193599999998</v>
      </c>
      <c r="G240" s="54">
        <v>139.76222100000001</v>
      </c>
    </row>
    <row r="241" spans="1:7" ht="20" customHeight="1" x14ac:dyDescent="0.2">
      <c r="A241" s="49" t="s">
        <v>179</v>
      </c>
      <c r="B241" s="52" t="s">
        <v>2322</v>
      </c>
      <c r="C241" s="52" t="s">
        <v>2342</v>
      </c>
      <c r="D241" s="53" t="s">
        <v>95</v>
      </c>
      <c r="E241" s="53" t="s">
        <v>26</v>
      </c>
      <c r="F241" s="54">
        <v>43.6534817</v>
      </c>
      <c r="G241" s="54">
        <v>-79.383934699999998</v>
      </c>
    </row>
    <row r="242" spans="1:7" ht="20" customHeight="1" x14ac:dyDescent="0.2">
      <c r="A242" s="49" t="s">
        <v>271</v>
      </c>
      <c r="B242" s="52" t="s">
        <v>2323</v>
      </c>
      <c r="C242" s="52" t="s">
        <v>2351</v>
      </c>
      <c r="D242" s="53" t="s">
        <v>95</v>
      </c>
      <c r="E242" s="53" t="s">
        <v>26</v>
      </c>
      <c r="F242" s="54">
        <v>49.260872399999997</v>
      </c>
      <c r="G242" s="54">
        <v>-123.113952</v>
      </c>
    </row>
    <row r="243" spans="1:7" ht="20" customHeight="1" x14ac:dyDescent="0.2">
      <c r="A243" s="49" t="s">
        <v>4550</v>
      </c>
      <c r="B243" s="52" t="s">
        <v>2322</v>
      </c>
      <c r="C243" s="52" t="s">
        <v>2326</v>
      </c>
      <c r="D243" s="53" t="s">
        <v>100</v>
      </c>
      <c r="E243" s="53" t="s">
        <v>53</v>
      </c>
      <c r="F243" s="54">
        <v>51.419273060060199</v>
      </c>
      <c r="G243" s="54">
        <v>5.3961378130372504</v>
      </c>
    </row>
    <row r="244" spans="1:7" ht="20" customHeight="1" x14ac:dyDescent="0.2">
      <c r="A244" s="49" t="s">
        <v>2317</v>
      </c>
      <c r="B244" s="52" t="s">
        <v>2322</v>
      </c>
      <c r="C244" s="52" t="s">
        <v>1369</v>
      </c>
      <c r="D244" s="53" t="s">
        <v>25</v>
      </c>
      <c r="E244" s="53" t="s">
        <v>26</v>
      </c>
      <c r="F244" s="54">
        <v>34.281144284463799</v>
      </c>
      <c r="G244" s="54">
        <v>-119.214061331671</v>
      </c>
    </row>
    <row r="245" spans="1:7" ht="20" customHeight="1" x14ac:dyDescent="0.2">
      <c r="A245" s="49" t="s">
        <v>2301</v>
      </c>
      <c r="B245" s="52" t="s">
        <v>2322</v>
      </c>
      <c r="C245" s="52" t="s">
        <v>1929</v>
      </c>
      <c r="D245" s="53" t="s">
        <v>25</v>
      </c>
      <c r="E245" s="53" t="s">
        <v>26</v>
      </c>
      <c r="F245" s="54">
        <v>42.236941830207499</v>
      </c>
      <c r="G245" s="54">
        <v>-87.9630567303672</v>
      </c>
    </row>
    <row r="246" spans="1:7" ht="20" customHeight="1" x14ac:dyDescent="0.2">
      <c r="A246" s="49" t="s">
        <v>937</v>
      </c>
      <c r="B246" s="52" t="s">
        <v>2322</v>
      </c>
      <c r="C246" s="52" t="s">
        <v>2326</v>
      </c>
      <c r="D246" s="53" t="s">
        <v>938</v>
      </c>
      <c r="E246" s="53" t="s">
        <v>53</v>
      </c>
      <c r="F246" s="54">
        <v>48.208353700000004</v>
      </c>
      <c r="G246" s="54">
        <v>16.372504200000002</v>
      </c>
    </row>
    <row r="247" spans="1:7" ht="20" customHeight="1" x14ac:dyDescent="0.2">
      <c r="A247" s="49" t="s">
        <v>1352</v>
      </c>
      <c r="B247" s="52" t="s">
        <v>2322</v>
      </c>
      <c r="C247" s="52" t="s">
        <v>2326</v>
      </c>
      <c r="D247" s="53" t="s">
        <v>1332</v>
      </c>
      <c r="E247" s="53" t="s">
        <v>53</v>
      </c>
      <c r="F247" s="54">
        <v>54.6870458</v>
      </c>
      <c r="G247" s="54">
        <v>25.2829111</v>
      </c>
    </row>
    <row r="248" spans="1:7" ht="20" customHeight="1" x14ac:dyDescent="0.2">
      <c r="A248" s="49" t="s">
        <v>497</v>
      </c>
      <c r="B248" s="52" t="s">
        <v>2322</v>
      </c>
      <c r="C248" s="52" t="s">
        <v>1952</v>
      </c>
      <c r="D248" s="53" t="s">
        <v>136</v>
      </c>
      <c r="E248" s="53" t="s">
        <v>53</v>
      </c>
      <c r="F248" s="54">
        <v>49.303813400000003</v>
      </c>
      <c r="G248" s="54">
        <v>8.6433517999999996</v>
      </c>
    </row>
    <row r="249" spans="1:7" ht="20" customHeight="1" x14ac:dyDescent="0.2">
      <c r="A249" s="49" t="s">
        <v>1327</v>
      </c>
      <c r="B249" s="53" t="s">
        <v>24</v>
      </c>
      <c r="C249" s="53" t="s">
        <v>1369</v>
      </c>
      <c r="D249" s="53" t="s">
        <v>25</v>
      </c>
      <c r="E249" s="53" t="s">
        <v>26</v>
      </c>
      <c r="F249" s="54" t="s">
        <v>1735</v>
      </c>
      <c r="G249" s="54">
        <v>-122.065186</v>
      </c>
    </row>
    <row r="250" spans="1:7" ht="20" customHeight="1" x14ac:dyDescent="0.2">
      <c r="A250" s="55" t="s">
        <v>1742</v>
      </c>
      <c r="B250" s="56" t="s">
        <v>24</v>
      </c>
      <c r="C250" s="56" t="s">
        <v>1369</v>
      </c>
      <c r="D250" s="56" t="s">
        <v>25</v>
      </c>
      <c r="E250" s="56" t="s">
        <v>26</v>
      </c>
      <c r="F250" s="57">
        <v>37.910075999999997</v>
      </c>
      <c r="G250" s="57">
        <v>-122.065186</v>
      </c>
    </row>
    <row r="251" spans="1:7" ht="20" customHeight="1" x14ac:dyDescent="0.2">
      <c r="A251" s="49" t="s">
        <v>1445</v>
      </c>
      <c r="B251" s="52" t="s">
        <v>2322</v>
      </c>
      <c r="C251" s="52" t="s">
        <v>1925</v>
      </c>
      <c r="D251" s="53" t="s">
        <v>25</v>
      </c>
      <c r="E251" s="53" t="s">
        <v>26</v>
      </c>
      <c r="F251" s="54">
        <v>42.375640099999998</v>
      </c>
      <c r="G251" s="54">
        <v>-71.235800400000002</v>
      </c>
    </row>
    <row r="252" spans="1:7" ht="20" customHeight="1" x14ac:dyDescent="0.2">
      <c r="A252" s="49" t="s">
        <v>1476</v>
      </c>
      <c r="B252" s="52" t="s">
        <v>2322</v>
      </c>
      <c r="C252" s="52" t="s">
        <v>2326</v>
      </c>
      <c r="D252" s="53" t="s">
        <v>1334</v>
      </c>
      <c r="E252" s="53" t="s">
        <v>53</v>
      </c>
      <c r="F252" s="54">
        <v>52.233717200000001</v>
      </c>
      <c r="G252" s="54">
        <v>21.071432235636401</v>
      </c>
    </row>
    <row r="253" spans="1:7" ht="20" customHeight="1" x14ac:dyDescent="0.2">
      <c r="A253" s="49" t="s">
        <v>260</v>
      </c>
      <c r="B253" s="52" t="s">
        <v>2322</v>
      </c>
      <c r="C253" s="52" t="s">
        <v>1949</v>
      </c>
      <c r="D253" s="53" t="s">
        <v>25</v>
      </c>
      <c r="E253" s="53" t="s">
        <v>26</v>
      </c>
      <c r="F253" s="54">
        <v>38.8950368</v>
      </c>
      <c r="G253" s="54">
        <v>-77.036542699999998</v>
      </c>
    </row>
    <row r="254" spans="1:7" ht="20" customHeight="1" x14ac:dyDescent="0.2">
      <c r="A254" s="49" t="s">
        <v>621</v>
      </c>
      <c r="B254" s="52" t="s">
        <v>2322</v>
      </c>
      <c r="C254" s="52" t="s">
        <v>2342</v>
      </c>
      <c r="D254" s="53" t="s">
        <v>95</v>
      </c>
      <c r="E254" s="53" t="s">
        <v>26</v>
      </c>
      <c r="F254" s="54">
        <v>43.465269900000003</v>
      </c>
      <c r="G254" s="54">
        <v>-80.522296100000005</v>
      </c>
    </row>
    <row r="255" spans="1:7" ht="20" customHeight="1" x14ac:dyDescent="0.2">
      <c r="A255" s="49" t="s">
        <v>394</v>
      </c>
      <c r="B255" s="52" t="s">
        <v>2322</v>
      </c>
      <c r="C255" s="52" t="s">
        <v>2326</v>
      </c>
      <c r="D255" s="53" t="s">
        <v>198</v>
      </c>
      <c r="E255" s="53" t="s">
        <v>1890</v>
      </c>
      <c r="F255" s="54">
        <v>-41.288795299999997</v>
      </c>
      <c r="G255" s="54">
        <v>174.7772114</v>
      </c>
    </row>
    <row r="256" spans="1:7" ht="20" customHeight="1" x14ac:dyDescent="0.2">
      <c r="A256" s="49" t="s">
        <v>533</v>
      </c>
      <c r="B256" s="52" t="s">
        <v>2322</v>
      </c>
      <c r="C256" s="52" t="s">
        <v>1950</v>
      </c>
      <c r="D256" s="53" t="s">
        <v>25</v>
      </c>
      <c r="E256" s="53" t="s">
        <v>26</v>
      </c>
      <c r="F256" s="54">
        <v>39.745946799999999</v>
      </c>
      <c r="G256" s="54">
        <v>-75.546588999999997</v>
      </c>
    </row>
    <row r="257" spans="1:7" ht="20" customHeight="1" x14ac:dyDescent="0.2">
      <c r="A257" s="55" t="s">
        <v>1740</v>
      </c>
      <c r="B257" s="56" t="s">
        <v>2322</v>
      </c>
      <c r="C257" s="56" t="s">
        <v>2352</v>
      </c>
      <c r="D257" s="56" t="s">
        <v>95</v>
      </c>
      <c r="E257" s="56" t="s">
        <v>26</v>
      </c>
      <c r="F257" s="57">
        <v>49.895077000000001</v>
      </c>
      <c r="G257" s="57">
        <v>-97.138451000000003</v>
      </c>
    </row>
    <row r="258" spans="1:7" ht="20" customHeight="1" x14ac:dyDescent="0.2">
      <c r="A258" s="49" t="s">
        <v>1331</v>
      </c>
      <c r="B258" s="52" t="s">
        <v>2322</v>
      </c>
      <c r="C258" s="52" t="s">
        <v>2326</v>
      </c>
      <c r="D258" s="53" t="s">
        <v>569</v>
      </c>
      <c r="E258" s="53" t="s">
        <v>15</v>
      </c>
      <c r="F258" s="54">
        <v>34.261004</v>
      </c>
      <c r="G258" s="54">
        <v>108.94233629999999</v>
      </c>
    </row>
    <row r="259" spans="1:7" ht="20" customHeight="1" x14ac:dyDescent="0.2">
      <c r="A259" s="49" t="s">
        <v>1330</v>
      </c>
      <c r="B259" s="52" t="s">
        <v>2322</v>
      </c>
      <c r="C259" s="52" t="s">
        <v>2326</v>
      </c>
      <c r="D259" s="53" t="s">
        <v>20</v>
      </c>
      <c r="E259" s="53" t="s">
        <v>15</v>
      </c>
      <c r="F259" s="54">
        <v>31.876886299999999</v>
      </c>
      <c r="G259" s="54">
        <v>34.7382974</v>
      </c>
    </row>
    <row r="260" spans="1:7" ht="20" customHeight="1" x14ac:dyDescent="0.2">
      <c r="A260" s="49" t="s">
        <v>2321</v>
      </c>
      <c r="B260" s="52" t="s">
        <v>2322</v>
      </c>
      <c r="C260" s="52" t="s">
        <v>1936</v>
      </c>
      <c r="D260" s="53" t="s">
        <v>25</v>
      </c>
      <c r="E260" s="53" t="s">
        <v>26</v>
      </c>
      <c r="F260" s="54">
        <v>39.002873201249898</v>
      </c>
      <c r="G260" s="54">
        <v>-119.937375535678</v>
      </c>
    </row>
    <row r="261" spans="1:7" ht="20" customHeight="1" x14ac:dyDescent="0.2">
      <c r="A261" s="49" t="s">
        <v>1140</v>
      </c>
      <c r="B261" s="52" t="s">
        <v>2322</v>
      </c>
      <c r="C261" s="52" t="s">
        <v>2326</v>
      </c>
      <c r="D261" s="53" t="s">
        <v>1141</v>
      </c>
      <c r="E261" s="53" t="s">
        <v>53</v>
      </c>
      <c r="F261" s="54">
        <v>47.374448899999997</v>
      </c>
      <c r="G261" s="54">
        <v>8.5410421999999997</v>
      </c>
    </row>
  </sheetData>
  <autoFilter ref="A1:G261" xr:uid="{A0C15C1F-8CAF-204F-B07C-7CF106703944}"/>
  <sortState xmlns:xlrd2="http://schemas.microsoft.com/office/spreadsheetml/2017/richdata2" ref="A2:G262">
    <sortCondition ref="A2:A262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B837-81C2-2146-9F74-1B56A0280956}">
  <dimension ref="A1:D1401"/>
  <sheetViews>
    <sheetView zoomScale="130" zoomScaleNormal="130" workbookViewId="0">
      <selection activeCell="C2" sqref="C2"/>
    </sheetView>
  </sheetViews>
  <sheetFormatPr baseColWidth="10" defaultRowHeight="15" x14ac:dyDescent="0.2"/>
  <cols>
    <col min="1" max="1" width="28" bestFit="1" customWidth="1"/>
  </cols>
  <sheetData>
    <row r="1" spans="1:4" x14ac:dyDescent="0.2">
      <c r="A1" t="s">
        <v>2353</v>
      </c>
      <c r="B1" t="s">
        <v>2354</v>
      </c>
      <c r="C1" t="s">
        <v>4529</v>
      </c>
      <c r="D1" t="s">
        <v>2</v>
      </c>
    </row>
    <row r="2" spans="1:4" x14ac:dyDescent="0.2">
      <c r="A2" t="s">
        <v>376</v>
      </c>
      <c r="B2" t="s">
        <v>2355</v>
      </c>
      <c r="C2">
        <v>1546000</v>
      </c>
      <c r="D2" t="s">
        <v>25</v>
      </c>
    </row>
    <row r="3" spans="1:4" x14ac:dyDescent="0.2">
      <c r="A3" t="s">
        <v>2356</v>
      </c>
      <c r="B3" t="s">
        <v>2357</v>
      </c>
      <c r="C3">
        <v>900000</v>
      </c>
      <c r="D3" t="s">
        <v>569</v>
      </c>
    </row>
    <row r="4" spans="1:4" x14ac:dyDescent="0.2">
      <c r="A4" t="s">
        <v>2358</v>
      </c>
      <c r="B4" t="s">
        <v>2359</v>
      </c>
      <c r="C4">
        <v>826608</v>
      </c>
      <c r="D4" t="s">
        <v>2360</v>
      </c>
    </row>
    <row r="5" spans="1:4" x14ac:dyDescent="0.2">
      <c r="A5" t="s">
        <v>1569</v>
      </c>
      <c r="B5" t="s">
        <v>1569</v>
      </c>
      <c r="C5">
        <v>270300</v>
      </c>
      <c r="D5" t="s">
        <v>25</v>
      </c>
    </row>
    <row r="6" spans="1:4" x14ac:dyDescent="0.2">
      <c r="A6" t="s">
        <v>523</v>
      </c>
      <c r="B6" t="s">
        <v>2361</v>
      </c>
      <c r="C6">
        <v>228000</v>
      </c>
      <c r="D6" t="s">
        <v>25</v>
      </c>
    </row>
    <row r="7" spans="1:4" x14ac:dyDescent="0.2">
      <c r="A7" t="s">
        <v>2151</v>
      </c>
      <c r="B7" t="s">
        <v>2362</v>
      </c>
      <c r="C7">
        <v>207548</v>
      </c>
      <c r="D7" t="s">
        <v>548</v>
      </c>
    </row>
    <row r="8" spans="1:4" x14ac:dyDescent="0.2">
      <c r="A8" t="s">
        <v>513</v>
      </c>
      <c r="B8" t="s">
        <v>2363</v>
      </c>
      <c r="C8">
        <v>187103</v>
      </c>
      <c r="D8" t="s">
        <v>25</v>
      </c>
    </row>
    <row r="9" spans="1:4" x14ac:dyDescent="0.2">
      <c r="A9" t="s">
        <v>2244</v>
      </c>
      <c r="B9" t="s">
        <v>2364</v>
      </c>
      <c r="C9">
        <v>162000</v>
      </c>
      <c r="D9" t="s">
        <v>25</v>
      </c>
    </row>
    <row r="10" spans="1:4" x14ac:dyDescent="0.2">
      <c r="A10" t="s">
        <v>2365</v>
      </c>
      <c r="B10" t="s">
        <v>2366</v>
      </c>
      <c r="C10">
        <v>155822</v>
      </c>
      <c r="D10" t="s">
        <v>98</v>
      </c>
    </row>
    <row r="11" spans="1:4" x14ac:dyDescent="0.2">
      <c r="A11" t="s">
        <v>1368</v>
      </c>
      <c r="B11" t="s">
        <v>2367</v>
      </c>
      <c r="C11">
        <v>150000</v>
      </c>
      <c r="D11" t="s">
        <v>25</v>
      </c>
    </row>
    <row r="12" spans="1:4" x14ac:dyDescent="0.2">
      <c r="A12" t="s">
        <v>2368</v>
      </c>
      <c r="B12" t="s">
        <v>2369</v>
      </c>
      <c r="C12">
        <v>146000</v>
      </c>
      <c r="D12" t="s">
        <v>2370</v>
      </c>
    </row>
    <row r="13" spans="1:4" x14ac:dyDescent="0.2">
      <c r="A13" t="s">
        <v>1388</v>
      </c>
      <c r="B13" t="s">
        <v>2371</v>
      </c>
      <c r="C13">
        <v>125665</v>
      </c>
      <c r="D13" t="s">
        <v>25</v>
      </c>
    </row>
    <row r="14" spans="1:4" x14ac:dyDescent="0.2">
      <c r="A14" t="s">
        <v>2372</v>
      </c>
      <c r="B14" t="s">
        <v>2373</v>
      </c>
      <c r="C14">
        <v>123711</v>
      </c>
      <c r="D14" t="s">
        <v>569</v>
      </c>
    </row>
    <row r="15" spans="1:4" x14ac:dyDescent="0.2">
      <c r="A15" t="s">
        <v>2374</v>
      </c>
      <c r="B15" t="s">
        <v>2375</v>
      </c>
      <c r="C15">
        <v>114731</v>
      </c>
      <c r="D15" t="s">
        <v>569</v>
      </c>
    </row>
    <row r="16" spans="1:4" x14ac:dyDescent="0.2">
      <c r="A16" t="s">
        <v>2308</v>
      </c>
      <c r="B16" t="s">
        <v>2376</v>
      </c>
      <c r="C16">
        <v>112300</v>
      </c>
      <c r="D16" t="s">
        <v>548</v>
      </c>
    </row>
    <row r="17" spans="1:4" x14ac:dyDescent="0.2">
      <c r="A17" t="s">
        <v>2377</v>
      </c>
      <c r="B17" t="s">
        <v>2378</v>
      </c>
      <c r="C17">
        <v>111733</v>
      </c>
      <c r="D17" t="s">
        <v>548</v>
      </c>
    </row>
    <row r="18" spans="1:4" x14ac:dyDescent="0.2">
      <c r="A18" t="s">
        <v>2379</v>
      </c>
      <c r="B18" t="s">
        <v>2380</v>
      </c>
      <c r="C18">
        <v>109414</v>
      </c>
      <c r="D18" t="s">
        <v>569</v>
      </c>
    </row>
    <row r="19" spans="1:4" x14ac:dyDescent="0.2">
      <c r="A19" t="s">
        <v>496</v>
      </c>
      <c r="B19" t="s">
        <v>496</v>
      </c>
      <c r="C19">
        <v>108929</v>
      </c>
      <c r="D19" t="s">
        <v>136</v>
      </c>
    </row>
    <row r="20" spans="1:4" x14ac:dyDescent="0.2">
      <c r="A20" t="s">
        <v>1578</v>
      </c>
      <c r="B20" t="s">
        <v>2381</v>
      </c>
      <c r="C20">
        <v>108900</v>
      </c>
      <c r="D20" t="s">
        <v>25</v>
      </c>
    </row>
    <row r="21" spans="1:4" x14ac:dyDescent="0.2">
      <c r="A21" t="s">
        <v>1540</v>
      </c>
      <c r="B21" t="s">
        <v>2382</v>
      </c>
      <c r="C21">
        <v>108000</v>
      </c>
      <c r="D21" t="s">
        <v>25</v>
      </c>
    </row>
    <row r="22" spans="1:4" x14ac:dyDescent="0.2">
      <c r="A22" t="s">
        <v>2383</v>
      </c>
      <c r="B22" t="s">
        <v>2384</v>
      </c>
      <c r="C22">
        <v>105276</v>
      </c>
      <c r="D22" t="s">
        <v>548</v>
      </c>
    </row>
    <row r="23" spans="1:4" x14ac:dyDescent="0.2">
      <c r="A23" t="s">
        <v>2385</v>
      </c>
      <c r="B23" t="s">
        <v>2386</v>
      </c>
      <c r="C23">
        <v>100450</v>
      </c>
      <c r="D23" t="s">
        <v>2360</v>
      </c>
    </row>
    <row r="24" spans="1:4" x14ac:dyDescent="0.2">
      <c r="A24" t="s">
        <v>2387</v>
      </c>
      <c r="B24" t="s">
        <v>2388</v>
      </c>
      <c r="C24">
        <v>95000</v>
      </c>
      <c r="D24" t="s">
        <v>25</v>
      </c>
    </row>
    <row r="25" spans="1:4" x14ac:dyDescent="0.2">
      <c r="A25" t="s">
        <v>419</v>
      </c>
      <c r="B25" t="s">
        <v>2389</v>
      </c>
      <c r="C25">
        <v>91937</v>
      </c>
      <c r="D25" t="s">
        <v>52</v>
      </c>
    </row>
    <row r="26" spans="1:4" x14ac:dyDescent="0.2">
      <c r="A26" t="s">
        <v>2390</v>
      </c>
      <c r="B26" t="s">
        <v>2391</v>
      </c>
      <c r="C26">
        <v>90000</v>
      </c>
      <c r="D26" t="s">
        <v>25</v>
      </c>
    </row>
    <row r="27" spans="1:4" x14ac:dyDescent="0.2">
      <c r="A27" t="s">
        <v>674</v>
      </c>
      <c r="B27" t="s">
        <v>2392</v>
      </c>
      <c r="C27">
        <v>86200</v>
      </c>
      <c r="D27" t="s">
        <v>25</v>
      </c>
    </row>
    <row r="28" spans="1:4" x14ac:dyDescent="0.2">
      <c r="A28" t="s">
        <v>2393</v>
      </c>
      <c r="B28" t="s">
        <v>2394</v>
      </c>
      <c r="C28">
        <v>85000</v>
      </c>
      <c r="D28" t="s">
        <v>1141</v>
      </c>
    </row>
    <row r="29" spans="1:4" x14ac:dyDescent="0.2">
      <c r="A29" t="s">
        <v>2395</v>
      </c>
      <c r="B29" t="s">
        <v>2396</v>
      </c>
      <c r="C29">
        <v>84207</v>
      </c>
      <c r="D29" t="s">
        <v>640</v>
      </c>
    </row>
    <row r="30" spans="1:4" x14ac:dyDescent="0.2">
      <c r="A30" t="s">
        <v>2397</v>
      </c>
      <c r="B30" t="s">
        <v>2398</v>
      </c>
      <c r="C30">
        <v>83825</v>
      </c>
      <c r="D30" t="s">
        <v>2360</v>
      </c>
    </row>
    <row r="31" spans="1:4" x14ac:dyDescent="0.2">
      <c r="A31" t="s">
        <v>2399</v>
      </c>
      <c r="B31" t="s">
        <v>2163</v>
      </c>
      <c r="C31">
        <v>80700</v>
      </c>
      <c r="D31" t="s">
        <v>244</v>
      </c>
    </row>
    <row r="32" spans="1:4" x14ac:dyDescent="0.2">
      <c r="A32" t="s">
        <v>2400</v>
      </c>
      <c r="B32" t="s">
        <v>2401</v>
      </c>
      <c r="C32">
        <v>78434</v>
      </c>
      <c r="D32" t="s">
        <v>965</v>
      </c>
    </row>
    <row r="33" spans="1:4" x14ac:dyDescent="0.2">
      <c r="A33" t="s">
        <v>2402</v>
      </c>
      <c r="B33" t="s">
        <v>2403</v>
      </c>
      <c r="C33">
        <v>78000</v>
      </c>
      <c r="D33" t="s">
        <v>95</v>
      </c>
    </row>
    <row r="34" spans="1:4" x14ac:dyDescent="0.2">
      <c r="A34" t="s">
        <v>1636</v>
      </c>
      <c r="B34" t="s">
        <v>2404</v>
      </c>
      <c r="C34">
        <v>76453</v>
      </c>
      <c r="D34" t="s">
        <v>25</v>
      </c>
    </row>
    <row r="35" spans="1:4" x14ac:dyDescent="0.2">
      <c r="A35" t="s">
        <v>385</v>
      </c>
      <c r="B35" t="s">
        <v>2405</v>
      </c>
      <c r="C35">
        <v>75945</v>
      </c>
      <c r="D35" t="s">
        <v>25</v>
      </c>
    </row>
    <row r="36" spans="1:4" x14ac:dyDescent="0.2">
      <c r="A36" t="s">
        <v>2406</v>
      </c>
      <c r="B36" t="s">
        <v>2407</v>
      </c>
      <c r="C36">
        <v>72572</v>
      </c>
      <c r="D36" t="s">
        <v>548</v>
      </c>
    </row>
    <row r="37" spans="1:4" x14ac:dyDescent="0.2">
      <c r="A37" t="s">
        <v>2298</v>
      </c>
      <c r="B37" t="s">
        <v>2408</v>
      </c>
      <c r="C37">
        <v>69500</v>
      </c>
      <c r="D37" t="s">
        <v>903</v>
      </c>
    </row>
    <row r="38" spans="1:4" x14ac:dyDescent="0.2">
      <c r="A38" t="s">
        <v>2409</v>
      </c>
      <c r="B38" t="s">
        <v>2410</v>
      </c>
      <c r="C38">
        <v>67000</v>
      </c>
      <c r="D38" t="s">
        <v>25</v>
      </c>
    </row>
    <row r="39" spans="1:4" x14ac:dyDescent="0.2">
      <c r="A39" t="s">
        <v>2411</v>
      </c>
      <c r="B39" t="s">
        <v>2412</v>
      </c>
      <c r="C39">
        <v>62050</v>
      </c>
      <c r="D39" t="s">
        <v>25</v>
      </c>
    </row>
    <row r="40" spans="1:4" x14ac:dyDescent="0.2">
      <c r="A40" t="s">
        <v>2041</v>
      </c>
      <c r="B40" t="s">
        <v>2413</v>
      </c>
      <c r="C40">
        <v>61000</v>
      </c>
      <c r="D40" t="s">
        <v>25</v>
      </c>
    </row>
    <row r="41" spans="1:4" x14ac:dyDescent="0.2">
      <c r="A41" t="s">
        <v>2045</v>
      </c>
      <c r="B41" t="s">
        <v>2414</v>
      </c>
      <c r="C41">
        <v>58000</v>
      </c>
      <c r="D41" t="s">
        <v>25</v>
      </c>
    </row>
    <row r="42" spans="1:4" x14ac:dyDescent="0.2">
      <c r="A42" t="s">
        <v>2415</v>
      </c>
      <c r="B42" t="s">
        <v>2416</v>
      </c>
      <c r="C42">
        <v>57397</v>
      </c>
      <c r="D42" t="s">
        <v>136</v>
      </c>
    </row>
    <row r="43" spans="1:4" x14ac:dyDescent="0.2">
      <c r="A43" t="s">
        <v>2417</v>
      </c>
      <c r="B43" t="s">
        <v>2418</v>
      </c>
      <c r="C43">
        <v>53000</v>
      </c>
      <c r="D43" t="s">
        <v>25</v>
      </c>
    </row>
    <row r="44" spans="1:4" x14ac:dyDescent="0.2">
      <c r="A44" t="s">
        <v>2419</v>
      </c>
      <c r="B44" t="s">
        <v>2420</v>
      </c>
      <c r="C44">
        <v>50988</v>
      </c>
      <c r="D44" t="s">
        <v>98</v>
      </c>
    </row>
    <row r="45" spans="1:4" x14ac:dyDescent="0.2">
      <c r="A45" t="s">
        <v>2421</v>
      </c>
      <c r="B45" t="s">
        <v>2305</v>
      </c>
      <c r="C45">
        <v>50000</v>
      </c>
      <c r="D45" t="s">
        <v>25</v>
      </c>
    </row>
    <row r="46" spans="1:4" x14ac:dyDescent="0.2">
      <c r="A46" t="s">
        <v>2422</v>
      </c>
      <c r="B46" t="s">
        <v>2423</v>
      </c>
      <c r="C46">
        <v>49602</v>
      </c>
      <c r="D46" t="s">
        <v>1141</v>
      </c>
    </row>
    <row r="47" spans="1:4" x14ac:dyDescent="0.2">
      <c r="A47" t="s">
        <v>2424</v>
      </c>
      <c r="B47" t="s">
        <v>2425</v>
      </c>
      <c r="C47">
        <v>49000</v>
      </c>
      <c r="D47" t="s">
        <v>25</v>
      </c>
    </row>
    <row r="48" spans="1:4" x14ac:dyDescent="0.2">
      <c r="A48" t="s">
        <v>2270</v>
      </c>
      <c r="B48" t="s">
        <v>2426</v>
      </c>
      <c r="C48">
        <v>48000</v>
      </c>
      <c r="D48" t="s">
        <v>25</v>
      </c>
    </row>
    <row r="49" spans="1:4" x14ac:dyDescent="0.2">
      <c r="A49" t="s">
        <v>2427</v>
      </c>
      <c r="B49" t="s">
        <v>2428</v>
      </c>
      <c r="C49">
        <v>47000</v>
      </c>
      <c r="D49" t="s">
        <v>25</v>
      </c>
    </row>
    <row r="50" spans="1:4" x14ac:dyDescent="0.2">
      <c r="A50" t="s">
        <v>2429</v>
      </c>
      <c r="B50" t="s">
        <v>2430</v>
      </c>
      <c r="C50">
        <v>45527</v>
      </c>
      <c r="D50" t="s">
        <v>569</v>
      </c>
    </row>
    <row r="51" spans="1:4" x14ac:dyDescent="0.2">
      <c r="A51" t="s">
        <v>2431</v>
      </c>
      <c r="B51" t="s">
        <v>2432</v>
      </c>
      <c r="C51">
        <v>45000</v>
      </c>
      <c r="D51" t="s">
        <v>95</v>
      </c>
    </row>
    <row r="52" spans="1:4" x14ac:dyDescent="0.2">
      <c r="A52" t="s">
        <v>2433</v>
      </c>
      <c r="B52" t="s">
        <v>2433</v>
      </c>
      <c r="C52">
        <v>43193</v>
      </c>
      <c r="D52" t="s">
        <v>100</v>
      </c>
    </row>
    <row r="53" spans="1:4" x14ac:dyDescent="0.2">
      <c r="A53" t="s">
        <v>488</v>
      </c>
      <c r="B53" t="s">
        <v>2434</v>
      </c>
      <c r="C53">
        <v>42711</v>
      </c>
      <c r="D53" t="s">
        <v>136</v>
      </c>
    </row>
    <row r="54" spans="1:4" x14ac:dyDescent="0.2">
      <c r="A54" t="s">
        <v>2435</v>
      </c>
      <c r="B54" t="s">
        <v>2436</v>
      </c>
      <c r="C54">
        <v>41073</v>
      </c>
      <c r="D54" t="s">
        <v>569</v>
      </c>
    </row>
    <row r="55" spans="1:4" x14ac:dyDescent="0.2">
      <c r="A55" t="s">
        <v>2437</v>
      </c>
      <c r="B55" t="s">
        <v>2209</v>
      </c>
      <c r="C55">
        <v>38000</v>
      </c>
      <c r="D55" t="s">
        <v>25</v>
      </c>
    </row>
    <row r="56" spans="1:4" x14ac:dyDescent="0.2">
      <c r="A56" t="s">
        <v>2438</v>
      </c>
      <c r="B56" t="s">
        <v>2439</v>
      </c>
      <c r="C56">
        <v>37000</v>
      </c>
      <c r="D56" t="s">
        <v>25</v>
      </c>
    </row>
    <row r="57" spans="1:4" x14ac:dyDescent="0.2">
      <c r="A57" t="s">
        <v>2440</v>
      </c>
      <c r="B57" t="s">
        <v>2441</v>
      </c>
      <c r="C57">
        <v>36215</v>
      </c>
      <c r="D57" t="s">
        <v>569</v>
      </c>
    </row>
    <row r="58" spans="1:4" x14ac:dyDescent="0.2">
      <c r="A58" t="s">
        <v>2203</v>
      </c>
      <c r="B58" t="s">
        <v>2442</v>
      </c>
      <c r="C58">
        <v>36100</v>
      </c>
      <c r="D58" t="s">
        <v>25</v>
      </c>
    </row>
    <row r="59" spans="1:4" x14ac:dyDescent="0.2">
      <c r="A59" t="s">
        <v>2443</v>
      </c>
      <c r="B59" t="s">
        <v>2444</v>
      </c>
      <c r="C59">
        <v>36000</v>
      </c>
      <c r="D59" t="s">
        <v>25</v>
      </c>
    </row>
    <row r="60" spans="1:4" x14ac:dyDescent="0.2">
      <c r="A60" t="s">
        <v>2445</v>
      </c>
      <c r="B60" t="s">
        <v>2446</v>
      </c>
      <c r="C60">
        <v>35900</v>
      </c>
      <c r="D60" t="s">
        <v>569</v>
      </c>
    </row>
    <row r="61" spans="1:4" x14ac:dyDescent="0.2">
      <c r="A61" t="s">
        <v>2219</v>
      </c>
      <c r="B61" t="s">
        <v>2447</v>
      </c>
      <c r="C61">
        <v>34000</v>
      </c>
      <c r="D61" t="s">
        <v>25</v>
      </c>
    </row>
    <row r="62" spans="1:4" x14ac:dyDescent="0.2">
      <c r="A62" t="s">
        <v>2448</v>
      </c>
      <c r="B62" t="s">
        <v>2449</v>
      </c>
      <c r="C62">
        <v>33716</v>
      </c>
      <c r="D62" t="s">
        <v>1334</v>
      </c>
    </row>
    <row r="63" spans="1:4" x14ac:dyDescent="0.2">
      <c r="A63" t="s">
        <v>2450</v>
      </c>
      <c r="B63" t="s">
        <v>2451</v>
      </c>
      <c r="C63">
        <v>33716</v>
      </c>
      <c r="D63" t="s">
        <v>2452</v>
      </c>
    </row>
    <row r="64" spans="1:4" x14ac:dyDescent="0.2">
      <c r="A64" t="s">
        <v>2453</v>
      </c>
      <c r="B64" t="s">
        <v>2454</v>
      </c>
      <c r="C64">
        <v>33100</v>
      </c>
      <c r="D64" t="s">
        <v>100</v>
      </c>
    </row>
    <row r="65" spans="1:4" x14ac:dyDescent="0.2">
      <c r="A65" t="s">
        <v>241</v>
      </c>
      <c r="B65" t="s">
        <v>2455</v>
      </c>
      <c r="C65">
        <v>32700</v>
      </c>
      <c r="D65" t="s">
        <v>25</v>
      </c>
    </row>
    <row r="66" spans="1:4" x14ac:dyDescent="0.2">
      <c r="A66" t="s">
        <v>2456</v>
      </c>
      <c r="B66" t="s">
        <v>2457</v>
      </c>
      <c r="C66">
        <v>32000</v>
      </c>
      <c r="D66" t="s">
        <v>25</v>
      </c>
    </row>
    <row r="67" spans="1:4" x14ac:dyDescent="0.2">
      <c r="A67" t="s">
        <v>2458</v>
      </c>
      <c r="B67" t="s">
        <v>2459</v>
      </c>
      <c r="C67">
        <v>31102</v>
      </c>
      <c r="D67" t="s">
        <v>2122</v>
      </c>
    </row>
    <row r="68" spans="1:4" x14ac:dyDescent="0.2">
      <c r="A68" t="s">
        <v>2460</v>
      </c>
      <c r="B68" t="s">
        <v>2461</v>
      </c>
      <c r="C68">
        <v>30709</v>
      </c>
      <c r="D68" t="s">
        <v>25</v>
      </c>
    </row>
    <row r="69" spans="1:4" x14ac:dyDescent="0.2">
      <c r="A69" t="s">
        <v>2462</v>
      </c>
      <c r="B69" t="s">
        <v>2463</v>
      </c>
      <c r="C69">
        <v>30216</v>
      </c>
      <c r="D69" t="s">
        <v>25</v>
      </c>
    </row>
    <row r="70" spans="1:4" x14ac:dyDescent="0.2">
      <c r="A70" t="s">
        <v>2464</v>
      </c>
      <c r="B70" t="s">
        <v>2465</v>
      </c>
      <c r="C70">
        <v>30000</v>
      </c>
      <c r="D70" t="s">
        <v>218</v>
      </c>
    </row>
    <row r="71" spans="1:4" x14ac:dyDescent="0.2">
      <c r="A71" t="s">
        <v>2466</v>
      </c>
      <c r="B71" t="s">
        <v>2467</v>
      </c>
      <c r="C71">
        <v>29346</v>
      </c>
      <c r="D71" t="s">
        <v>14</v>
      </c>
    </row>
    <row r="72" spans="1:4" x14ac:dyDescent="0.2">
      <c r="A72" t="s">
        <v>2468</v>
      </c>
      <c r="B72" t="s">
        <v>2469</v>
      </c>
      <c r="C72">
        <v>29334</v>
      </c>
      <c r="D72" t="s">
        <v>548</v>
      </c>
    </row>
    <row r="73" spans="1:4" x14ac:dyDescent="0.2">
      <c r="A73" t="s">
        <v>2470</v>
      </c>
      <c r="B73" t="s">
        <v>2471</v>
      </c>
      <c r="C73">
        <v>29235</v>
      </c>
      <c r="D73" t="s">
        <v>2360</v>
      </c>
    </row>
    <row r="74" spans="1:4" x14ac:dyDescent="0.2">
      <c r="A74" t="s">
        <v>2269</v>
      </c>
      <c r="B74" t="s">
        <v>2472</v>
      </c>
      <c r="C74">
        <v>29058</v>
      </c>
      <c r="D74" t="s">
        <v>25</v>
      </c>
    </row>
    <row r="75" spans="1:4" x14ac:dyDescent="0.2">
      <c r="A75" t="s">
        <v>2473</v>
      </c>
      <c r="B75" t="s">
        <v>2474</v>
      </c>
      <c r="C75">
        <v>28300</v>
      </c>
      <c r="D75" t="s">
        <v>25</v>
      </c>
    </row>
    <row r="76" spans="1:4" x14ac:dyDescent="0.2">
      <c r="A76" t="s">
        <v>1981</v>
      </c>
      <c r="B76" t="s">
        <v>1981</v>
      </c>
      <c r="C76">
        <v>28000</v>
      </c>
      <c r="D76" t="s">
        <v>25</v>
      </c>
    </row>
    <row r="77" spans="1:4" x14ac:dyDescent="0.2">
      <c r="A77" t="s">
        <v>2475</v>
      </c>
      <c r="B77" t="s">
        <v>2476</v>
      </c>
      <c r="C77">
        <v>27000</v>
      </c>
      <c r="D77" t="s">
        <v>25</v>
      </c>
    </row>
    <row r="78" spans="1:4" x14ac:dyDescent="0.2">
      <c r="A78" t="s">
        <v>2477</v>
      </c>
      <c r="B78" t="s">
        <v>2478</v>
      </c>
      <c r="C78">
        <v>26800</v>
      </c>
      <c r="D78" t="s">
        <v>25</v>
      </c>
    </row>
    <row r="79" spans="1:4" x14ac:dyDescent="0.2">
      <c r="A79" t="s">
        <v>2479</v>
      </c>
      <c r="B79" t="s">
        <v>2480</v>
      </c>
      <c r="C79">
        <v>26400</v>
      </c>
      <c r="D79" t="s">
        <v>25</v>
      </c>
    </row>
    <row r="80" spans="1:4" x14ac:dyDescent="0.2">
      <c r="A80" t="s">
        <v>2481</v>
      </c>
      <c r="B80" t="s">
        <v>2482</v>
      </c>
      <c r="C80">
        <v>26293</v>
      </c>
      <c r="D80" t="s">
        <v>25</v>
      </c>
    </row>
    <row r="81" spans="1:4" x14ac:dyDescent="0.2">
      <c r="A81" t="s">
        <v>2483</v>
      </c>
      <c r="B81" t="s">
        <v>2484</v>
      </c>
      <c r="C81">
        <v>26225</v>
      </c>
      <c r="D81" t="s">
        <v>98</v>
      </c>
    </row>
    <row r="82" spans="1:4" x14ac:dyDescent="0.2">
      <c r="A82" t="s">
        <v>2052</v>
      </c>
      <c r="B82" t="s">
        <v>2485</v>
      </c>
      <c r="C82">
        <v>26028</v>
      </c>
      <c r="D82" t="s">
        <v>569</v>
      </c>
    </row>
    <row r="83" spans="1:4" x14ac:dyDescent="0.2">
      <c r="A83" t="s">
        <v>1987</v>
      </c>
      <c r="B83" t="s">
        <v>2486</v>
      </c>
      <c r="C83">
        <v>24800</v>
      </c>
      <c r="D83" t="s">
        <v>25</v>
      </c>
    </row>
    <row r="84" spans="1:4" x14ac:dyDescent="0.2">
      <c r="A84" t="s">
        <v>2487</v>
      </c>
      <c r="B84" t="s">
        <v>2488</v>
      </c>
      <c r="C84">
        <v>24718</v>
      </c>
      <c r="D84" t="s">
        <v>569</v>
      </c>
    </row>
    <row r="85" spans="1:4" x14ac:dyDescent="0.2">
      <c r="A85" t="s">
        <v>479</v>
      </c>
      <c r="B85" t="s">
        <v>2489</v>
      </c>
      <c r="C85">
        <v>24400</v>
      </c>
      <c r="D85" t="s">
        <v>25</v>
      </c>
    </row>
    <row r="86" spans="1:4" x14ac:dyDescent="0.2">
      <c r="A86" t="s">
        <v>2490</v>
      </c>
      <c r="B86" t="s">
        <v>2491</v>
      </c>
      <c r="C86">
        <v>24000</v>
      </c>
      <c r="D86" t="s">
        <v>25</v>
      </c>
    </row>
    <row r="87" spans="1:4" x14ac:dyDescent="0.2">
      <c r="A87" t="s">
        <v>1349</v>
      </c>
      <c r="B87" t="s">
        <v>2492</v>
      </c>
      <c r="C87">
        <v>24000</v>
      </c>
      <c r="D87" t="s">
        <v>25</v>
      </c>
    </row>
    <row r="88" spans="1:4" x14ac:dyDescent="0.2">
      <c r="A88" t="s">
        <v>2493</v>
      </c>
      <c r="B88" t="s">
        <v>2494</v>
      </c>
      <c r="C88">
        <v>23887</v>
      </c>
      <c r="D88" t="s">
        <v>965</v>
      </c>
    </row>
    <row r="89" spans="1:4" x14ac:dyDescent="0.2">
      <c r="A89" t="s">
        <v>631</v>
      </c>
      <c r="B89" t="s">
        <v>2495</v>
      </c>
      <c r="C89">
        <v>23700</v>
      </c>
      <c r="D89" t="s">
        <v>25</v>
      </c>
    </row>
    <row r="90" spans="1:4" x14ac:dyDescent="0.2">
      <c r="A90" t="s">
        <v>2496</v>
      </c>
      <c r="B90" t="s">
        <v>2497</v>
      </c>
      <c r="C90">
        <v>23465</v>
      </c>
      <c r="D90" t="s">
        <v>569</v>
      </c>
    </row>
    <row r="91" spans="1:4" x14ac:dyDescent="0.2">
      <c r="A91" t="s">
        <v>2498</v>
      </c>
      <c r="B91" t="s">
        <v>2499</v>
      </c>
      <c r="C91">
        <v>22700</v>
      </c>
      <c r="D91" t="s">
        <v>25</v>
      </c>
    </row>
    <row r="92" spans="1:4" x14ac:dyDescent="0.2">
      <c r="A92" t="s">
        <v>2500</v>
      </c>
      <c r="B92" t="s">
        <v>2501</v>
      </c>
      <c r="C92">
        <v>22608</v>
      </c>
      <c r="D92" t="s">
        <v>548</v>
      </c>
    </row>
    <row r="93" spans="1:4" x14ac:dyDescent="0.2">
      <c r="A93" t="s">
        <v>2502</v>
      </c>
      <c r="B93" t="s">
        <v>2503</v>
      </c>
      <c r="C93">
        <v>21800</v>
      </c>
      <c r="D93" t="s">
        <v>1141</v>
      </c>
    </row>
    <row r="94" spans="1:4" x14ac:dyDescent="0.2">
      <c r="A94" t="s">
        <v>2504</v>
      </c>
      <c r="B94" t="s">
        <v>2505</v>
      </c>
      <c r="C94">
        <v>21585</v>
      </c>
      <c r="D94" t="s">
        <v>548</v>
      </c>
    </row>
    <row r="95" spans="1:4" x14ac:dyDescent="0.2">
      <c r="A95" t="s">
        <v>2506</v>
      </c>
      <c r="B95" t="s">
        <v>2507</v>
      </c>
      <c r="C95">
        <v>21485</v>
      </c>
      <c r="D95" t="s">
        <v>25</v>
      </c>
    </row>
    <row r="96" spans="1:4" x14ac:dyDescent="0.2">
      <c r="A96" t="s">
        <v>2099</v>
      </c>
      <c r="B96" t="s">
        <v>2508</v>
      </c>
      <c r="C96">
        <v>21400</v>
      </c>
      <c r="D96" t="s">
        <v>95</v>
      </c>
    </row>
    <row r="97" spans="1:4" x14ac:dyDescent="0.2">
      <c r="A97" t="s">
        <v>2509</v>
      </c>
      <c r="B97" t="s">
        <v>2510</v>
      </c>
      <c r="C97">
        <v>21200</v>
      </c>
      <c r="D97" t="s">
        <v>100</v>
      </c>
    </row>
    <row r="98" spans="1:4" x14ac:dyDescent="0.2">
      <c r="A98" t="s">
        <v>2511</v>
      </c>
      <c r="B98" t="s">
        <v>2512</v>
      </c>
      <c r="C98">
        <v>21000</v>
      </c>
      <c r="D98" t="s">
        <v>25</v>
      </c>
    </row>
    <row r="99" spans="1:4" x14ac:dyDescent="0.2">
      <c r="A99" t="s">
        <v>2513</v>
      </c>
      <c r="B99" t="s">
        <v>2514</v>
      </c>
      <c r="C99">
        <v>20643</v>
      </c>
      <c r="D99" t="s">
        <v>358</v>
      </c>
    </row>
    <row r="100" spans="1:4" x14ac:dyDescent="0.2">
      <c r="A100" t="s">
        <v>2515</v>
      </c>
      <c r="B100" t="s">
        <v>2516</v>
      </c>
      <c r="C100">
        <v>20261</v>
      </c>
      <c r="D100" t="s">
        <v>1357</v>
      </c>
    </row>
    <row r="101" spans="1:4" x14ac:dyDescent="0.2">
      <c r="A101" t="s">
        <v>2517</v>
      </c>
      <c r="B101" t="s">
        <v>2518</v>
      </c>
      <c r="C101">
        <v>20000</v>
      </c>
      <c r="D101" t="s">
        <v>2360</v>
      </c>
    </row>
    <row r="102" spans="1:4" x14ac:dyDescent="0.2">
      <c r="A102" t="s">
        <v>2179</v>
      </c>
      <c r="B102" t="s">
        <v>2519</v>
      </c>
      <c r="C102">
        <v>20000</v>
      </c>
      <c r="D102" t="s">
        <v>25</v>
      </c>
    </row>
    <row r="103" spans="1:4" x14ac:dyDescent="0.2">
      <c r="A103" t="s">
        <v>2520</v>
      </c>
      <c r="B103" t="s">
        <v>2521</v>
      </c>
      <c r="C103">
        <v>20000</v>
      </c>
      <c r="D103" t="s">
        <v>25</v>
      </c>
    </row>
    <row r="104" spans="1:4" x14ac:dyDescent="0.2">
      <c r="A104" t="s">
        <v>2522</v>
      </c>
      <c r="B104" t="s">
        <v>2523</v>
      </c>
      <c r="C104">
        <v>19870</v>
      </c>
      <c r="D104" t="s">
        <v>569</v>
      </c>
    </row>
    <row r="105" spans="1:4" x14ac:dyDescent="0.2">
      <c r="A105" t="s">
        <v>2524</v>
      </c>
      <c r="B105" t="s">
        <v>2525</v>
      </c>
      <c r="C105">
        <v>19594</v>
      </c>
      <c r="D105" t="s">
        <v>569</v>
      </c>
    </row>
    <row r="106" spans="1:4" x14ac:dyDescent="0.2">
      <c r="A106" t="s">
        <v>480</v>
      </c>
      <c r="B106" t="s">
        <v>2526</v>
      </c>
      <c r="C106">
        <v>19517</v>
      </c>
      <c r="D106" t="s">
        <v>25</v>
      </c>
    </row>
    <row r="107" spans="1:4" x14ac:dyDescent="0.2">
      <c r="A107" t="s">
        <v>2527</v>
      </c>
      <c r="B107" t="s">
        <v>2528</v>
      </c>
      <c r="C107">
        <v>19444</v>
      </c>
      <c r="D107" t="s">
        <v>548</v>
      </c>
    </row>
    <row r="108" spans="1:4" x14ac:dyDescent="0.2">
      <c r="A108" t="s">
        <v>2529</v>
      </c>
      <c r="B108" t="s">
        <v>2530</v>
      </c>
      <c r="C108">
        <v>19400</v>
      </c>
      <c r="D108" t="s">
        <v>25</v>
      </c>
    </row>
    <row r="109" spans="1:4" x14ac:dyDescent="0.2">
      <c r="A109" t="s">
        <v>2531</v>
      </c>
      <c r="B109" t="s">
        <v>2532</v>
      </c>
      <c r="C109">
        <v>19272</v>
      </c>
      <c r="D109" t="s">
        <v>2533</v>
      </c>
    </row>
    <row r="110" spans="1:4" x14ac:dyDescent="0.2">
      <c r="A110" t="s">
        <v>2534</v>
      </c>
      <c r="B110" t="s">
        <v>2535</v>
      </c>
      <c r="C110">
        <v>19186</v>
      </c>
      <c r="D110" t="s">
        <v>569</v>
      </c>
    </row>
    <row r="111" spans="1:4" x14ac:dyDescent="0.2">
      <c r="A111" t="s">
        <v>2536</v>
      </c>
      <c r="B111" t="s">
        <v>2537</v>
      </c>
      <c r="C111">
        <v>19113</v>
      </c>
      <c r="D111" t="s">
        <v>569</v>
      </c>
    </row>
    <row r="112" spans="1:4" x14ac:dyDescent="0.2">
      <c r="A112" t="s">
        <v>2035</v>
      </c>
      <c r="B112" t="s">
        <v>2538</v>
      </c>
      <c r="C112">
        <v>19012</v>
      </c>
      <c r="D112" t="s">
        <v>136</v>
      </c>
    </row>
    <row r="113" spans="1:4" x14ac:dyDescent="0.2">
      <c r="A113" t="s">
        <v>2242</v>
      </c>
      <c r="B113" t="s">
        <v>2539</v>
      </c>
      <c r="C113">
        <v>19011</v>
      </c>
      <c r="D113" t="s">
        <v>98</v>
      </c>
    </row>
    <row r="114" spans="1:4" x14ac:dyDescent="0.2">
      <c r="A114" t="s">
        <v>2540</v>
      </c>
      <c r="B114" t="s">
        <v>2541</v>
      </c>
      <c r="C114">
        <v>19000</v>
      </c>
      <c r="D114" t="s">
        <v>25</v>
      </c>
    </row>
    <row r="115" spans="1:4" x14ac:dyDescent="0.2">
      <c r="A115" t="s">
        <v>1099</v>
      </c>
      <c r="B115" t="s">
        <v>2542</v>
      </c>
      <c r="C115">
        <v>18200</v>
      </c>
      <c r="D115" t="s">
        <v>25</v>
      </c>
    </row>
    <row r="116" spans="1:4" x14ac:dyDescent="0.2">
      <c r="A116" t="s">
        <v>2543</v>
      </c>
      <c r="B116" t="s">
        <v>2544</v>
      </c>
      <c r="C116">
        <v>18200</v>
      </c>
      <c r="D116" t="s">
        <v>25</v>
      </c>
    </row>
    <row r="117" spans="1:4" x14ac:dyDescent="0.2">
      <c r="A117" t="s">
        <v>2545</v>
      </c>
      <c r="B117" t="s">
        <v>2546</v>
      </c>
      <c r="C117">
        <v>18097</v>
      </c>
      <c r="D117" t="s">
        <v>569</v>
      </c>
    </row>
    <row r="118" spans="1:4" x14ac:dyDescent="0.2">
      <c r="A118" t="s">
        <v>2547</v>
      </c>
      <c r="B118" t="s">
        <v>2548</v>
      </c>
      <c r="C118">
        <v>18000</v>
      </c>
      <c r="D118" t="s">
        <v>25</v>
      </c>
    </row>
    <row r="119" spans="1:4" x14ac:dyDescent="0.2">
      <c r="A119" t="s">
        <v>1426</v>
      </c>
      <c r="B119" t="s">
        <v>2549</v>
      </c>
      <c r="C119">
        <v>17964</v>
      </c>
      <c r="D119" t="s">
        <v>14</v>
      </c>
    </row>
    <row r="120" spans="1:4" x14ac:dyDescent="0.2">
      <c r="A120" t="s">
        <v>2550</v>
      </c>
      <c r="B120" t="s">
        <v>2551</v>
      </c>
      <c r="C120">
        <v>17702</v>
      </c>
      <c r="D120" t="s">
        <v>548</v>
      </c>
    </row>
    <row r="121" spans="1:4" x14ac:dyDescent="0.2">
      <c r="A121" t="s">
        <v>1680</v>
      </c>
      <c r="B121" t="s">
        <v>2552</v>
      </c>
      <c r="C121">
        <v>17600</v>
      </c>
      <c r="D121" t="s">
        <v>25</v>
      </c>
    </row>
    <row r="122" spans="1:4" x14ac:dyDescent="0.2">
      <c r="A122" t="s">
        <v>2553</v>
      </c>
      <c r="B122" t="s">
        <v>2554</v>
      </c>
      <c r="C122">
        <v>17496</v>
      </c>
      <c r="D122" t="s">
        <v>136</v>
      </c>
    </row>
    <row r="123" spans="1:4" x14ac:dyDescent="0.2">
      <c r="A123" t="s">
        <v>2555</v>
      </c>
      <c r="B123" t="s">
        <v>2556</v>
      </c>
      <c r="C123">
        <v>17117</v>
      </c>
      <c r="D123" t="s">
        <v>2452</v>
      </c>
    </row>
    <row r="124" spans="1:4" x14ac:dyDescent="0.2">
      <c r="A124" t="s">
        <v>2557</v>
      </c>
      <c r="B124" t="s">
        <v>2558</v>
      </c>
      <c r="C124">
        <v>16500</v>
      </c>
      <c r="D124" t="s">
        <v>25</v>
      </c>
    </row>
    <row r="125" spans="1:4" x14ac:dyDescent="0.2">
      <c r="A125" t="s">
        <v>2559</v>
      </c>
      <c r="B125" t="s">
        <v>2560</v>
      </c>
      <c r="C125">
        <v>16354</v>
      </c>
      <c r="D125" t="s">
        <v>569</v>
      </c>
    </row>
    <row r="126" spans="1:4" x14ac:dyDescent="0.2">
      <c r="A126" t="s">
        <v>2561</v>
      </c>
      <c r="B126" t="s">
        <v>2562</v>
      </c>
      <c r="C126">
        <v>16068</v>
      </c>
      <c r="D126" t="s">
        <v>25</v>
      </c>
    </row>
    <row r="127" spans="1:4" x14ac:dyDescent="0.2">
      <c r="A127" t="s">
        <v>2563</v>
      </c>
      <c r="B127" t="s">
        <v>2564</v>
      </c>
      <c r="C127">
        <v>15900</v>
      </c>
      <c r="D127" t="s">
        <v>25</v>
      </c>
    </row>
    <row r="128" spans="1:4" x14ac:dyDescent="0.2">
      <c r="A128" t="s">
        <v>2565</v>
      </c>
      <c r="B128" t="s">
        <v>2566</v>
      </c>
      <c r="C128">
        <v>15828</v>
      </c>
      <c r="D128" t="s">
        <v>569</v>
      </c>
    </row>
    <row r="129" spans="1:4" x14ac:dyDescent="0.2">
      <c r="A129" t="s">
        <v>2567</v>
      </c>
      <c r="B129" t="s">
        <v>2568</v>
      </c>
      <c r="C129">
        <v>15551</v>
      </c>
      <c r="D129" t="s">
        <v>569</v>
      </c>
    </row>
    <row r="130" spans="1:4" x14ac:dyDescent="0.2">
      <c r="A130" t="s">
        <v>2569</v>
      </c>
      <c r="B130" t="s">
        <v>2570</v>
      </c>
      <c r="C130">
        <v>15500</v>
      </c>
      <c r="D130" t="s">
        <v>25</v>
      </c>
    </row>
    <row r="131" spans="1:4" x14ac:dyDescent="0.2">
      <c r="A131" t="s">
        <v>2571</v>
      </c>
      <c r="B131" t="s">
        <v>2572</v>
      </c>
      <c r="C131">
        <v>15463</v>
      </c>
      <c r="D131" t="s">
        <v>136</v>
      </c>
    </row>
    <row r="132" spans="1:4" x14ac:dyDescent="0.2">
      <c r="A132" t="s">
        <v>2046</v>
      </c>
      <c r="B132" t="s">
        <v>2573</v>
      </c>
      <c r="C132">
        <v>15300</v>
      </c>
      <c r="D132" t="s">
        <v>25</v>
      </c>
    </row>
    <row r="133" spans="1:4" x14ac:dyDescent="0.2">
      <c r="A133" t="s">
        <v>2574</v>
      </c>
      <c r="B133" t="s">
        <v>2575</v>
      </c>
      <c r="C133">
        <v>15000</v>
      </c>
      <c r="D133" t="s">
        <v>25</v>
      </c>
    </row>
    <row r="134" spans="1:4" x14ac:dyDescent="0.2">
      <c r="A134" t="s">
        <v>2576</v>
      </c>
      <c r="B134" t="s">
        <v>2577</v>
      </c>
      <c r="C134">
        <v>15000</v>
      </c>
      <c r="D134" t="s">
        <v>218</v>
      </c>
    </row>
    <row r="135" spans="1:4" x14ac:dyDescent="0.2">
      <c r="A135" t="s">
        <v>2578</v>
      </c>
      <c r="B135" t="s">
        <v>2579</v>
      </c>
      <c r="C135">
        <v>14966</v>
      </c>
      <c r="D135" t="s">
        <v>569</v>
      </c>
    </row>
    <row r="136" spans="1:4" x14ac:dyDescent="0.2">
      <c r="A136" t="s">
        <v>2580</v>
      </c>
      <c r="B136" t="s">
        <v>2581</v>
      </c>
      <c r="C136">
        <v>14898</v>
      </c>
      <c r="D136" t="s">
        <v>25</v>
      </c>
    </row>
    <row r="137" spans="1:4" x14ac:dyDescent="0.2">
      <c r="A137" t="s">
        <v>2582</v>
      </c>
      <c r="B137" t="s">
        <v>2583</v>
      </c>
      <c r="C137">
        <v>14834</v>
      </c>
      <c r="D137" t="s">
        <v>25</v>
      </c>
    </row>
    <row r="138" spans="1:4" x14ac:dyDescent="0.2">
      <c r="A138" t="s">
        <v>363</v>
      </c>
      <c r="B138" t="s">
        <v>2584</v>
      </c>
      <c r="C138">
        <v>14500</v>
      </c>
      <c r="D138" t="s">
        <v>25</v>
      </c>
    </row>
    <row r="139" spans="1:4" x14ac:dyDescent="0.2">
      <c r="A139" t="s">
        <v>942</v>
      </c>
      <c r="B139" t="s">
        <v>2585</v>
      </c>
      <c r="C139">
        <v>14000</v>
      </c>
      <c r="D139" t="s">
        <v>25</v>
      </c>
    </row>
    <row r="140" spans="1:4" x14ac:dyDescent="0.2">
      <c r="A140" t="s">
        <v>2586</v>
      </c>
      <c r="B140" t="s">
        <v>2587</v>
      </c>
      <c r="C140">
        <v>14000</v>
      </c>
      <c r="D140" t="s">
        <v>25</v>
      </c>
    </row>
    <row r="141" spans="1:4" x14ac:dyDescent="0.2">
      <c r="A141" t="s">
        <v>2588</v>
      </c>
      <c r="B141" t="s">
        <v>2589</v>
      </c>
      <c r="C141">
        <v>13828</v>
      </c>
      <c r="D141" t="s">
        <v>938</v>
      </c>
    </row>
    <row r="142" spans="1:4" x14ac:dyDescent="0.2">
      <c r="A142" t="s">
        <v>400</v>
      </c>
      <c r="B142" t="s">
        <v>2590</v>
      </c>
      <c r="C142">
        <v>13813</v>
      </c>
      <c r="D142" t="s">
        <v>199</v>
      </c>
    </row>
    <row r="143" spans="1:4" x14ac:dyDescent="0.2">
      <c r="A143" t="s">
        <v>2591</v>
      </c>
      <c r="B143" t="s">
        <v>2592</v>
      </c>
      <c r="C143">
        <v>13606</v>
      </c>
      <c r="D143" t="s">
        <v>25</v>
      </c>
    </row>
    <row r="144" spans="1:4" x14ac:dyDescent="0.2">
      <c r="A144" t="s">
        <v>2593</v>
      </c>
      <c r="B144" t="s">
        <v>2594</v>
      </c>
      <c r="C144">
        <v>13152</v>
      </c>
      <c r="D144" t="s">
        <v>25</v>
      </c>
    </row>
    <row r="145" spans="1:4" x14ac:dyDescent="0.2">
      <c r="A145" t="s">
        <v>2595</v>
      </c>
      <c r="B145" t="s">
        <v>2596</v>
      </c>
      <c r="C145">
        <v>13100</v>
      </c>
      <c r="D145" t="s">
        <v>25</v>
      </c>
    </row>
    <row r="146" spans="1:4" x14ac:dyDescent="0.2">
      <c r="A146" t="s">
        <v>2597</v>
      </c>
      <c r="B146" t="s">
        <v>2598</v>
      </c>
      <c r="C146">
        <v>13000</v>
      </c>
      <c r="D146" t="s">
        <v>25</v>
      </c>
    </row>
    <row r="147" spans="1:4" x14ac:dyDescent="0.2">
      <c r="A147" t="s">
        <v>1691</v>
      </c>
      <c r="B147" t="s">
        <v>2599</v>
      </c>
      <c r="C147">
        <v>12928</v>
      </c>
      <c r="D147" t="s">
        <v>25</v>
      </c>
    </row>
    <row r="148" spans="1:4" x14ac:dyDescent="0.2">
      <c r="A148" t="s">
        <v>2600</v>
      </c>
      <c r="B148" t="s">
        <v>2601</v>
      </c>
      <c r="C148">
        <v>12579</v>
      </c>
      <c r="D148" t="s">
        <v>25</v>
      </c>
    </row>
    <row r="149" spans="1:4" x14ac:dyDescent="0.2">
      <c r="A149" t="s">
        <v>2602</v>
      </c>
      <c r="B149" t="s">
        <v>2603</v>
      </c>
      <c r="C149">
        <v>12286</v>
      </c>
      <c r="D149" t="s">
        <v>548</v>
      </c>
    </row>
    <row r="150" spans="1:4" x14ac:dyDescent="0.2">
      <c r="A150" t="s">
        <v>2604</v>
      </c>
      <c r="B150" t="s">
        <v>2605</v>
      </c>
      <c r="C150">
        <v>12100</v>
      </c>
      <c r="D150" t="s">
        <v>25</v>
      </c>
    </row>
    <row r="151" spans="1:4" x14ac:dyDescent="0.2">
      <c r="A151" t="s">
        <v>514</v>
      </c>
      <c r="B151" t="s">
        <v>2606</v>
      </c>
      <c r="C151">
        <v>12100</v>
      </c>
      <c r="D151" t="s">
        <v>25</v>
      </c>
    </row>
    <row r="152" spans="1:4" x14ac:dyDescent="0.2">
      <c r="A152" t="s">
        <v>2607</v>
      </c>
      <c r="B152" t="s">
        <v>2608</v>
      </c>
      <c r="C152">
        <v>12100</v>
      </c>
      <c r="D152" t="s">
        <v>548</v>
      </c>
    </row>
    <row r="153" spans="1:4" x14ac:dyDescent="0.2">
      <c r="A153" t="s">
        <v>1520</v>
      </c>
      <c r="B153" t="s">
        <v>2609</v>
      </c>
      <c r="C153">
        <v>12000</v>
      </c>
      <c r="D153" t="s">
        <v>25</v>
      </c>
    </row>
    <row r="154" spans="1:4" x14ac:dyDescent="0.2">
      <c r="A154" t="s">
        <v>2610</v>
      </c>
      <c r="B154" t="s">
        <v>2611</v>
      </c>
      <c r="C154">
        <v>12000</v>
      </c>
      <c r="D154" t="s">
        <v>1357</v>
      </c>
    </row>
    <row r="155" spans="1:4" x14ac:dyDescent="0.2">
      <c r="A155" t="s">
        <v>2105</v>
      </c>
      <c r="B155" t="s">
        <v>2612</v>
      </c>
      <c r="C155">
        <v>11700</v>
      </c>
      <c r="D155" t="s">
        <v>25</v>
      </c>
    </row>
    <row r="156" spans="1:4" x14ac:dyDescent="0.2">
      <c r="A156" t="s">
        <v>2613</v>
      </c>
      <c r="B156" t="s">
        <v>2614</v>
      </c>
      <c r="C156">
        <v>11694</v>
      </c>
      <c r="D156" t="s">
        <v>14</v>
      </c>
    </row>
    <row r="157" spans="1:4" x14ac:dyDescent="0.2">
      <c r="A157" t="s">
        <v>2615</v>
      </c>
      <c r="B157" t="s">
        <v>2616</v>
      </c>
      <c r="C157">
        <v>11639</v>
      </c>
      <c r="D157" t="s">
        <v>14</v>
      </c>
    </row>
    <row r="158" spans="1:4" x14ac:dyDescent="0.2">
      <c r="A158" t="s">
        <v>463</v>
      </c>
      <c r="B158" t="s">
        <v>2617</v>
      </c>
      <c r="C158">
        <v>11500</v>
      </c>
      <c r="D158" t="s">
        <v>25</v>
      </c>
    </row>
    <row r="159" spans="1:4" x14ac:dyDescent="0.2">
      <c r="A159" t="s">
        <v>2618</v>
      </c>
      <c r="B159" t="s">
        <v>2619</v>
      </c>
      <c r="C159">
        <v>11365</v>
      </c>
      <c r="D159" t="s">
        <v>1357</v>
      </c>
    </row>
    <row r="160" spans="1:4" x14ac:dyDescent="0.2">
      <c r="A160" t="s">
        <v>2620</v>
      </c>
      <c r="B160" t="s">
        <v>2621</v>
      </c>
      <c r="C160">
        <v>11267</v>
      </c>
      <c r="D160" t="s">
        <v>244</v>
      </c>
    </row>
    <row r="161" spans="1:4" x14ac:dyDescent="0.2">
      <c r="A161" t="s">
        <v>2622</v>
      </c>
      <c r="B161" t="s">
        <v>2623</v>
      </c>
      <c r="C161">
        <v>11159</v>
      </c>
      <c r="D161" t="s">
        <v>548</v>
      </c>
    </row>
    <row r="162" spans="1:4" x14ac:dyDescent="0.2">
      <c r="A162" t="s">
        <v>2624</v>
      </c>
      <c r="B162" t="s">
        <v>2625</v>
      </c>
      <c r="C162">
        <v>11000</v>
      </c>
      <c r="D162" t="s">
        <v>52</v>
      </c>
    </row>
    <row r="163" spans="1:4" x14ac:dyDescent="0.2">
      <c r="A163" t="s">
        <v>2626</v>
      </c>
      <c r="B163" t="s">
        <v>2627</v>
      </c>
      <c r="C163">
        <v>10964</v>
      </c>
      <c r="D163" t="s">
        <v>136</v>
      </c>
    </row>
    <row r="164" spans="1:4" x14ac:dyDescent="0.2">
      <c r="A164" t="s">
        <v>297</v>
      </c>
      <c r="B164" t="s">
        <v>2628</v>
      </c>
      <c r="C164">
        <v>10944</v>
      </c>
      <c r="D164" t="s">
        <v>25</v>
      </c>
    </row>
    <row r="165" spans="1:4" x14ac:dyDescent="0.2">
      <c r="A165" t="s">
        <v>2629</v>
      </c>
      <c r="B165" t="s">
        <v>2630</v>
      </c>
      <c r="C165">
        <v>10756</v>
      </c>
      <c r="D165" t="s">
        <v>569</v>
      </c>
    </row>
    <row r="166" spans="1:4" x14ac:dyDescent="0.2">
      <c r="A166" t="s">
        <v>2631</v>
      </c>
      <c r="B166" t="s">
        <v>2632</v>
      </c>
      <c r="C166">
        <v>10740</v>
      </c>
      <c r="D166" t="s">
        <v>1357</v>
      </c>
    </row>
    <row r="167" spans="1:4" x14ac:dyDescent="0.2">
      <c r="A167" t="s">
        <v>2633</v>
      </c>
      <c r="B167" t="s">
        <v>2634</v>
      </c>
      <c r="C167">
        <v>10600</v>
      </c>
      <c r="D167" t="s">
        <v>903</v>
      </c>
    </row>
    <row r="168" spans="1:4" x14ac:dyDescent="0.2">
      <c r="A168" t="s">
        <v>2635</v>
      </c>
      <c r="B168" t="s">
        <v>2636</v>
      </c>
      <c r="C168">
        <v>10562</v>
      </c>
      <c r="D168" t="s">
        <v>25</v>
      </c>
    </row>
    <row r="169" spans="1:4" x14ac:dyDescent="0.2">
      <c r="A169" t="s">
        <v>2637</v>
      </c>
      <c r="B169" t="s">
        <v>2638</v>
      </c>
      <c r="C169">
        <v>10223</v>
      </c>
      <c r="D169" t="s">
        <v>569</v>
      </c>
    </row>
    <row r="170" spans="1:4" x14ac:dyDescent="0.2">
      <c r="A170" t="s">
        <v>2639</v>
      </c>
      <c r="B170" t="s">
        <v>2640</v>
      </c>
      <c r="C170">
        <v>10100</v>
      </c>
      <c r="D170" t="s">
        <v>25</v>
      </c>
    </row>
    <row r="171" spans="1:4" x14ac:dyDescent="0.2">
      <c r="A171" t="s">
        <v>2098</v>
      </c>
      <c r="B171" t="s">
        <v>2641</v>
      </c>
      <c r="C171">
        <v>10047</v>
      </c>
      <c r="D171" t="s">
        <v>25</v>
      </c>
    </row>
    <row r="172" spans="1:4" x14ac:dyDescent="0.2">
      <c r="A172" t="s">
        <v>153</v>
      </c>
      <c r="B172" t="s">
        <v>2642</v>
      </c>
      <c r="C172">
        <v>9900</v>
      </c>
      <c r="D172" t="s">
        <v>25</v>
      </c>
    </row>
    <row r="173" spans="1:4" x14ac:dyDescent="0.2">
      <c r="A173" t="s">
        <v>2643</v>
      </c>
      <c r="B173" t="s">
        <v>2644</v>
      </c>
      <c r="C173">
        <v>9850</v>
      </c>
      <c r="D173" t="s">
        <v>548</v>
      </c>
    </row>
    <row r="174" spans="1:4" x14ac:dyDescent="0.2">
      <c r="A174" t="s">
        <v>2049</v>
      </c>
      <c r="B174" t="s">
        <v>2645</v>
      </c>
      <c r="C174">
        <v>9600</v>
      </c>
      <c r="D174" t="s">
        <v>25</v>
      </c>
    </row>
    <row r="175" spans="1:4" x14ac:dyDescent="0.2">
      <c r="A175" t="s">
        <v>2646</v>
      </c>
      <c r="B175" t="s">
        <v>2647</v>
      </c>
      <c r="C175">
        <v>9500</v>
      </c>
      <c r="D175" t="s">
        <v>25</v>
      </c>
    </row>
    <row r="176" spans="1:4" x14ac:dyDescent="0.2">
      <c r="A176" t="s">
        <v>2648</v>
      </c>
      <c r="B176" t="s">
        <v>2649</v>
      </c>
      <c r="C176">
        <v>9484</v>
      </c>
      <c r="D176" t="s">
        <v>965</v>
      </c>
    </row>
    <row r="177" spans="1:4" x14ac:dyDescent="0.2">
      <c r="A177" t="s">
        <v>2650</v>
      </c>
      <c r="B177" t="s">
        <v>2651</v>
      </c>
      <c r="C177">
        <v>9329</v>
      </c>
      <c r="D177" t="s">
        <v>548</v>
      </c>
    </row>
    <row r="178" spans="1:4" x14ac:dyDescent="0.2">
      <c r="A178" t="s">
        <v>2652</v>
      </c>
      <c r="B178" t="s">
        <v>2653</v>
      </c>
      <c r="C178">
        <v>9287</v>
      </c>
      <c r="D178" t="s">
        <v>1141</v>
      </c>
    </row>
    <row r="179" spans="1:4" x14ac:dyDescent="0.2">
      <c r="A179" t="s">
        <v>2654</v>
      </c>
      <c r="B179" t="s">
        <v>2655</v>
      </c>
      <c r="C179">
        <v>8769</v>
      </c>
      <c r="D179" t="s">
        <v>25</v>
      </c>
    </row>
    <row r="180" spans="1:4" x14ac:dyDescent="0.2">
      <c r="A180" t="s">
        <v>2656</v>
      </c>
      <c r="B180" t="s">
        <v>2656</v>
      </c>
      <c r="C180">
        <v>8726</v>
      </c>
      <c r="D180" t="s">
        <v>20</v>
      </c>
    </row>
    <row r="181" spans="1:4" x14ac:dyDescent="0.2">
      <c r="A181" t="s">
        <v>481</v>
      </c>
      <c r="B181" t="s">
        <v>2657</v>
      </c>
      <c r="C181">
        <v>8723</v>
      </c>
      <c r="D181" t="s">
        <v>25</v>
      </c>
    </row>
    <row r="182" spans="1:4" x14ac:dyDescent="0.2">
      <c r="A182" t="s">
        <v>2658</v>
      </c>
      <c r="B182" t="s">
        <v>2659</v>
      </c>
      <c r="C182">
        <v>8623</v>
      </c>
      <c r="D182" t="s">
        <v>548</v>
      </c>
    </row>
    <row r="183" spans="1:4" x14ac:dyDescent="0.2">
      <c r="A183" t="s">
        <v>1509</v>
      </c>
      <c r="B183" t="s">
        <v>2660</v>
      </c>
      <c r="C183">
        <v>8330</v>
      </c>
      <c r="D183" t="s">
        <v>1357</v>
      </c>
    </row>
    <row r="184" spans="1:4" x14ac:dyDescent="0.2">
      <c r="A184" t="s">
        <v>2661</v>
      </c>
      <c r="B184" t="s">
        <v>2662</v>
      </c>
      <c r="C184">
        <v>8300</v>
      </c>
      <c r="D184" t="s">
        <v>2533</v>
      </c>
    </row>
    <row r="185" spans="1:4" x14ac:dyDescent="0.2">
      <c r="A185" t="s">
        <v>301</v>
      </c>
      <c r="B185" t="s">
        <v>2663</v>
      </c>
      <c r="C185">
        <v>8100</v>
      </c>
      <c r="D185" t="s">
        <v>95</v>
      </c>
    </row>
    <row r="186" spans="1:4" x14ac:dyDescent="0.2">
      <c r="A186" t="s">
        <v>2664</v>
      </c>
      <c r="B186" t="s">
        <v>2665</v>
      </c>
      <c r="C186">
        <v>8047</v>
      </c>
      <c r="D186" t="s">
        <v>569</v>
      </c>
    </row>
    <row r="187" spans="1:4" x14ac:dyDescent="0.2">
      <c r="A187" t="s">
        <v>2666</v>
      </c>
      <c r="B187" t="s">
        <v>2667</v>
      </c>
      <c r="C187">
        <v>8000</v>
      </c>
      <c r="D187" t="s">
        <v>25</v>
      </c>
    </row>
    <row r="188" spans="1:4" x14ac:dyDescent="0.2">
      <c r="A188" t="s">
        <v>2668</v>
      </c>
      <c r="B188" t="s">
        <v>2669</v>
      </c>
      <c r="C188">
        <v>8000</v>
      </c>
      <c r="D188" t="s">
        <v>25</v>
      </c>
    </row>
    <row r="189" spans="1:4" x14ac:dyDescent="0.2">
      <c r="A189" t="s">
        <v>2670</v>
      </c>
      <c r="B189" t="s">
        <v>2671</v>
      </c>
      <c r="C189">
        <v>7897</v>
      </c>
      <c r="D189" t="s">
        <v>569</v>
      </c>
    </row>
    <row r="190" spans="1:4" x14ac:dyDescent="0.2">
      <c r="A190" t="s">
        <v>2672</v>
      </c>
      <c r="B190" t="s">
        <v>2673</v>
      </c>
      <c r="C190">
        <v>7724</v>
      </c>
      <c r="D190" t="s">
        <v>548</v>
      </c>
    </row>
    <row r="191" spans="1:4" x14ac:dyDescent="0.2">
      <c r="A191" t="s">
        <v>2674</v>
      </c>
      <c r="B191" t="s">
        <v>2675</v>
      </c>
      <c r="C191">
        <v>7720</v>
      </c>
      <c r="D191" t="s">
        <v>548</v>
      </c>
    </row>
    <row r="192" spans="1:4" x14ac:dyDescent="0.2">
      <c r="A192" t="s">
        <v>2676</v>
      </c>
      <c r="B192" t="s">
        <v>2677</v>
      </c>
      <c r="C192">
        <v>7700</v>
      </c>
      <c r="D192" t="s">
        <v>2678</v>
      </c>
    </row>
    <row r="193" spans="1:4" x14ac:dyDescent="0.2">
      <c r="A193" t="s">
        <v>50</v>
      </c>
      <c r="B193" t="s">
        <v>2679</v>
      </c>
      <c r="C193">
        <v>7691</v>
      </c>
      <c r="D193" t="s">
        <v>52</v>
      </c>
    </row>
    <row r="194" spans="1:4" x14ac:dyDescent="0.2">
      <c r="A194" t="s">
        <v>2680</v>
      </c>
      <c r="B194" t="s">
        <v>2681</v>
      </c>
      <c r="C194">
        <v>7650</v>
      </c>
      <c r="D194" t="s">
        <v>569</v>
      </c>
    </row>
    <row r="195" spans="1:4" x14ac:dyDescent="0.2">
      <c r="A195" t="s">
        <v>2682</v>
      </c>
      <c r="B195" t="s">
        <v>2683</v>
      </c>
      <c r="C195">
        <v>7542</v>
      </c>
      <c r="D195" t="s">
        <v>25</v>
      </c>
    </row>
    <row r="196" spans="1:4" x14ac:dyDescent="0.2">
      <c r="A196" t="s">
        <v>2684</v>
      </c>
      <c r="B196" t="s">
        <v>2685</v>
      </c>
      <c r="C196">
        <v>7535</v>
      </c>
      <c r="D196" t="s">
        <v>25</v>
      </c>
    </row>
    <row r="197" spans="1:4" x14ac:dyDescent="0.2">
      <c r="A197" t="s">
        <v>2686</v>
      </c>
      <c r="B197" t="s">
        <v>2686</v>
      </c>
      <c r="C197">
        <v>7449</v>
      </c>
      <c r="D197" t="s">
        <v>569</v>
      </c>
    </row>
    <row r="198" spans="1:4" x14ac:dyDescent="0.2">
      <c r="A198" t="s">
        <v>462</v>
      </c>
      <c r="B198" t="s">
        <v>2687</v>
      </c>
      <c r="C198">
        <v>7412</v>
      </c>
      <c r="D198" t="s">
        <v>25</v>
      </c>
    </row>
    <row r="199" spans="1:4" x14ac:dyDescent="0.2">
      <c r="A199" t="s">
        <v>2688</v>
      </c>
      <c r="B199" t="s">
        <v>2689</v>
      </c>
      <c r="C199">
        <v>7410</v>
      </c>
      <c r="D199" t="s">
        <v>569</v>
      </c>
    </row>
    <row r="200" spans="1:4" x14ac:dyDescent="0.2">
      <c r="A200" t="s">
        <v>2690</v>
      </c>
      <c r="B200" t="s">
        <v>2691</v>
      </c>
      <c r="C200">
        <v>7399</v>
      </c>
      <c r="D200" t="s">
        <v>188</v>
      </c>
    </row>
    <row r="201" spans="1:4" x14ac:dyDescent="0.2">
      <c r="A201" t="s">
        <v>404</v>
      </c>
      <c r="B201" t="s">
        <v>2692</v>
      </c>
      <c r="C201">
        <v>7348</v>
      </c>
      <c r="D201" t="s">
        <v>25</v>
      </c>
    </row>
    <row r="202" spans="1:4" x14ac:dyDescent="0.2">
      <c r="A202" t="s">
        <v>2222</v>
      </c>
      <c r="B202" t="s">
        <v>2693</v>
      </c>
      <c r="C202">
        <v>7306</v>
      </c>
      <c r="D202" t="s">
        <v>25</v>
      </c>
    </row>
    <row r="203" spans="1:4" x14ac:dyDescent="0.2">
      <c r="A203" t="s">
        <v>1146</v>
      </c>
      <c r="B203" t="s">
        <v>2694</v>
      </c>
      <c r="C203">
        <v>7300</v>
      </c>
      <c r="D203" t="s">
        <v>25</v>
      </c>
    </row>
    <row r="204" spans="1:4" x14ac:dyDescent="0.2">
      <c r="A204" t="s">
        <v>2695</v>
      </c>
      <c r="B204" t="s">
        <v>2696</v>
      </c>
      <c r="C204">
        <v>7300</v>
      </c>
      <c r="D204" t="s">
        <v>1141</v>
      </c>
    </row>
    <row r="205" spans="1:4" x14ac:dyDescent="0.2">
      <c r="A205" t="s">
        <v>2697</v>
      </c>
      <c r="B205" t="s">
        <v>2698</v>
      </c>
      <c r="C205">
        <v>7291</v>
      </c>
      <c r="D205" t="s">
        <v>25</v>
      </c>
    </row>
    <row r="206" spans="1:4" x14ac:dyDescent="0.2">
      <c r="A206" t="s">
        <v>2699</v>
      </c>
      <c r="B206" t="s">
        <v>2700</v>
      </c>
      <c r="C206">
        <v>7240</v>
      </c>
      <c r="D206" t="s">
        <v>25</v>
      </c>
    </row>
    <row r="207" spans="1:4" x14ac:dyDescent="0.2">
      <c r="A207" t="s">
        <v>2701</v>
      </c>
      <c r="B207" t="s">
        <v>2702</v>
      </c>
      <c r="C207">
        <v>7182</v>
      </c>
      <c r="D207" t="s">
        <v>903</v>
      </c>
    </row>
    <row r="208" spans="1:4" x14ac:dyDescent="0.2">
      <c r="A208" t="s">
        <v>833</v>
      </c>
      <c r="B208" t="s">
        <v>2703</v>
      </c>
      <c r="C208">
        <v>7150</v>
      </c>
      <c r="D208" t="s">
        <v>25</v>
      </c>
    </row>
    <row r="209" spans="1:4" x14ac:dyDescent="0.2">
      <c r="A209" t="s">
        <v>2704</v>
      </c>
      <c r="B209" t="s">
        <v>2705</v>
      </c>
      <c r="C209">
        <v>7122</v>
      </c>
      <c r="D209" t="s">
        <v>938</v>
      </c>
    </row>
    <row r="210" spans="1:4" x14ac:dyDescent="0.2">
      <c r="A210" t="s">
        <v>2706</v>
      </c>
      <c r="B210" t="s">
        <v>2707</v>
      </c>
      <c r="C210">
        <v>7057</v>
      </c>
      <c r="D210" t="s">
        <v>20</v>
      </c>
    </row>
    <row r="211" spans="1:4" x14ac:dyDescent="0.2">
      <c r="A211" t="s">
        <v>2708</v>
      </c>
      <c r="B211" t="s">
        <v>2709</v>
      </c>
      <c r="C211">
        <v>7042</v>
      </c>
      <c r="D211" t="s">
        <v>25</v>
      </c>
    </row>
    <row r="212" spans="1:4" x14ac:dyDescent="0.2">
      <c r="A212" t="s">
        <v>2710</v>
      </c>
      <c r="B212" t="s">
        <v>2710</v>
      </c>
      <c r="C212">
        <v>7000</v>
      </c>
      <c r="D212" t="s">
        <v>25</v>
      </c>
    </row>
    <row r="213" spans="1:4" x14ac:dyDescent="0.2">
      <c r="A213" t="s">
        <v>2711</v>
      </c>
      <c r="B213" t="s">
        <v>2712</v>
      </c>
      <c r="C213">
        <v>6968</v>
      </c>
      <c r="D213" t="s">
        <v>569</v>
      </c>
    </row>
    <row r="214" spans="1:4" x14ac:dyDescent="0.2">
      <c r="A214" t="s">
        <v>735</v>
      </c>
      <c r="B214" t="s">
        <v>2713</v>
      </c>
      <c r="C214">
        <v>6944</v>
      </c>
      <c r="D214" t="s">
        <v>25</v>
      </c>
    </row>
    <row r="215" spans="1:4" x14ac:dyDescent="0.2">
      <c r="A215" t="s">
        <v>1665</v>
      </c>
      <c r="B215" t="s">
        <v>2714</v>
      </c>
      <c r="C215">
        <v>6869</v>
      </c>
      <c r="D215" t="s">
        <v>548</v>
      </c>
    </row>
    <row r="216" spans="1:4" x14ac:dyDescent="0.2">
      <c r="A216" t="s">
        <v>431</v>
      </c>
      <c r="B216" t="s">
        <v>2715</v>
      </c>
      <c r="C216">
        <v>6838</v>
      </c>
      <c r="D216" t="s">
        <v>25</v>
      </c>
    </row>
    <row r="217" spans="1:4" x14ac:dyDescent="0.2">
      <c r="A217" t="s">
        <v>2716</v>
      </c>
      <c r="B217" t="s">
        <v>2717</v>
      </c>
      <c r="C217">
        <v>6797</v>
      </c>
      <c r="D217" t="s">
        <v>1357</v>
      </c>
    </row>
    <row r="218" spans="1:4" x14ac:dyDescent="0.2">
      <c r="A218" t="s">
        <v>2718</v>
      </c>
      <c r="B218" t="s">
        <v>2719</v>
      </c>
      <c r="C218">
        <v>6773</v>
      </c>
      <c r="D218" t="s">
        <v>25</v>
      </c>
    </row>
    <row r="219" spans="1:4" x14ac:dyDescent="0.2">
      <c r="A219" t="s">
        <v>2720</v>
      </c>
      <c r="B219" t="s">
        <v>2721</v>
      </c>
      <c r="C219">
        <v>6766</v>
      </c>
      <c r="D219" t="s">
        <v>548</v>
      </c>
    </row>
    <row r="220" spans="1:4" x14ac:dyDescent="0.2">
      <c r="A220" t="s">
        <v>2722</v>
      </c>
      <c r="B220" t="s">
        <v>2723</v>
      </c>
      <c r="C220">
        <v>6700</v>
      </c>
      <c r="D220" t="s">
        <v>25</v>
      </c>
    </row>
    <row r="221" spans="1:4" x14ac:dyDescent="0.2">
      <c r="A221" t="s">
        <v>2724</v>
      </c>
      <c r="B221" t="s">
        <v>2725</v>
      </c>
      <c r="C221">
        <v>6698</v>
      </c>
      <c r="D221" t="s">
        <v>14</v>
      </c>
    </row>
    <row r="222" spans="1:4" x14ac:dyDescent="0.2">
      <c r="A222" t="s">
        <v>2726</v>
      </c>
      <c r="B222" t="s">
        <v>2727</v>
      </c>
      <c r="C222">
        <v>6669</v>
      </c>
      <c r="D222" t="s">
        <v>20</v>
      </c>
    </row>
    <row r="223" spans="1:4" x14ac:dyDescent="0.2">
      <c r="A223" t="s">
        <v>2728</v>
      </c>
      <c r="B223" t="s">
        <v>2729</v>
      </c>
      <c r="C223">
        <v>6593</v>
      </c>
      <c r="D223" t="s">
        <v>25</v>
      </c>
    </row>
    <row r="224" spans="1:4" x14ac:dyDescent="0.2">
      <c r="A224" t="s">
        <v>2730</v>
      </c>
      <c r="B224" t="s">
        <v>2731</v>
      </c>
      <c r="C224">
        <v>6500</v>
      </c>
      <c r="D224" t="s">
        <v>25</v>
      </c>
    </row>
    <row r="225" spans="1:4" x14ac:dyDescent="0.2">
      <c r="A225" t="s">
        <v>2732</v>
      </c>
      <c r="B225" t="s">
        <v>2733</v>
      </c>
      <c r="C225">
        <v>6415</v>
      </c>
      <c r="D225" t="s">
        <v>548</v>
      </c>
    </row>
    <row r="226" spans="1:4" x14ac:dyDescent="0.2">
      <c r="A226" t="s">
        <v>2734</v>
      </c>
      <c r="B226" t="s">
        <v>2735</v>
      </c>
      <c r="C226">
        <v>6306</v>
      </c>
      <c r="D226" t="s">
        <v>98</v>
      </c>
    </row>
    <row r="227" spans="1:4" x14ac:dyDescent="0.2">
      <c r="A227" t="s">
        <v>303</v>
      </c>
      <c r="B227" t="s">
        <v>2736</v>
      </c>
      <c r="C227">
        <v>6253</v>
      </c>
      <c r="D227" t="s">
        <v>25</v>
      </c>
    </row>
    <row r="228" spans="1:4" x14ac:dyDescent="0.2">
      <c r="A228" t="s">
        <v>2737</v>
      </c>
      <c r="B228" t="s">
        <v>2738</v>
      </c>
      <c r="C228">
        <v>6238</v>
      </c>
      <c r="D228" t="s">
        <v>25</v>
      </c>
    </row>
    <row r="229" spans="1:4" x14ac:dyDescent="0.2">
      <c r="A229" t="s">
        <v>2739</v>
      </c>
      <c r="B229" t="s">
        <v>2740</v>
      </c>
      <c r="C229">
        <v>6212</v>
      </c>
      <c r="D229" t="s">
        <v>1141</v>
      </c>
    </row>
    <row r="230" spans="1:4" x14ac:dyDescent="0.2">
      <c r="A230" t="s">
        <v>2741</v>
      </c>
      <c r="B230" t="s">
        <v>2742</v>
      </c>
      <c r="C230">
        <v>6200</v>
      </c>
      <c r="D230" t="s">
        <v>25</v>
      </c>
    </row>
    <row r="231" spans="1:4" x14ac:dyDescent="0.2">
      <c r="A231" t="s">
        <v>1997</v>
      </c>
      <c r="B231" t="s">
        <v>2743</v>
      </c>
      <c r="C231">
        <v>6159</v>
      </c>
      <c r="D231" t="s">
        <v>25</v>
      </c>
    </row>
    <row r="232" spans="1:4" x14ac:dyDescent="0.2">
      <c r="A232" t="s">
        <v>1629</v>
      </c>
      <c r="B232" t="s">
        <v>2744</v>
      </c>
      <c r="C232">
        <v>6000</v>
      </c>
      <c r="D232" t="s">
        <v>25</v>
      </c>
    </row>
    <row r="233" spans="1:4" x14ac:dyDescent="0.2">
      <c r="A233" t="s">
        <v>2745</v>
      </c>
      <c r="B233" t="s">
        <v>2746</v>
      </c>
      <c r="C233">
        <v>5980</v>
      </c>
      <c r="D233" t="s">
        <v>1334</v>
      </c>
    </row>
    <row r="234" spans="1:4" x14ac:dyDescent="0.2">
      <c r="A234" t="s">
        <v>2747</v>
      </c>
      <c r="B234" t="s">
        <v>2748</v>
      </c>
      <c r="C234">
        <v>5975</v>
      </c>
      <c r="D234" t="s">
        <v>569</v>
      </c>
    </row>
    <row r="235" spans="1:4" x14ac:dyDescent="0.2">
      <c r="A235" t="s">
        <v>472</v>
      </c>
      <c r="B235" t="s">
        <v>2749</v>
      </c>
      <c r="C235">
        <v>5914</v>
      </c>
      <c r="D235" t="s">
        <v>25</v>
      </c>
    </row>
    <row r="236" spans="1:4" x14ac:dyDescent="0.2">
      <c r="A236" t="s">
        <v>2750</v>
      </c>
      <c r="B236" t="s">
        <v>2751</v>
      </c>
      <c r="C236">
        <v>5810</v>
      </c>
      <c r="D236" t="s">
        <v>14</v>
      </c>
    </row>
    <row r="237" spans="1:4" x14ac:dyDescent="0.2">
      <c r="A237" t="s">
        <v>2752</v>
      </c>
      <c r="B237" t="s">
        <v>2753</v>
      </c>
      <c r="C237">
        <v>5800</v>
      </c>
      <c r="D237" t="s">
        <v>25</v>
      </c>
    </row>
    <row r="238" spans="1:4" x14ac:dyDescent="0.2">
      <c r="A238" t="s">
        <v>2754</v>
      </c>
      <c r="B238" t="s">
        <v>2755</v>
      </c>
      <c r="C238">
        <v>5711</v>
      </c>
      <c r="D238" t="s">
        <v>244</v>
      </c>
    </row>
    <row r="239" spans="1:4" x14ac:dyDescent="0.2">
      <c r="A239" t="s">
        <v>2756</v>
      </c>
      <c r="B239" t="s">
        <v>2757</v>
      </c>
      <c r="C239">
        <v>5700</v>
      </c>
      <c r="D239" t="s">
        <v>25</v>
      </c>
    </row>
    <row r="240" spans="1:4" x14ac:dyDescent="0.2">
      <c r="A240" t="s">
        <v>1232</v>
      </c>
      <c r="B240" t="s">
        <v>2758</v>
      </c>
      <c r="C240">
        <v>5700</v>
      </c>
      <c r="D240" t="s">
        <v>25</v>
      </c>
    </row>
    <row r="241" spans="1:4" x14ac:dyDescent="0.2">
      <c r="A241" t="s">
        <v>2759</v>
      </c>
      <c r="B241" t="s">
        <v>2760</v>
      </c>
      <c r="C241">
        <v>5654</v>
      </c>
      <c r="D241" t="s">
        <v>25</v>
      </c>
    </row>
    <row r="242" spans="1:4" x14ac:dyDescent="0.2">
      <c r="A242" t="s">
        <v>2761</v>
      </c>
      <c r="B242" t="s">
        <v>2762</v>
      </c>
      <c r="C242">
        <v>5613</v>
      </c>
      <c r="D242" t="s">
        <v>20</v>
      </c>
    </row>
    <row r="243" spans="1:4" x14ac:dyDescent="0.2">
      <c r="A243" t="s">
        <v>456</v>
      </c>
      <c r="B243" t="s">
        <v>2763</v>
      </c>
      <c r="C243">
        <v>5518</v>
      </c>
      <c r="D243" t="s">
        <v>25</v>
      </c>
    </row>
    <row r="244" spans="1:4" x14ac:dyDescent="0.2">
      <c r="A244" t="s">
        <v>2764</v>
      </c>
      <c r="B244" t="s">
        <v>2765</v>
      </c>
      <c r="C244">
        <v>5500</v>
      </c>
      <c r="D244" t="s">
        <v>25</v>
      </c>
    </row>
    <row r="245" spans="1:4" x14ac:dyDescent="0.2">
      <c r="A245" t="s">
        <v>441</v>
      </c>
      <c r="B245" t="s">
        <v>2766</v>
      </c>
      <c r="C245">
        <v>5466</v>
      </c>
      <c r="D245" t="s">
        <v>25</v>
      </c>
    </row>
    <row r="246" spans="1:4" x14ac:dyDescent="0.2">
      <c r="A246" t="s">
        <v>2767</v>
      </c>
      <c r="B246" t="s">
        <v>2768</v>
      </c>
      <c r="C246">
        <v>5443</v>
      </c>
      <c r="D246" t="s">
        <v>25</v>
      </c>
    </row>
    <row r="247" spans="1:4" x14ac:dyDescent="0.2">
      <c r="A247" t="s">
        <v>2769</v>
      </c>
      <c r="B247" t="s">
        <v>2770</v>
      </c>
      <c r="C247">
        <v>5326</v>
      </c>
      <c r="D247" t="s">
        <v>20</v>
      </c>
    </row>
    <row r="248" spans="1:4" x14ac:dyDescent="0.2">
      <c r="A248" t="s">
        <v>803</v>
      </c>
      <c r="B248" t="s">
        <v>2771</v>
      </c>
      <c r="C248">
        <v>5206</v>
      </c>
      <c r="D248" t="s">
        <v>25</v>
      </c>
    </row>
    <row r="249" spans="1:4" x14ac:dyDescent="0.2">
      <c r="A249" t="s">
        <v>2772</v>
      </c>
      <c r="B249" t="s">
        <v>2773</v>
      </c>
      <c r="C249">
        <v>5200</v>
      </c>
      <c r="D249" t="s">
        <v>25</v>
      </c>
    </row>
    <row r="250" spans="1:4" x14ac:dyDescent="0.2">
      <c r="A250" t="s">
        <v>2774</v>
      </c>
      <c r="B250" t="s">
        <v>2775</v>
      </c>
      <c r="C250">
        <v>5200</v>
      </c>
      <c r="D250" t="s">
        <v>25</v>
      </c>
    </row>
    <row r="251" spans="1:4" x14ac:dyDescent="0.2">
      <c r="A251" t="s">
        <v>1082</v>
      </c>
      <c r="B251" t="s">
        <v>2776</v>
      </c>
      <c r="C251">
        <v>5122</v>
      </c>
      <c r="D251" t="s">
        <v>14</v>
      </c>
    </row>
    <row r="252" spans="1:4" x14ac:dyDescent="0.2">
      <c r="A252" t="s">
        <v>1214</v>
      </c>
      <c r="B252" t="s">
        <v>2777</v>
      </c>
      <c r="C252">
        <v>5116</v>
      </c>
      <c r="D252" t="s">
        <v>25</v>
      </c>
    </row>
    <row r="253" spans="1:4" x14ac:dyDescent="0.2">
      <c r="A253" t="s">
        <v>2778</v>
      </c>
      <c r="B253" t="s">
        <v>2779</v>
      </c>
      <c r="C253">
        <v>5100</v>
      </c>
      <c r="D253" t="s">
        <v>25</v>
      </c>
    </row>
    <row r="254" spans="1:4" x14ac:dyDescent="0.2">
      <c r="A254" t="s">
        <v>2780</v>
      </c>
      <c r="B254" t="s">
        <v>2781</v>
      </c>
      <c r="C254">
        <v>5013</v>
      </c>
      <c r="D254" t="s">
        <v>25</v>
      </c>
    </row>
    <row r="255" spans="1:4" x14ac:dyDescent="0.2">
      <c r="A255" t="s">
        <v>2782</v>
      </c>
      <c r="B255" t="s">
        <v>2783</v>
      </c>
      <c r="C255">
        <v>5000</v>
      </c>
      <c r="D255" t="s">
        <v>14</v>
      </c>
    </row>
    <row r="256" spans="1:4" x14ac:dyDescent="0.2">
      <c r="A256" t="s">
        <v>1125</v>
      </c>
      <c r="B256" t="s">
        <v>2784</v>
      </c>
      <c r="C256">
        <v>5000</v>
      </c>
      <c r="D256" t="s">
        <v>25</v>
      </c>
    </row>
    <row r="257" spans="1:4" x14ac:dyDescent="0.2">
      <c r="A257" t="s">
        <v>2785</v>
      </c>
      <c r="B257" t="s">
        <v>2786</v>
      </c>
      <c r="C257">
        <v>4987</v>
      </c>
      <c r="D257" t="s">
        <v>25</v>
      </c>
    </row>
    <row r="258" spans="1:4" x14ac:dyDescent="0.2">
      <c r="A258" t="s">
        <v>2787</v>
      </c>
      <c r="B258" t="s">
        <v>2788</v>
      </c>
      <c r="C258">
        <v>4982</v>
      </c>
      <c r="D258" t="s">
        <v>569</v>
      </c>
    </row>
    <row r="259" spans="1:4" x14ac:dyDescent="0.2">
      <c r="A259" t="s">
        <v>2789</v>
      </c>
      <c r="B259" t="s">
        <v>2790</v>
      </c>
      <c r="C259">
        <v>4926</v>
      </c>
      <c r="D259" t="s">
        <v>25</v>
      </c>
    </row>
    <row r="260" spans="1:4" x14ac:dyDescent="0.2">
      <c r="A260" t="s">
        <v>2791</v>
      </c>
      <c r="B260" t="s">
        <v>2792</v>
      </c>
      <c r="C260">
        <v>4890</v>
      </c>
      <c r="D260" t="s">
        <v>548</v>
      </c>
    </row>
    <row r="261" spans="1:4" x14ac:dyDescent="0.2">
      <c r="A261" t="s">
        <v>2793</v>
      </c>
      <c r="B261" t="s">
        <v>2794</v>
      </c>
      <c r="C261">
        <v>4886</v>
      </c>
      <c r="D261" t="s">
        <v>548</v>
      </c>
    </row>
    <row r="262" spans="1:4" x14ac:dyDescent="0.2">
      <c r="A262" t="s">
        <v>2117</v>
      </c>
      <c r="B262" t="s">
        <v>2795</v>
      </c>
      <c r="C262">
        <v>4850</v>
      </c>
      <c r="D262" t="s">
        <v>20</v>
      </c>
    </row>
    <row r="263" spans="1:4" x14ac:dyDescent="0.2">
      <c r="A263" t="s">
        <v>2796</v>
      </c>
      <c r="B263" t="s">
        <v>2797</v>
      </c>
      <c r="C263">
        <v>4690</v>
      </c>
      <c r="D263" t="s">
        <v>25</v>
      </c>
    </row>
    <row r="264" spans="1:4" x14ac:dyDescent="0.2">
      <c r="A264" t="s">
        <v>2798</v>
      </c>
      <c r="B264" t="s">
        <v>2799</v>
      </c>
      <c r="C264">
        <v>4673</v>
      </c>
      <c r="D264" t="s">
        <v>569</v>
      </c>
    </row>
    <row r="265" spans="1:4" x14ac:dyDescent="0.2">
      <c r="A265" t="s">
        <v>2800</v>
      </c>
      <c r="B265" t="s">
        <v>2801</v>
      </c>
      <c r="C265">
        <v>4662</v>
      </c>
      <c r="D265" t="s">
        <v>98</v>
      </c>
    </row>
    <row r="266" spans="1:4" x14ac:dyDescent="0.2">
      <c r="A266" t="s">
        <v>526</v>
      </c>
      <c r="B266" t="s">
        <v>2802</v>
      </c>
      <c r="C266">
        <v>4620</v>
      </c>
      <c r="D266" t="s">
        <v>25</v>
      </c>
    </row>
    <row r="267" spans="1:4" x14ac:dyDescent="0.2">
      <c r="A267" t="s">
        <v>1530</v>
      </c>
      <c r="B267" t="s">
        <v>2803</v>
      </c>
      <c r="C267">
        <v>4616</v>
      </c>
      <c r="D267" t="s">
        <v>25</v>
      </c>
    </row>
    <row r="268" spans="1:4" x14ac:dyDescent="0.2">
      <c r="A268" t="s">
        <v>393</v>
      </c>
      <c r="B268" t="s">
        <v>2804</v>
      </c>
      <c r="C268">
        <v>4610</v>
      </c>
      <c r="D268" t="s">
        <v>198</v>
      </c>
    </row>
    <row r="269" spans="1:4" x14ac:dyDescent="0.2">
      <c r="A269" t="s">
        <v>2805</v>
      </c>
      <c r="B269" t="s">
        <v>2806</v>
      </c>
      <c r="C269">
        <v>4583</v>
      </c>
      <c r="D269" t="s">
        <v>14</v>
      </c>
    </row>
    <row r="270" spans="1:4" x14ac:dyDescent="0.2">
      <c r="A270" t="s">
        <v>984</v>
      </c>
      <c r="B270" t="s">
        <v>2807</v>
      </c>
      <c r="C270">
        <v>4570</v>
      </c>
      <c r="D270" t="s">
        <v>25</v>
      </c>
    </row>
    <row r="271" spans="1:4" x14ac:dyDescent="0.2">
      <c r="A271" t="s">
        <v>2808</v>
      </c>
      <c r="B271" t="s">
        <v>2809</v>
      </c>
      <c r="C271">
        <v>4558</v>
      </c>
      <c r="D271" t="s">
        <v>100</v>
      </c>
    </row>
    <row r="272" spans="1:4" x14ac:dyDescent="0.2">
      <c r="A272" t="s">
        <v>2810</v>
      </c>
      <c r="B272" t="s">
        <v>2811</v>
      </c>
      <c r="C272">
        <v>4531</v>
      </c>
      <c r="D272" t="s">
        <v>569</v>
      </c>
    </row>
    <row r="273" spans="1:4" x14ac:dyDescent="0.2">
      <c r="A273" t="s">
        <v>2812</v>
      </c>
      <c r="B273" t="s">
        <v>2813</v>
      </c>
      <c r="C273">
        <v>4500</v>
      </c>
      <c r="D273" t="s">
        <v>136</v>
      </c>
    </row>
    <row r="274" spans="1:4" x14ac:dyDescent="0.2">
      <c r="A274" t="s">
        <v>2814</v>
      </c>
      <c r="B274" t="s">
        <v>2815</v>
      </c>
      <c r="C274">
        <v>4500</v>
      </c>
      <c r="D274" t="s">
        <v>1683</v>
      </c>
    </row>
    <row r="275" spans="1:4" x14ac:dyDescent="0.2">
      <c r="A275" t="s">
        <v>2816</v>
      </c>
      <c r="B275" t="s">
        <v>2817</v>
      </c>
      <c r="C275">
        <v>4412</v>
      </c>
      <c r="D275" t="s">
        <v>25</v>
      </c>
    </row>
    <row r="276" spans="1:4" x14ac:dyDescent="0.2">
      <c r="A276" t="s">
        <v>2818</v>
      </c>
      <c r="B276" t="s">
        <v>2819</v>
      </c>
      <c r="C276">
        <v>4402</v>
      </c>
      <c r="D276" t="s">
        <v>548</v>
      </c>
    </row>
    <row r="277" spans="1:4" x14ac:dyDescent="0.2">
      <c r="A277" t="s">
        <v>379</v>
      </c>
      <c r="B277" t="s">
        <v>2820</v>
      </c>
      <c r="C277">
        <v>4400</v>
      </c>
      <c r="D277" t="s">
        <v>25</v>
      </c>
    </row>
    <row r="278" spans="1:4" x14ac:dyDescent="0.2">
      <c r="A278" t="s">
        <v>2821</v>
      </c>
      <c r="B278" t="s">
        <v>2822</v>
      </c>
      <c r="C278">
        <v>4345</v>
      </c>
      <c r="D278" t="s">
        <v>100</v>
      </c>
    </row>
    <row r="279" spans="1:4" x14ac:dyDescent="0.2">
      <c r="A279" t="s">
        <v>2823</v>
      </c>
      <c r="B279" t="s">
        <v>2824</v>
      </c>
      <c r="C279">
        <v>4345</v>
      </c>
      <c r="D279" t="s">
        <v>569</v>
      </c>
    </row>
    <row r="280" spans="1:4" x14ac:dyDescent="0.2">
      <c r="A280" t="s">
        <v>2825</v>
      </c>
      <c r="B280" t="s">
        <v>2826</v>
      </c>
      <c r="C280">
        <v>4300</v>
      </c>
      <c r="D280" t="s">
        <v>569</v>
      </c>
    </row>
    <row r="281" spans="1:4" x14ac:dyDescent="0.2">
      <c r="A281" t="s">
        <v>2827</v>
      </c>
      <c r="B281" t="s">
        <v>2828</v>
      </c>
      <c r="C281">
        <v>4260</v>
      </c>
      <c r="D281" t="s">
        <v>25</v>
      </c>
    </row>
    <row r="282" spans="1:4" x14ac:dyDescent="0.2">
      <c r="A282" t="s">
        <v>2829</v>
      </c>
      <c r="B282" t="s">
        <v>2830</v>
      </c>
      <c r="C282">
        <v>4230</v>
      </c>
      <c r="D282" t="s">
        <v>136</v>
      </c>
    </row>
    <row r="283" spans="1:4" x14ac:dyDescent="0.2">
      <c r="A283" t="s">
        <v>1087</v>
      </c>
      <c r="B283" t="s">
        <v>2831</v>
      </c>
      <c r="C283">
        <v>4203</v>
      </c>
      <c r="D283" t="s">
        <v>25</v>
      </c>
    </row>
    <row r="284" spans="1:4" x14ac:dyDescent="0.2">
      <c r="A284" t="s">
        <v>415</v>
      </c>
      <c r="B284" t="s">
        <v>2832</v>
      </c>
      <c r="C284">
        <v>4164</v>
      </c>
      <c r="D284" t="s">
        <v>25</v>
      </c>
    </row>
    <row r="285" spans="1:4" x14ac:dyDescent="0.2">
      <c r="A285" t="s">
        <v>2833</v>
      </c>
      <c r="B285" t="s">
        <v>2834</v>
      </c>
      <c r="C285">
        <v>4160</v>
      </c>
      <c r="D285" t="s">
        <v>136</v>
      </c>
    </row>
    <row r="286" spans="1:4" x14ac:dyDescent="0.2">
      <c r="A286" t="s">
        <v>2835</v>
      </c>
      <c r="B286" t="s">
        <v>2836</v>
      </c>
      <c r="C286">
        <v>4060</v>
      </c>
      <c r="D286" t="s">
        <v>25</v>
      </c>
    </row>
    <row r="287" spans="1:4" x14ac:dyDescent="0.2">
      <c r="A287" t="s">
        <v>2837</v>
      </c>
      <c r="B287" t="s">
        <v>2838</v>
      </c>
      <c r="C287">
        <v>4022</v>
      </c>
      <c r="D287" t="s">
        <v>25</v>
      </c>
    </row>
    <row r="288" spans="1:4" x14ac:dyDescent="0.2">
      <c r="A288" t="s">
        <v>2839</v>
      </c>
      <c r="B288" t="s">
        <v>2840</v>
      </c>
      <c r="C288">
        <v>4017</v>
      </c>
      <c r="D288" t="s">
        <v>25</v>
      </c>
    </row>
    <row r="289" spans="1:4" x14ac:dyDescent="0.2">
      <c r="A289" t="s">
        <v>2841</v>
      </c>
      <c r="B289" t="s">
        <v>2842</v>
      </c>
      <c r="C289">
        <v>3905</v>
      </c>
      <c r="D289" t="s">
        <v>569</v>
      </c>
    </row>
    <row r="290" spans="1:4" x14ac:dyDescent="0.2">
      <c r="A290" t="s">
        <v>2142</v>
      </c>
      <c r="B290" t="s">
        <v>2843</v>
      </c>
      <c r="C290">
        <v>3900</v>
      </c>
      <c r="D290" t="s">
        <v>20</v>
      </c>
    </row>
    <row r="291" spans="1:4" x14ac:dyDescent="0.2">
      <c r="A291" t="s">
        <v>2844</v>
      </c>
      <c r="B291" t="s">
        <v>2845</v>
      </c>
      <c r="C291">
        <v>3891</v>
      </c>
      <c r="D291" t="s">
        <v>14</v>
      </c>
    </row>
    <row r="292" spans="1:4" x14ac:dyDescent="0.2">
      <c r="A292" t="s">
        <v>680</v>
      </c>
      <c r="B292" t="s">
        <v>2846</v>
      </c>
      <c r="C292">
        <v>3868</v>
      </c>
      <c r="D292" t="s">
        <v>25</v>
      </c>
    </row>
    <row r="293" spans="1:4" x14ac:dyDescent="0.2">
      <c r="A293" t="s">
        <v>2847</v>
      </c>
      <c r="B293" t="s">
        <v>2848</v>
      </c>
      <c r="C293">
        <v>3855</v>
      </c>
      <c r="D293" t="s">
        <v>25</v>
      </c>
    </row>
    <row r="294" spans="1:4" x14ac:dyDescent="0.2">
      <c r="A294" t="s">
        <v>450</v>
      </c>
      <c r="B294" t="s">
        <v>2849</v>
      </c>
      <c r="C294">
        <v>3839</v>
      </c>
      <c r="D294" t="s">
        <v>1357</v>
      </c>
    </row>
    <row r="295" spans="1:4" x14ac:dyDescent="0.2">
      <c r="A295" t="s">
        <v>2850</v>
      </c>
      <c r="B295" t="s">
        <v>2851</v>
      </c>
      <c r="C295">
        <v>3831</v>
      </c>
      <c r="D295" t="s">
        <v>98</v>
      </c>
    </row>
    <row r="296" spans="1:4" x14ac:dyDescent="0.2">
      <c r="A296" t="s">
        <v>2852</v>
      </c>
      <c r="B296" t="s">
        <v>2853</v>
      </c>
      <c r="C296">
        <v>3793</v>
      </c>
      <c r="D296" t="s">
        <v>20</v>
      </c>
    </row>
    <row r="297" spans="1:4" x14ac:dyDescent="0.2">
      <c r="A297" t="s">
        <v>2854</v>
      </c>
      <c r="B297" t="s">
        <v>2855</v>
      </c>
      <c r="C297">
        <v>3787</v>
      </c>
      <c r="D297" t="s">
        <v>20</v>
      </c>
    </row>
    <row r="298" spans="1:4" x14ac:dyDescent="0.2">
      <c r="A298" t="s">
        <v>557</v>
      </c>
      <c r="B298" t="s">
        <v>2856</v>
      </c>
      <c r="C298">
        <v>3772</v>
      </c>
      <c r="D298" t="s">
        <v>25</v>
      </c>
    </row>
    <row r="299" spans="1:4" x14ac:dyDescent="0.2">
      <c r="A299" t="s">
        <v>2857</v>
      </c>
      <c r="B299" t="s">
        <v>2858</v>
      </c>
      <c r="C299">
        <v>3750</v>
      </c>
      <c r="D299" t="s">
        <v>569</v>
      </c>
    </row>
    <row r="300" spans="1:4" x14ac:dyDescent="0.2">
      <c r="A300" t="s">
        <v>2859</v>
      </c>
      <c r="B300" t="s">
        <v>2860</v>
      </c>
      <c r="C300">
        <v>3711</v>
      </c>
      <c r="D300" t="s">
        <v>25</v>
      </c>
    </row>
    <row r="301" spans="1:4" x14ac:dyDescent="0.2">
      <c r="A301" t="s">
        <v>1660</v>
      </c>
      <c r="B301" t="s">
        <v>2861</v>
      </c>
      <c r="C301">
        <v>3700</v>
      </c>
      <c r="D301" t="s">
        <v>100</v>
      </c>
    </row>
    <row r="302" spans="1:4" x14ac:dyDescent="0.2">
      <c r="A302" t="s">
        <v>2862</v>
      </c>
      <c r="B302" t="s">
        <v>2863</v>
      </c>
      <c r="C302">
        <v>3620</v>
      </c>
      <c r="D302" t="s">
        <v>25</v>
      </c>
    </row>
    <row r="303" spans="1:4" x14ac:dyDescent="0.2">
      <c r="A303" t="s">
        <v>2864</v>
      </c>
      <c r="B303" t="s">
        <v>2865</v>
      </c>
      <c r="C303">
        <v>3596</v>
      </c>
      <c r="D303" t="s">
        <v>25</v>
      </c>
    </row>
    <row r="304" spans="1:4" x14ac:dyDescent="0.2">
      <c r="A304" t="s">
        <v>439</v>
      </c>
      <c r="B304" t="s">
        <v>2866</v>
      </c>
      <c r="C304">
        <v>3589</v>
      </c>
      <c r="D304" t="s">
        <v>25</v>
      </c>
    </row>
    <row r="305" spans="1:4" x14ac:dyDescent="0.2">
      <c r="A305" t="s">
        <v>2867</v>
      </c>
      <c r="B305" t="s">
        <v>2868</v>
      </c>
      <c r="C305">
        <v>3564</v>
      </c>
      <c r="D305" t="s">
        <v>569</v>
      </c>
    </row>
    <row r="306" spans="1:4" x14ac:dyDescent="0.2">
      <c r="A306" t="s">
        <v>2869</v>
      </c>
      <c r="B306" t="s">
        <v>2870</v>
      </c>
      <c r="C306">
        <v>3527</v>
      </c>
      <c r="D306" t="s">
        <v>569</v>
      </c>
    </row>
    <row r="307" spans="1:4" x14ac:dyDescent="0.2">
      <c r="A307" t="s">
        <v>2124</v>
      </c>
      <c r="B307" t="s">
        <v>2871</v>
      </c>
      <c r="C307">
        <v>3522</v>
      </c>
      <c r="D307" t="s">
        <v>25</v>
      </c>
    </row>
    <row r="308" spans="1:4" x14ac:dyDescent="0.2">
      <c r="A308" t="s">
        <v>270</v>
      </c>
      <c r="B308" t="s">
        <v>2872</v>
      </c>
      <c r="C308">
        <v>3508</v>
      </c>
      <c r="D308" t="s">
        <v>25</v>
      </c>
    </row>
    <row r="309" spans="1:4" x14ac:dyDescent="0.2">
      <c r="A309" t="s">
        <v>1387</v>
      </c>
      <c r="B309" t="s">
        <v>2873</v>
      </c>
      <c r="C309">
        <v>3507</v>
      </c>
      <c r="D309" t="s">
        <v>98</v>
      </c>
    </row>
    <row r="310" spans="1:4" x14ac:dyDescent="0.2">
      <c r="A310" t="s">
        <v>1621</v>
      </c>
      <c r="B310" t="s">
        <v>2874</v>
      </c>
      <c r="C310">
        <v>3500</v>
      </c>
      <c r="D310" t="s">
        <v>20</v>
      </c>
    </row>
    <row r="311" spans="1:4" x14ac:dyDescent="0.2">
      <c r="A311" t="s">
        <v>1123</v>
      </c>
      <c r="B311" t="s">
        <v>2875</v>
      </c>
      <c r="C311">
        <v>3500</v>
      </c>
      <c r="D311" t="s">
        <v>25</v>
      </c>
    </row>
    <row r="312" spans="1:4" x14ac:dyDescent="0.2">
      <c r="A312" t="s">
        <v>2876</v>
      </c>
      <c r="B312" t="s">
        <v>2877</v>
      </c>
      <c r="C312">
        <v>3500</v>
      </c>
      <c r="D312" t="s">
        <v>25</v>
      </c>
    </row>
    <row r="313" spans="1:4" x14ac:dyDescent="0.2">
      <c r="A313" t="s">
        <v>2878</v>
      </c>
      <c r="B313" t="s">
        <v>2879</v>
      </c>
      <c r="C313">
        <v>3433</v>
      </c>
      <c r="D313" t="s">
        <v>136</v>
      </c>
    </row>
    <row r="314" spans="1:4" x14ac:dyDescent="0.2">
      <c r="A314" t="s">
        <v>1561</v>
      </c>
      <c r="B314" t="s">
        <v>2880</v>
      </c>
      <c r="C314">
        <v>3413</v>
      </c>
      <c r="D314" t="s">
        <v>446</v>
      </c>
    </row>
    <row r="315" spans="1:4" x14ac:dyDescent="0.2">
      <c r="A315" t="s">
        <v>2881</v>
      </c>
      <c r="B315" t="s">
        <v>2882</v>
      </c>
      <c r="C315">
        <v>3343</v>
      </c>
      <c r="D315" t="s">
        <v>903</v>
      </c>
    </row>
    <row r="316" spans="1:4" x14ac:dyDescent="0.2">
      <c r="A316" t="s">
        <v>143</v>
      </c>
      <c r="B316" t="s">
        <v>2883</v>
      </c>
      <c r="C316">
        <v>3340</v>
      </c>
      <c r="D316" t="s">
        <v>25</v>
      </c>
    </row>
    <row r="317" spans="1:4" x14ac:dyDescent="0.2">
      <c r="A317" t="s">
        <v>2884</v>
      </c>
      <c r="B317" t="s">
        <v>2885</v>
      </c>
      <c r="C317">
        <v>3300</v>
      </c>
      <c r="D317" t="s">
        <v>25</v>
      </c>
    </row>
    <row r="318" spans="1:4" x14ac:dyDescent="0.2">
      <c r="A318" t="s">
        <v>2886</v>
      </c>
      <c r="B318" t="s">
        <v>2887</v>
      </c>
      <c r="C318">
        <v>3300</v>
      </c>
      <c r="D318" t="s">
        <v>199</v>
      </c>
    </row>
    <row r="319" spans="1:4" x14ac:dyDescent="0.2">
      <c r="A319" t="s">
        <v>2888</v>
      </c>
      <c r="B319" t="s">
        <v>2889</v>
      </c>
      <c r="C319">
        <v>3300</v>
      </c>
      <c r="D319" t="s">
        <v>25</v>
      </c>
    </row>
    <row r="320" spans="1:4" x14ac:dyDescent="0.2">
      <c r="A320" t="s">
        <v>2890</v>
      </c>
      <c r="B320" t="s">
        <v>2891</v>
      </c>
      <c r="C320">
        <v>3265</v>
      </c>
      <c r="D320" t="s">
        <v>25</v>
      </c>
    </row>
    <row r="321" spans="1:4" x14ac:dyDescent="0.2">
      <c r="A321" t="s">
        <v>2892</v>
      </c>
      <c r="B321" t="s">
        <v>2893</v>
      </c>
      <c r="C321">
        <v>3200</v>
      </c>
      <c r="D321" t="s">
        <v>25</v>
      </c>
    </row>
    <row r="322" spans="1:4" x14ac:dyDescent="0.2">
      <c r="A322" t="s">
        <v>2894</v>
      </c>
      <c r="B322" t="s">
        <v>2895</v>
      </c>
      <c r="C322">
        <v>3152</v>
      </c>
      <c r="D322" t="s">
        <v>1141</v>
      </c>
    </row>
    <row r="323" spans="1:4" x14ac:dyDescent="0.2">
      <c r="A323" t="s">
        <v>2896</v>
      </c>
      <c r="B323" t="s">
        <v>2897</v>
      </c>
      <c r="C323">
        <v>3103</v>
      </c>
      <c r="D323" t="s">
        <v>25</v>
      </c>
    </row>
    <row r="324" spans="1:4" x14ac:dyDescent="0.2">
      <c r="A324" t="s">
        <v>2898</v>
      </c>
      <c r="B324" t="s">
        <v>2899</v>
      </c>
      <c r="C324">
        <v>3083</v>
      </c>
      <c r="D324" t="s">
        <v>98</v>
      </c>
    </row>
    <row r="325" spans="1:4" x14ac:dyDescent="0.2">
      <c r="A325" t="s">
        <v>2114</v>
      </c>
      <c r="B325" t="s">
        <v>2900</v>
      </c>
      <c r="C325">
        <v>3073</v>
      </c>
      <c r="D325" t="s">
        <v>25</v>
      </c>
    </row>
    <row r="326" spans="1:4" x14ac:dyDescent="0.2">
      <c r="A326" t="s">
        <v>498</v>
      </c>
      <c r="B326" t="s">
        <v>2901</v>
      </c>
      <c r="C326">
        <v>3060</v>
      </c>
      <c r="D326" t="s">
        <v>25</v>
      </c>
    </row>
    <row r="327" spans="1:4" x14ac:dyDescent="0.2">
      <c r="A327" t="s">
        <v>436</v>
      </c>
      <c r="B327" t="s">
        <v>2902</v>
      </c>
      <c r="C327">
        <v>3049</v>
      </c>
      <c r="D327" t="s">
        <v>25</v>
      </c>
    </row>
    <row r="328" spans="1:4" x14ac:dyDescent="0.2">
      <c r="A328" t="s">
        <v>2903</v>
      </c>
      <c r="B328" t="s">
        <v>2904</v>
      </c>
      <c r="C328">
        <v>3044</v>
      </c>
      <c r="D328" t="s">
        <v>569</v>
      </c>
    </row>
    <row r="329" spans="1:4" x14ac:dyDescent="0.2">
      <c r="A329" t="s">
        <v>433</v>
      </c>
      <c r="B329" t="s">
        <v>2905</v>
      </c>
      <c r="C329">
        <v>3011</v>
      </c>
      <c r="D329" t="s">
        <v>25</v>
      </c>
    </row>
    <row r="330" spans="1:4" x14ac:dyDescent="0.2">
      <c r="A330" t="s">
        <v>2906</v>
      </c>
      <c r="B330" t="s">
        <v>2907</v>
      </c>
      <c r="C330">
        <v>3000</v>
      </c>
      <c r="D330" t="s">
        <v>95</v>
      </c>
    </row>
    <row r="331" spans="1:4" x14ac:dyDescent="0.2">
      <c r="A331" t="s">
        <v>2908</v>
      </c>
      <c r="B331" t="s">
        <v>2909</v>
      </c>
      <c r="C331">
        <v>2986</v>
      </c>
      <c r="D331" t="s">
        <v>25</v>
      </c>
    </row>
    <row r="332" spans="1:4" x14ac:dyDescent="0.2">
      <c r="A332" t="s">
        <v>2910</v>
      </c>
      <c r="B332" t="s">
        <v>2911</v>
      </c>
      <c r="C332">
        <v>2986</v>
      </c>
      <c r="D332" t="s">
        <v>25</v>
      </c>
    </row>
    <row r="333" spans="1:4" x14ac:dyDescent="0.2">
      <c r="A333" t="s">
        <v>2912</v>
      </c>
      <c r="B333" t="s">
        <v>2913</v>
      </c>
      <c r="C333">
        <v>2950</v>
      </c>
      <c r="D333" t="s">
        <v>98</v>
      </c>
    </row>
    <row r="334" spans="1:4" x14ac:dyDescent="0.2">
      <c r="A334" t="s">
        <v>328</v>
      </c>
      <c r="B334" t="s">
        <v>2914</v>
      </c>
      <c r="C334">
        <v>2934</v>
      </c>
      <c r="D334" t="s">
        <v>25</v>
      </c>
    </row>
    <row r="335" spans="1:4" x14ac:dyDescent="0.2">
      <c r="A335" t="s">
        <v>2915</v>
      </c>
      <c r="B335" t="s">
        <v>2916</v>
      </c>
      <c r="C335">
        <v>2934</v>
      </c>
      <c r="D335" t="s">
        <v>25</v>
      </c>
    </row>
    <row r="336" spans="1:4" x14ac:dyDescent="0.2">
      <c r="A336" t="s">
        <v>2917</v>
      </c>
      <c r="B336" t="s">
        <v>2918</v>
      </c>
      <c r="C336">
        <v>2919</v>
      </c>
      <c r="D336" t="s">
        <v>98</v>
      </c>
    </row>
    <row r="337" spans="1:4" x14ac:dyDescent="0.2">
      <c r="A337" t="s">
        <v>2919</v>
      </c>
      <c r="B337" t="s">
        <v>2920</v>
      </c>
      <c r="C337">
        <v>2913</v>
      </c>
      <c r="D337" t="s">
        <v>569</v>
      </c>
    </row>
    <row r="338" spans="1:4" x14ac:dyDescent="0.2">
      <c r="A338" t="s">
        <v>2921</v>
      </c>
      <c r="B338" t="s">
        <v>2922</v>
      </c>
      <c r="C338">
        <v>2897</v>
      </c>
      <c r="D338" t="s">
        <v>548</v>
      </c>
    </row>
    <row r="339" spans="1:4" x14ac:dyDescent="0.2">
      <c r="A339" t="s">
        <v>2923</v>
      </c>
      <c r="B339" t="s">
        <v>2924</v>
      </c>
      <c r="C339">
        <v>2873</v>
      </c>
      <c r="D339" t="s">
        <v>25</v>
      </c>
    </row>
    <row r="340" spans="1:4" x14ac:dyDescent="0.2">
      <c r="A340" t="s">
        <v>2925</v>
      </c>
      <c r="B340" t="s">
        <v>2926</v>
      </c>
      <c r="C340">
        <v>2815</v>
      </c>
      <c r="D340" t="s">
        <v>25</v>
      </c>
    </row>
    <row r="341" spans="1:4" x14ac:dyDescent="0.2">
      <c r="A341" t="s">
        <v>2927</v>
      </c>
      <c r="B341" t="s">
        <v>2928</v>
      </c>
      <c r="C341">
        <v>2810</v>
      </c>
      <c r="D341" t="s">
        <v>25</v>
      </c>
    </row>
    <row r="342" spans="1:4" x14ac:dyDescent="0.2">
      <c r="A342" t="s">
        <v>2929</v>
      </c>
      <c r="B342" t="s">
        <v>2930</v>
      </c>
      <c r="C342">
        <v>2800</v>
      </c>
      <c r="D342" t="s">
        <v>25</v>
      </c>
    </row>
    <row r="343" spans="1:4" x14ac:dyDescent="0.2">
      <c r="A343" t="s">
        <v>2931</v>
      </c>
      <c r="B343" t="s">
        <v>2932</v>
      </c>
      <c r="C343">
        <v>2800</v>
      </c>
      <c r="D343" t="s">
        <v>25</v>
      </c>
    </row>
    <row r="344" spans="1:4" x14ac:dyDescent="0.2">
      <c r="A344" t="s">
        <v>2933</v>
      </c>
      <c r="B344" t="s">
        <v>2934</v>
      </c>
      <c r="C344">
        <v>2800</v>
      </c>
      <c r="D344" t="s">
        <v>20</v>
      </c>
    </row>
    <row r="345" spans="1:4" x14ac:dyDescent="0.2">
      <c r="A345" t="s">
        <v>2935</v>
      </c>
      <c r="B345" t="s">
        <v>2936</v>
      </c>
      <c r="C345">
        <v>2796</v>
      </c>
      <c r="D345" t="s">
        <v>1357</v>
      </c>
    </row>
    <row r="346" spans="1:4" x14ac:dyDescent="0.2">
      <c r="A346" t="s">
        <v>2937</v>
      </c>
      <c r="B346" t="s">
        <v>2938</v>
      </c>
      <c r="C346">
        <v>2783</v>
      </c>
      <c r="D346" t="s">
        <v>25</v>
      </c>
    </row>
    <row r="347" spans="1:4" x14ac:dyDescent="0.2">
      <c r="A347" t="s">
        <v>23</v>
      </c>
      <c r="B347" t="s">
        <v>2939</v>
      </c>
      <c r="C347">
        <v>2781</v>
      </c>
      <c r="D347" t="s">
        <v>25</v>
      </c>
    </row>
    <row r="348" spans="1:4" x14ac:dyDescent="0.2">
      <c r="A348" t="s">
        <v>2940</v>
      </c>
      <c r="B348" t="s">
        <v>2941</v>
      </c>
      <c r="C348">
        <v>2764</v>
      </c>
      <c r="D348" t="s">
        <v>14</v>
      </c>
    </row>
    <row r="349" spans="1:4" x14ac:dyDescent="0.2">
      <c r="A349" t="s">
        <v>2942</v>
      </c>
      <c r="B349" t="s">
        <v>2943</v>
      </c>
      <c r="C349">
        <v>2746</v>
      </c>
      <c r="D349" t="s">
        <v>2944</v>
      </c>
    </row>
    <row r="350" spans="1:4" x14ac:dyDescent="0.2">
      <c r="A350" t="s">
        <v>2945</v>
      </c>
      <c r="B350" t="s">
        <v>2946</v>
      </c>
      <c r="C350">
        <v>2738</v>
      </c>
      <c r="D350" t="s">
        <v>25</v>
      </c>
    </row>
    <row r="351" spans="1:4" x14ac:dyDescent="0.2">
      <c r="A351" t="s">
        <v>2947</v>
      </c>
      <c r="B351" t="s">
        <v>2948</v>
      </c>
      <c r="C351">
        <v>2734</v>
      </c>
      <c r="D351" t="s">
        <v>2944</v>
      </c>
    </row>
    <row r="352" spans="1:4" x14ac:dyDescent="0.2">
      <c r="A352" t="s">
        <v>2949</v>
      </c>
      <c r="B352" t="s">
        <v>2950</v>
      </c>
      <c r="C352">
        <v>2700</v>
      </c>
      <c r="D352" t="s">
        <v>25</v>
      </c>
    </row>
    <row r="353" spans="1:4" x14ac:dyDescent="0.2">
      <c r="A353" t="s">
        <v>2951</v>
      </c>
      <c r="B353" t="s">
        <v>2952</v>
      </c>
      <c r="C353">
        <v>2677</v>
      </c>
      <c r="D353" t="s">
        <v>244</v>
      </c>
    </row>
    <row r="354" spans="1:4" x14ac:dyDescent="0.2">
      <c r="A354" t="s">
        <v>2953</v>
      </c>
      <c r="B354" t="s">
        <v>2954</v>
      </c>
      <c r="C354">
        <v>2614</v>
      </c>
      <c r="D354" t="s">
        <v>548</v>
      </c>
    </row>
    <row r="355" spans="1:4" x14ac:dyDescent="0.2">
      <c r="A355" t="s">
        <v>2955</v>
      </c>
      <c r="B355" t="s">
        <v>2956</v>
      </c>
      <c r="C355">
        <v>2600</v>
      </c>
      <c r="D355" t="s">
        <v>25</v>
      </c>
    </row>
    <row r="356" spans="1:4" x14ac:dyDescent="0.2">
      <c r="A356" t="s">
        <v>2957</v>
      </c>
      <c r="B356" t="s">
        <v>2958</v>
      </c>
      <c r="C356">
        <v>2597</v>
      </c>
      <c r="D356" t="s">
        <v>548</v>
      </c>
    </row>
    <row r="357" spans="1:4" x14ac:dyDescent="0.2">
      <c r="A357" t="s">
        <v>1580</v>
      </c>
      <c r="B357" t="s">
        <v>2303</v>
      </c>
      <c r="C357">
        <v>2595</v>
      </c>
      <c r="D357" t="s">
        <v>25</v>
      </c>
    </row>
    <row r="358" spans="1:4" x14ac:dyDescent="0.2">
      <c r="A358" t="s">
        <v>2959</v>
      </c>
      <c r="B358" t="s">
        <v>2960</v>
      </c>
      <c r="C358">
        <v>2567</v>
      </c>
      <c r="D358" t="s">
        <v>25</v>
      </c>
    </row>
    <row r="359" spans="1:4" x14ac:dyDescent="0.2">
      <c r="A359" t="s">
        <v>779</v>
      </c>
      <c r="B359" t="s">
        <v>2961</v>
      </c>
      <c r="C359">
        <v>2566</v>
      </c>
      <c r="D359" t="s">
        <v>25</v>
      </c>
    </row>
    <row r="360" spans="1:4" x14ac:dyDescent="0.2">
      <c r="A360" t="s">
        <v>2962</v>
      </c>
      <c r="B360" t="s">
        <v>2963</v>
      </c>
      <c r="C360">
        <v>2534</v>
      </c>
      <c r="D360" t="s">
        <v>548</v>
      </c>
    </row>
    <row r="361" spans="1:4" x14ac:dyDescent="0.2">
      <c r="A361" t="s">
        <v>2964</v>
      </c>
      <c r="B361" t="s">
        <v>2965</v>
      </c>
      <c r="C361">
        <v>2531</v>
      </c>
      <c r="D361" t="s">
        <v>2966</v>
      </c>
    </row>
    <row r="362" spans="1:4" x14ac:dyDescent="0.2">
      <c r="A362" t="s">
        <v>2967</v>
      </c>
      <c r="B362" t="s">
        <v>2968</v>
      </c>
      <c r="C362">
        <v>2525</v>
      </c>
      <c r="D362" t="s">
        <v>25</v>
      </c>
    </row>
    <row r="363" spans="1:4" x14ac:dyDescent="0.2">
      <c r="A363" t="s">
        <v>2969</v>
      </c>
      <c r="B363" t="s">
        <v>2970</v>
      </c>
      <c r="C363">
        <v>2509</v>
      </c>
      <c r="D363" t="s">
        <v>1357</v>
      </c>
    </row>
    <row r="364" spans="1:4" x14ac:dyDescent="0.2">
      <c r="A364" t="s">
        <v>2971</v>
      </c>
      <c r="B364" t="s">
        <v>2972</v>
      </c>
      <c r="C364">
        <v>2508</v>
      </c>
      <c r="D364" t="s">
        <v>20</v>
      </c>
    </row>
    <row r="365" spans="1:4" x14ac:dyDescent="0.2">
      <c r="A365" t="s">
        <v>2097</v>
      </c>
      <c r="B365" t="s">
        <v>2973</v>
      </c>
      <c r="C365">
        <v>2500</v>
      </c>
      <c r="D365" t="s">
        <v>25</v>
      </c>
    </row>
    <row r="366" spans="1:4" x14ac:dyDescent="0.2">
      <c r="A366" t="s">
        <v>2974</v>
      </c>
      <c r="B366" t="s">
        <v>2975</v>
      </c>
      <c r="C366">
        <v>2486</v>
      </c>
      <c r="D366" t="s">
        <v>938</v>
      </c>
    </row>
    <row r="367" spans="1:4" x14ac:dyDescent="0.2">
      <c r="A367" t="s">
        <v>2976</v>
      </c>
      <c r="B367" t="s">
        <v>2977</v>
      </c>
      <c r="C367">
        <v>2483</v>
      </c>
      <c r="D367" t="s">
        <v>548</v>
      </c>
    </row>
    <row r="368" spans="1:4" x14ac:dyDescent="0.2">
      <c r="A368" t="s">
        <v>2978</v>
      </c>
      <c r="B368" t="s">
        <v>2979</v>
      </c>
      <c r="C368">
        <v>2480</v>
      </c>
      <c r="D368" t="s">
        <v>569</v>
      </c>
    </row>
    <row r="369" spans="1:4" x14ac:dyDescent="0.2">
      <c r="A369" t="s">
        <v>2980</v>
      </c>
      <c r="B369" t="s">
        <v>2981</v>
      </c>
      <c r="C369">
        <v>2476</v>
      </c>
      <c r="D369" t="s">
        <v>25</v>
      </c>
    </row>
    <row r="370" spans="1:4" x14ac:dyDescent="0.2">
      <c r="A370" t="s">
        <v>2982</v>
      </c>
      <c r="B370" t="s">
        <v>2983</v>
      </c>
      <c r="C370">
        <v>2443</v>
      </c>
      <c r="D370" t="s">
        <v>25</v>
      </c>
    </row>
    <row r="371" spans="1:4" x14ac:dyDescent="0.2">
      <c r="A371" t="s">
        <v>2984</v>
      </c>
      <c r="B371" t="s">
        <v>2985</v>
      </c>
      <c r="C371">
        <v>2435</v>
      </c>
      <c r="D371" t="s">
        <v>25</v>
      </c>
    </row>
    <row r="372" spans="1:4" x14ac:dyDescent="0.2">
      <c r="A372" t="s">
        <v>175</v>
      </c>
      <c r="B372" t="s">
        <v>2986</v>
      </c>
      <c r="C372">
        <v>2413</v>
      </c>
      <c r="D372" t="s">
        <v>25</v>
      </c>
    </row>
    <row r="373" spans="1:4" x14ac:dyDescent="0.2">
      <c r="A373" t="s">
        <v>2144</v>
      </c>
      <c r="B373" t="s">
        <v>2987</v>
      </c>
      <c r="C373">
        <v>2407</v>
      </c>
      <c r="D373" t="s">
        <v>25</v>
      </c>
    </row>
    <row r="374" spans="1:4" x14ac:dyDescent="0.2">
      <c r="A374" t="s">
        <v>708</v>
      </c>
      <c r="B374" t="s">
        <v>2988</v>
      </c>
      <c r="C374">
        <v>2406</v>
      </c>
      <c r="D374" t="s">
        <v>25</v>
      </c>
    </row>
    <row r="375" spans="1:4" x14ac:dyDescent="0.2">
      <c r="A375" t="s">
        <v>38</v>
      </c>
      <c r="B375" t="s">
        <v>2989</v>
      </c>
      <c r="C375">
        <v>2400</v>
      </c>
      <c r="D375" t="s">
        <v>25</v>
      </c>
    </row>
    <row r="376" spans="1:4" x14ac:dyDescent="0.2">
      <c r="A376" t="s">
        <v>2990</v>
      </c>
      <c r="B376" t="s">
        <v>2991</v>
      </c>
      <c r="C376">
        <v>2400</v>
      </c>
      <c r="D376" t="s">
        <v>25</v>
      </c>
    </row>
    <row r="377" spans="1:4" x14ac:dyDescent="0.2">
      <c r="A377" t="s">
        <v>454</v>
      </c>
      <c r="B377" t="s">
        <v>2992</v>
      </c>
      <c r="C377">
        <v>2375</v>
      </c>
      <c r="D377" t="s">
        <v>25</v>
      </c>
    </row>
    <row r="378" spans="1:4" x14ac:dyDescent="0.2">
      <c r="A378" t="s">
        <v>2993</v>
      </c>
      <c r="B378" t="s">
        <v>2994</v>
      </c>
      <c r="C378">
        <v>2357</v>
      </c>
      <c r="D378" t="s">
        <v>25</v>
      </c>
    </row>
    <row r="379" spans="1:4" x14ac:dyDescent="0.2">
      <c r="A379" t="s">
        <v>2995</v>
      </c>
      <c r="B379" t="s">
        <v>2996</v>
      </c>
      <c r="C379">
        <v>2332</v>
      </c>
      <c r="D379" t="s">
        <v>25</v>
      </c>
    </row>
    <row r="380" spans="1:4" x14ac:dyDescent="0.2">
      <c r="A380" t="s">
        <v>2997</v>
      </c>
      <c r="B380" t="s">
        <v>2998</v>
      </c>
      <c r="C380">
        <v>2310</v>
      </c>
      <c r="D380" t="s">
        <v>25</v>
      </c>
    </row>
    <row r="381" spans="1:4" x14ac:dyDescent="0.2">
      <c r="A381" t="s">
        <v>2999</v>
      </c>
      <c r="B381" t="s">
        <v>3000</v>
      </c>
      <c r="C381">
        <v>2310</v>
      </c>
      <c r="D381" t="s">
        <v>136</v>
      </c>
    </row>
    <row r="382" spans="1:4" x14ac:dyDescent="0.2">
      <c r="A382" t="s">
        <v>240</v>
      </c>
      <c r="B382" t="s">
        <v>3001</v>
      </c>
      <c r="C382">
        <v>2300</v>
      </c>
      <c r="D382" t="s">
        <v>25</v>
      </c>
    </row>
    <row r="383" spans="1:4" x14ac:dyDescent="0.2">
      <c r="A383" t="s">
        <v>3002</v>
      </c>
      <c r="B383" t="s">
        <v>3003</v>
      </c>
      <c r="C383">
        <v>2257</v>
      </c>
      <c r="D383" t="s">
        <v>548</v>
      </c>
    </row>
    <row r="384" spans="1:4" x14ac:dyDescent="0.2">
      <c r="A384" t="s">
        <v>3004</v>
      </c>
      <c r="B384" t="s">
        <v>3005</v>
      </c>
      <c r="C384">
        <v>2238</v>
      </c>
      <c r="D384" t="s">
        <v>25</v>
      </c>
    </row>
    <row r="385" spans="1:4" x14ac:dyDescent="0.2">
      <c r="A385" t="s">
        <v>265</v>
      </c>
      <c r="B385" t="s">
        <v>3006</v>
      </c>
      <c r="C385">
        <v>2233</v>
      </c>
      <c r="D385" t="s">
        <v>25</v>
      </c>
    </row>
    <row r="386" spans="1:4" x14ac:dyDescent="0.2">
      <c r="A386" t="s">
        <v>3007</v>
      </c>
      <c r="B386" t="s">
        <v>3008</v>
      </c>
      <c r="C386">
        <v>2220</v>
      </c>
      <c r="D386" t="s">
        <v>136</v>
      </c>
    </row>
    <row r="387" spans="1:4" x14ac:dyDescent="0.2">
      <c r="A387" t="s">
        <v>316</v>
      </c>
      <c r="B387" t="s">
        <v>3009</v>
      </c>
      <c r="C387">
        <v>2204</v>
      </c>
      <c r="D387" t="s">
        <v>25</v>
      </c>
    </row>
    <row r="388" spans="1:4" x14ac:dyDescent="0.2">
      <c r="A388" t="s">
        <v>3010</v>
      </c>
      <c r="B388" t="s">
        <v>3011</v>
      </c>
      <c r="C388">
        <v>2200</v>
      </c>
      <c r="D388" t="s">
        <v>25</v>
      </c>
    </row>
    <row r="389" spans="1:4" x14ac:dyDescent="0.2">
      <c r="A389" t="s">
        <v>3012</v>
      </c>
      <c r="B389" t="s">
        <v>3013</v>
      </c>
      <c r="C389">
        <v>2200</v>
      </c>
      <c r="D389" t="s">
        <v>2360</v>
      </c>
    </row>
    <row r="390" spans="1:4" x14ac:dyDescent="0.2">
      <c r="A390" t="s">
        <v>3014</v>
      </c>
      <c r="B390" t="s">
        <v>3015</v>
      </c>
      <c r="C390">
        <v>2200</v>
      </c>
      <c r="D390" t="s">
        <v>98</v>
      </c>
    </row>
    <row r="391" spans="1:4" x14ac:dyDescent="0.2">
      <c r="A391" t="s">
        <v>3016</v>
      </c>
      <c r="B391" t="s">
        <v>3017</v>
      </c>
      <c r="C391">
        <v>2200</v>
      </c>
      <c r="D391" t="s">
        <v>25</v>
      </c>
    </row>
    <row r="392" spans="1:4" x14ac:dyDescent="0.2">
      <c r="A392" t="s">
        <v>3018</v>
      </c>
      <c r="B392" t="s">
        <v>3019</v>
      </c>
      <c r="C392">
        <v>2200</v>
      </c>
      <c r="D392" t="s">
        <v>1357</v>
      </c>
    </row>
    <row r="393" spans="1:4" x14ac:dyDescent="0.2">
      <c r="A393" t="s">
        <v>3020</v>
      </c>
      <c r="B393" t="s">
        <v>3021</v>
      </c>
      <c r="C393">
        <v>2199</v>
      </c>
      <c r="D393" t="s">
        <v>25</v>
      </c>
    </row>
    <row r="394" spans="1:4" x14ac:dyDescent="0.2">
      <c r="A394" t="s">
        <v>3022</v>
      </c>
      <c r="B394" t="s">
        <v>3023</v>
      </c>
      <c r="C394">
        <v>2191</v>
      </c>
      <c r="D394" t="s">
        <v>25</v>
      </c>
    </row>
    <row r="395" spans="1:4" x14ac:dyDescent="0.2">
      <c r="A395" t="s">
        <v>3024</v>
      </c>
      <c r="B395" t="s">
        <v>3025</v>
      </c>
      <c r="C395">
        <v>2191</v>
      </c>
      <c r="D395" t="s">
        <v>569</v>
      </c>
    </row>
    <row r="396" spans="1:4" x14ac:dyDescent="0.2">
      <c r="A396" t="s">
        <v>661</v>
      </c>
      <c r="B396" t="s">
        <v>3026</v>
      </c>
      <c r="C396">
        <v>2163</v>
      </c>
      <c r="D396" t="s">
        <v>136</v>
      </c>
    </row>
    <row r="397" spans="1:4" x14ac:dyDescent="0.2">
      <c r="A397" t="s">
        <v>3027</v>
      </c>
      <c r="B397" t="s">
        <v>3028</v>
      </c>
      <c r="C397">
        <v>2102</v>
      </c>
      <c r="D397" t="s">
        <v>25</v>
      </c>
    </row>
    <row r="398" spans="1:4" x14ac:dyDescent="0.2">
      <c r="A398" t="s">
        <v>606</v>
      </c>
      <c r="B398" t="s">
        <v>3029</v>
      </c>
      <c r="C398">
        <v>2100</v>
      </c>
      <c r="D398" t="s">
        <v>25</v>
      </c>
    </row>
    <row r="399" spans="1:4" x14ac:dyDescent="0.2">
      <c r="A399" t="s">
        <v>3030</v>
      </c>
      <c r="B399" t="s">
        <v>3031</v>
      </c>
      <c r="C399">
        <v>2087</v>
      </c>
      <c r="D399" t="s">
        <v>569</v>
      </c>
    </row>
    <row r="400" spans="1:4" x14ac:dyDescent="0.2">
      <c r="A400" t="s">
        <v>3032</v>
      </c>
      <c r="B400" t="s">
        <v>3033</v>
      </c>
      <c r="C400">
        <v>2082</v>
      </c>
      <c r="D400" t="s">
        <v>25</v>
      </c>
    </row>
    <row r="401" spans="1:4" x14ac:dyDescent="0.2">
      <c r="A401" t="s">
        <v>3034</v>
      </c>
      <c r="B401" t="s">
        <v>3035</v>
      </c>
      <c r="C401">
        <v>2080</v>
      </c>
      <c r="D401" t="s">
        <v>548</v>
      </c>
    </row>
    <row r="402" spans="1:4" x14ac:dyDescent="0.2">
      <c r="A402" t="s">
        <v>838</v>
      </c>
      <c r="B402" t="s">
        <v>3036</v>
      </c>
      <c r="C402">
        <v>2079</v>
      </c>
      <c r="D402" t="s">
        <v>25</v>
      </c>
    </row>
    <row r="403" spans="1:4" x14ac:dyDescent="0.2">
      <c r="A403" t="s">
        <v>3037</v>
      </c>
      <c r="B403" t="s">
        <v>3038</v>
      </c>
      <c r="C403">
        <v>2073</v>
      </c>
      <c r="D403" t="s">
        <v>569</v>
      </c>
    </row>
    <row r="404" spans="1:4" x14ac:dyDescent="0.2">
      <c r="A404" t="s">
        <v>3039</v>
      </c>
      <c r="B404" t="s">
        <v>3040</v>
      </c>
      <c r="C404">
        <v>2043</v>
      </c>
      <c r="D404" t="s">
        <v>1334</v>
      </c>
    </row>
    <row r="405" spans="1:4" x14ac:dyDescent="0.2">
      <c r="A405" t="s">
        <v>3041</v>
      </c>
      <c r="B405" t="s">
        <v>3042</v>
      </c>
      <c r="C405">
        <v>2033</v>
      </c>
      <c r="D405" t="s">
        <v>25</v>
      </c>
    </row>
    <row r="406" spans="1:4" x14ac:dyDescent="0.2">
      <c r="A406" t="s">
        <v>3043</v>
      </c>
      <c r="B406" t="s">
        <v>3044</v>
      </c>
      <c r="C406">
        <v>2023</v>
      </c>
      <c r="D406" t="s">
        <v>25</v>
      </c>
    </row>
    <row r="407" spans="1:4" x14ac:dyDescent="0.2">
      <c r="A407" t="s">
        <v>3045</v>
      </c>
      <c r="B407" t="s">
        <v>3046</v>
      </c>
      <c r="C407">
        <v>2014</v>
      </c>
      <c r="D407" t="s">
        <v>569</v>
      </c>
    </row>
    <row r="408" spans="1:4" x14ac:dyDescent="0.2">
      <c r="A408" t="s">
        <v>3047</v>
      </c>
      <c r="B408" t="s">
        <v>3048</v>
      </c>
      <c r="C408">
        <v>2000</v>
      </c>
      <c r="D408" t="s">
        <v>25</v>
      </c>
    </row>
    <row r="409" spans="1:4" x14ac:dyDescent="0.2">
      <c r="A409" t="s">
        <v>3049</v>
      </c>
      <c r="B409" t="s">
        <v>3050</v>
      </c>
      <c r="C409">
        <v>2000</v>
      </c>
      <c r="D409" t="s">
        <v>25</v>
      </c>
    </row>
    <row r="410" spans="1:4" x14ac:dyDescent="0.2">
      <c r="A410" t="s">
        <v>3051</v>
      </c>
      <c r="B410" t="s">
        <v>3052</v>
      </c>
      <c r="C410">
        <v>2000</v>
      </c>
      <c r="D410" t="s">
        <v>25</v>
      </c>
    </row>
    <row r="411" spans="1:4" x14ac:dyDescent="0.2">
      <c r="A411" t="s">
        <v>3053</v>
      </c>
      <c r="B411" t="s">
        <v>3054</v>
      </c>
      <c r="C411">
        <v>2000</v>
      </c>
      <c r="D411" t="s">
        <v>199</v>
      </c>
    </row>
    <row r="412" spans="1:4" x14ac:dyDescent="0.2">
      <c r="A412" t="s">
        <v>3055</v>
      </c>
      <c r="B412" t="s">
        <v>3056</v>
      </c>
      <c r="C412">
        <v>2000</v>
      </c>
      <c r="D412" t="s">
        <v>1683</v>
      </c>
    </row>
    <row r="413" spans="1:4" x14ac:dyDescent="0.2">
      <c r="A413" t="s">
        <v>3057</v>
      </c>
      <c r="B413" t="s">
        <v>3058</v>
      </c>
      <c r="C413">
        <v>1985</v>
      </c>
      <c r="D413" t="s">
        <v>548</v>
      </c>
    </row>
    <row r="414" spans="1:4" x14ac:dyDescent="0.2">
      <c r="A414" t="s">
        <v>3059</v>
      </c>
      <c r="B414" t="s">
        <v>3060</v>
      </c>
      <c r="C414">
        <v>1954</v>
      </c>
      <c r="D414" t="s">
        <v>25</v>
      </c>
    </row>
    <row r="415" spans="1:4" x14ac:dyDescent="0.2">
      <c r="A415" t="s">
        <v>527</v>
      </c>
      <c r="B415" t="s">
        <v>3061</v>
      </c>
      <c r="C415">
        <v>1942</v>
      </c>
      <c r="D415" t="s">
        <v>25</v>
      </c>
    </row>
    <row r="416" spans="1:4" x14ac:dyDescent="0.2">
      <c r="A416" t="s">
        <v>3062</v>
      </c>
      <c r="B416" t="s">
        <v>3063</v>
      </c>
      <c r="C416">
        <v>1937</v>
      </c>
      <c r="D416" t="s">
        <v>569</v>
      </c>
    </row>
    <row r="417" spans="1:4" x14ac:dyDescent="0.2">
      <c r="A417" t="s">
        <v>3064</v>
      </c>
      <c r="B417" t="s">
        <v>3065</v>
      </c>
      <c r="C417">
        <v>1917</v>
      </c>
      <c r="D417" t="s">
        <v>569</v>
      </c>
    </row>
    <row r="418" spans="1:4" x14ac:dyDescent="0.2">
      <c r="A418" t="s">
        <v>3066</v>
      </c>
      <c r="B418" t="s">
        <v>3067</v>
      </c>
      <c r="C418">
        <v>1915</v>
      </c>
      <c r="D418" t="s">
        <v>25</v>
      </c>
    </row>
    <row r="419" spans="1:4" x14ac:dyDescent="0.2">
      <c r="A419" t="s">
        <v>3068</v>
      </c>
      <c r="B419" t="s">
        <v>3069</v>
      </c>
      <c r="C419">
        <v>1900</v>
      </c>
      <c r="D419" t="s">
        <v>25</v>
      </c>
    </row>
    <row r="420" spans="1:4" x14ac:dyDescent="0.2">
      <c r="A420" t="s">
        <v>3070</v>
      </c>
      <c r="B420" t="s">
        <v>3071</v>
      </c>
      <c r="C420">
        <v>1900</v>
      </c>
      <c r="D420" t="s">
        <v>25</v>
      </c>
    </row>
    <row r="421" spans="1:4" x14ac:dyDescent="0.2">
      <c r="A421" t="s">
        <v>3072</v>
      </c>
      <c r="B421" t="s">
        <v>3073</v>
      </c>
      <c r="C421">
        <v>1900</v>
      </c>
      <c r="D421" t="s">
        <v>188</v>
      </c>
    </row>
    <row r="422" spans="1:4" x14ac:dyDescent="0.2">
      <c r="A422" t="s">
        <v>3074</v>
      </c>
      <c r="B422" t="s">
        <v>3075</v>
      </c>
      <c r="C422">
        <v>1900</v>
      </c>
      <c r="D422" t="s">
        <v>136</v>
      </c>
    </row>
    <row r="423" spans="1:4" x14ac:dyDescent="0.2">
      <c r="A423" t="s">
        <v>3076</v>
      </c>
      <c r="B423" t="s">
        <v>3077</v>
      </c>
      <c r="C423">
        <v>1900</v>
      </c>
      <c r="D423" t="s">
        <v>199</v>
      </c>
    </row>
    <row r="424" spans="1:4" x14ac:dyDescent="0.2">
      <c r="A424" t="s">
        <v>3078</v>
      </c>
      <c r="B424" t="s">
        <v>3079</v>
      </c>
      <c r="C424">
        <v>1889</v>
      </c>
      <c r="D424" t="s">
        <v>25</v>
      </c>
    </row>
    <row r="425" spans="1:4" x14ac:dyDescent="0.2">
      <c r="A425" t="s">
        <v>3080</v>
      </c>
      <c r="B425" t="s">
        <v>3081</v>
      </c>
      <c r="C425">
        <v>1887</v>
      </c>
      <c r="D425" t="s">
        <v>569</v>
      </c>
    </row>
    <row r="426" spans="1:4" x14ac:dyDescent="0.2">
      <c r="A426" t="s">
        <v>3082</v>
      </c>
      <c r="B426" t="s">
        <v>3083</v>
      </c>
      <c r="C426">
        <v>1882</v>
      </c>
      <c r="D426" t="s">
        <v>95</v>
      </c>
    </row>
    <row r="427" spans="1:4" x14ac:dyDescent="0.2">
      <c r="A427" t="s">
        <v>1655</v>
      </c>
      <c r="B427" t="s">
        <v>3084</v>
      </c>
      <c r="C427">
        <v>1872</v>
      </c>
      <c r="D427" t="s">
        <v>25</v>
      </c>
    </row>
    <row r="428" spans="1:4" x14ac:dyDescent="0.2">
      <c r="A428" t="s">
        <v>3085</v>
      </c>
      <c r="B428" t="s">
        <v>3086</v>
      </c>
      <c r="C428">
        <v>1850</v>
      </c>
      <c r="D428" t="s">
        <v>1357</v>
      </c>
    </row>
    <row r="429" spans="1:4" x14ac:dyDescent="0.2">
      <c r="A429" t="s">
        <v>3087</v>
      </c>
      <c r="B429" t="s">
        <v>3088</v>
      </c>
      <c r="C429">
        <v>1838</v>
      </c>
      <c r="D429" t="s">
        <v>25</v>
      </c>
    </row>
    <row r="430" spans="1:4" x14ac:dyDescent="0.2">
      <c r="A430" t="s">
        <v>3089</v>
      </c>
      <c r="B430" t="s">
        <v>3090</v>
      </c>
      <c r="C430">
        <v>1833</v>
      </c>
      <c r="D430" t="s">
        <v>25</v>
      </c>
    </row>
    <row r="431" spans="1:4" x14ac:dyDescent="0.2">
      <c r="A431" t="s">
        <v>532</v>
      </c>
      <c r="B431" t="s">
        <v>3091</v>
      </c>
      <c r="C431">
        <v>1833</v>
      </c>
      <c r="D431" t="s">
        <v>25</v>
      </c>
    </row>
    <row r="432" spans="1:4" x14ac:dyDescent="0.2">
      <c r="A432" t="s">
        <v>161</v>
      </c>
      <c r="B432" t="s">
        <v>3092</v>
      </c>
      <c r="C432">
        <v>1830</v>
      </c>
      <c r="D432" t="s">
        <v>25</v>
      </c>
    </row>
    <row r="433" spans="1:4" x14ac:dyDescent="0.2">
      <c r="A433" t="s">
        <v>3093</v>
      </c>
      <c r="B433" t="s">
        <v>3094</v>
      </c>
      <c r="C433">
        <v>1820</v>
      </c>
      <c r="D433" t="s">
        <v>95</v>
      </c>
    </row>
    <row r="434" spans="1:4" x14ac:dyDescent="0.2">
      <c r="A434" t="s">
        <v>3095</v>
      </c>
      <c r="B434" t="s">
        <v>3096</v>
      </c>
      <c r="C434">
        <v>1820</v>
      </c>
      <c r="D434" t="s">
        <v>25</v>
      </c>
    </row>
    <row r="435" spans="1:4" x14ac:dyDescent="0.2">
      <c r="A435" t="s">
        <v>3097</v>
      </c>
      <c r="B435" t="s">
        <v>3098</v>
      </c>
      <c r="C435">
        <v>1820</v>
      </c>
      <c r="D435" t="s">
        <v>25</v>
      </c>
    </row>
    <row r="436" spans="1:4" x14ac:dyDescent="0.2">
      <c r="A436" t="s">
        <v>681</v>
      </c>
      <c r="B436" t="s">
        <v>3099</v>
      </c>
      <c r="C436">
        <v>1819</v>
      </c>
      <c r="D436" t="s">
        <v>25</v>
      </c>
    </row>
    <row r="437" spans="1:4" x14ac:dyDescent="0.2">
      <c r="A437" t="s">
        <v>3100</v>
      </c>
      <c r="B437" t="s">
        <v>3101</v>
      </c>
      <c r="C437">
        <v>1819</v>
      </c>
      <c r="D437" t="s">
        <v>903</v>
      </c>
    </row>
    <row r="438" spans="1:4" x14ac:dyDescent="0.2">
      <c r="A438" t="s">
        <v>3102</v>
      </c>
      <c r="B438" t="s">
        <v>3103</v>
      </c>
      <c r="C438">
        <v>1810</v>
      </c>
      <c r="D438" t="s">
        <v>1141</v>
      </c>
    </row>
    <row r="439" spans="1:4" x14ac:dyDescent="0.2">
      <c r="A439" t="s">
        <v>3104</v>
      </c>
      <c r="B439" t="s">
        <v>3105</v>
      </c>
      <c r="C439">
        <v>1800</v>
      </c>
      <c r="D439" t="s">
        <v>25</v>
      </c>
    </row>
    <row r="440" spans="1:4" x14ac:dyDescent="0.2">
      <c r="A440" t="s">
        <v>3106</v>
      </c>
      <c r="B440" t="s">
        <v>3107</v>
      </c>
      <c r="C440">
        <v>1800</v>
      </c>
      <c r="D440" t="s">
        <v>25</v>
      </c>
    </row>
    <row r="441" spans="1:4" x14ac:dyDescent="0.2">
      <c r="A441" t="s">
        <v>3108</v>
      </c>
      <c r="B441" t="s">
        <v>3109</v>
      </c>
      <c r="C441">
        <v>1800</v>
      </c>
      <c r="D441" t="s">
        <v>25</v>
      </c>
    </row>
    <row r="442" spans="1:4" x14ac:dyDescent="0.2">
      <c r="A442" t="s">
        <v>3110</v>
      </c>
      <c r="B442" t="s">
        <v>3111</v>
      </c>
      <c r="C442">
        <v>1800</v>
      </c>
      <c r="D442" t="s">
        <v>569</v>
      </c>
    </row>
    <row r="443" spans="1:4" x14ac:dyDescent="0.2">
      <c r="A443" t="s">
        <v>3112</v>
      </c>
      <c r="B443" t="s">
        <v>3113</v>
      </c>
      <c r="C443">
        <v>1782</v>
      </c>
      <c r="D443" t="s">
        <v>14</v>
      </c>
    </row>
    <row r="444" spans="1:4" x14ac:dyDescent="0.2">
      <c r="A444" t="s">
        <v>3114</v>
      </c>
      <c r="B444" t="s">
        <v>3115</v>
      </c>
      <c r="C444">
        <v>1781</v>
      </c>
      <c r="D444" t="s">
        <v>98</v>
      </c>
    </row>
    <row r="445" spans="1:4" x14ac:dyDescent="0.2">
      <c r="A445" t="s">
        <v>3116</v>
      </c>
      <c r="B445" t="s">
        <v>3117</v>
      </c>
      <c r="C445">
        <v>1779</v>
      </c>
      <c r="D445" t="s">
        <v>20</v>
      </c>
    </row>
    <row r="446" spans="1:4" x14ac:dyDescent="0.2">
      <c r="A446" t="s">
        <v>3118</v>
      </c>
      <c r="B446" t="s">
        <v>3119</v>
      </c>
      <c r="C446">
        <v>1773</v>
      </c>
      <c r="D446" t="s">
        <v>25</v>
      </c>
    </row>
    <row r="447" spans="1:4" x14ac:dyDescent="0.2">
      <c r="A447" t="s">
        <v>3120</v>
      </c>
      <c r="B447" t="s">
        <v>3121</v>
      </c>
      <c r="C447">
        <v>1736</v>
      </c>
      <c r="D447" t="s">
        <v>25</v>
      </c>
    </row>
    <row r="448" spans="1:4" x14ac:dyDescent="0.2">
      <c r="A448" t="s">
        <v>3122</v>
      </c>
      <c r="B448" t="s">
        <v>3123</v>
      </c>
      <c r="C448">
        <v>1725</v>
      </c>
      <c r="D448" t="s">
        <v>100</v>
      </c>
    </row>
    <row r="449" spans="1:4" x14ac:dyDescent="0.2">
      <c r="A449" t="s">
        <v>3124</v>
      </c>
      <c r="B449" t="s">
        <v>3125</v>
      </c>
      <c r="C449">
        <v>1722</v>
      </c>
      <c r="D449" t="s">
        <v>548</v>
      </c>
    </row>
    <row r="450" spans="1:4" x14ac:dyDescent="0.2">
      <c r="A450" t="s">
        <v>3126</v>
      </c>
      <c r="B450" t="s">
        <v>3127</v>
      </c>
      <c r="C450">
        <v>1716</v>
      </c>
      <c r="D450" t="s">
        <v>25</v>
      </c>
    </row>
    <row r="451" spans="1:4" x14ac:dyDescent="0.2">
      <c r="A451" t="s">
        <v>3128</v>
      </c>
      <c r="B451" t="s">
        <v>3129</v>
      </c>
      <c r="C451">
        <v>1715</v>
      </c>
      <c r="D451" t="s">
        <v>25</v>
      </c>
    </row>
    <row r="452" spans="1:4" x14ac:dyDescent="0.2">
      <c r="A452" t="s">
        <v>3130</v>
      </c>
      <c r="B452" t="s">
        <v>3131</v>
      </c>
      <c r="C452">
        <v>1700</v>
      </c>
      <c r="D452" t="s">
        <v>25</v>
      </c>
    </row>
    <row r="453" spans="1:4" x14ac:dyDescent="0.2">
      <c r="A453" t="s">
        <v>3132</v>
      </c>
      <c r="B453" t="s">
        <v>3133</v>
      </c>
      <c r="C453">
        <v>1700</v>
      </c>
      <c r="D453" t="s">
        <v>25</v>
      </c>
    </row>
    <row r="454" spans="1:4" x14ac:dyDescent="0.2">
      <c r="A454" t="s">
        <v>3134</v>
      </c>
      <c r="B454" t="s">
        <v>3135</v>
      </c>
      <c r="C454">
        <v>1699</v>
      </c>
      <c r="D454" t="s">
        <v>25</v>
      </c>
    </row>
    <row r="455" spans="1:4" x14ac:dyDescent="0.2">
      <c r="A455" t="s">
        <v>3136</v>
      </c>
      <c r="B455" t="s">
        <v>3137</v>
      </c>
      <c r="C455">
        <v>1698</v>
      </c>
      <c r="D455" t="s">
        <v>244</v>
      </c>
    </row>
    <row r="456" spans="1:4" x14ac:dyDescent="0.2">
      <c r="A456" t="s">
        <v>3138</v>
      </c>
      <c r="B456" t="s">
        <v>3139</v>
      </c>
      <c r="C456">
        <v>1693</v>
      </c>
      <c r="D456" t="s">
        <v>548</v>
      </c>
    </row>
    <row r="457" spans="1:4" x14ac:dyDescent="0.2">
      <c r="A457" t="s">
        <v>1588</v>
      </c>
      <c r="B457" t="s">
        <v>3140</v>
      </c>
      <c r="C457">
        <v>1674</v>
      </c>
      <c r="D457" t="s">
        <v>95</v>
      </c>
    </row>
    <row r="458" spans="1:4" x14ac:dyDescent="0.2">
      <c r="A458" t="s">
        <v>3141</v>
      </c>
      <c r="B458" t="s">
        <v>3142</v>
      </c>
      <c r="C458">
        <v>1660</v>
      </c>
      <c r="D458" t="s">
        <v>52</v>
      </c>
    </row>
    <row r="459" spans="1:4" x14ac:dyDescent="0.2">
      <c r="A459" t="s">
        <v>3143</v>
      </c>
      <c r="B459" t="s">
        <v>3144</v>
      </c>
      <c r="C459">
        <v>1652</v>
      </c>
      <c r="D459" t="s">
        <v>100</v>
      </c>
    </row>
    <row r="460" spans="1:4" x14ac:dyDescent="0.2">
      <c r="A460" t="s">
        <v>3145</v>
      </c>
      <c r="B460" t="s">
        <v>3146</v>
      </c>
      <c r="C460">
        <v>1650</v>
      </c>
      <c r="D460" t="s">
        <v>25</v>
      </c>
    </row>
    <row r="461" spans="1:4" x14ac:dyDescent="0.2">
      <c r="A461" t="s">
        <v>3147</v>
      </c>
      <c r="B461" t="s">
        <v>3148</v>
      </c>
      <c r="C461">
        <v>1645</v>
      </c>
      <c r="D461" t="s">
        <v>548</v>
      </c>
    </row>
    <row r="462" spans="1:4" x14ac:dyDescent="0.2">
      <c r="A462" t="s">
        <v>3149</v>
      </c>
      <c r="B462" t="s">
        <v>3150</v>
      </c>
      <c r="C462">
        <v>1643</v>
      </c>
      <c r="D462" t="s">
        <v>25</v>
      </c>
    </row>
    <row r="463" spans="1:4" x14ac:dyDescent="0.2">
      <c r="A463" t="s">
        <v>3151</v>
      </c>
      <c r="B463" t="s">
        <v>3152</v>
      </c>
      <c r="C463">
        <v>1637</v>
      </c>
      <c r="D463" t="s">
        <v>25</v>
      </c>
    </row>
    <row r="464" spans="1:4" x14ac:dyDescent="0.2">
      <c r="A464" t="s">
        <v>3153</v>
      </c>
      <c r="B464" t="s">
        <v>3154</v>
      </c>
      <c r="C464">
        <v>1632</v>
      </c>
      <c r="D464" t="s">
        <v>25</v>
      </c>
    </row>
    <row r="465" spans="1:4" x14ac:dyDescent="0.2">
      <c r="A465" t="s">
        <v>3155</v>
      </c>
      <c r="B465" t="s">
        <v>3156</v>
      </c>
      <c r="C465">
        <v>1630</v>
      </c>
      <c r="D465" t="s">
        <v>25</v>
      </c>
    </row>
    <row r="466" spans="1:4" x14ac:dyDescent="0.2">
      <c r="A466" t="s">
        <v>3157</v>
      </c>
      <c r="B466" t="s">
        <v>3158</v>
      </c>
      <c r="C466">
        <v>1623</v>
      </c>
      <c r="D466" t="s">
        <v>20</v>
      </c>
    </row>
    <row r="467" spans="1:4" x14ac:dyDescent="0.2">
      <c r="A467" t="s">
        <v>3159</v>
      </c>
      <c r="B467" t="s">
        <v>3160</v>
      </c>
      <c r="C467">
        <v>1620</v>
      </c>
      <c r="D467" t="s">
        <v>25</v>
      </c>
    </row>
    <row r="468" spans="1:4" x14ac:dyDescent="0.2">
      <c r="A468" t="s">
        <v>3161</v>
      </c>
      <c r="B468" t="s">
        <v>3162</v>
      </c>
      <c r="C468">
        <v>1600</v>
      </c>
      <c r="D468" t="s">
        <v>25</v>
      </c>
    </row>
    <row r="469" spans="1:4" x14ac:dyDescent="0.2">
      <c r="A469" t="s">
        <v>3163</v>
      </c>
      <c r="B469" t="s">
        <v>3164</v>
      </c>
      <c r="C469">
        <v>1600</v>
      </c>
      <c r="D469" t="s">
        <v>25</v>
      </c>
    </row>
    <row r="470" spans="1:4" x14ac:dyDescent="0.2">
      <c r="A470" t="s">
        <v>3165</v>
      </c>
      <c r="B470" t="s">
        <v>3166</v>
      </c>
      <c r="C470">
        <v>1600</v>
      </c>
      <c r="D470" t="s">
        <v>199</v>
      </c>
    </row>
    <row r="471" spans="1:4" x14ac:dyDescent="0.2">
      <c r="A471" t="s">
        <v>3167</v>
      </c>
      <c r="B471" t="s">
        <v>3168</v>
      </c>
      <c r="C471">
        <v>1600</v>
      </c>
      <c r="D471" t="s">
        <v>98</v>
      </c>
    </row>
    <row r="472" spans="1:4" x14ac:dyDescent="0.2">
      <c r="A472" t="s">
        <v>3169</v>
      </c>
      <c r="B472" t="s">
        <v>3170</v>
      </c>
      <c r="C472">
        <v>1598</v>
      </c>
      <c r="D472" t="s">
        <v>569</v>
      </c>
    </row>
    <row r="473" spans="1:4" x14ac:dyDescent="0.2">
      <c r="A473" t="s">
        <v>3171</v>
      </c>
      <c r="B473" t="s">
        <v>3172</v>
      </c>
      <c r="C473">
        <v>1583</v>
      </c>
      <c r="D473" t="s">
        <v>548</v>
      </c>
    </row>
    <row r="474" spans="1:4" x14ac:dyDescent="0.2">
      <c r="A474" t="s">
        <v>3173</v>
      </c>
      <c r="B474" t="s">
        <v>3174</v>
      </c>
      <c r="C474">
        <v>1581</v>
      </c>
      <c r="D474" t="s">
        <v>25</v>
      </c>
    </row>
    <row r="475" spans="1:4" x14ac:dyDescent="0.2">
      <c r="A475" t="s">
        <v>3175</v>
      </c>
      <c r="B475" t="s">
        <v>3176</v>
      </c>
      <c r="C475">
        <v>1580</v>
      </c>
      <c r="D475" t="s">
        <v>548</v>
      </c>
    </row>
    <row r="476" spans="1:4" x14ac:dyDescent="0.2">
      <c r="A476" t="s">
        <v>3177</v>
      </c>
      <c r="B476" t="s">
        <v>3178</v>
      </c>
      <c r="C476">
        <v>1578</v>
      </c>
      <c r="D476" t="s">
        <v>548</v>
      </c>
    </row>
    <row r="477" spans="1:4" x14ac:dyDescent="0.2">
      <c r="A477" t="s">
        <v>3179</v>
      </c>
      <c r="B477" t="s">
        <v>3180</v>
      </c>
      <c r="C477">
        <v>1561</v>
      </c>
      <c r="D477" t="s">
        <v>25</v>
      </c>
    </row>
    <row r="478" spans="1:4" x14ac:dyDescent="0.2">
      <c r="A478" t="s">
        <v>3181</v>
      </c>
      <c r="B478" t="s">
        <v>3182</v>
      </c>
      <c r="C478">
        <v>1561</v>
      </c>
      <c r="D478" t="s">
        <v>569</v>
      </c>
    </row>
    <row r="479" spans="1:4" x14ac:dyDescent="0.2">
      <c r="A479" t="s">
        <v>3183</v>
      </c>
      <c r="B479" t="s">
        <v>3184</v>
      </c>
      <c r="C479">
        <v>1551</v>
      </c>
      <c r="D479" t="s">
        <v>25</v>
      </c>
    </row>
    <row r="480" spans="1:4" x14ac:dyDescent="0.2">
      <c r="A480" t="s">
        <v>3185</v>
      </c>
      <c r="B480" t="s">
        <v>3186</v>
      </c>
      <c r="C480">
        <v>1534</v>
      </c>
      <c r="D480" t="s">
        <v>2360</v>
      </c>
    </row>
    <row r="481" spans="1:4" x14ac:dyDescent="0.2">
      <c r="A481" t="s">
        <v>933</v>
      </c>
      <c r="B481" t="s">
        <v>3187</v>
      </c>
      <c r="C481">
        <v>1533</v>
      </c>
      <c r="D481" t="s">
        <v>25</v>
      </c>
    </row>
    <row r="482" spans="1:4" x14ac:dyDescent="0.2">
      <c r="A482" t="s">
        <v>3188</v>
      </c>
      <c r="B482" t="s">
        <v>3189</v>
      </c>
      <c r="C482">
        <v>1527</v>
      </c>
      <c r="D482" t="s">
        <v>965</v>
      </c>
    </row>
    <row r="483" spans="1:4" x14ac:dyDescent="0.2">
      <c r="A483" t="s">
        <v>3190</v>
      </c>
      <c r="B483" t="s">
        <v>3191</v>
      </c>
      <c r="C483">
        <v>1524</v>
      </c>
      <c r="D483" t="s">
        <v>25</v>
      </c>
    </row>
    <row r="484" spans="1:4" x14ac:dyDescent="0.2">
      <c r="A484" t="s">
        <v>3192</v>
      </c>
      <c r="B484" t="s">
        <v>3193</v>
      </c>
      <c r="C484">
        <v>1512</v>
      </c>
      <c r="D484" t="s">
        <v>25</v>
      </c>
    </row>
    <row r="485" spans="1:4" x14ac:dyDescent="0.2">
      <c r="A485" t="s">
        <v>3194</v>
      </c>
      <c r="B485" t="s">
        <v>3195</v>
      </c>
      <c r="C485">
        <v>1509</v>
      </c>
      <c r="D485" t="s">
        <v>136</v>
      </c>
    </row>
    <row r="486" spans="1:4" x14ac:dyDescent="0.2">
      <c r="A486" t="s">
        <v>3196</v>
      </c>
      <c r="B486" t="s">
        <v>3197</v>
      </c>
      <c r="C486">
        <v>1501</v>
      </c>
      <c r="D486" t="s">
        <v>25</v>
      </c>
    </row>
    <row r="487" spans="1:4" x14ac:dyDescent="0.2">
      <c r="A487" t="s">
        <v>3198</v>
      </c>
      <c r="B487" t="s">
        <v>3199</v>
      </c>
      <c r="C487">
        <v>1500</v>
      </c>
      <c r="D487" t="s">
        <v>25</v>
      </c>
    </row>
    <row r="488" spans="1:4" x14ac:dyDescent="0.2">
      <c r="A488" t="s">
        <v>3200</v>
      </c>
      <c r="B488" t="s">
        <v>3201</v>
      </c>
      <c r="C488">
        <v>1500</v>
      </c>
      <c r="D488" t="s">
        <v>25</v>
      </c>
    </row>
    <row r="489" spans="1:4" x14ac:dyDescent="0.2">
      <c r="A489" t="s">
        <v>3202</v>
      </c>
      <c r="B489" t="s">
        <v>3203</v>
      </c>
      <c r="C489">
        <v>1490</v>
      </c>
      <c r="D489" t="s">
        <v>199</v>
      </c>
    </row>
    <row r="490" spans="1:4" x14ac:dyDescent="0.2">
      <c r="A490" t="s">
        <v>3204</v>
      </c>
      <c r="B490" t="s">
        <v>3205</v>
      </c>
      <c r="C490">
        <v>1487</v>
      </c>
      <c r="D490" t="s">
        <v>25</v>
      </c>
    </row>
    <row r="491" spans="1:4" x14ac:dyDescent="0.2">
      <c r="A491" t="s">
        <v>3206</v>
      </c>
      <c r="B491" t="s">
        <v>3207</v>
      </c>
      <c r="C491">
        <v>1480</v>
      </c>
      <c r="D491" t="s">
        <v>25</v>
      </c>
    </row>
    <row r="492" spans="1:4" x14ac:dyDescent="0.2">
      <c r="A492" t="s">
        <v>3208</v>
      </c>
      <c r="B492" t="s">
        <v>3209</v>
      </c>
      <c r="C492">
        <v>1468</v>
      </c>
      <c r="D492" t="s">
        <v>25</v>
      </c>
    </row>
    <row r="493" spans="1:4" x14ac:dyDescent="0.2">
      <c r="A493" t="s">
        <v>3210</v>
      </c>
      <c r="B493" t="s">
        <v>3211</v>
      </c>
      <c r="C493">
        <v>1466</v>
      </c>
      <c r="D493" t="s">
        <v>25</v>
      </c>
    </row>
    <row r="494" spans="1:4" x14ac:dyDescent="0.2">
      <c r="A494" t="s">
        <v>3212</v>
      </c>
      <c r="B494" t="s">
        <v>3213</v>
      </c>
      <c r="C494">
        <v>1461</v>
      </c>
      <c r="D494" t="s">
        <v>136</v>
      </c>
    </row>
    <row r="495" spans="1:4" x14ac:dyDescent="0.2">
      <c r="A495" t="s">
        <v>3214</v>
      </c>
      <c r="B495" t="s">
        <v>3215</v>
      </c>
      <c r="C495">
        <v>1460</v>
      </c>
      <c r="D495" t="s">
        <v>569</v>
      </c>
    </row>
    <row r="496" spans="1:4" x14ac:dyDescent="0.2">
      <c r="A496" t="s">
        <v>3216</v>
      </c>
      <c r="B496" t="s">
        <v>3217</v>
      </c>
      <c r="C496">
        <v>1453</v>
      </c>
      <c r="D496" t="s">
        <v>1141</v>
      </c>
    </row>
    <row r="497" spans="1:4" x14ac:dyDescent="0.2">
      <c r="A497" t="s">
        <v>3218</v>
      </c>
      <c r="B497" t="s">
        <v>3219</v>
      </c>
      <c r="C497">
        <v>1435</v>
      </c>
      <c r="D497" t="s">
        <v>569</v>
      </c>
    </row>
    <row r="498" spans="1:4" x14ac:dyDescent="0.2">
      <c r="A498" t="s">
        <v>3220</v>
      </c>
      <c r="B498" t="s">
        <v>3221</v>
      </c>
      <c r="C498">
        <v>1435</v>
      </c>
      <c r="D498" t="s">
        <v>903</v>
      </c>
    </row>
    <row r="499" spans="1:4" x14ac:dyDescent="0.2">
      <c r="A499" t="s">
        <v>3222</v>
      </c>
      <c r="B499" t="s">
        <v>3223</v>
      </c>
      <c r="C499">
        <v>1432</v>
      </c>
      <c r="D499" t="s">
        <v>548</v>
      </c>
    </row>
    <row r="500" spans="1:4" x14ac:dyDescent="0.2">
      <c r="A500" t="s">
        <v>3224</v>
      </c>
      <c r="B500" t="s">
        <v>3225</v>
      </c>
      <c r="C500">
        <v>1403</v>
      </c>
      <c r="D500" t="s">
        <v>25</v>
      </c>
    </row>
    <row r="501" spans="1:4" x14ac:dyDescent="0.2">
      <c r="A501" t="s">
        <v>3226</v>
      </c>
      <c r="B501" t="s">
        <v>3227</v>
      </c>
      <c r="C501">
        <v>1400</v>
      </c>
      <c r="D501" t="s">
        <v>25</v>
      </c>
    </row>
    <row r="502" spans="1:4" x14ac:dyDescent="0.2">
      <c r="A502" t="s">
        <v>3228</v>
      </c>
      <c r="B502" t="s">
        <v>3229</v>
      </c>
      <c r="C502">
        <v>1400</v>
      </c>
      <c r="D502" t="s">
        <v>95</v>
      </c>
    </row>
    <row r="503" spans="1:4" x14ac:dyDescent="0.2">
      <c r="A503" t="s">
        <v>3230</v>
      </c>
      <c r="B503" t="s">
        <v>3231</v>
      </c>
      <c r="C503">
        <v>1371</v>
      </c>
      <c r="D503" t="s">
        <v>100</v>
      </c>
    </row>
    <row r="504" spans="1:4" x14ac:dyDescent="0.2">
      <c r="A504" t="s">
        <v>1015</v>
      </c>
      <c r="B504" t="s">
        <v>1015</v>
      </c>
      <c r="C504">
        <v>1368</v>
      </c>
      <c r="D504" t="s">
        <v>1357</v>
      </c>
    </row>
    <row r="505" spans="1:4" x14ac:dyDescent="0.2">
      <c r="A505" t="s">
        <v>3232</v>
      </c>
      <c r="B505" t="s">
        <v>3233</v>
      </c>
      <c r="C505">
        <v>1339</v>
      </c>
      <c r="D505" t="s">
        <v>1141</v>
      </c>
    </row>
    <row r="506" spans="1:4" x14ac:dyDescent="0.2">
      <c r="A506" t="s">
        <v>3234</v>
      </c>
      <c r="B506" t="s">
        <v>3235</v>
      </c>
      <c r="C506">
        <v>1329</v>
      </c>
      <c r="D506" t="s">
        <v>136</v>
      </c>
    </row>
    <row r="507" spans="1:4" x14ac:dyDescent="0.2">
      <c r="A507" t="s">
        <v>3236</v>
      </c>
      <c r="B507" t="s">
        <v>3237</v>
      </c>
      <c r="C507">
        <v>1324</v>
      </c>
      <c r="D507" t="s">
        <v>726</v>
      </c>
    </row>
    <row r="508" spans="1:4" x14ac:dyDescent="0.2">
      <c r="A508" t="s">
        <v>1975</v>
      </c>
      <c r="B508" t="s">
        <v>3238</v>
      </c>
      <c r="C508">
        <v>1322</v>
      </c>
      <c r="D508" t="s">
        <v>25</v>
      </c>
    </row>
    <row r="509" spans="1:4" x14ac:dyDescent="0.2">
      <c r="A509" t="s">
        <v>3239</v>
      </c>
      <c r="B509" t="s">
        <v>3240</v>
      </c>
      <c r="C509">
        <v>1321</v>
      </c>
      <c r="D509" t="s">
        <v>548</v>
      </c>
    </row>
    <row r="510" spans="1:4" x14ac:dyDescent="0.2">
      <c r="A510" t="s">
        <v>3241</v>
      </c>
      <c r="B510" t="s">
        <v>3242</v>
      </c>
      <c r="C510">
        <v>1314</v>
      </c>
      <c r="D510" t="s">
        <v>244</v>
      </c>
    </row>
    <row r="511" spans="1:4" x14ac:dyDescent="0.2">
      <c r="A511" t="s">
        <v>3243</v>
      </c>
      <c r="B511" t="s">
        <v>3244</v>
      </c>
      <c r="C511">
        <v>1307</v>
      </c>
      <c r="D511" t="s">
        <v>2452</v>
      </c>
    </row>
    <row r="512" spans="1:4" x14ac:dyDescent="0.2">
      <c r="A512" t="s">
        <v>2042</v>
      </c>
      <c r="B512" t="s">
        <v>3245</v>
      </c>
      <c r="C512">
        <v>1300</v>
      </c>
      <c r="D512" t="s">
        <v>25</v>
      </c>
    </row>
    <row r="513" spans="1:4" x14ac:dyDescent="0.2">
      <c r="A513" t="s">
        <v>3246</v>
      </c>
      <c r="B513" t="s">
        <v>3247</v>
      </c>
      <c r="C513">
        <v>1300</v>
      </c>
      <c r="D513" t="s">
        <v>199</v>
      </c>
    </row>
    <row r="514" spans="1:4" x14ac:dyDescent="0.2">
      <c r="A514" t="s">
        <v>3248</v>
      </c>
      <c r="B514" t="s">
        <v>3249</v>
      </c>
      <c r="C514">
        <v>1294</v>
      </c>
      <c r="D514" t="s">
        <v>25</v>
      </c>
    </row>
    <row r="515" spans="1:4" x14ac:dyDescent="0.2">
      <c r="A515" t="s">
        <v>3250</v>
      </c>
      <c r="B515" t="s">
        <v>3251</v>
      </c>
      <c r="C515">
        <v>1294</v>
      </c>
      <c r="D515" t="s">
        <v>52</v>
      </c>
    </row>
    <row r="516" spans="1:4" x14ac:dyDescent="0.2">
      <c r="A516" t="s">
        <v>3252</v>
      </c>
      <c r="B516" t="s">
        <v>3253</v>
      </c>
      <c r="C516">
        <v>1293</v>
      </c>
      <c r="D516" t="s">
        <v>136</v>
      </c>
    </row>
    <row r="517" spans="1:4" x14ac:dyDescent="0.2">
      <c r="A517" t="s">
        <v>3254</v>
      </c>
      <c r="B517" t="s">
        <v>3255</v>
      </c>
      <c r="C517">
        <v>1284</v>
      </c>
      <c r="D517" t="s">
        <v>358</v>
      </c>
    </row>
    <row r="518" spans="1:4" x14ac:dyDescent="0.2">
      <c r="A518" t="s">
        <v>3256</v>
      </c>
      <c r="B518" t="s">
        <v>3257</v>
      </c>
      <c r="C518">
        <v>1271</v>
      </c>
      <c r="D518" t="s">
        <v>98</v>
      </c>
    </row>
    <row r="519" spans="1:4" x14ac:dyDescent="0.2">
      <c r="A519" t="s">
        <v>2000</v>
      </c>
      <c r="B519" t="s">
        <v>3258</v>
      </c>
      <c r="C519">
        <v>1260</v>
      </c>
      <c r="D519" t="s">
        <v>25</v>
      </c>
    </row>
    <row r="520" spans="1:4" x14ac:dyDescent="0.2">
      <c r="A520" t="s">
        <v>3259</v>
      </c>
      <c r="B520" t="s">
        <v>3260</v>
      </c>
      <c r="C520">
        <v>1251</v>
      </c>
      <c r="D520" t="s">
        <v>569</v>
      </c>
    </row>
    <row r="521" spans="1:4" x14ac:dyDescent="0.2">
      <c r="A521" t="s">
        <v>1142</v>
      </c>
      <c r="B521" t="s">
        <v>3261</v>
      </c>
      <c r="C521">
        <v>1250</v>
      </c>
      <c r="D521" t="s">
        <v>25</v>
      </c>
    </row>
    <row r="522" spans="1:4" x14ac:dyDescent="0.2">
      <c r="A522" t="s">
        <v>3262</v>
      </c>
      <c r="B522" t="s">
        <v>3263</v>
      </c>
      <c r="C522">
        <v>1248</v>
      </c>
      <c r="D522" t="s">
        <v>14</v>
      </c>
    </row>
    <row r="523" spans="1:4" x14ac:dyDescent="0.2">
      <c r="A523" t="s">
        <v>3264</v>
      </c>
      <c r="B523" t="s">
        <v>3265</v>
      </c>
      <c r="C523">
        <v>1246</v>
      </c>
      <c r="D523" t="s">
        <v>25</v>
      </c>
    </row>
    <row r="524" spans="1:4" x14ac:dyDescent="0.2">
      <c r="A524" t="s">
        <v>3266</v>
      </c>
      <c r="B524" t="s">
        <v>3267</v>
      </c>
      <c r="C524">
        <v>1245</v>
      </c>
      <c r="D524" t="s">
        <v>1357</v>
      </c>
    </row>
    <row r="525" spans="1:4" x14ac:dyDescent="0.2">
      <c r="A525" t="s">
        <v>3268</v>
      </c>
      <c r="B525" t="s">
        <v>3269</v>
      </c>
      <c r="C525">
        <v>1242</v>
      </c>
      <c r="D525" t="s">
        <v>25</v>
      </c>
    </row>
    <row r="526" spans="1:4" x14ac:dyDescent="0.2">
      <c r="A526" t="s">
        <v>256</v>
      </c>
      <c r="B526" t="s">
        <v>3270</v>
      </c>
      <c r="C526">
        <v>1241</v>
      </c>
      <c r="D526" t="s">
        <v>25</v>
      </c>
    </row>
    <row r="527" spans="1:4" x14ac:dyDescent="0.2">
      <c r="A527" t="s">
        <v>3271</v>
      </c>
      <c r="B527" t="s">
        <v>3272</v>
      </c>
      <c r="C527">
        <v>1238</v>
      </c>
      <c r="D527" t="s">
        <v>569</v>
      </c>
    </row>
    <row r="528" spans="1:4" x14ac:dyDescent="0.2">
      <c r="A528" t="s">
        <v>288</v>
      </c>
      <c r="B528" t="s">
        <v>3273</v>
      </c>
      <c r="C528">
        <v>1235</v>
      </c>
      <c r="D528" t="s">
        <v>25</v>
      </c>
    </row>
    <row r="529" spans="1:4" x14ac:dyDescent="0.2">
      <c r="A529" t="s">
        <v>3274</v>
      </c>
      <c r="B529" t="s">
        <v>3275</v>
      </c>
      <c r="C529">
        <v>1235</v>
      </c>
      <c r="D529" t="s">
        <v>25</v>
      </c>
    </row>
    <row r="530" spans="1:4" x14ac:dyDescent="0.2">
      <c r="A530" t="s">
        <v>3276</v>
      </c>
      <c r="B530" t="s">
        <v>3277</v>
      </c>
      <c r="C530">
        <v>1231</v>
      </c>
      <c r="D530" t="s">
        <v>25</v>
      </c>
    </row>
    <row r="531" spans="1:4" x14ac:dyDescent="0.2">
      <c r="A531" t="s">
        <v>3278</v>
      </c>
      <c r="B531" t="s">
        <v>3279</v>
      </c>
      <c r="C531">
        <v>1226</v>
      </c>
      <c r="D531" t="s">
        <v>25</v>
      </c>
    </row>
    <row r="532" spans="1:4" x14ac:dyDescent="0.2">
      <c r="A532" t="s">
        <v>3280</v>
      </c>
      <c r="B532" t="s">
        <v>3281</v>
      </c>
      <c r="C532">
        <v>1216</v>
      </c>
      <c r="D532" t="s">
        <v>569</v>
      </c>
    </row>
    <row r="533" spans="1:4" x14ac:dyDescent="0.2">
      <c r="A533" t="s">
        <v>438</v>
      </c>
      <c r="B533" t="s">
        <v>3282</v>
      </c>
      <c r="C533">
        <v>1210</v>
      </c>
      <c r="D533" t="s">
        <v>25</v>
      </c>
    </row>
    <row r="534" spans="1:4" x14ac:dyDescent="0.2">
      <c r="A534" t="s">
        <v>3283</v>
      </c>
      <c r="B534" t="s">
        <v>3284</v>
      </c>
      <c r="C534">
        <v>1207</v>
      </c>
      <c r="D534" t="s">
        <v>98</v>
      </c>
    </row>
    <row r="535" spans="1:4" x14ac:dyDescent="0.2">
      <c r="A535" t="s">
        <v>3285</v>
      </c>
      <c r="B535" t="s">
        <v>3286</v>
      </c>
      <c r="C535">
        <v>1202</v>
      </c>
      <c r="D535" t="s">
        <v>569</v>
      </c>
    </row>
    <row r="536" spans="1:4" x14ac:dyDescent="0.2">
      <c r="A536" t="s">
        <v>1522</v>
      </c>
      <c r="B536" t="s">
        <v>3287</v>
      </c>
      <c r="C536">
        <v>1200</v>
      </c>
      <c r="D536" t="s">
        <v>25</v>
      </c>
    </row>
    <row r="537" spans="1:4" x14ac:dyDescent="0.2">
      <c r="A537" t="s">
        <v>3288</v>
      </c>
      <c r="B537" t="s">
        <v>3289</v>
      </c>
      <c r="C537">
        <v>1197</v>
      </c>
      <c r="D537" t="s">
        <v>25</v>
      </c>
    </row>
    <row r="538" spans="1:4" x14ac:dyDescent="0.2">
      <c r="A538" t="s">
        <v>3290</v>
      </c>
      <c r="B538" t="s">
        <v>3291</v>
      </c>
      <c r="C538">
        <v>1194</v>
      </c>
      <c r="D538" t="s">
        <v>136</v>
      </c>
    </row>
    <row r="539" spans="1:4" x14ac:dyDescent="0.2">
      <c r="A539" t="s">
        <v>482</v>
      </c>
      <c r="B539" t="s">
        <v>3292</v>
      </c>
      <c r="C539">
        <v>1193</v>
      </c>
      <c r="D539" t="s">
        <v>25</v>
      </c>
    </row>
    <row r="540" spans="1:4" x14ac:dyDescent="0.2">
      <c r="A540" t="s">
        <v>3293</v>
      </c>
      <c r="B540" t="s">
        <v>3294</v>
      </c>
      <c r="C540">
        <v>1193</v>
      </c>
      <c r="D540" t="s">
        <v>569</v>
      </c>
    </row>
    <row r="541" spans="1:4" x14ac:dyDescent="0.2">
      <c r="A541" t="s">
        <v>3295</v>
      </c>
      <c r="B541" t="s">
        <v>3296</v>
      </c>
      <c r="C541">
        <v>1177</v>
      </c>
      <c r="D541" t="s">
        <v>20</v>
      </c>
    </row>
    <row r="542" spans="1:4" x14ac:dyDescent="0.2">
      <c r="A542" t="s">
        <v>2145</v>
      </c>
      <c r="B542" t="s">
        <v>3297</v>
      </c>
      <c r="C542">
        <v>1167</v>
      </c>
      <c r="D542" t="s">
        <v>20</v>
      </c>
    </row>
    <row r="543" spans="1:4" x14ac:dyDescent="0.2">
      <c r="A543" t="s">
        <v>590</v>
      </c>
      <c r="B543" t="s">
        <v>3298</v>
      </c>
      <c r="C543">
        <v>1161</v>
      </c>
      <c r="D543" t="s">
        <v>25</v>
      </c>
    </row>
    <row r="544" spans="1:4" x14ac:dyDescent="0.2">
      <c r="A544" t="s">
        <v>1436</v>
      </c>
      <c r="B544" t="s">
        <v>3299</v>
      </c>
      <c r="C544">
        <v>1150</v>
      </c>
      <c r="D544" t="s">
        <v>25</v>
      </c>
    </row>
    <row r="545" spans="1:4" x14ac:dyDescent="0.2">
      <c r="A545" t="s">
        <v>3300</v>
      </c>
      <c r="B545" t="s">
        <v>3301</v>
      </c>
      <c r="C545">
        <v>1142</v>
      </c>
      <c r="D545" t="s">
        <v>569</v>
      </c>
    </row>
    <row r="546" spans="1:4" x14ac:dyDescent="0.2">
      <c r="A546" t="s">
        <v>3302</v>
      </c>
      <c r="B546" t="s">
        <v>3303</v>
      </c>
      <c r="C546">
        <v>1132</v>
      </c>
      <c r="D546" t="s">
        <v>136</v>
      </c>
    </row>
    <row r="547" spans="1:4" x14ac:dyDescent="0.2">
      <c r="A547" t="s">
        <v>3304</v>
      </c>
      <c r="B547" t="s">
        <v>3305</v>
      </c>
      <c r="C547">
        <v>1127</v>
      </c>
      <c r="D547" t="s">
        <v>1357</v>
      </c>
    </row>
    <row r="548" spans="1:4" x14ac:dyDescent="0.2">
      <c r="A548" t="s">
        <v>3306</v>
      </c>
      <c r="B548" t="s">
        <v>3307</v>
      </c>
      <c r="C548">
        <v>1113</v>
      </c>
      <c r="D548" t="s">
        <v>569</v>
      </c>
    </row>
    <row r="549" spans="1:4" x14ac:dyDescent="0.2">
      <c r="A549" t="s">
        <v>3308</v>
      </c>
      <c r="B549" t="s">
        <v>3309</v>
      </c>
      <c r="C549">
        <v>1110</v>
      </c>
      <c r="D549" t="s">
        <v>25</v>
      </c>
    </row>
    <row r="550" spans="1:4" x14ac:dyDescent="0.2">
      <c r="A550" t="s">
        <v>3310</v>
      </c>
      <c r="B550" t="s">
        <v>3311</v>
      </c>
      <c r="C550">
        <v>1104</v>
      </c>
      <c r="D550" t="s">
        <v>1334</v>
      </c>
    </row>
    <row r="551" spans="1:4" x14ac:dyDescent="0.2">
      <c r="A551" t="s">
        <v>3312</v>
      </c>
      <c r="B551" t="s">
        <v>3313</v>
      </c>
      <c r="C551">
        <v>1102</v>
      </c>
      <c r="D551" t="s">
        <v>25</v>
      </c>
    </row>
    <row r="552" spans="1:4" x14ac:dyDescent="0.2">
      <c r="A552" t="s">
        <v>3314</v>
      </c>
      <c r="B552" t="s">
        <v>3315</v>
      </c>
      <c r="C552">
        <v>1100</v>
      </c>
      <c r="D552" t="s">
        <v>25</v>
      </c>
    </row>
    <row r="553" spans="1:4" x14ac:dyDescent="0.2">
      <c r="A553" t="s">
        <v>3316</v>
      </c>
      <c r="B553" t="s">
        <v>3317</v>
      </c>
      <c r="C553">
        <v>1095</v>
      </c>
      <c r="D553" t="s">
        <v>3318</v>
      </c>
    </row>
    <row r="554" spans="1:4" x14ac:dyDescent="0.2">
      <c r="A554" t="s">
        <v>295</v>
      </c>
      <c r="B554" t="s">
        <v>3319</v>
      </c>
      <c r="C554">
        <v>1085</v>
      </c>
      <c r="D554" t="s">
        <v>20</v>
      </c>
    </row>
    <row r="555" spans="1:4" x14ac:dyDescent="0.2">
      <c r="A555" t="s">
        <v>3320</v>
      </c>
      <c r="B555" t="s">
        <v>3321</v>
      </c>
      <c r="C555">
        <v>1084</v>
      </c>
      <c r="D555" t="s">
        <v>20</v>
      </c>
    </row>
    <row r="556" spans="1:4" x14ac:dyDescent="0.2">
      <c r="A556" t="s">
        <v>3322</v>
      </c>
      <c r="B556" t="s">
        <v>3323</v>
      </c>
      <c r="C556">
        <v>1070</v>
      </c>
      <c r="D556" t="s">
        <v>98</v>
      </c>
    </row>
    <row r="557" spans="1:4" x14ac:dyDescent="0.2">
      <c r="A557" t="s">
        <v>3324</v>
      </c>
      <c r="B557" t="s">
        <v>3325</v>
      </c>
      <c r="C557">
        <v>1059</v>
      </c>
      <c r="D557" t="s">
        <v>136</v>
      </c>
    </row>
    <row r="558" spans="1:4" x14ac:dyDescent="0.2">
      <c r="A558" t="s">
        <v>3326</v>
      </c>
      <c r="B558" t="s">
        <v>3327</v>
      </c>
      <c r="C558">
        <v>1056</v>
      </c>
      <c r="D558" t="s">
        <v>20</v>
      </c>
    </row>
    <row r="559" spans="1:4" x14ac:dyDescent="0.2">
      <c r="A559" t="s">
        <v>2020</v>
      </c>
      <c r="B559" t="s">
        <v>3328</v>
      </c>
      <c r="C559">
        <v>1049</v>
      </c>
      <c r="D559" t="s">
        <v>25</v>
      </c>
    </row>
    <row r="560" spans="1:4" x14ac:dyDescent="0.2">
      <c r="A560" t="s">
        <v>3329</v>
      </c>
      <c r="B560" t="s">
        <v>3330</v>
      </c>
      <c r="C560">
        <v>1017</v>
      </c>
      <c r="D560" t="s">
        <v>548</v>
      </c>
    </row>
    <row r="561" spans="1:4" x14ac:dyDescent="0.2">
      <c r="A561" t="s">
        <v>3331</v>
      </c>
      <c r="B561" t="s">
        <v>3332</v>
      </c>
      <c r="C561">
        <v>1013</v>
      </c>
      <c r="D561" t="s">
        <v>136</v>
      </c>
    </row>
    <row r="562" spans="1:4" x14ac:dyDescent="0.2">
      <c r="A562" t="s">
        <v>3333</v>
      </c>
      <c r="B562" t="s">
        <v>3334</v>
      </c>
      <c r="C562">
        <v>1005</v>
      </c>
      <c r="D562" t="s">
        <v>25</v>
      </c>
    </row>
    <row r="563" spans="1:4" x14ac:dyDescent="0.2">
      <c r="A563" t="s">
        <v>3335</v>
      </c>
      <c r="B563" t="s">
        <v>3336</v>
      </c>
      <c r="C563">
        <v>1002</v>
      </c>
      <c r="D563" t="s">
        <v>25</v>
      </c>
    </row>
    <row r="564" spans="1:4" x14ac:dyDescent="0.2">
      <c r="A564" t="s">
        <v>275</v>
      </c>
      <c r="B564" t="s">
        <v>3337</v>
      </c>
      <c r="C564">
        <v>1000</v>
      </c>
      <c r="D564" t="s">
        <v>25</v>
      </c>
    </row>
    <row r="565" spans="1:4" x14ac:dyDescent="0.2">
      <c r="A565" t="s">
        <v>3338</v>
      </c>
      <c r="B565" t="s">
        <v>3339</v>
      </c>
      <c r="C565">
        <v>1000</v>
      </c>
      <c r="D565" t="s">
        <v>95</v>
      </c>
    </row>
    <row r="566" spans="1:4" x14ac:dyDescent="0.2">
      <c r="A566" t="s">
        <v>3340</v>
      </c>
      <c r="B566" t="s">
        <v>3341</v>
      </c>
      <c r="C566" t="s">
        <v>3342</v>
      </c>
      <c r="D566" t="s">
        <v>25</v>
      </c>
    </row>
    <row r="567" spans="1:4" x14ac:dyDescent="0.2">
      <c r="A567" t="s">
        <v>3343</v>
      </c>
      <c r="B567" t="s">
        <v>3344</v>
      </c>
      <c r="C567" t="s">
        <v>3345</v>
      </c>
      <c r="D567" t="s">
        <v>548</v>
      </c>
    </row>
    <row r="568" spans="1:4" x14ac:dyDescent="0.2">
      <c r="A568" t="s">
        <v>3346</v>
      </c>
      <c r="B568" t="s">
        <v>3347</v>
      </c>
      <c r="C568" t="s">
        <v>3348</v>
      </c>
      <c r="D568" t="s">
        <v>965</v>
      </c>
    </row>
    <row r="569" spans="1:4" x14ac:dyDescent="0.2">
      <c r="A569" t="s">
        <v>3349</v>
      </c>
      <c r="B569" t="s">
        <v>3350</v>
      </c>
      <c r="C569" t="s">
        <v>3351</v>
      </c>
      <c r="D569" t="s">
        <v>199</v>
      </c>
    </row>
    <row r="570" spans="1:4" x14ac:dyDescent="0.2">
      <c r="A570" t="s">
        <v>3352</v>
      </c>
      <c r="B570" t="s">
        <v>3353</v>
      </c>
      <c r="C570" t="s">
        <v>3354</v>
      </c>
      <c r="D570" t="s">
        <v>95</v>
      </c>
    </row>
    <row r="571" spans="1:4" x14ac:dyDescent="0.2">
      <c r="A571" t="s">
        <v>3355</v>
      </c>
      <c r="B571" t="s">
        <v>3356</v>
      </c>
      <c r="C571" t="s">
        <v>3357</v>
      </c>
      <c r="D571" t="s">
        <v>1357</v>
      </c>
    </row>
    <row r="572" spans="1:4" x14ac:dyDescent="0.2">
      <c r="A572" t="s">
        <v>3358</v>
      </c>
      <c r="B572" t="s">
        <v>3359</v>
      </c>
      <c r="C572" t="s">
        <v>3360</v>
      </c>
      <c r="D572" t="s">
        <v>716</v>
      </c>
    </row>
    <row r="573" spans="1:4" x14ac:dyDescent="0.2">
      <c r="A573" t="s">
        <v>3361</v>
      </c>
      <c r="B573" t="s">
        <v>3362</v>
      </c>
      <c r="C573" t="s">
        <v>3363</v>
      </c>
      <c r="D573" t="s">
        <v>14</v>
      </c>
    </row>
    <row r="574" spans="1:4" x14ac:dyDescent="0.2">
      <c r="A574" t="s">
        <v>3364</v>
      </c>
      <c r="B574" t="s">
        <v>3365</v>
      </c>
      <c r="C574" t="s">
        <v>3366</v>
      </c>
      <c r="D574" t="s">
        <v>199</v>
      </c>
    </row>
    <row r="575" spans="1:4" x14ac:dyDescent="0.2">
      <c r="A575" t="s">
        <v>3367</v>
      </c>
      <c r="B575" t="s">
        <v>3368</v>
      </c>
      <c r="C575" t="s">
        <v>3369</v>
      </c>
      <c r="D575" t="s">
        <v>569</v>
      </c>
    </row>
    <row r="576" spans="1:4" x14ac:dyDescent="0.2">
      <c r="A576" t="s">
        <v>3370</v>
      </c>
      <c r="B576" t="s">
        <v>3371</v>
      </c>
      <c r="C576" t="s">
        <v>3372</v>
      </c>
      <c r="D576" t="s">
        <v>199</v>
      </c>
    </row>
    <row r="577" spans="1:4" x14ac:dyDescent="0.2">
      <c r="A577" t="s">
        <v>3373</v>
      </c>
      <c r="B577" t="s">
        <v>3374</v>
      </c>
      <c r="C577" t="s">
        <v>3375</v>
      </c>
      <c r="D577" t="s">
        <v>25</v>
      </c>
    </row>
    <row r="578" spans="1:4" x14ac:dyDescent="0.2">
      <c r="A578" t="s">
        <v>3376</v>
      </c>
      <c r="B578" t="s">
        <v>3377</v>
      </c>
      <c r="C578" t="s">
        <v>3378</v>
      </c>
      <c r="D578" t="s">
        <v>188</v>
      </c>
    </row>
    <row r="579" spans="1:4" x14ac:dyDescent="0.2">
      <c r="A579" t="s">
        <v>213</v>
      </c>
      <c r="B579" t="s">
        <v>3379</v>
      </c>
      <c r="C579" t="s">
        <v>3380</v>
      </c>
      <c r="D579" t="s">
        <v>20</v>
      </c>
    </row>
    <row r="580" spans="1:4" x14ac:dyDescent="0.2">
      <c r="A580" t="s">
        <v>3381</v>
      </c>
      <c r="B580" t="s">
        <v>3382</v>
      </c>
      <c r="C580" t="s">
        <v>3383</v>
      </c>
      <c r="D580" t="s">
        <v>25</v>
      </c>
    </row>
    <row r="581" spans="1:4" x14ac:dyDescent="0.2">
      <c r="A581" t="s">
        <v>3384</v>
      </c>
      <c r="B581" t="s">
        <v>3385</v>
      </c>
      <c r="C581" t="s">
        <v>3386</v>
      </c>
      <c r="D581" t="s">
        <v>25</v>
      </c>
    </row>
    <row r="582" spans="1:4" x14ac:dyDescent="0.2">
      <c r="A582" t="s">
        <v>3387</v>
      </c>
      <c r="B582" t="s">
        <v>3388</v>
      </c>
      <c r="C582" t="s">
        <v>3389</v>
      </c>
      <c r="D582" t="s">
        <v>569</v>
      </c>
    </row>
    <row r="583" spans="1:4" x14ac:dyDescent="0.2">
      <c r="A583" t="s">
        <v>3390</v>
      </c>
      <c r="B583" t="s">
        <v>3391</v>
      </c>
      <c r="C583" t="s">
        <v>3392</v>
      </c>
      <c r="D583" t="s">
        <v>188</v>
      </c>
    </row>
    <row r="584" spans="1:4" x14ac:dyDescent="0.2">
      <c r="A584" t="s">
        <v>3393</v>
      </c>
      <c r="B584" t="s">
        <v>3394</v>
      </c>
      <c r="C584" t="s">
        <v>3395</v>
      </c>
      <c r="D584" t="s">
        <v>25</v>
      </c>
    </row>
    <row r="585" spans="1:4" x14ac:dyDescent="0.2">
      <c r="A585" t="s">
        <v>3396</v>
      </c>
      <c r="B585" t="s">
        <v>3397</v>
      </c>
      <c r="C585" t="s">
        <v>3398</v>
      </c>
      <c r="D585" t="s">
        <v>25</v>
      </c>
    </row>
    <row r="586" spans="1:4" x14ac:dyDescent="0.2">
      <c r="A586" t="s">
        <v>3399</v>
      </c>
      <c r="B586" t="s">
        <v>3400</v>
      </c>
      <c r="C586" t="s">
        <v>3401</v>
      </c>
      <c r="D586" t="s">
        <v>1357</v>
      </c>
    </row>
    <row r="587" spans="1:4" x14ac:dyDescent="0.2">
      <c r="A587" t="s">
        <v>3402</v>
      </c>
      <c r="B587" t="s">
        <v>3403</v>
      </c>
      <c r="C587" t="s">
        <v>3401</v>
      </c>
      <c r="D587" t="s">
        <v>1357</v>
      </c>
    </row>
    <row r="588" spans="1:4" x14ac:dyDescent="0.2">
      <c r="A588" t="s">
        <v>3404</v>
      </c>
      <c r="B588" t="s">
        <v>3405</v>
      </c>
      <c r="C588" t="s">
        <v>3406</v>
      </c>
      <c r="D588" t="s">
        <v>98</v>
      </c>
    </row>
    <row r="589" spans="1:4" x14ac:dyDescent="0.2">
      <c r="A589" t="s">
        <v>3407</v>
      </c>
      <c r="B589" t="s">
        <v>3408</v>
      </c>
      <c r="C589" t="s">
        <v>3409</v>
      </c>
      <c r="D589" t="s">
        <v>25</v>
      </c>
    </row>
    <row r="590" spans="1:4" x14ac:dyDescent="0.2">
      <c r="A590" t="s">
        <v>3410</v>
      </c>
      <c r="B590" t="s">
        <v>3411</v>
      </c>
      <c r="C590" t="s">
        <v>3412</v>
      </c>
      <c r="D590" t="s">
        <v>25</v>
      </c>
    </row>
    <row r="591" spans="1:4" x14ac:dyDescent="0.2">
      <c r="A591" t="s">
        <v>3413</v>
      </c>
      <c r="B591" t="s">
        <v>3414</v>
      </c>
      <c r="C591" t="s">
        <v>3415</v>
      </c>
      <c r="D591" t="s">
        <v>25</v>
      </c>
    </row>
    <row r="592" spans="1:4" x14ac:dyDescent="0.2">
      <c r="A592" t="s">
        <v>784</v>
      </c>
      <c r="B592" t="s">
        <v>3416</v>
      </c>
      <c r="C592" t="s">
        <v>3417</v>
      </c>
      <c r="D592" t="s">
        <v>25</v>
      </c>
    </row>
    <row r="593" spans="1:4" x14ac:dyDescent="0.2">
      <c r="A593" t="s">
        <v>3418</v>
      </c>
      <c r="B593" t="s">
        <v>62</v>
      </c>
      <c r="C593" t="s">
        <v>3419</v>
      </c>
      <c r="D593" t="s">
        <v>25</v>
      </c>
    </row>
    <row r="594" spans="1:4" x14ac:dyDescent="0.2">
      <c r="A594" t="s">
        <v>3420</v>
      </c>
      <c r="B594" t="s">
        <v>3421</v>
      </c>
      <c r="C594" t="s">
        <v>3419</v>
      </c>
      <c r="D594" t="s">
        <v>25</v>
      </c>
    </row>
    <row r="595" spans="1:4" x14ac:dyDescent="0.2">
      <c r="A595" t="s">
        <v>3422</v>
      </c>
      <c r="B595" t="s">
        <v>3423</v>
      </c>
      <c r="C595" t="s">
        <v>1500</v>
      </c>
      <c r="D595" t="s">
        <v>965</v>
      </c>
    </row>
    <row r="596" spans="1:4" x14ac:dyDescent="0.2">
      <c r="A596" t="s">
        <v>1216</v>
      </c>
      <c r="B596" t="s">
        <v>3424</v>
      </c>
      <c r="C596" t="s">
        <v>1500</v>
      </c>
      <c r="D596" t="s">
        <v>25</v>
      </c>
    </row>
    <row r="597" spans="1:4" x14ac:dyDescent="0.2">
      <c r="A597" t="s">
        <v>3425</v>
      </c>
      <c r="B597" t="s">
        <v>3426</v>
      </c>
      <c r="C597" t="s">
        <v>3427</v>
      </c>
      <c r="D597" t="s">
        <v>548</v>
      </c>
    </row>
    <row r="598" spans="1:4" x14ac:dyDescent="0.2">
      <c r="A598" t="s">
        <v>3428</v>
      </c>
      <c r="B598" t="s">
        <v>3429</v>
      </c>
      <c r="C598" t="s">
        <v>3430</v>
      </c>
      <c r="D598" t="s">
        <v>2122</v>
      </c>
    </row>
    <row r="599" spans="1:4" x14ac:dyDescent="0.2">
      <c r="A599" t="s">
        <v>3431</v>
      </c>
      <c r="B599" t="s">
        <v>3432</v>
      </c>
      <c r="C599" t="s">
        <v>3430</v>
      </c>
      <c r="D599" t="s">
        <v>25</v>
      </c>
    </row>
    <row r="600" spans="1:4" x14ac:dyDescent="0.2">
      <c r="A600" t="s">
        <v>3433</v>
      </c>
      <c r="B600" t="s">
        <v>3434</v>
      </c>
      <c r="C600" t="s">
        <v>3435</v>
      </c>
      <c r="D600" t="s">
        <v>25</v>
      </c>
    </row>
    <row r="601" spans="1:4" x14ac:dyDescent="0.2">
      <c r="A601" t="s">
        <v>3436</v>
      </c>
      <c r="B601" t="s">
        <v>3437</v>
      </c>
      <c r="C601" t="s">
        <v>3438</v>
      </c>
      <c r="D601" t="s">
        <v>1357</v>
      </c>
    </row>
    <row r="602" spans="1:4" x14ac:dyDescent="0.2">
      <c r="A602" t="s">
        <v>3439</v>
      </c>
      <c r="B602" t="s">
        <v>3440</v>
      </c>
      <c r="C602" t="s">
        <v>3441</v>
      </c>
      <c r="D602" t="s">
        <v>25</v>
      </c>
    </row>
    <row r="603" spans="1:4" x14ac:dyDescent="0.2">
      <c r="A603" t="s">
        <v>3442</v>
      </c>
      <c r="B603" t="s">
        <v>3443</v>
      </c>
      <c r="C603" t="s">
        <v>3444</v>
      </c>
      <c r="D603" t="s">
        <v>25</v>
      </c>
    </row>
    <row r="604" spans="1:4" x14ac:dyDescent="0.2">
      <c r="A604" t="s">
        <v>3445</v>
      </c>
      <c r="B604" t="s">
        <v>3446</v>
      </c>
      <c r="C604" t="s">
        <v>3444</v>
      </c>
      <c r="D604" t="s">
        <v>25</v>
      </c>
    </row>
    <row r="605" spans="1:4" x14ac:dyDescent="0.2">
      <c r="A605" t="s">
        <v>3447</v>
      </c>
      <c r="B605" t="s">
        <v>3448</v>
      </c>
      <c r="C605" t="s">
        <v>3449</v>
      </c>
      <c r="D605" t="s">
        <v>136</v>
      </c>
    </row>
    <row r="606" spans="1:4" x14ac:dyDescent="0.2">
      <c r="A606" t="s">
        <v>3450</v>
      </c>
      <c r="B606" t="s">
        <v>3451</v>
      </c>
      <c r="C606" t="s">
        <v>3452</v>
      </c>
      <c r="D606" t="s">
        <v>25</v>
      </c>
    </row>
    <row r="607" spans="1:4" x14ac:dyDescent="0.2">
      <c r="A607" t="s">
        <v>176</v>
      </c>
      <c r="B607" t="s">
        <v>3453</v>
      </c>
      <c r="C607" t="s">
        <v>3454</v>
      </c>
      <c r="D607" t="s">
        <v>25</v>
      </c>
    </row>
    <row r="608" spans="1:4" x14ac:dyDescent="0.2">
      <c r="A608" t="s">
        <v>3455</v>
      </c>
      <c r="B608" t="s">
        <v>3456</v>
      </c>
      <c r="C608" t="s">
        <v>3457</v>
      </c>
      <c r="D608" t="s">
        <v>3458</v>
      </c>
    </row>
    <row r="609" spans="1:4" x14ac:dyDescent="0.2">
      <c r="A609" t="s">
        <v>3459</v>
      </c>
      <c r="B609" t="s">
        <v>3460</v>
      </c>
      <c r="C609" t="s">
        <v>3461</v>
      </c>
      <c r="D609" t="s">
        <v>2944</v>
      </c>
    </row>
    <row r="610" spans="1:4" x14ac:dyDescent="0.2">
      <c r="A610" t="s">
        <v>3462</v>
      </c>
      <c r="B610" t="s">
        <v>3463</v>
      </c>
      <c r="C610" t="s">
        <v>3464</v>
      </c>
      <c r="D610" t="s">
        <v>25</v>
      </c>
    </row>
    <row r="611" spans="1:4" x14ac:dyDescent="0.2">
      <c r="A611" t="s">
        <v>2170</v>
      </c>
      <c r="B611" t="s">
        <v>3465</v>
      </c>
      <c r="C611" t="s">
        <v>3466</v>
      </c>
      <c r="D611" t="s">
        <v>25</v>
      </c>
    </row>
    <row r="612" spans="1:4" x14ac:dyDescent="0.2">
      <c r="A612" t="s">
        <v>3467</v>
      </c>
      <c r="B612" t="s">
        <v>3468</v>
      </c>
      <c r="C612" t="s">
        <v>3469</v>
      </c>
      <c r="D612" t="s">
        <v>569</v>
      </c>
    </row>
    <row r="613" spans="1:4" x14ac:dyDescent="0.2">
      <c r="A613" t="s">
        <v>3470</v>
      </c>
      <c r="B613" t="s">
        <v>3471</v>
      </c>
      <c r="C613" t="s">
        <v>3472</v>
      </c>
      <c r="D613" t="s">
        <v>25</v>
      </c>
    </row>
    <row r="614" spans="1:4" x14ac:dyDescent="0.2">
      <c r="A614" t="s">
        <v>3473</v>
      </c>
      <c r="B614" t="s">
        <v>3474</v>
      </c>
      <c r="C614" t="s">
        <v>3475</v>
      </c>
      <c r="D614" t="s">
        <v>25</v>
      </c>
    </row>
    <row r="615" spans="1:4" x14ac:dyDescent="0.2">
      <c r="A615" t="s">
        <v>1236</v>
      </c>
      <c r="B615" t="s">
        <v>3476</v>
      </c>
      <c r="C615" t="s">
        <v>3477</v>
      </c>
      <c r="D615" t="s">
        <v>25</v>
      </c>
    </row>
    <row r="616" spans="1:4" x14ac:dyDescent="0.2">
      <c r="A616" t="s">
        <v>3478</v>
      </c>
      <c r="B616" t="s">
        <v>3479</v>
      </c>
      <c r="C616" t="s">
        <v>3480</v>
      </c>
      <c r="D616" t="s">
        <v>25</v>
      </c>
    </row>
    <row r="617" spans="1:4" x14ac:dyDescent="0.2">
      <c r="A617" t="s">
        <v>3481</v>
      </c>
      <c r="B617" t="s">
        <v>3482</v>
      </c>
      <c r="C617" t="s">
        <v>3483</v>
      </c>
      <c r="D617" t="s">
        <v>1357</v>
      </c>
    </row>
    <row r="618" spans="1:4" x14ac:dyDescent="0.2">
      <c r="A618" t="s">
        <v>3484</v>
      </c>
      <c r="B618" t="s">
        <v>3485</v>
      </c>
      <c r="C618" t="s">
        <v>3486</v>
      </c>
      <c r="D618" t="s">
        <v>25</v>
      </c>
    </row>
    <row r="619" spans="1:4" x14ac:dyDescent="0.2">
      <c r="A619" t="s">
        <v>3487</v>
      </c>
      <c r="B619" t="s">
        <v>3488</v>
      </c>
      <c r="C619" t="s">
        <v>3489</v>
      </c>
      <c r="D619" t="s">
        <v>25</v>
      </c>
    </row>
    <row r="620" spans="1:4" x14ac:dyDescent="0.2">
      <c r="A620" t="s">
        <v>3490</v>
      </c>
      <c r="B620" t="s">
        <v>3491</v>
      </c>
      <c r="C620" t="s">
        <v>3492</v>
      </c>
      <c r="D620" t="s">
        <v>25</v>
      </c>
    </row>
    <row r="621" spans="1:4" x14ac:dyDescent="0.2">
      <c r="A621" t="s">
        <v>3493</v>
      </c>
      <c r="B621" t="s">
        <v>3494</v>
      </c>
      <c r="C621" t="s">
        <v>3495</v>
      </c>
      <c r="D621" t="s">
        <v>95</v>
      </c>
    </row>
    <row r="622" spans="1:4" x14ac:dyDescent="0.2">
      <c r="A622" t="s">
        <v>861</v>
      </c>
      <c r="B622" t="s">
        <v>3496</v>
      </c>
      <c r="C622" t="s">
        <v>3497</v>
      </c>
      <c r="D622" t="s">
        <v>20</v>
      </c>
    </row>
    <row r="623" spans="1:4" x14ac:dyDescent="0.2">
      <c r="A623" t="s">
        <v>3498</v>
      </c>
      <c r="B623" t="s">
        <v>3499</v>
      </c>
      <c r="C623" t="s">
        <v>3497</v>
      </c>
      <c r="D623" t="s">
        <v>25</v>
      </c>
    </row>
    <row r="624" spans="1:4" x14ac:dyDescent="0.2">
      <c r="A624" t="s">
        <v>3500</v>
      </c>
      <c r="B624" t="s">
        <v>3501</v>
      </c>
      <c r="C624" t="s">
        <v>3502</v>
      </c>
      <c r="D624" t="s">
        <v>136</v>
      </c>
    </row>
    <row r="625" spans="1:4" x14ac:dyDescent="0.2">
      <c r="A625" t="s">
        <v>3503</v>
      </c>
      <c r="B625" t="s">
        <v>3504</v>
      </c>
      <c r="C625" t="s">
        <v>3505</v>
      </c>
      <c r="D625" t="s">
        <v>1334</v>
      </c>
    </row>
    <row r="626" spans="1:4" x14ac:dyDescent="0.2">
      <c r="A626" t="s">
        <v>3506</v>
      </c>
      <c r="B626" t="s">
        <v>3507</v>
      </c>
      <c r="C626" t="s">
        <v>3508</v>
      </c>
      <c r="D626" t="s">
        <v>25</v>
      </c>
    </row>
    <row r="627" spans="1:4" x14ac:dyDescent="0.2">
      <c r="A627" t="s">
        <v>3509</v>
      </c>
      <c r="B627" t="s">
        <v>3510</v>
      </c>
      <c r="C627" t="s">
        <v>3511</v>
      </c>
      <c r="D627" t="s">
        <v>446</v>
      </c>
    </row>
    <row r="628" spans="1:4" x14ac:dyDescent="0.2">
      <c r="A628" t="s">
        <v>3512</v>
      </c>
      <c r="B628" t="s">
        <v>3513</v>
      </c>
      <c r="C628" t="s">
        <v>3514</v>
      </c>
      <c r="D628" t="s">
        <v>14</v>
      </c>
    </row>
    <row r="629" spans="1:4" x14ac:dyDescent="0.2">
      <c r="A629" t="s">
        <v>3515</v>
      </c>
      <c r="B629" t="s">
        <v>3516</v>
      </c>
      <c r="C629" t="s">
        <v>3514</v>
      </c>
      <c r="D629" t="s">
        <v>569</v>
      </c>
    </row>
    <row r="630" spans="1:4" x14ac:dyDescent="0.2">
      <c r="A630" t="s">
        <v>350</v>
      </c>
      <c r="B630" t="s">
        <v>3517</v>
      </c>
      <c r="C630" t="s">
        <v>3518</v>
      </c>
      <c r="D630" t="s">
        <v>25</v>
      </c>
    </row>
    <row r="631" spans="1:4" x14ac:dyDescent="0.2">
      <c r="A631" t="s">
        <v>3519</v>
      </c>
      <c r="B631" t="s">
        <v>3520</v>
      </c>
      <c r="C631" t="s">
        <v>3521</v>
      </c>
      <c r="D631" t="s">
        <v>25</v>
      </c>
    </row>
    <row r="632" spans="1:4" x14ac:dyDescent="0.2">
      <c r="A632" t="s">
        <v>3522</v>
      </c>
      <c r="B632" t="s">
        <v>3523</v>
      </c>
      <c r="C632" t="s">
        <v>3524</v>
      </c>
      <c r="D632" t="s">
        <v>569</v>
      </c>
    </row>
    <row r="633" spans="1:4" x14ac:dyDescent="0.2">
      <c r="A633" t="s">
        <v>3525</v>
      </c>
      <c r="B633" t="s">
        <v>3526</v>
      </c>
      <c r="C633" t="s">
        <v>3527</v>
      </c>
      <c r="D633" t="s">
        <v>569</v>
      </c>
    </row>
    <row r="634" spans="1:4" x14ac:dyDescent="0.2">
      <c r="A634" t="s">
        <v>3528</v>
      </c>
      <c r="B634" t="s">
        <v>3529</v>
      </c>
      <c r="C634" t="s">
        <v>3530</v>
      </c>
      <c r="D634" t="s">
        <v>548</v>
      </c>
    </row>
    <row r="635" spans="1:4" x14ac:dyDescent="0.2">
      <c r="A635" t="s">
        <v>3531</v>
      </c>
      <c r="B635" t="s">
        <v>3532</v>
      </c>
      <c r="C635" t="s">
        <v>3533</v>
      </c>
      <c r="D635" t="s">
        <v>198</v>
      </c>
    </row>
    <row r="636" spans="1:4" x14ac:dyDescent="0.2">
      <c r="A636" t="s">
        <v>3534</v>
      </c>
      <c r="B636" t="s">
        <v>3535</v>
      </c>
      <c r="C636" t="s">
        <v>3536</v>
      </c>
      <c r="D636" t="s">
        <v>1357</v>
      </c>
    </row>
    <row r="637" spans="1:4" x14ac:dyDescent="0.2">
      <c r="A637" t="s">
        <v>3537</v>
      </c>
      <c r="B637" t="s">
        <v>3538</v>
      </c>
      <c r="C637" t="s">
        <v>3539</v>
      </c>
      <c r="D637" t="s">
        <v>548</v>
      </c>
    </row>
    <row r="638" spans="1:4" x14ac:dyDescent="0.2">
      <c r="A638" t="s">
        <v>3540</v>
      </c>
      <c r="B638" t="s">
        <v>3541</v>
      </c>
      <c r="C638" t="s">
        <v>3542</v>
      </c>
      <c r="D638" t="s">
        <v>2452</v>
      </c>
    </row>
    <row r="639" spans="1:4" x14ac:dyDescent="0.2">
      <c r="A639" t="s">
        <v>3543</v>
      </c>
      <c r="B639" t="s">
        <v>3544</v>
      </c>
      <c r="C639" t="s">
        <v>3545</v>
      </c>
      <c r="D639" t="s">
        <v>25</v>
      </c>
    </row>
    <row r="640" spans="1:4" x14ac:dyDescent="0.2">
      <c r="A640" t="s">
        <v>3546</v>
      </c>
      <c r="B640" t="s">
        <v>3547</v>
      </c>
      <c r="C640" t="s">
        <v>3548</v>
      </c>
      <c r="D640" t="s">
        <v>1357</v>
      </c>
    </row>
    <row r="641" spans="1:4" x14ac:dyDescent="0.2">
      <c r="A641" t="s">
        <v>3549</v>
      </c>
      <c r="B641" t="s">
        <v>3550</v>
      </c>
      <c r="C641" t="s">
        <v>3551</v>
      </c>
      <c r="D641" t="s">
        <v>25</v>
      </c>
    </row>
    <row r="642" spans="1:4" x14ac:dyDescent="0.2">
      <c r="A642" t="s">
        <v>3552</v>
      </c>
      <c r="B642" t="s">
        <v>3553</v>
      </c>
      <c r="C642" t="s">
        <v>3554</v>
      </c>
      <c r="D642" t="s">
        <v>548</v>
      </c>
    </row>
    <row r="643" spans="1:4" x14ac:dyDescent="0.2">
      <c r="A643" t="s">
        <v>3555</v>
      </c>
      <c r="B643" t="s">
        <v>3556</v>
      </c>
      <c r="C643" t="s">
        <v>3557</v>
      </c>
      <c r="D643" t="s">
        <v>136</v>
      </c>
    </row>
    <row r="644" spans="1:4" x14ac:dyDescent="0.2">
      <c r="A644" t="s">
        <v>1603</v>
      </c>
      <c r="B644" t="s">
        <v>3558</v>
      </c>
      <c r="C644" t="s">
        <v>3559</v>
      </c>
      <c r="D644" t="s">
        <v>25</v>
      </c>
    </row>
    <row r="645" spans="1:4" x14ac:dyDescent="0.2">
      <c r="A645" t="s">
        <v>3560</v>
      </c>
      <c r="B645" t="s">
        <v>3561</v>
      </c>
      <c r="C645" t="s">
        <v>3559</v>
      </c>
      <c r="D645" t="s">
        <v>1357</v>
      </c>
    </row>
    <row r="646" spans="1:4" x14ac:dyDescent="0.2">
      <c r="A646" t="s">
        <v>3562</v>
      </c>
      <c r="B646" t="s">
        <v>3563</v>
      </c>
      <c r="C646" t="s">
        <v>3564</v>
      </c>
      <c r="D646" t="s">
        <v>136</v>
      </c>
    </row>
    <row r="647" spans="1:4" x14ac:dyDescent="0.2">
      <c r="A647" t="s">
        <v>3565</v>
      </c>
      <c r="B647" t="s">
        <v>3566</v>
      </c>
      <c r="C647" t="s">
        <v>3567</v>
      </c>
      <c r="D647" t="s">
        <v>548</v>
      </c>
    </row>
    <row r="648" spans="1:4" x14ac:dyDescent="0.2">
      <c r="A648" t="s">
        <v>3568</v>
      </c>
      <c r="B648" t="s">
        <v>3569</v>
      </c>
      <c r="C648" t="s">
        <v>3570</v>
      </c>
      <c r="D648" t="s">
        <v>14</v>
      </c>
    </row>
    <row r="649" spans="1:4" x14ac:dyDescent="0.2">
      <c r="A649" t="s">
        <v>3571</v>
      </c>
      <c r="B649" t="s">
        <v>3572</v>
      </c>
      <c r="C649" t="s">
        <v>3573</v>
      </c>
      <c r="D649" t="s">
        <v>136</v>
      </c>
    </row>
    <row r="650" spans="1:4" x14ac:dyDescent="0.2">
      <c r="A650" t="s">
        <v>3574</v>
      </c>
      <c r="B650" t="s">
        <v>3575</v>
      </c>
      <c r="C650" t="s">
        <v>3576</v>
      </c>
      <c r="D650" t="s">
        <v>548</v>
      </c>
    </row>
    <row r="651" spans="1:4" x14ac:dyDescent="0.2">
      <c r="A651" t="s">
        <v>1635</v>
      </c>
      <c r="B651" t="s">
        <v>3577</v>
      </c>
      <c r="C651" t="s">
        <v>3578</v>
      </c>
      <c r="D651" t="s">
        <v>20</v>
      </c>
    </row>
    <row r="652" spans="1:4" x14ac:dyDescent="0.2">
      <c r="A652" t="s">
        <v>3579</v>
      </c>
      <c r="B652" t="s">
        <v>3580</v>
      </c>
      <c r="C652" t="s">
        <v>3581</v>
      </c>
      <c r="D652" t="s">
        <v>25</v>
      </c>
    </row>
    <row r="653" spans="1:4" x14ac:dyDescent="0.2">
      <c r="A653" t="s">
        <v>3582</v>
      </c>
      <c r="B653" t="s">
        <v>3583</v>
      </c>
      <c r="C653" t="s">
        <v>3581</v>
      </c>
      <c r="D653" t="s">
        <v>1357</v>
      </c>
    </row>
    <row r="654" spans="1:4" x14ac:dyDescent="0.2">
      <c r="A654" t="s">
        <v>3584</v>
      </c>
      <c r="B654" t="s">
        <v>3585</v>
      </c>
      <c r="C654" t="s">
        <v>3586</v>
      </c>
      <c r="D654" t="s">
        <v>2944</v>
      </c>
    </row>
    <row r="655" spans="1:4" x14ac:dyDescent="0.2">
      <c r="A655" t="s">
        <v>3587</v>
      </c>
      <c r="B655" t="s">
        <v>3588</v>
      </c>
      <c r="C655" t="s">
        <v>3589</v>
      </c>
      <c r="D655" t="s">
        <v>25</v>
      </c>
    </row>
    <row r="656" spans="1:4" x14ac:dyDescent="0.2">
      <c r="A656" t="s">
        <v>3590</v>
      </c>
      <c r="B656" t="s">
        <v>3591</v>
      </c>
      <c r="C656" t="s">
        <v>3592</v>
      </c>
      <c r="D656" t="s">
        <v>1334</v>
      </c>
    </row>
    <row r="657" spans="1:4" x14ac:dyDescent="0.2">
      <c r="A657" t="s">
        <v>3593</v>
      </c>
      <c r="B657" t="s">
        <v>3594</v>
      </c>
      <c r="C657" t="s">
        <v>3595</v>
      </c>
      <c r="D657" t="s">
        <v>25</v>
      </c>
    </row>
    <row r="658" spans="1:4" x14ac:dyDescent="0.2">
      <c r="A658" t="s">
        <v>3596</v>
      </c>
      <c r="B658" t="s">
        <v>3597</v>
      </c>
      <c r="C658" t="s">
        <v>3598</v>
      </c>
      <c r="D658" t="s">
        <v>98</v>
      </c>
    </row>
    <row r="659" spans="1:4" x14ac:dyDescent="0.2">
      <c r="A659" t="s">
        <v>3599</v>
      </c>
      <c r="B659" t="s">
        <v>3600</v>
      </c>
      <c r="C659" t="s">
        <v>3601</v>
      </c>
      <c r="D659" t="s">
        <v>25</v>
      </c>
    </row>
    <row r="660" spans="1:4" x14ac:dyDescent="0.2">
      <c r="A660" t="s">
        <v>3602</v>
      </c>
      <c r="B660" t="s">
        <v>3603</v>
      </c>
      <c r="C660" t="s">
        <v>3604</v>
      </c>
      <c r="D660" t="s">
        <v>25</v>
      </c>
    </row>
    <row r="661" spans="1:4" x14ac:dyDescent="0.2">
      <c r="A661" t="s">
        <v>3605</v>
      </c>
      <c r="B661" t="s">
        <v>3606</v>
      </c>
      <c r="C661" t="s">
        <v>3607</v>
      </c>
      <c r="D661" t="s">
        <v>569</v>
      </c>
    </row>
    <row r="662" spans="1:4" x14ac:dyDescent="0.2">
      <c r="A662" t="s">
        <v>3608</v>
      </c>
      <c r="B662" t="s">
        <v>3609</v>
      </c>
      <c r="C662" t="s">
        <v>3610</v>
      </c>
      <c r="D662" t="s">
        <v>25</v>
      </c>
    </row>
    <row r="663" spans="1:4" x14ac:dyDescent="0.2">
      <c r="A663" t="s">
        <v>3611</v>
      </c>
      <c r="B663" t="s">
        <v>3612</v>
      </c>
      <c r="C663" t="s">
        <v>3613</v>
      </c>
      <c r="D663" t="s">
        <v>726</v>
      </c>
    </row>
    <row r="664" spans="1:4" x14ac:dyDescent="0.2">
      <c r="A664" t="s">
        <v>3614</v>
      </c>
      <c r="B664" t="s">
        <v>3615</v>
      </c>
      <c r="C664" t="s">
        <v>3616</v>
      </c>
      <c r="D664" t="s">
        <v>52</v>
      </c>
    </row>
    <row r="665" spans="1:4" x14ac:dyDescent="0.2">
      <c r="A665" t="s">
        <v>3617</v>
      </c>
      <c r="B665" t="s">
        <v>3618</v>
      </c>
      <c r="C665" t="s">
        <v>3619</v>
      </c>
      <c r="D665" t="s">
        <v>95</v>
      </c>
    </row>
    <row r="666" spans="1:4" x14ac:dyDescent="0.2">
      <c r="A666" t="s">
        <v>3620</v>
      </c>
      <c r="B666" t="s">
        <v>3621</v>
      </c>
      <c r="C666" t="s">
        <v>3622</v>
      </c>
      <c r="D666" t="s">
        <v>2025</v>
      </c>
    </row>
    <row r="667" spans="1:4" x14ac:dyDescent="0.2">
      <c r="A667" t="s">
        <v>3623</v>
      </c>
      <c r="B667" t="s">
        <v>3624</v>
      </c>
      <c r="C667" t="s">
        <v>3625</v>
      </c>
      <c r="D667" t="s">
        <v>136</v>
      </c>
    </row>
    <row r="668" spans="1:4" x14ac:dyDescent="0.2">
      <c r="A668" t="s">
        <v>3626</v>
      </c>
      <c r="B668" t="s">
        <v>3627</v>
      </c>
      <c r="C668" t="s">
        <v>3628</v>
      </c>
      <c r="D668" t="s">
        <v>20</v>
      </c>
    </row>
    <row r="669" spans="1:4" x14ac:dyDescent="0.2">
      <c r="A669" t="s">
        <v>3629</v>
      </c>
      <c r="B669" t="s">
        <v>3630</v>
      </c>
      <c r="C669" t="s">
        <v>3631</v>
      </c>
      <c r="D669" t="s">
        <v>25</v>
      </c>
    </row>
    <row r="670" spans="1:4" x14ac:dyDescent="0.2">
      <c r="A670" t="s">
        <v>3632</v>
      </c>
      <c r="B670" t="s">
        <v>3633</v>
      </c>
      <c r="C670" t="s">
        <v>3634</v>
      </c>
      <c r="D670" t="s">
        <v>25</v>
      </c>
    </row>
    <row r="671" spans="1:4" x14ac:dyDescent="0.2">
      <c r="A671" t="s">
        <v>3635</v>
      </c>
      <c r="B671" t="s">
        <v>3636</v>
      </c>
      <c r="C671" t="s">
        <v>3634</v>
      </c>
      <c r="D671" t="s">
        <v>98</v>
      </c>
    </row>
    <row r="672" spans="1:4" x14ac:dyDescent="0.2">
      <c r="A672" t="s">
        <v>3637</v>
      </c>
      <c r="B672" t="s">
        <v>3638</v>
      </c>
      <c r="C672" t="s">
        <v>3639</v>
      </c>
      <c r="D672" t="s">
        <v>1357</v>
      </c>
    </row>
    <row r="673" spans="1:4" x14ac:dyDescent="0.2">
      <c r="A673" t="s">
        <v>3640</v>
      </c>
      <c r="B673" t="s">
        <v>3641</v>
      </c>
      <c r="C673" t="s">
        <v>3642</v>
      </c>
      <c r="D673" t="s">
        <v>25</v>
      </c>
    </row>
    <row r="674" spans="1:4" x14ac:dyDescent="0.2">
      <c r="A674" t="s">
        <v>3643</v>
      </c>
      <c r="B674" t="s">
        <v>3644</v>
      </c>
      <c r="C674" t="s">
        <v>3645</v>
      </c>
      <c r="D674" t="s">
        <v>25</v>
      </c>
    </row>
    <row r="675" spans="1:4" x14ac:dyDescent="0.2">
      <c r="A675" t="s">
        <v>580</v>
      </c>
      <c r="B675" t="s">
        <v>3646</v>
      </c>
      <c r="C675" t="s">
        <v>3647</v>
      </c>
      <c r="D675" t="s">
        <v>25</v>
      </c>
    </row>
    <row r="676" spans="1:4" x14ac:dyDescent="0.2">
      <c r="A676" t="s">
        <v>522</v>
      </c>
      <c r="B676" t="s">
        <v>3648</v>
      </c>
      <c r="C676" t="s">
        <v>3649</v>
      </c>
      <c r="D676" t="s">
        <v>25</v>
      </c>
    </row>
    <row r="677" spans="1:4" x14ac:dyDescent="0.2">
      <c r="A677" t="s">
        <v>3650</v>
      </c>
      <c r="B677" t="s">
        <v>3651</v>
      </c>
      <c r="C677" t="s">
        <v>3652</v>
      </c>
      <c r="D677" t="s">
        <v>25</v>
      </c>
    </row>
    <row r="678" spans="1:4" x14ac:dyDescent="0.2">
      <c r="A678" t="s">
        <v>3653</v>
      </c>
      <c r="B678" t="s">
        <v>3654</v>
      </c>
      <c r="C678" t="s">
        <v>3655</v>
      </c>
      <c r="D678" t="s">
        <v>25</v>
      </c>
    </row>
    <row r="679" spans="1:4" x14ac:dyDescent="0.2">
      <c r="A679" t="s">
        <v>3656</v>
      </c>
      <c r="B679" t="s">
        <v>3657</v>
      </c>
      <c r="C679" t="s">
        <v>3658</v>
      </c>
      <c r="D679" t="s">
        <v>1357</v>
      </c>
    </row>
    <row r="680" spans="1:4" x14ac:dyDescent="0.2">
      <c r="A680" t="s">
        <v>3659</v>
      </c>
      <c r="B680" t="s">
        <v>3660</v>
      </c>
      <c r="C680" t="s">
        <v>3661</v>
      </c>
      <c r="D680" t="s">
        <v>25</v>
      </c>
    </row>
    <row r="681" spans="1:4" x14ac:dyDescent="0.2">
      <c r="A681" t="s">
        <v>3662</v>
      </c>
      <c r="B681" t="s">
        <v>3663</v>
      </c>
      <c r="C681" t="s">
        <v>3664</v>
      </c>
      <c r="D681" t="s">
        <v>25</v>
      </c>
    </row>
    <row r="682" spans="1:4" x14ac:dyDescent="0.2">
      <c r="A682" t="s">
        <v>3665</v>
      </c>
      <c r="B682" t="s">
        <v>3666</v>
      </c>
      <c r="C682" t="s">
        <v>3667</v>
      </c>
      <c r="D682" t="s">
        <v>25</v>
      </c>
    </row>
    <row r="683" spans="1:4" x14ac:dyDescent="0.2">
      <c r="A683" t="s">
        <v>3668</v>
      </c>
      <c r="B683" t="s">
        <v>3668</v>
      </c>
      <c r="C683" t="s">
        <v>3667</v>
      </c>
      <c r="D683" t="s">
        <v>25</v>
      </c>
    </row>
    <row r="684" spans="1:4" x14ac:dyDescent="0.2">
      <c r="A684" t="s">
        <v>3669</v>
      </c>
      <c r="B684" t="s">
        <v>3670</v>
      </c>
      <c r="C684" t="s">
        <v>3667</v>
      </c>
      <c r="D684" t="s">
        <v>25</v>
      </c>
    </row>
    <row r="685" spans="1:4" x14ac:dyDescent="0.2">
      <c r="A685" t="s">
        <v>3671</v>
      </c>
      <c r="B685" t="s">
        <v>3672</v>
      </c>
      <c r="C685" t="s">
        <v>3673</v>
      </c>
      <c r="D685" t="s">
        <v>20</v>
      </c>
    </row>
    <row r="686" spans="1:4" x14ac:dyDescent="0.2">
      <c r="A686" t="s">
        <v>3674</v>
      </c>
      <c r="B686" t="s">
        <v>3675</v>
      </c>
      <c r="C686" t="s">
        <v>3676</v>
      </c>
      <c r="D686" t="s">
        <v>20</v>
      </c>
    </row>
    <row r="687" spans="1:4" x14ac:dyDescent="0.2">
      <c r="A687" t="s">
        <v>3677</v>
      </c>
      <c r="B687" t="s">
        <v>3678</v>
      </c>
      <c r="C687" t="s">
        <v>3679</v>
      </c>
      <c r="D687" t="s">
        <v>20</v>
      </c>
    </row>
    <row r="688" spans="1:4" x14ac:dyDescent="0.2">
      <c r="A688" t="s">
        <v>3680</v>
      </c>
      <c r="B688" t="s">
        <v>3681</v>
      </c>
      <c r="C688" t="s">
        <v>3682</v>
      </c>
      <c r="D688" t="s">
        <v>25</v>
      </c>
    </row>
    <row r="689" spans="1:4" x14ac:dyDescent="0.2">
      <c r="A689" t="s">
        <v>3683</v>
      </c>
      <c r="B689" t="s">
        <v>3684</v>
      </c>
      <c r="C689" t="s">
        <v>3685</v>
      </c>
      <c r="D689" t="s">
        <v>25</v>
      </c>
    </row>
    <row r="690" spans="1:4" x14ac:dyDescent="0.2">
      <c r="A690" t="s">
        <v>3686</v>
      </c>
      <c r="B690" t="s">
        <v>3687</v>
      </c>
      <c r="C690" t="s">
        <v>3688</v>
      </c>
      <c r="D690" t="s">
        <v>25</v>
      </c>
    </row>
    <row r="691" spans="1:4" x14ac:dyDescent="0.2">
      <c r="A691" t="s">
        <v>3689</v>
      </c>
      <c r="B691" t="s">
        <v>3690</v>
      </c>
      <c r="C691" t="s">
        <v>3691</v>
      </c>
      <c r="D691" t="s">
        <v>14</v>
      </c>
    </row>
    <row r="692" spans="1:4" x14ac:dyDescent="0.2">
      <c r="A692" t="s">
        <v>3692</v>
      </c>
      <c r="B692" t="s">
        <v>3693</v>
      </c>
      <c r="C692" t="s">
        <v>3694</v>
      </c>
      <c r="D692" t="s">
        <v>14</v>
      </c>
    </row>
    <row r="693" spans="1:4" x14ac:dyDescent="0.2">
      <c r="A693" t="s">
        <v>3695</v>
      </c>
      <c r="B693" t="s">
        <v>3696</v>
      </c>
      <c r="C693" t="s">
        <v>3697</v>
      </c>
      <c r="D693" t="s">
        <v>25</v>
      </c>
    </row>
    <row r="694" spans="1:4" x14ac:dyDescent="0.2">
      <c r="A694" t="s">
        <v>3698</v>
      </c>
      <c r="B694" t="s">
        <v>3699</v>
      </c>
      <c r="C694" t="s">
        <v>3700</v>
      </c>
      <c r="D694" t="s">
        <v>1357</v>
      </c>
    </row>
    <row r="695" spans="1:4" x14ac:dyDescent="0.2">
      <c r="A695" t="s">
        <v>3701</v>
      </c>
      <c r="B695" t="s">
        <v>3702</v>
      </c>
      <c r="C695" t="s">
        <v>3700</v>
      </c>
      <c r="D695" t="s">
        <v>25</v>
      </c>
    </row>
    <row r="696" spans="1:4" x14ac:dyDescent="0.2">
      <c r="A696" t="s">
        <v>3703</v>
      </c>
      <c r="B696" t="s">
        <v>3704</v>
      </c>
      <c r="C696" t="s">
        <v>3705</v>
      </c>
      <c r="D696" t="s">
        <v>199</v>
      </c>
    </row>
    <row r="697" spans="1:4" x14ac:dyDescent="0.2">
      <c r="A697" t="s">
        <v>3706</v>
      </c>
      <c r="B697" t="s">
        <v>3707</v>
      </c>
      <c r="C697" t="s">
        <v>3708</v>
      </c>
      <c r="D697" t="s">
        <v>52</v>
      </c>
    </row>
    <row r="698" spans="1:4" x14ac:dyDescent="0.2">
      <c r="A698" t="s">
        <v>3709</v>
      </c>
      <c r="B698" t="s">
        <v>3710</v>
      </c>
      <c r="C698" t="s">
        <v>3711</v>
      </c>
      <c r="D698" t="s">
        <v>938</v>
      </c>
    </row>
    <row r="699" spans="1:4" x14ac:dyDescent="0.2">
      <c r="A699" t="s">
        <v>3712</v>
      </c>
      <c r="B699" t="s">
        <v>3713</v>
      </c>
      <c r="C699" t="s">
        <v>3711</v>
      </c>
      <c r="D699" t="s">
        <v>965</v>
      </c>
    </row>
    <row r="700" spans="1:4" x14ac:dyDescent="0.2">
      <c r="A700" t="s">
        <v>3714</v>
      </c>
      <c r="B700" t="s">
        <v>3715</v>
      </c>
      <c r="C700" t="s">
        <v>3716</v>
      </c>
      <c r="D700" t="s">
        <v>25</v>
      </c>
    </row>
    <row r="701" spans="1:4" x14ac:dyDescent="0.2">
      <c r="A701" t="s">
        <v>3717</v>
      </c>
      <c r="B701" t="s">
        <v>3718</v>
      </c>
      <c r="C701" t="s">
        <v>3719</v>
      </c>
      <c r="D701" t="s">
        <v>903</v>
      </c>
    </row>
    <row r="702" spans="1:4" x14ac:dyDescent="0.2">
      <c r="A702" t="s">
        <v>3720</v>
      </c>
      <c r="B702" t="s">
        <v>3721</v>
      </c>
      <c r="C702" t="s">
        <v>3722</v>
      </c>
      <c r="D702" t="s">
        <v>20</v>
      </c>
    </row>
    <row r="703" spans="1:4" x14ac:dyDescent="0.2">
      <c r="A703" t="s">
        <v>3723</v>
      </c>
      <c r="B703" t="s">
        <v>3724</v>
      </c>
      <c r="C703" t="s">
        <v>3725</v>
      </c>
      <c r="D703" t="s">
        <v>1683</v>
      </c>
    </row>
    <row r="704" spans="1:4" x14ac:dyDescent="0.2">
      <c r="A704" t="s">
        <v>3726</v>
      </c>
      <c r="B704" t="s">
        <v>3727</v>
      </c>
      <c r="C704" t="s">
        <v>3728</v>
      </c>
      <c r="D704" t="s">
        <v>25</v>
      </c>
    </row>
    <row r="705" spans="1:4" x14ac:dyDescent="0.2">
      <c r="A705" t="s">
        <v>3729</v>
      </c>
      <c r="B705" t="s">
        <v>3730</v>
      </c>
      <c r="C705" t="s">
        <v>3731</v>
      </c>
      <c r="D705" t="s">
        <v>25</v>
      </c>
    </row>
    <row r="706" spans="1:4" x14ac:dyDescent="0.2">
      <c r="A706" t="s">
        <v>3732</v>
      </c>
      <c r="B706" t="s">
        <v>3733</v>
      </c>
      <c r="C706" t="s">
        <v>3734</v>
      </c>
      <c r="D706" t="s">
        <v>136</v>
      </c>
    </row>
    <row r="707" spans="1:4" x14ac:dyDescent="0.2">
      <c r="A707" t="s">
        <v>3735</v>
      </c>
      <c r="B707" t="s">
        <v>3736</v>
      </c>
      <c r="C707" t="s">
        <v>3737</v>
      </c>
      <c r="D707" t="s">
        <v>25</v>
      </c>
    </row>
    <row r="708" spans="1:4" x14ac:dyDescent="0.2">
      <c r="A708" t="s">
        <v>3738</v>
      </c>
      <c r="B708" t="s">
        <v>3739</v>
      </c>
      <c r="C708" t="s">
        <v>3740</v>
      </c>
      <c r="D708" t="s">
        <v>25</v>
      </c>
    </row>
    <row r="709" spans="1:4" x14ac:dyDescent="0.2">
      <c r="A709" t="s">
        <v>3741</v>
      </c>
      <c r="B709" t="s">
        <v>3742</v>
      </c>
      <c r="C709" t="s">
        <v>3740</v>
      </c>
      <c r="D709" t="s">
        <v>25</v>
      </c>
    </row>
    <row r="710" spans="1:4" x14ac:dyDescent="0.2">
      <c r="A710" t="s">
        <v>3743</v>
      </c>
      <c r="B710" t="s">
        <v>3744</v>
      </c>
      <c r="C710" t="s">
        <v>3745</v>
      </c>
      <c r="D710" t="s">
        <v>569</v>
      </c>
    </row>
    <row r="711" spans="1:4" x14ac:dyDescent="0.2">
      <c r="A711" t="s">
        <v>3746</v>
      </c>
      <c r="B711" t="s">
        <v>3747</v>
      </c>
      <c r="C711" t="s">
        <v>3748</v>
      </c>
      <c r="D711" t="s">
        <v>548</v>
      </c>
    </row>
    <row r="712" spans="1:4" x14ac:dyDescent="0.2">
      <c r="A712" t="s">
        <v>3749</v>
      </c>
      <c r="B712" t="s">
        <v>3750</v>
      </c>
      <c r="C712" t="s">
        <v>3751</v>
      </c>
      <c r="D712" t="s">
        <v>25</v>
      </c>
    </row>
    <row r="713" spans="1:4" x14ac:dyDescent="0.2">
      <c r="A713" t="s">
        <v>1571</v>
      </c>
      <c r="B713" t="s">
        <v>3752</v>
      </c>
      <c r="C713" t="s">
        <v>3753</v>
      </c>
      <c r="D713" t="s">
        <v>25</v>
      </c>
    </row>
    <row r="714" spans="1:4" x14ac:dyDescent="0.2">
      <c r="A714" t="s">
        <v>3754</v>
      </c>
      <c r="B714" t="s">
        <v>3755</v>
      </c>
      <c r="C714" t="s">
        <v>3756</v>
      </c>
      <c r="D714" t="s">
        <v>25</v>
      </c>
    </row>
    <row r="715" spans="1:4" x14ac:dyDescent="0.2">
      <c r="A715" t="s">
        <v>3757</v>
      </c>
      <c r="B715" t="s">
        <v>3758</v>
      </c>
      <c r="C715" t="s">
        <v>3759</v>
      </c>
      <c r="D715" t="s">
        <v>548</v>
      </c>
    </row>
    <row r="716" spans="1:4" x14ac:dyDescent="0.2">
      <c r="A716" t="s">
        <v>3760</v>
      </c>
      <c r="B716" t="s">
        <v>3761</v>
      </c>
      <c r="C716" t="s">
        <v>3759</v>
      </c>
      <c r="D716" t="s">
        <v>548</v>
      </c>
    </row>
    <row r="717" spans="1:4" x14ac:dyDescent="0.2">
      <c r="A717" t="s">
        <v>3762</v>
      </c>
      <c r="B717" t="s">
        <v>3763</v>
      </c>
      <c r="C717" t="s">
        <v>3759</v>
      </c>
      <c r="D717" t="s">
        <v>1357</v>
      </c>
    </row>
    <row r="718" spans="1:4" x14ac:dyDescent="0.2">
      <c r="A718" t="s">
        <v>3764</v>
      </c>
      <c r="B718" t="s">
        <v>3765</v>
      </c>
      <c r="C718" t="s">
        <v>3759</v>
      </c>
      <c r="D718" t="s">
        <v>2944</v>
      </c>
    </row>
    <row r="719" spans="1:4" x14ac:dyDescent="0.2">
      <c r="A719" t="s">
        <v>3766</v>
      </c>
      <c r="B719" t="s">
        <v>3767</v>
      </c>
      <c r="C719" t="s">
        <v>3768</v>
      </c>
      <c r="D719" t="s">
        <v>2452</v>
      </c>
    </row>
    <row r="720" spans="1:4" x14ac:dyDescent="0.2">
      <c r="A720" t="s">
        <v>3769</v>
      </c>
      <c r="B720" t="s">
        <v>3770</v>
      </c>
      <c r="C720" t="s">
        <v>3771</v>
      </c>
      <c r="D720" t="s">
        <v>25</v>
      </c>
    </row>
    <row r="721" spans="1:4" x14ac:dyDescent="0.2">
      <c r="A721" t="s">
        <v>847</v>
      </c>
      <c r="B721" t="s">
        <v>3772</v>
      </c>
      <c r="C721" t="s">
        <v>3771</v>
      </c>
      <c r="D721" t="s">
        <v>25</v>
      </c>
    </row>
    <row r="722" spans="1:4" x14ac:dyDescent="0.2">
      <c r="A722" t="s">
        <v>3773</v>
      </c>
      <c r="B722" t="s">
        <v>3774</v>
      </c>
      <c r="C722" t="s">
        <v>3771</v>
      </c>
      <c r="D722" t="s">
        <v>25</v>
      </c>
    </row>
    <row r="723" spans="1:4" x14ac:dyDescent="0.2">
      <c r="A723" t="s">
        <v>3775</v>
      </c>
      <c r="B723" t="s">
        <v>3776</v>
      </c>
      <c r="C723" t="s">
        <v>3777</v>
      </c>
      <c r="D723" t="s">
        <v>25</v>
      </c>
    </row>
    <row r="724" spans="1:4" x14ac:dyDescent="0.2">
      <c r="A724" t="s">
        <v>3778</v>
      </c>
      <c r="B724" t="s">
        <v>3779</v>
      </c>
      <c r="C724" t="s">
        <v>3780</v>
      </c>
      <c r="D724" t="s">
        <v>25</v>
      </c>
    </row>
    <row r="725" spans="1:4" x14ac:dyDescent="0.2">
      <c r="A725" t="s">
        <v>3781</v>
      </c>
      <c r="B725" t="s">
        <v>3782</v>
      </c>
      <c r="C725" t="s">
        <v>3783</v>
      </c>
      <c r="D725" t="s">
        <v>25</v>
      </c>
    </row>
    <row r="726" spans="1:4" x14ac:dyDescent="0.2">
      <c r="A726" t="s">
        <v>3784</v>
      </c>
      <c r="B726" t="s">
        <v>3785</v>
      </c>
      <c r="C726" t="s">
        <v>3783</v>
      </c>
      <c r="D726" t="s">
        <v>199</v>
      </c>
    </row>
    <row r="727" spans="1:4" x14ac:dyDescent="0.2">
      <c r="A727" t="s">
        <v>3786</v>
      </c>
      <c r="B727" t="s">
        <v>3787</v>
      </c>
      <c r="C727" t="s">
        <v>3788</v>
      </c>
      <c r="D727" t="s">
        <v>1141</v>
      </c>
    </row>
    <row r="728" spans="1:4" x14ac:dyDescent="0.2">
      <c r="A728" t="s">
        <v>3789</v>
      </c>
      <c r="B728" t="s">
        <v>3790</v>
      </c>
      <c r="C728" t="s">
        <v>3791</v>
      </c>
      <c r="D728" t="s">
        <v>136</v>
      </c>
    </row>
    <row r="729" spans="1:4" x14ac:dyDescent="0.2">
      <c r="A729" t="s">
        <v>3792</v>
      </c>
      <c r="B729" t="s">
        <v>3793</v>
      </c>
      <c r="C729" t="s">
        <v>3794</v>
      </c>
      <c r="D729" t="s">
        <v>25</v>
      </c>
    </row>
    <row r="730" spans="1:4" x14ac:dyDescent="0.2">
      <c r="A730" t="s">
        <v>1574</v>
      </c>
      <c r="B730" t="s">
        <v>3795</v>
      </c>
      <c r="C730" t="s">
        <v>3796</v>
      </c>
      <c r="D730" t="s">
        <v>20</v>
      </c>
    </row>
    <row r="731" spans="1:4" x14ac:dyDescent="0.2">
      <c r="A731" t="s">
        <v>3797</v>
      </c>
      <c r="B731" t="s">
        <v>3798</v>
      </c>
      <c r="C731" t="s">
        <v>3799</v>
      </c>
      <c r="D731" t="s">
        <v>2452</v>
      </c>
    </row>
    <row r="732" spans="1:4" x14ac:dyDescent="0.2">
      <c r="A732" t="s">
        <v>3800</v>
      </c>
      <c r="B732" t="s">
        <v>3801</v>
      </c>
      <c r="C732" t="s">
        <v>3802</v>
      </c>
      <c r="D732" t="s">
        <v>2944</v>
      </c>
    </row>
    <row r="733" spans="1:4" x14ac:dyDescent="0.2">
      <c r="A733" t="s">
        <v>3803</v>
      </c>
      <c r="B733" t="s">
        <v>3804</v>
      </c>
      <c r="C733" t="s">
        <v>3805</v>
      </c>
      <c r="D733" t="s">
        <v>25</v>
      </c>
    </row>
    <row r="734" spans="1:4" x14ac:dyDescent="0.2">
      <c r="A734" t="s">
        <v>3806</v>
      </c>
      <c r="B734" t="s">
        <v>3806</v>
      </c>
      <c r="C734" t="s">
        <v>3807</v>
      </c>
      <c r="D734" t="s">
        <v>25</v>
      </c>
    </row>
    <row r="735" spans="1:4" x14ac:dyDescent="0.2">
      <c r="A735" t="s">
        <v>3808</v>
      </c>
      <c r="B735" t="s">
        <v>3809</v>
      </c>
      <c r="C735" t="s">
        <v>3807</v>
      </c>
      <c r="D735" t="s">
        <v>52</v>
      </c>
    </row>
    <row r="736" spans="1:4" x14ac:dyDescent="0.2">
      <c r="A736" t="s">
        <v>3810</v>
      </c>
      <c r="B736" t="s">
        <v>3811</v>
      </c>
      <c r="C736" t="s">
        <v>3812</v>
      </c>
      <c r="D736" t="s">
        <v>98</v>
      </c>
    </row>
    <row r="737" spans="1:4" x14ac:dyDescent="0.2">
      <c r="A737" t="s">
        <v>3813</v>
      </c>
      <c r="B737" t="s">
        <v>3814</v>
      </c>
      <c r="C737" t="s">
        <v>3815</v>
      </c>
      <c r="D737" t="s">
        <v>3816</v>
      </c>
    </row>
    <row r="738" spans="1:4" x14ac:dyDescent="0.2">
      <c r="A738" t="s">
        <v>3817</v>
      </c>
      <c r="B738" t="s">
        <v>3818</v>
      </c>
      <c r="C738" t="s">
        <v>3819</v>
      </c>
      <c r="D738" t="s">
        <v>199</v>
      </c>
    </row>
    <row r="739" spans="1:4" x14ac:dyDescent="0.2">
      <c r="A739" t="s">
        <v>3820</v>
      </c>
      <c r="B739" t="s">
        <v>3821</v>
      </c>
      <c r="C739" t="s">
        <v>3822</v>
      </c>
      <c r="D739" t="s">
        <v>548</v>
      </c>
    </row>
    <row r="740" spans="1:4" x14ac:dyDescent="0.2">
      <c r="A740" t="s">
        <v>3823</v>
      </c>
      <c r="B740" t="s">
        <v>3824</v>
      </c>
      <c r="C740" t="s">
        <v>3825</v>
      </c>
      <c r="D740" t="s">
        <v>25</v>
      </c>
    </row>
    <row r="741" spans="1:4" x14ac:dyDescent="0.2">
      <c r="A741" t="s">
        <v>3826</v>
      </c>
      <c r="B741" t="s">
        <v>3827</v>
      </c>
      <c r="C741" t="s">
        <v>3828</v>
      </c>
      <c r="D741" t="s">
        <v>98</v>
      </c>
    </row>
    <row r="742" spans="1:4" x14ac:dyDescent="0.2">
      <c r="A742" t="s">
        <v>3829</v>
      </c>
      <c r="B742" t="s">
        <v>3830</v>
      </c>
      <c r="C742" t="s">
        <v>3831</v>
      </c>
      <c r="D742" t="s">
        <v>25</v>
      </c>
    </row>
    <row r="743" spans="1:4" x14ac:dyDescent="0.2">
      <c r="A743" t="s">
        <v>3832</v>
      </c>
      <c r="B743" t="s">
        <v>3833</v>
      </c>
      <c r="C743" t="s">
        <v>3834</v>
      </c>
      <c r="D743" t="s">
        <v>199</v>
      </c>
    </row>
    <row r="744" spans="1:4" x14ac:dyDescent="0.2">
      <c r="A744" t="s">
        <v>219</v>
      </c>
      <c r="B744" t="s">
        <v>3835</v>
      </c>
      <c r="C744" t="s">
        <v>3836</v>
      </c>
      <c r="D744" t="s">
        <v>20</v>
      </c>
    </row>
    <row r="745" spans="1:4" x14ac:dyDescent="0.2">
      <c r="A745" t="s">
        <v>3837</v>
      </c>
      <c r="B745" t="s">
        <v>3838</v>
      </c>
      <c r="C745" t="s">
        <v>3839</v>
      </c>
      <c r="D745" t="s">
        <v>25</v>
      </c>
    </row>
    <row r="746" spans="1:4" x14ac:dyDescent="0.2">
      <c r="A746" t="s">
        <v>3840</v>
      </c>
      <c r="B746" t="s">
        <v>3841</v>
      </c>
      <c r="C746" t="s">
        <v>3842</v>
      </c>
      <c r="D746" t="s">
        <v>1357</v>
      </c>
    </row>
    <row r="747" spans="1:4" x14ac:dyDescent="0.2">
      <c r="A747" t="s">
        <v>3843</v>
      </c>
      <c r="B747" t="s">
        <v>3844</v>
      </c>
      <c r="C747" t="s">
        <v>3845</v>
      </c>
      <c r="D747" t="s">
        <v>548</v>
      </c>
    </row>
    <row r="748" spans="1:4" x14ac:dyDescent="0.2">
      <c r="A748" t="s">
        <v>3846</v>
      </c>
      <c r="B748" t="s">
        <v>3847</v>
      </c>
      <c r="C748" t="s">
        <v>3848</v>
      </c>
      <c r="D748" t="s">
        <v>25</v>
      </c>
    </row>
    <row r="749" spans="1:4" x14ac:dyDescent="0.2">
      <c r="A749" t="s">
        <v>3849</v>
      </c>
      <c r="B749" t="s">
        <v>3850</v>
      </c>
      <c r="C749" t="s">
        <v>3851</v>
      </c>
      <c r="D749" t="s">
        <v>569</v>
      </c>
    </row>
    <row r="750" spans="1:4" x14ac:dyDescent="0.2">
      <c r="A750" t="s">
        <v>3852</v>
      </c>
      <c r="B750" t="s">
        <v>3853</v>
      </c>
      <c r="C750" t="s">
        <v>3854</v>
      </c>
      <c r="D750" t="s">
        <v>569</v>
      </c>
    </row>
    <row r="751" spans="1:4" x14ac:dyDescent="0.2">
      <c r="A751" t="s">
        <v>3855</v>
      </c>
      <c r="B751" t="s">
        <v>3856</v>
      </c>
      <c r="C751" t="s">
        <v>3857</v>
      </c>
      <c r="D751" t="s">
        <v>25</v>
      </c>
    </row>
    <row r="752" spans="1:4" x14ac:dyDescent="0.2">
      <c r="A752" t="s">
        <v>3858</v>
      </c>
      <c r="B752" t="s">
        <v>3859</v>
      </c>
      <c r="C752" t="s">
        <v>3860</v>
      </c>
      <c r="D752" t="s">
        <v>358</v>
      </c>
    </row>
    <row r="753" spans="1:4" x14ac:dyDescent="0.2">
      <c r="A753" t="s">
        <v>3861</v>
      </c>
      <c r="B753" t="s">
        <v>3862</v>
      </c>
      <c r="C753" t="s">
        <v>3863</v>
      </c>
      <c r="D753" t="s">
        <v>1334</v>
      </c>
    </row>
    <row r="754" spans="1:4" x14ac:dyDescent="0.2">
      <c r="A754" t="s">
        <v>3864</v>
      </c>
      <c r="B754" t="s">
        <v>3865</v>
      </c>
      <c r="C754" t="s">
        <v>3866</v>
      </c>
      <c r="D754" t="s">
        <v>136</v>
      </c>
    </row>
    <row r="755" spans="1:4" x14ac:dyDescent="0.2">
      <c r="A755" t="s">
        <v>251</v>
      </c>
      <c r="B755" t="s">
        <v>3867</v>
      </c>
      <c r="C755" t="s">
        <v>3868</v>
      </c>
      <c r="D755" t="s">
        <v>25</v>
      </c>
    </row>
    <row r="756" spans="1:4" x14ac:dyDescent="0.2">
      <c r="A756" t="s">
        <v>3869</v>
      </c>
      <c r="B756" t="s">
        <v>3870</v>
      </c>
      <c r="C756" t="s">
        <v>3871</v>
      </c>
      <c r="D756" t="s">
        <v>25</v>
      </c>
    </row>
    <row r="757" spans="1:4" x14ac:dyDescent="0.2">
      <c r="A757" t="s">
        <v>3872</v>
      </c>
      <c r="B757" t="s">
        <v>3873</v>
      </c>
      <c r="C757" t="s">
        <v>3874</v>
      </c>
      <c r="D757" t="s">
        <v>2360</v>
      </c>
    </row>
    <row r="758" spans="1:4" x14ac:dyDescent="0.2">
      <c r="A758" t="s">
        <v>3875</v>
      </c>
      <c r="B758" t="s">
        <v>3876</v>
      </c>
      <c r="C758" t="s">
        <v>3877</v>
      </c>
      <c r="D758" t="s">
        <v>25</v>
      </c>
    </row>
    <row r="759" spans="1:4" x14ac:dyDescent="0.2">
      <c r="A759" t="s">
        <v>3878</v>
      </c>
      <c r="B759" t="s">
        <v>3879</v>
      </c>
      <c r="C759" t="s">
        <v>3880</v>
      </c>
      <c r="D759" t="s">
        <v>198</v>
      </c>
    </row>
    <row r="760" spans="1:4" x14ac:dyDescent="0.2">
      <c r="A760" t="s">
        <v>3881</v>
      </c>
      <c r="B760" t="s">
        <v>3882</v>
      </c>
      <c r="C760" t="s">
        <v>3883</v>
      </c>
      <c r="D760" t="s">
        <v>14</v>
      </c>
    </row>
    <row r="761" spans="1:4" x14ac:dyDescent="0.2">
      <c r="A761" t="s">
        <v>3884</v>
      </c>
      <c r="B761" t="s">
        <v>3885</v>
      </c>
      <c r="C761" t="s">
        <v>3886</v>
      </c>
      <c r="D761" t="s">
        <v>25</v>
      </c>
    </row>
    <row r="762" spans="1:4" x14ac:dyDescent="0.2">
      <c r="A762" t="s">
        <v>3887</v>
      </c>
      <c r="B762" t="s">
        <v>3888</v>
      </c>
      <c r="C762" t="s">
        <v>3889</v>
      </c>
      <c r="D762" t="s">
        <v>1357</v>
      </c>
    </row>
    <row r="763" spans="1:4" x14ac:dyDescent="0.2">
      <c r="A763" t="s">
        <v>3890</v>
      </c>
      <c r="B763" t="s">
        <v>3891</v>
      </c>
      <c r="C763" t="s">
        <v>3892</v>
      </c>
      <c r="D763" t="s">
        <v>25</v>
      </c>
    </row>
    <row r="764" spans="1:4" x14ac:dyDescent="0.2">
      <c r="A764" t="s">
        <v>3893</v>
      </c>
      <c r="B764" t="s">
        <v>3894</v>
      </c>
      <c r="C764" t="s">
        <v>3895</v>
      </c>
      <c r="D764" t="s">
        <v>25</v>
      </c>
    </row>
    <row r="765" spans="1:4" x14ac:dyDescent="0.2">
      <c r="A765" t="s">
        <v>3896</v>
      </c>
      <c r="B765" t="s">
        <v>3897</v>
      </c>
      <c r="C765" t="s">
        <v>3895</v>
      </c>
      <c r="D765" t="s">
        <v>965</v>
      </c>
    </row>
    <row r="766" spans="1:4" x14ac:dyDescent="0.2">
      <c r="A766" t="s">
        <v>3898</v>
      </c>
      <c r="B766" t="s">
        <v>3899</v>
      </c>
      <c r="C766" t="s">
        <v>3900</v>
      </c>
      <c r="D766" t="s">
        <v>20</v>
      </c>
    </row>
    <row r="767" spans="1:4" x14ac:dyDescent="0.2">
      <c r="A767" t="s">
        <v>3901</v>
      </c>
      <c r="B767" t="s">
        <v>3902</v>
      </c>
      <c r="C767" t="s">
        <v>3903</v>
      </c>
      <c r="D767" t="s">
        <v>98</v>
      </c>
    </row>
    <row r="768" spans="1:4" x14ac:dyDescent="0.2">
      <c r="A768" t="s">
        <v>3904</v>
      </c>
      <c r="B768" t="s">
        <v>3905</v>
      </c>
      <c r="C768" t="s">
        <v>3906</v>
      </c>
      <c r="D768" t="s">
        <v>25</v>
      </c>
    </row>
    <row r="769" spans="1:4" x14ac:dyDescent="0.2">
      <c r="A769" t="s">
        <v>3907</v>
      </c>
      <c r="B769" t="s">
        <v>3908</v>
      </c>
      <c r="C769" t="s">
        <v>3906</v>
      </c>
      <c r="D769" t="s">
        <v>569</v>
      </c>
    </row>
    <row r="770" spans="1:4" x14ac:dyDescent="0.2">
      <c r="A770" t="s">
        <v>3909</v>
      </c>
      <c r="B770" t="s">
        <v>3910</v>
      </c>
      <c r="C770" t="s">
        <v>3911</v>
      </c>
      <c r="D770" t="s">
        <v>199</v>
      </c>
    </row>
    <row r="771" spans="1:4" x14ac:dyDescent="0.2">
      <c r="A771" t="s">
        <v>3912</v>
      </c>
      <c r="B771" t="s">
        <v>3913</v>
      </c>
      <c r="C771" t="s">
        <v>3914</v>
      </c>
      <c r="D771" t="s">
        <v>25</v>
      </c>
    </row>
    <row r="772" spans="1:4" x14ac:dyDescent="0.2">
      <c r="A772" t="s">
        <v>3915</v>
      </c>
      <c r="B772" t="s">
        <v>3916</v>
      </c>
      <c r="C772" t="s">
        <v>3917</v>
      </c>
      <c r="D772" t="s">
        <v>14</v>
      </c>
    </row>
    <row r="773" spans="1:4" x14ac:dyDescent="0.2">
      <c r="A773" t="s">
        <v>3918</v>
      </c>
      <c r="B773" t="s">
        <v>3919</v>
      </c>
      <c r="C773" t="s">
        <v>3920</v>
      </c>
      <c r="D773" t="s">
        <v>136</v>
      </c>
    </row>
    <row r="774" spans="1:4" x14ac:dyDescent="0.2">
      <c r="A774" t="s">
        <v>3921</v>
      </c>
      <c r="B774" t="s">
        <v>1011</v>
      </c>
      <c r="C774" t="s">
        <v>3922</v>
      </c>
      <c r="D774" t="s">
        <v>3458</v>
      </c>
    </row>
    <row r="775" spans="1:4" x14ac:dyDescent="0.2">
      <c r="A775" t="s">
        <v>3923</v>
      </c>
      <c r="B775" t="s">
        <v>3924</v>
      </c>
      <c r="C775" t="s">
        <v>3925</v>
      </c>
      <c r="D775" t="s">
        <v>2360</v>
      </c>
    </row>
    <row r="776" spans="1:4" x14ac:dyDescent="0.2">
      <c r="A776" t="s">
        <v>3926</v>
      </c>
      <c r="B776" t="s">
        <v>3927</v>
      </c>
      <c r="C776" t="s">
        <v>3928</v>
      </c>
      <c r="D776" t="s">
        <v>98</v>
      </c>
    </row>
    <row r="777" spans="1:4" x14ac:dyDescent="0.2">
      <c r="A777" t="s">
        <v>3929</v>
      </c>
      <c r="B777" t="s">
        <v>3930</v>
      </c>
      <c r="C777" t="s">
        <v>3931</v>
      </c>
      <c r="D777" t="s">
        <v>2944</v>
      </c>
    </row>
    <row r="778" spans="1:4" x14ac:dyDescent="0.2">
      <c r="A778" t="s">
        <v>3932</v>
      </c>
      <c r="B778" t="s">
        <v>3933</v>
      </c>
      <c r="C778" t="s">
        <v>3934</v>
      </c>
      <c r="D778" t="s">
        <v>25</v>
      </c>
    </row>
    <row r="779" spans="1:4" x14ac:dyDescent="0.2">
      <c r="A779" t="s">
        <v>3935</v>
      </c>
      <c r="B779" t="s">
        <v>3936</v>
      </c>
      <c r="C779" t="s">
        <v>3937</v>
      </c>
      <c r="D779" t="s">
        <v>25</v>
      </c>
    </row>
    <row r="780" spans="1:4" x14ac:dyDescent="0.2">
      <c r="A780" t="s">
        <v>3938</v>
      </c>
      <c r="B780" t="s">
        <v>3939</v>
      </c>
      <c r="C780" t="s">
        <v>3937</v>
      </c>
      <c r="D780" t="s">
        <v>25</v>
      </c>
    </row>
    <row r="781" spans="1:4" x14ac:dyDescent="0.2">
      <c r="A781" t="s">
        <v>3940</v>
      </c>
      <c r="B781" t="s">
        <v>3941</v>
      </c>
      <c r="C781" t="s">
        <v>3942</v>
      </c>
      <c r="D781" t="s">
        <v>1357</v>
      </c>
    </row>
    <row r="782" spans="1:4" x14ac:dyDescent="0.2">
      <c r="A782" t="s">
        <v>3943</v>
      </c>
      <c r="B782" t="s">
        <v>3944</v>
      </c>
      <c r="C782" t="s">
        <v>3945</v>
      </c>
      <c r="D782" t="s">
        <v>218</v>
      </c>
    </row>
    <row r="783" spans="1:4" x14ac:dyDescent="0.2">
      <c r="A783" t="s">
        <v>3946</v>
      </c>
      <c r="B783" t="s">
        <v>3947</v>
      </c>
      <c r="C783" t="s">
        <v>3945</v>
      </c>
      <c r="D783" t="s">
        <v>136</v>
      </c>
    </row>
    <row r="784" spans="1:4" x14ac:dyDescent="0.2">
      <c r="A784" t="s">
        <v>3948</v>
      </c>
      <c r="B784" t="s">
        <v>3949</v>
      </c>
      <c r="C784" t="s">
        <v>3950</v>
      </c>
      <c r="D784" t="s">
        <v>25</v>
      </c>
    </row>
    <row r="785" spans="1:4" x14ac:dyDescent="0.2">
      <c r="A785" t="s">
        <v>3951</v>
      </c>
      <c r="B785" t="s">
        <v>3952</v>
      </c>
      <c r="C785" t="s">
        <v>3953</v>
      </c>
      <c r="D785" t="s">
        <v>358</v>
      </c>
    </row>
    <row r="786" spans="1:4" x14ac:dyDescent="0.2">
      <c r="A786" t="s">
        <v>3954</v>
      </c>
      <c r="B786" t="s">
        <v>3955</v>
      </c>
      <c r="C786" t="s">
        <v>3956</v>
      </c>
      <c r="D786" t="s">
        <v>25</v>
      </c>
    </row>
    <row r="787" spans="1:4" x14ac:dyDescent="0.2">
      <c r="A787" t="s">
        <v>3957</v>
      </c>
      <c r="B787" t="s">
        <v>3958</v>
      </c>
      <c r="C787" t="s">
        <v>3956</v>
      </c>
      <c r="D787" t="s">
        <v>95</v>
      </c>
    </row>
    <row r="788" spans="1:4" x14ac:dyDescent="0.2">
      <c r="A788" t="s">
        <v>3959</v>
      </c>
      <c r="B788" t="s">
        <v>3960</v>
      </c>
      <c r="C788" t="s">
        <v>3961</v>
      </c>
      <c r="D788" t="s">
        <v>218</v>
      </c>
    </row>
    <row r="789" spans="1:4" x14ac:dyDescent="0.2">
      <c r="A789" t="s">
        <v>3962</v>
      </c>
      <c r="B789" t="s">
        <v>3963</v>
      </c>
      <c r="C789" t="s">
        <v>3961</v>
      </c>
      <c r="D789" t="s">
        <v>548</v>
      </c>
    </row>
    <row r="790" spans="1:4" x14ac:dyDescent="0.2">
      <c r="A790" t="s">
        <v>3964</v>
      </c>
      <c r="B790" t="s">
        <v>3965</v>
      </c>
      <c r="C790" t="s">
        <v>3966</v>
      </c>
      <c r="D790" t="s">
        <v>726</v>
      </c>
    </row>
    <row r="791" spans="1:4" x14ac:dyDescent="0.2">
      <c r="A791" t="s">
        <v>3967</v>
      </c>
      <c r="B791" t="s">
        <v>3968</v>
      </c>
      <c r="C791" t="s">
        <v>3966</v>
      </c>
      <c r="D791" t="s">
        <v>25</v>
      </c>
    </row>
    <row r="792" spans="1:4" x14ac:dyDescent="0.2">
      <c r="A792" t="s">
        <v>3969</v>
      </c>
      <c r="B792" t="s">
        <v>3970</v>
      </c>
      <c r="C792" t="s">
        <v>3971</v>
      </c>
      <c r="D792" t="s">
        <v>25</v>
      </c>
    </row>
    <row r="793" spans="1:4" x14ac:dyDescent="0.2">
      <c r="A793" t="s">
        <v>3972</v>
      </c>
      <c r="B793" t="s">
        <v>3973</v>
      </c>
      <c r="C793" t="s">
        <v>3974</v>
      </c>
      <c r="D793" t="s">
        <v>25</v>
      </c>
    </row>
    <row r="794" spans="1:4" x14ac:dyDescent="0.2">
      <c r="A794" t="s">
        <v>3975</v>
      </c>
      <c r="B794" t="s">
        <v>3976</v>
      </c>
      <c r="C794" t="s">
        <v>3977</v>
      </c>
      <c r="D794" t="s">
        <v>569</v>
      </c>
    </row>
    <row r="795" spans="1:4" x14ac:dyDescent="0.2">
      <c r="A795" t="s">
        <v>3978</v>
      </c>
      <c r="B795" t="s">
        <v>3979</v>
      </c>
      <c r="C795" t="s">
        <v>3980</v>
      </c>
      <c r="D795" t="s">
        <v>25</v>
      </c>
    </row>
    <row r="796" spans="1:4" x14ac:dyDescent="0.2">
      <c r="A796" t="s">
        <v>3981</v>
      </c>
      <c r="B796" t="s">
        <v>3982</v>
      </c>
      <c r="C796" t="s">
        <v>3980</v>
      </c>
      <c r="D796" t="s">
        <v>1357</v>
      </c>
    </row>
    <row r="797" spans="1:4" x14ac:dyDescent="0.2">
      <c r="A797" t="s">
        <v>3983</v>
      </c>
      <c r="B797" t="s">
        <v>3984</v>
      </c>
      <c r="C797" t="s">
        <v>3985</v>
      </c>
      <c r="D797" t="s">
        <v>95</v>
      </c>
    </row>
    <row r="798" spans="1:4" x14ac:dyDescent="0.2">
      <c r="A798" t="s">
        <v>3986</v>
      </c>
      <c r="B798" t="s">
        <v>3987</v>
      </c>
      <c r="C798" t="s">
        <v>3988</v>
      </c>
      <c r="D798" t="s">
        <v>548</v>
      </c>
    </row>
    <row r="799" spans="1:4" x14ac:dyDescent="0.2">
      <c r="A799" t="s">
        <v>3989</v>
      </c>
      <c r="B799" t="s">
        <v>3990</v>
      </c>
      <c r="C799" t="s">
        <v>3991</v>
      </c>
      <c r="D799" t="s">
        <v>25</v>
      </c>
    </row>
    <row r="800" spans="1:4" x14ac:dyDescent="0.2">
      <c r="A800" t="s">
        <v>3992</v>
      </c>
      <c r="B800" t="s">
        <v>3993</v>
      </c>
      <c r="C800" t="s">
        <v>3994</v>
      </c>
      <c r="D800" t="s">
        <v>569</v>
      </c>
    </row>
    <row r="801" spans="1:4" x14ac:dyDescent="0.2">
      <c r="A801" t="s">
        <v>3995</v>
      </c>
      <c r="B801" t="s">
        <v>3996</v>
      </c>
      <c r="C801" t="s">
        <v>3994</v>
      </c>
      <c r="D801" t="s">
        <v>548</v>
      </c>
    </row>
    <row r="802" spans="1:4" x14ac:dyDescent="0.2">
      <c r="A802" t="s">
        <v>3997</v>
      </c>
      <c r="B802" t="s">
        <v>3998</v>
      </c>
      <c r="C802" t="s">
        <v>3999</v>
      </c>
      <c r="D802" t="s">
        <v>25</v>
      </c>
    </row>
    <row r="803" spans="1:4" x14ac:dyDescent="0.2">
      <c r="A803" t="s">
        <v>4000</v>
      </c>
      <c r="B803" t="s">
        <v>4001</v>
      </c>
      <c r="C803" t="s">
        <v>4002</v>
      </c>
      <c r="D803" t="s">
        <v>199</v>
      </c>
    </row>
    <row r="804" spans="1:4" x14ac:dyDescent="0.2">
      <c r="A804" t="s">
        <v>4003</v>
      </c>
      <c r="B804" t="s">
        <v>4004</v>
      </c>
      <c r="C804" t="s">
        <v>4002</v>
      </c>
      <c r="D804" t="s">
        <v>1357</v>
      </c>
    </row>
    <row r="805" spans="1:4" x14ac:dyDescent="0.2">
      <c r="A805" t="s">
        <v>4005</v>
      </c>
      <c r="B805" t="s">
        <v>4006</v>
      </c>
      <c r="C805" t="s">
        <v>4002</v>
      </c>
      <c r="D805" t="s">
        <v>726</v>
      </c>
    </row>
    <row r="806" spans="1:4" x14ac:dyDescent="0.2">
      <c r="A806" t="s">
        <v>4007</v>
      </c>
      <c r="B806" t="s">
        <v>4008</v>
      </c>
      <c r="C806" t="s">
        <v>4009</v>
      </c>
      <c r="D806" t="s">
        <v>20</v>
      </c>
    </row>
    <row r="807" spans="1:4" x14ac:dyDescent="0.2">
      <c r="A807" t="s">
        <v>4010</v>
      </c>
      <c r="B807" t="s">
        <v>4011</v>
      </c>
      <c r="C807" t="s">
        <v>4009</v>
      </c>
      <c r="D807" t="s">
        <v>25</v>
      </c>
    </row>
    <row r="808" spans="1:4" x14ac:dyDescent="0.2">
      <c r="A808" t="s">
        <v>4012</v>
      </c>
      <c r="B808" t="s">
        <v>4013</v>
      </c>
      <c r="C808" t="s">
        <v>4014</v>
      </c>
      <c r="D808" t="s">
        <v>1334</v>
      </c>
    </row>
    <row r="809" spans="1:4" x14ac:dyDescent="0.2">
      <c r="A809" t="s">
        <v>4015</v>
      </c>
      <c r="B809" t="s">
        <v>4016</v>
      </c>
      <c r="C809" t="s">
        <v>4017</v>
      </c>
      <c r="D809" t="s">
        <v>25</v>
      </c>
    </row>
    <row r="810" spans="1:4" x14ac:dyDescent="0.2">
      <c r="A810" t="s">
        <v>4018</v>
      </c>
      <c r="B810" t="s">
        <v>4019</v>
      </c>
      <c r="C810" t="s">
        <v>4020</v>
      </c>
      <c r="D810" t="s">
        <v>25</v>
      </c>
    </row>
    <row r="811" spans="1:4" x14ac:dyDescent="0.2">
      <c r="A811" t="s">
        <v>4021</v>
      </c>
      <c r="B811" t="s">
        <v>4022</v>
      </c>
      <c r="C811" t="s">
        <v>4023</v>
      </c>
      <c r="D811" t="s">
        <v>25</v>
      </c>
    </row>
    <row r="812" spans="1:4" x14ac:dyDescent="0.2">
      <c r="A812" t="s">
        <v>4024</v>
      </c>
      <c r="B812" t="s">
        <v>4025</v>
      </c>
      <c r="C812" t="s">
        <v>4023</v>
      </c>
      <c r="D812" t="s">
        <v>98</v>
      </c>
    </row>
    <row r="813" spans="1:4" x14ac:dyDescent="0.2">
      <c r="A813" t="s">
        <v>1030</v>
      </c>
      <c r="B813" t="s">
        <v>4026</v>
      </c>
      <c r="C813" t="s">
        <v>4027</v>
      </c>
      <c r="D813" t="s">
        <v>25</v>
      </c>
    </row>
    <row r="814" spans="1:4" x14ac:dyDescent="0.2">
      <c r="A814" t="s">
        <v>4028</v>
      </c>
      <c r="B814" t="s">
        <v>4029</v>
      </c>
      <c r="C814" t="s">
        <v>4030</v>
      </c>
      <c r="D814" t="s">
        <v>95</v>
      </c>
    </row>
    <row r="815" spans="1:4" x14ac:dyDescent="0.2">
      <c r="A815" t="s">
        <v>4031</v>
      </c>
      <c r="B815" t="s">
        <v>4032</v>
      </c>
      <c r="C815" t="s">
        <v>4033</v>
      </c>
      <c r="D815" t="s">
        <v>965</v>
      </c>
    </row>
    <row r="816" spans="1:4" x14ac:dyDescent="0.2">
      <c r="A816" t="s">
        <v>4034</v>
      </c>
      <c r="B816" t="s">
        <v>4035</v>
      </c>
      <c r="C816" t="s">
        <v>4036</v>
      </c>
      <c r="D816" t="s">
        <v>95</v>
      </c>
    </row>
    <row r="817" spans="1:4" x14ac:dyDescent="0.2">
      <c r="A817" t="s">
        <v>2047</v>
      </c>
      <c r="B817" t="s">
        <v>4037</v>
      </c>
      <c r="C817" t="s">
        <v>4038</v>
      </c>
      <c r="D817" t="s">
        <v>25</v>
      </c>
    </row>
    <row r="818" spans="1:4" x14ac:dyDescent="0.2">
      <c r="A818" t="s">
        <v>4039</v>
      </c>
      <c r="B818" t="s">
        <v>4040</v>
      </c>
      <c r="C818" t="s">
        <v>4038</v>
      </c>
      <c r="D818" t="s">
        <v>25</v>
      </c>
    </row>
    <row r="819" spans="1:4" x14ac:dyDescent="0.2">
      <c r="A819" t="s">
        <v>4041</v>
      </c>
      <c r="B819" t="s">
        <v>4042</v>
      </c>
      <c r="C819" t="s">
        <v>4043</v>
      </c>
      <c r="D819" t="s">
        <v>25</v>
      </c>
    </row>
    <row r="820" spans="1:4" x14ac:dyDescent="0.2">
      <c r="A820" t="s">
        <v>4044</v>
      </c>
      <c r="B820" t="s">
        <v>4045</v>
      </c>
      <c r="C820" t="s">
        <v>4046</v>
      </c>
      <c r="D820" t="s">
        <v>98</v>
      </c>
    </row>
    <row r="821" spans="1:4" x14ac:dyDescent="0.2">
      <c r="A821" t="s">
        <v>4047</v>
      </c>
      <c r="B821" t="s">
        <v>4048</v>
      </c>
      <c r="C821" t="s">
        <v>4049</v>
      </c>
      <c r="D821" t="s">
        <v>25</v>
      </c>
    </row>
    <row r="822" spans="1:4" x14ac:dyDescent="0.2">
      <c r="A822" t="s">
        <v>4050</v>
      </c>
      <c r="B822" t="s">
        <v>4051</v>
      </c>
      <c r="C822" t="s">
        <v>4052</v>
      </c>
      <c r="D822" t="s">
        <v>25</v>
      </c>
    </row>
    <row r="823" spans="1:4" x14ac:dyDescent="0.2">
      <c r="A823" t="s">
        <v>4053</v>
      </c>
      <c r="B823" t="s">
        <v>4054</v>
      </c>
      <c r="C823" t="s">
        <v>4055</v>
      </c>
      <c r="D823" t="s">
        <v>98</v>
      </c>
    </row>
    <row r="824" spans="1:4" x14ac:dyDescent="0.2">
      <c r="A824" t="s">
        <v>4056</v>
      </c>
      <c r="B824" t="s">
        <v>4057</v>
      </c>
      <c r="C824" t="s">
        <v>4058</v>
      </c>
      <c r="D824" t="s">
        <v>25</v>
      </c>
    </row>
    <row r="825" spans="1:4" x14ac:dyDescent="0.2">
      <c r="A825" t="s">
        <v>4059</v>
      </c>
      <c r="B825" t="s">
        <v>4060</v>
      </c>
      <c r="C825" t="s">
        <v>4058</v>
      </c>
      <c r="D825" t="s">
        <v>903</v>
      </c>
    </row>
    <row r="826" spans="1:4" x14ac:dyDescent="0.2">
      <c r="A826" t="s">
        <v>4061</v>
      </c>
      <c r="B826" t="s">
        <v>4062</v>
      </c>
      <c r="C826" t="s">
        <v>4063</v>
      </c>
      <c r="D826" t="s">
        <v>98</v>
      </c>
    </row>
    <row r="827" spans="1:4" x14ac:dyDescent="0.2">
      <c r="A827" t="s">
        <v>4064</v>
      </c>
      <c r="B827" t="s">
        <v>4065</v>
      </c>
      <c r="C827" t="s">
        <v>4063</v>
      </c>
      <c r="D827" t="s">
        <v>98</v>
      </c>
    </row>
    <row r="828" spans="1:4" x14ac:dyDescent="0.2">
      <c r="A828" t="s">
        <v>4066</v>
      </c>
      <c r="B828" t="s">
        <v>4067</v>
      </c>
      <c r="C828" t="s">
        <v>4068</v>
      </c>
      <c r="D828" t="s">
        <v>136</v>
      </c>
    </row>
    <row r="829" spans="1:4" x14ac:dyDescent="0.2">
      <c r="A829" t="s">
        <v>4069</v>
      </c>
      <c r="B829" t="s">
        <v>4070</v>
      </c>
      <c r="C829" t="s">
        <v>4071</v>
      </c>
      <c r="D829" t="s">
        <v>52</v>
      </c>
    </row>
    <row r="830" spans="1:4" x14ac:dyDescent="0.2">
      <c r="A830" t="s">
        <v>4072</v>
      </c>
      <c r="B830" t="s">
        <v>4073</v>
      </c>
      <c r="C830" t="s">
        <v>4071</v>
      </c>
      <c r="D830" t="s">
        <v>52</v>
      </c>
    </row>
    <row r="831" spans="1:4" x14ac:dyDescent="0.2">
      <c r="A831" t="s">
        <v>4074</v>
      </c>
      <c r="B831" t="s">
        <v>4075</v>
      </c>
      <c r="C831" t="s">
        <v>4076</v>
      </c>
      <c r="D831" t="s">
        <v>1334</v>
      </c>
    </row>
    <row r="832" spans="1:4" x14ac:dyDescent="0.2">
      <c r="A832" t="s">
        <v>4077</v>
      </c>
      <c r="B832" t="s">
        <v>4078</v>
      </c>
      <c r="C832" t="s">
        <v>4079</v>
      </c>
      <c r="D832" t="s">
        <v>25</v>
      </c>
    </row>
    <row r="833" spans="1:4" x14ac:dyDescent="0.2">
      <c r="A833" t="s">
        <v>4080</v>
      </c>
      <c r="B833" t="s">
        <v>4081</v>
      </c>
      <c r="C833" t="s">
        <v>4082</v>
      </c>
      <c r="D833" t="s">
        <v>716</v>
      </c>
    </row>
    <row r="834" spans="1:4" x14ac:dyDescent="0.2">
      <c r="A834" t="s">
        <v>4083</v>
      </c>
      <c r="B834" t="s">
        <v>4084</v>
      </c>
      <c r="C834" t="s">
        <v>4085</v>
      </c>
      <c r="D834" t="s">
        <v>25</v>
      </c>
    </row>
    <row r="835" spans="1:4" x14ac:dyDescent="0.2">
      <c r="A835" t="s">
        <v>4086</v>
      </c>
      <c r="B835" t="s">
        <v>4087</v>
      </c>
      <c r="C835" t="s">
        <v>4085</v>
      </c>
      <c r="D835" t="s">
        <v>548</v>
      </c>
    </row>
    <row r="836" spans="1:4" x14ac:dyDescent="0.2">
      <c r="A836" t="s">
        <v>4088</v>
      </c>
      <c r="B836" t="s">
        <v>4089</v>
      </c>
      <c r="C836" t="s">
        <v>4090</v>
      </c>
      <c r="D836" t="s">
        <v>244</v>
      </c>
    </row>
    <row r="837" spans="1:4" x14ac:dyDescent="0.2">
      <c r="A837" t="s">
        <v>4091</v>
      </c>
      <c r="B837" t="s">
        <v>4092</v>
      </c>
      <c r="C837" t="s">
        <v>4093</v>
      </c>
      <c r="D837" t="s">
        <v>2944</v>
      </c>
    </row>
    <row r="838" spans="1:4" x14ac:dyDescent="0.2">
      <c r="A838" t="s">
        <v>4094</v>
      </c>
      <c r="B838" t="s">
        <v>4095</v>
      </c>
      <c r="C838" t="s">
        <v>4096</v>
      </c>
      <c r="D838" t="s">
        <v>1334</v>
      </c>
    </row>
    <row r="839" spans="1:4" x14ac:dyDescent="0.2">
      <c r="A839" t="s">
        <v>4097</v>
      </c>
      <c r="B839" t="s">
        <v>4098</v>
      </c>
      <c r="C839" t="s">
        <v>4099</v>
      </c>
      <c r="D839" t="s">
        <v>4100</v>
      </c>
    </row>
    <row r="840" spans="1:4" x14ac:dyDescent="0.2">
      <c r="A840" t="s">
        <v>4101</v>
      </c>
      <c r="B840" t="s">
        <v>4102</v>
      </c>
      <c r="C840" t="s">
        <v>4103</v>
      </c>
      <c r="D840" t="s">
        <v>25</v>
      </c>
    </row>
    <row r="841" spans="1:4" x14ac:dyDescent="0.2">
      <c r="A841" t="s">
        <v>4104</v>
      </c>
      <c r="B841" t="s">
        <v>4105</v>
      </c>
      <c r="C841" t="s">
        <v>4103</v>
      </c>
      <c r="D841" t="s">
        <v>1357</v>
      </c>
    </row>
    <row r="842" spans="1:4" x14ac:dyDescent="0.2">
      <c r="A842" t="s">
        <v>4106</v>
      </c>
      <c r="B842" t="s">
        <v>4107</v>
      </c>
      <c r="C842" t="s">
        <v>4108</v>
      </c>
      <c r="D842" t="s">
        <v>25</v>
      </c>
    </row>
    <row r="843" spans="1:4" x14ac:dyDescent="0.2">
      <c r="A843" t="s">
        <v>4109</v>
      </c>
      <c r="B843" t="s">
        <v>4110</v>
      </c>
      <c r="C843" t="s">
        <v>4111</v>
      </c>
      <c r="D843" t="s">
        <v>95</v>
      </c>
    </row>
    <row r="844" spans="1:4" x14ac:dyDescent="0.2">
      <c r="A844" t="s">
        <v>4112</v>
      </c>
      <c r="B844" t="s">
        <v>4113</v>
      </c>
      <c r="C844" t="s">
        <v>4114</v>
      </c>
      <c r="D844" t="s">
        <v>25</v>
      </c>
    </row>
    <row r="845" spans="1:4" x14ac:dyDescent="0.2">
      <c r="A845" t="s">
        <v>4115</v>
      </c>
      <c r="B845" t="s">
        <v>4116</v>
      </c>
      <c r="C845" t="s">
        <v>4117</v>
      </c>
      <c r="D845" t="s">
        <v>25</v>
      </c>
    </row>
    <row r="846" spans="1:4" x14ac:dyDescent="0.2">
      <c r="A846" t="s">
        <v>4118</v>
      </c>
      <c r="B846" t="s">
        <v>4119</v>
      </c>
      <c r="C846" t="s">
        <v>4120</v>
      </c>
      <c r="D846" t="s">
        <v>25</v>
      </c>
    </row>
    <row r="847" spans="1:4" x14ac:dyDescent="0.2">
      <c r="A847" t="s">
        <v>4121</v>
      </c>
      <c r="B847" t="s">
        <v>4122</v>
      </c>
      <c r="C847" t="s">
        <v>4120</v>
      </c>
      <c r="D847" t="s">
        <v>569</v>
      </c>
    </row>
    <row r="848" spans="1:4" x14ac:dyDescent="0.2">
      <c r="A848" t="s">
        <v>4123</v>
      </c>
      <c r="B848" t="s">
        <v>4124</v>
      </c>
      <c r="C848" t="s">
        <v>4125</v>
      </c>
      <c r="D848" t="s">
        <v>136</v>
      </c>
    </row>
    <row r="849" spans="1:4" x14ac:dyDescent="0.2">
      <c r="A849" t="s">
        <v>144</v>
      </c>
      <c r="B849" t="s">
        <v>4126</v>
      </c>
      <c r="C849" t="s">
        <v>4127</v>
      </c>
      <c r="D849" t="s">
        <v>25</v>
      </c>
    </row>
    <row r="850" spans="1:4" x14ac:dyDescent="0.2">
      <c r="A850" t="s">
        <v>4128</v>
      </c>
      <c r="B850" t="s">
        <v>4129</v>
      </c>
      <c r="C850" t="s">
        <v>4127</v>
      </c>
      <c r="D850" t="s">
        <v>52</v>
      </c>
    </row>
    <row r="851" spans="1:4" x14ac:dyDescent="0.2">
      <c r="A851" t="s">
        <v>4130</v>
      </c>
      <c r="B851" t="s">
        <v>4131</v>
      </c>
      <c r="C851" t="s">
        <v>4132</v>
      </c>
      <c r="D851" t="s">
        <v>98</v>
      </c>
    </row>
    <row r="852" spans="1:4" x14ac:dyDescent="0.2">
      <c r="A852" t="s">
        <v>4133</v>
      </c>
      <c r="B852" t="s">
        <v>4134</v>
      </c>
      <c r="C852" t="s">
        <v>4132</v>
      </c>
      <c r="D852" t="s">
        <v>1357</v>
      </c>
    </row>
    <row r="853" spans="1:4" x14ac:dyDescent="0.2">
      <c r="A853" t="s">
        <v>4135</v>
      </c>
      <c r="B853" t="s">
        <v>4136</v>
      </c>
      <c r="C853" t="s">
        <v>4137</v>
      </c>
      <c r="D853" t="s">
        <v>1357</v>
      </c>
    </row>
    <row r="854" spans="1:4" x14ac:dyDescent="0.2">
      <c r="A854" t="s">
        <v>4138</v>
      </c>
      <c r="B854" t="s">
        <v>4139</v>
      </c>
      <c r="C854" t="s">
        <v>4140</v>
      </c>
      <c r="D854" t="s">
        <v>25</v>
      </c>
    </row>
    <row r="855" spans="1:4" x14ac:dyDescent="0.2">
      <c r="A855" t="s">
        <v>4141</v>
      </c>
      <c r="B855" t="s">
        <v>4142</v>
      </c>
      <c r="C855" t="s">
        <v>4143</v>
      </c>
      <c r="D855" t="s">
        <v>98</v>
      </c>
    </row>
    <row r="856" spans="1:4" x14ac:dyDescent="0.2">
      <c r="A856" t="s">
        <v>4144</v>
      </c>
      <c r="B856" t="s">
        <v>4145</v>
      </c>
      <c r="C856" t="s">
        <v>4143</v>
      </c>
      <c r="D856" t="s">
        <v>199</v>
      </c>
    </row>
    <row r="857" spans="1:4" x14ac:dyDescent="0.2">
      <c r="A857" t="s">
        <v>4146</v>
      </c>
      <c r="B857" t="s">
        <v>4147</v>
      </c>
      <c r="C857" t="s">
        <v>4148</v>
      </c>
      <c r="D857" t="s">
        <v>25</v>
      </c>
    </row>
    <row r="858" spans="1:4" x14ac:dyDescent="0.2">
      <c r="A858" t="s">
        <v>4149</v>
      </c>
      <c r="B858" t="s">
        <v>4150</v>
      </c>
      <c r="C858" t="s">
        <v>4151</v>
      </c>
      <c r="D858" t="s">
        <v>25</v>
      </c>
    </row>
    <row r="859" spans="1:4" x14ac:dyDescent="0.2">
      <c r="A859" t="s">
        <v>4152</v>
      </c>
      <c r="B859" t="s">
        <v>4153</v>
      </c>
      <c r="C859" t="s">
        <v>4154</v>
      </c>
      <c r="D859" t="s">
        <v>2360</v>
      </c>
    </row>
    <row r="860" spans="1:4" x14ac:dyDescent="0.2">
      <c r="A860" t="s">
        <v>4155</v>
      </c>
      <c r="B860" t="s">
        <v>4156</v>
      </c>
      <c r="C860" t="s">
        <v>4157</v>
      </c>
      <c r="D860" t="s">
        <v>25</v>
      </c>
    </row>
    <row r="861" spans="1:4" x14ac:dyDescent="0.2">
      <c r="A861" t="s">
        <v>4158</v>
      </c>
      <c r="B861" t="s">
        <v>4159</v>
      </c>
      <c r="C861" t="s">
        <v>4160</v>
      </c>
      <c r="D861" t="s">
        <v>25</v>
      </c>
    </row>
    <row r="862" spans="1:4" x14ac:dyDescent="0.2">
      <c r="A862" t="s">
        <v>4161</v>
      </c>
      <c r="B862" t="s">
        <v>4162</v>
      </c>
      <c r="C862" t="s">
        <v>4163</v>
      </c>
      <c r="D862" t="s">
        <v>20</v>
      </c>
    </row>
    <row r="863" spans="1:4" x14ac:dyDescent="0.2">
      <c r="A863" t="s">
        <v>4164</v>
      </c>
      <c r="B863" t="s">
        <v>4165</v>
      </c>
      <c r="C863" t="s">
        <v>4166</v>
      </c>
      <c r="D863" t="s">
        <v>25</v>
      </c>
    </row>
    <row r="864" spans="1:4" x14ac:dyDescent="0.2">
      <c r="A864" t="s">
        <v>4167</v>
      </c>
      <c r="B864" t="s">
        <v>4168</v>
      </c>
      <c r="C864" t="s">
        <v>4166</v>
      </c>
      <c r="D864" t="s">
        <v>25</v>
      </c>
    </row>
    <row r="865" spans="1:4" x14ac:dyDescent="0.2">
      <c r="A865" t="s">
        <v>4169</v>
      </c>
      <c r="B865" t="s">
        <v>4170</v>
      </c>
      <c r="C865" t="s">
        <v>4171</v>
      </c>
      <c r="D865" t="s">
        <v>25</v>
      </c>
    </row>
    <row r="866" spans="1:4" x14ac:dyDescent="0.2">
      <c r="A866" t="s">
        <v>4172</v>
      </c>
      <c r="B866" t="s">
        <v>4173</v>
      </c>
      <c r="C866" t="s">
        <v>4174</v>
      </c>
      <c r="D866" t="s">
        <v>1357</v>
      </c>
    </row>
    <row r="867" spans="1:4" x14ac:dyDescent="0.2">
      <c r="A867" t="s">
        <v>4175</v>
      </c>
      <c r="B867" t="s">
        <v>4176</v>
      </c>
      <c r="C867" t="s">
        <v>4177</v>
      </c>
      <c r="D867" t="s">
        <v>25</v>
      </c>
    </row>
    <row r="868" spans="1:4" x14ac:dyDescent="0.2">
      <c r="A868" t="s">
        <v>4178</v>
      </c>
      <c r="B868" t="s">
        <v>4179</v>
      </c>
      <c r="C868" t="s">
        <v>4177</v>
      </c>
      <c r="D868" t="s">
        <v>569</v>
      </c>
    </row>
    <row r="869" spans="1:4" x14ac:dyDescent="0.2">
      <c r="A869" t="s">
        <v>4180</v>
      </c>
      <c r="B869" t="s">
        <v>4181</v>
      </c>
      <c r="C869" t="s">
        <v>4182</v>
      </c>
      <c r="D869" t="s">
        <v>25</v>
      </c>
    </row>
    <row r="870" spans="1:4" x14ac:dyDescent="0.2">
      <c r="A870" t="s">
        <v>4183</v>
      </c>
      <c r="B870" t="s">
        <v>4184</v>
      </c>
      <c r="C870" t="s">
        <v>4185</v>
      </c>
      <c r="D870" t="s">
        <v>25</v>
      </c>
    </row>
    <row r="871" spans="1:4" x14ac:dyDescent="0.2">
      <c r="A871" t="s">
        <v>4186</v>
      </c>
      <c r="B871" t="s">
        <v>4187</v>
      </c>
      <c r="C871" t="s">
        <v>4185</v>
      </c>
      <c r="D871" t="s">
        <v>20</v>
      </c>
    </row>
    <row r="872" spans="1:4" x14ac:dyDescent="0.2">
      <c r="A872" t="s">
        <v>4188</v>
      </c>
      <c r="B872" t="s">
        <v>4189</v>
      </c>
      <c r="C872" t="s">
        <v>4190</v>
      </c>
      <c r="D872" t="s">
        <v>25</v>
      </c>
    </row>
    <row r="873" spans="1:4" x14ac:dyDescent="0.2">
      <c r="A873" t="s">
        <v>4191</v>
      </c>
      <c r="B873" t="s">
        <v>4192</v>
      </c>
      <c r="C873" t="s">
        <v>4193</v>
      </c>
      <c r="D873" t="s">
        <v>52</v>
      </c>
    </row>
    <row r="874" spans="1:4" x14ac:dyDescent="0.2">
      <c r="A874" t="s">
        <v>4194</v>
      </c>
      <c r="B874" t="s">
        <v>4195</v>
      </c>
      <c r="C874" t="s">
        <v>4196</v>
      </c>
      <c r="D874" t="s">
        <v>136</v>
      </c>
    </row>
    <row r="875" spans="1:4" x14ac:dyDescent="0.2">
      <c r="A875" t="s">
        <v>4197</v>
      </c>
      <c r="B875" t="s">
        <v>4198</v>
      </c>
      <c r="C875" t="s">
        <v>4199</v>
      </c>
      <c r="D875" t="s">
        <v>25</v>
      </c>
    </row>
    <row r="876" spans="1:4" x14ac:dyDescent="0.2">
      <c r="A876" t="s">
        <v>4200</v>
      </c>
      <c r="B876" t="s">
        <v>4201</v>
      </c>
      <c r="C876" t="s">
        <v>4202</v>
      </c>
      <c r="D876" t="s">
        <v>446</v>
      </c>
    </row>
    <row r="877" spans="1:4" x14ac:dyDescent="0.2">
      <c r="A877" t="s">
        <v>4203</v>
      </c>
      <c r="B877" t="s">
        <v>4204</v>
      </c>
      <c r="C877" t="s">
        <v>4205</v>
      </c>
      <c r="D877" t="s">
        <v>25</v>
      </c>
    </row>
    <row r="878" spans="1:4" x14ac:dyDescent="0.2">
      <c r="A878" t="s">
        <v>4206</v>
      </c>
      <c r="B878" t="s">
        <v>4207</v>
      </c>
      <c r="C878" t="s">
        <v>4205</v>
      </c>
      <c r="D878" t="s">
        <v>25</v>
      </c>
    </row>
    <row r="879" spans="1:4" x14ac:dyDescent="0.2">
      <c r="A879" t="s">
        <v>4208</v>
      </c>
      <c r="B879" t="s">
        <v>4209</v>
      </c>
      <c r="C879" t="s">
        <v>4210</v>
      </c>
      <c r="D879" t="s">
        <v>25</v>
      </c>
    </row>
    <row r="880" spans="1:4" x14ac:dyDescent="0.2">
      <c r="A880" t="s">
        <v>4211</v>
      </c>
      <c r="B880" t="s">
        <v>4212</v>
      </c>
      <c r="C880" t="s">
        <v>4210</v>
      </c>
      <c r="D880" t="s">
        <v>25</v>
      </c>
    </row>
    <row r="881" spans="1:4" x14ac:dyDescent="0.2">
      <c r="A881" t="s">
        <v>4213</v>
      </c>
      <c r="B881" t="s">
        <v>4214</v>
      </c>
      <c r="C881" t="s">
        <v>4210</v>
      </c>
      <c r="D881" t="s">
        <v>25</v>
      </c>
    </row>
    <row r="882" spans="1:4" x14ac:dyDescent="0.2">
      <c r="A882" t="s">
        <v>4215</v>
      </c>
      <c r="B882" t="s">
        <v>4216</v>
      </c>
      <c r="C882" t="s">
        <v>4217</v>
      </c>
      <c r="D882" t="s">
        <v>25</v>
      </c>
    </row>
    <row r="883" spans="1:4" x14ac:dyDescent="0.2">
      <c r="A883" t="s">
        <v>4218</v>
      </c>
      <c r="B883" t="s">
        <v>4219</v>
      </c>
      <c r="C883" t="s">
        <v>4220</v>
      </c>
      <c r="D883" t="s">
        <v>548</v>
      </c>
    </row>
    <row r="884" spans="1:4" x14ac:dyDescent="0.2">
      <c r="A884" t="s">
        <v>4221</v>
      </c>
      <c r="B884" t="s">
        <v>4222</v>
      </c>
      <c r="C884" t="s">
        <v>4223</v>
      </c>
      <c r="D884" t="s">
        <v>1141</v>
      </c>
    </row>
    <row r="885" spans="1:4" x14ac:dyDescent="0.2">
      <c r="A885" t="s">
        <v>4224</v>
      </c>
      <c r="B885" t="s">
        <v>4225</v>
      </c>
      <c r="C885" t="s">
        <v>4226</v>
      </c>
      <c r="D885" t="s">
        <v>25</v>
      </c>
    </row>
    <row r="886" spans="1:4" x14ac:dyDescent="0.2">
      <c r="A886" t="s">
        <v>4227</v>
      </c>
      <c r="B886" t="s">
        <v>4228</v>
      </c>
      <c r="C886" t="s">
        <v>4226</v>
      </c>
      <c r="D886" t="s">
        <v>25</v>
      </c>
    </row>
    <row r="887" spans="1:4" x14ac:dyDescent="0.2">
      <c r="A887" t="s">
        <v>4229</v>
      </c>
      <c r="B887" t="s">
        <v>4230</v>
      </c>
      <c r="C887" t="s">
        <v>4226</v>
      </c>
      <c r="D887" t="s">
        <v>136</v>
      </c>
    </row>
    <row r="888" spans="1:4" x14ac:dyDescent="0.2">
      <c r="A888" t="s">
        <v>2111</v>
      </c>
      <c r="B888" t="s">
        <v>4231</v>
      </c>
      <c r="C888" t="s">
        <v>4232</v>
      </c>
      <c r="D888" t="s">
        <v>25</v>
      </c>
    </row>
    <row r="889" spans="1:4" x14ac:dyDescent="0.2">
      <c r="A889" t="s">
        <v>4233</v>
      </c>
      <c r="B889" t="s">
        <v>4234</v>
      </c>
      <c r="C889" t="s">
        <v>4235</v>
      </c>
      <c r="D889" t="s">
        <v>993</v>
      </c>
    </row>
    <row r="890" spans="1:4" x14ac:dyDescent="0.2">
      <c r="A890" t="s">
        <v>4236</v>
      </c>
      <c r="B890" t="s">
        <v>4237</v>
      </c>
      <c r="C890" t="s">
        <v>4235</v>
      </c>
      <c r="D890" t="s">
        <v>25</v>
      </c>
    </row>
    <row r="891" spans="1:4" x14ac:dyDescent="0.2">
      <c r="A891" t="s">
        <v>4238</v>
      </c>
      <c r="B891" t="s">
        <v>4239</v>
      </c>
      <c r="C891" t="s">
        <v>4235</v>
      </c>
      <c r="D891" t="s">
        <v>1357</v>
      </c>
    </row>
    <row r="892" spans="1:4" x14ac:dyDescent="0.2">
      <c r="A892" t="s">
        <v>4240</v>
      </c>
      <c r="B892" t="s">
        <v>4241</v>
      </c>
      <c r="C892" t="s">
        <v>4242</v>
      </c>
      <c r="D892" t="s">
        <v>25</v>
      </c>
    </row>
    <row r="893" spans="1:4" x14ac:dyDescent="0.2">
      <c r="A893" t="s">
        <v>4243</v>
      </c>
      <c r="B893" t="s">
        <v>4244</v>
      </c>
      <c r="C893" t="s">
        <v>4242</v>
      </c>
      <c r="D893" t="s">
        <v>98</v>
      </c>
    </row>
    <row r="894" spans="1:4" x14ac:dyDescent="0.2">
      <c r="A894" t="s">
        <v>4245</v>
      </c>
      <c r="B894" t="s">
        <v>4246</v>
      </c>
      <c r="C894" t="s">
        <v>4247</v>
      </c>
      <c r="D894" t="s">
        <v>25</v>
      </c>
    </row>
    <row r="895" spans="1:4" x14ac:dyDescent="0.2">
      <c r="A895" t="s">
        <v>4248</v>
      </c>
      <c r="B895" t="s">
        <v>4249</v>
      </c>
      <c r="C895" t="s">
        <v>4250</v>
      </c>
      <c r="D895" t="s">
        <v>25</v>
      </c>
    </row>
    <row r="896" spans="1:4" x14ac:dyDescent="0.2">
      <c r="A896" t="s">
        <v>4251</v>
      </c>
      <c r="B896" t="s">
        <v>4252</v>
      </c>
      <c r="C896" t="s">
        <v>4253</v>
      </c>
      <c r="D896" t="s">
        <v>25</v>
      </c>
    </row>
    <row r="897" spans="1:4" x14ac:dyDescent="0.2">
      <c r="A897" t="s">
        <v>4254</v>
      </c>
      <c r="B897" t="s">
        <v>4255</v>
      </c>
      <c r="C897" t="s">
        <v>4256</v>
      </c>
      <c r="D897" t="s">
        <v>25</v>
      </c>
    </row>
    <row r="898" spans="1:4" x14ac:dyDescent="0.2">
      <c r="A898" t="s">
        <v>4257</v>
      </c>
      <c r="B898" t="s">
        <v>4258</v>
      </c>
      <c r="C898" t="s">
        <v>4259</v>
      </c>
      <c r="D898" t="s">
        <v>569</v>
      </c>
    </row>
    <row r="899" spans="1:4" x14ac:dyDescent="0.2">
      <c r="A899" t="s">
        <v>4260</v>
      </c>
      <c r="B899" t="s">
        <v>4261</v>
      </c>
      <c r="C899" t="s">
        <v>4259</v>
      </c>
      <c r="D899" t="s">
        <v>20</v>
      </c>
    </row>
    <row r="900" spans="1:4" x14ac:dyDescent="0.2">
      <c r="A900" t="s">
        <v>4262</v>
      </c>
      <c r="B900" t="s">
        <v>4263</v>
      </c>
      <c r="C900" t="s">
        <v>4264</v>
      </c>
      <c r="D900" t="s">
        <v>25</v>
      </c>
    </row>
    <row r="901" spans="1:4" x14ac:dyDescent="0.2">
      <c r="A901" t="s">
        <v>4265</v>
      </c>
      <c r="B901" t="s">
        <v>4266</v>
      </c>
      <c r="C901" t="s">
        <v>4264</v>
      </c>
      <c r="D901" t="s">
        <v>25</v>
      </c>
    </row>
    <row r="902" spans="1:4" x14ac:dyDescent="0.2">
      <c r="A902" t="s">
        <v>4267</v>
      </c>
      <c r="B902" t="s">
        <v>4268</v>
      </c>
      <c r="C902" t="s">
        <v>4269</v>
      </c>
      <c r="D902" t="s">
        <v>20</v>
      </c>
    </row>
    <row r="903" spans="1:4" x14ac:dyDescent="0.2">
      <c r="A903" t="s">
        <v>4270</v>
      </c>
      <c r="B903" t="s">
        <v>4271</v>
      </c>
      <c r="C903" t="s">
        <v>4269</v>
      </c>
      <c r="D903" t="s">
        <v>548</v>
      </c>
    </row>
    <row r="904" spans="1:4" x14ac:dyDescent="0.2">
      <c r="A904" t="s">
        <v>4272</v>
      </c>
      <c r="B904" t="s">
        <v>4273</v>
      </c>
      <c r="C904" t="s">
        <v>4274</v>
      </c>
      <c r="D904" t="s">
        <v>25</v>
      </c>
    </row>
    <row r="905" spans="1:4" x14ac:dyDescent="0.2">
      <c r="A905" t="s">
        <v>4275</v>
      </c>
      <c r="B905" t="s">
        <v>4276</v>
      </c>
      <c r="C905" t="s">
        <v>4277</v>
      </c>
      <c r="D905" t="s">
        <v>20</v>
      </c>
    </row>
    <row r="906" spans="1:4" x14ac:dyDescent="0.2">
      <c r="A906" t="s">
        <v>4278</v>
      </c>
      <c r="B906" t="s">
        <v>4279</v>
      </c>
      <c r="C906" t="s">
        <v>4280</v>
      </c>
      <c r="D906" t="s">
        <v>20</v>
      </c>
    </row>
    <row r="907" spans="1:4" x14ac:dyDescent="0.2">
      <c r="A907" t="s">
        <v>4281</v>
      </c>
      <c r="B907" t="s">
        <v>4282</v>
      </c>
      <c r="C907" t="s">
        <v>4283</v>
      </c>
      <c r="D907" t="s">
        <v>25</v>
      </c>
    </row>
    <row r="908" spans="1:4" x14ac:dyDescent="0.2">
      <c r="A908" t="s">
        <v>4284</v>
      </c>
      <c r="B908" t="s">
        <v>4285</v>
      </c>
      <c r="C908" t="s">
        <v>4283</v>
      </c>
      <c r="D908" t="s">
        <v>965</v>
      </c>
    </row>
    <row r="909" spans="1:4" x14ac:dyDescent="0.2">
      <c r="A909" t="s">
        <v>4286</v>
      </c>
      <c r="B909" t="s">
        <v>4287</v>
      </c>
      <c r="C909" t="s">
        <v>4288</v>
      </c>
      <c r="D909" t="s">
        <v>569</v>
      </c>
    </row>
    <row r="910" spans="1:4" x14ac:dyDescent="0.2">
      <c r="A910" t="s">
        <v>4289</v>
      </c>
      <c r="B910" t="s">
        <v>4290</v>
      </c>
      <c r="C910" t="s">
        <v>4288</v>
      </c>
      <c r="D910" t="s">
        <v>199</v>
      </c>
    </row>
    <row r="911" spans="1:4" x14ac:dyDescent="0.2">
      <c r="A911" t="s">
        <v>4291</v>
      </c>
      <c r="B911" t="s">
        <v>4292</v>
      </c>
      <c r="C911" t="s">
        <v>4288</v>
      </c>
      <c r="D911" t="s">
        <v>25</v>
      </c>
    </row>
    <row r="912" spans="1:4" x14ac:dyDescent="0.2">
      <c r="A912" t="s">
        <v>4293</v>
      </c>
      <c r="B912" t="s">
        <v>4294</v>
      </c>
      <c r="C912" t="s">
        <v>4295</v>
      </c>
      <c r="D912" t="s">
        <v>25</v>
      </c>
    </row>
    <row r="913" spans="1:4" x14ac:dyDescent="0.2">
      <c r="A913" t="s">
        <v>4296</v>
      </c>
      <c r="B913" t="s">
        <v>4297</v>
      </c>
      <c r="C913" t="s">
        <v>4295</v>
      </c>
      <c r="D913" t="s">
        <v>1357</v>
      </c>
    </row>
    <row r="914" spans="1:4" x14ac:dyDescent="0.2">
      <c r="A914" t="s">
        <v>4298</v>
      </c>
      <c r="B914" t="s">
        <v>4299</v>
      </c>
      <c r="C914" t="s">
        <v>4300</v>
      </c>
      <c r="D914" t="s">
        <v>20</v>
      </c>
    </row>
    <row r="915" spans="1:4" x14ac:dyDescent="0.2">
      <c r="A915" t="s">
        <v>4301</v>
      </c>
      <c r="B915" t="s">
        <v>4302</v>
      </c>
      <c r="C915" t="s">
        <v>4303</v>
      </c>
      <c r="D915" t="s">
        <v>14</v>
      </c>
    </row>
    <row r="916" spans="1:4" x14ac:dyDescent="0.2">
      <c r="A916" t="s">
        <v>4304</v>
      </c>
      <c r="B916" t="s">
        <v>4305</v>
      </c>
      <c r="C916" t="s">
        <v>4303</v>
      </c>
      <c r="D916" t="s">
        <v>25</v>
      </c>
    </row>
    <row r="917" spans="1:4" x14ac:dyDescent="0.2">
      <c r="A917" t="s">
        <v>4306</v>
      </c>
      <c r="B917" t="s">
        <v>4307</v>
      </c>
      <c r="C917" t="s">
        <v>4303</v>
      </c>
      <c r="D917" t="s">
        <v>244</v>
      </c>
    </row>
    <row r="918" spans="1:4" x14ac:dyDescent="0.2">
      <c r="A918" t="s">
        <v>4308</v>
      </c>
      <c r="B918" t="s">
        <v>4309</v>
      </c>
      <c r="C918" t="s">
        <v>4310</v>
      </c>
      <c r="D918" t="s">
        <v>25</v>
      </c>
    </row>
    <row r="919" spans="1:4" x14ac:dyDescent="0.2">
      <c r="A919" t="s">
        <v>4311</v>
      </c>
      <c r="B919" t="s">
        <v>4312</v>
      </c>
      <c r="C919" t="s">
        <v>4310</v>
      </c>
      <c r="D919" t="s">
        <v>1357</v>
      </c>
    </row>
    <row r="920" spans="1:4" x14ac:dyDescent="0.2">
      <c r="A920" t="s">
        <v>4313</v>
      </c>
      <c r="B920" t="s">
        <v>4314</v>
      </c>
      <c r="C920" t="s">
        <v>4310</v>
      </c>
      <c r="D920" t="s">
        <v>25</v>
      </c>
    </row>
    <row r="921" spans="1:4" x14ac:dyDescent="0.2">
      <c r="A921" t="s">
        <v>4315</v>
      </c>
      <c r="B921" t="s">
        <v>4316</v>
      </c>
      <c r="C921" t="s">
        <v>4310</v>
      </c>
      <c r="D921" t="s">
        <v>98</v>
      </c>
    </row>
    <row r="922" spans="1:4" x14ac:dyDescent="0.2">
      <c r="A922" t="s">
        <v>4317</v>
      </c>
      <c r="B922" t="s">
        <v>4318</v>
      </c>
      <c r="C922" t="s">
        <v>4310</v>
      </c>
      <c r="D922" t="s">
        <v>136</v>
      </c>
    </row>
    <row r="923" spans="1:4" x14ac:dyDescent="0.2">
      <c r="A923" t="s">
        <v>4319</v>
      </c>
      <c r="B923" t="s">
        <v>4320</v>
      </c>
      <c r="C923" t="s">
        <v>4321</v>
      </c>
      <c r="D923" t="s">
        <v>25</v>
      </c>
    </row>
    <row r="924" spans="1:4" x14ac:dyDescent="0.2">
      <c r="A924" t="s">
        <v>4322</v>
      </c>
      <c r="B924" t="s">
        <v>4323</v>
      </c>
      <c r="C924" t="s">
        <v>4324</v>
      </c>
      <c r="D924" t="s">
        <v>25</v>
      </c>
    </row>
    <row r="925" spans="1:4" x14ac:dyDescent="0.2">
      <c r="A925" t="s">
        <v>4325</v>
      </c>
      <c r="B925" t="s">
        <v>4326</v>
      </c>
      <c r="C925" t="s">
        <v>4327</v>
      </c>
      <c r="D925" t="s">
        <v>20</v>
      </c>
    </row>
    <row r="926" spans="1:4" x14ac:dyDescent="0.2">
      <c r="A926" t="s">
        <v>4328</v>
      </c>
      <c r="B926" t="s">
        <v>4329</v>
      </c>
      <c r="C926" t="s">
        <v>4330</v>
      </c>
      <c r="D926" t="s">
        <v>1141</v>
      </c>
    </row>
    <row r="927" spans="1:4" x14ac:dyDescent="0.2">
      <c r="A927" t="s">
        <v>4331</v>
      </c>
      <c r="B927" t="s">
        <v>4332</v>
      </c>
      <c r="C927" t="s">
        <v>4333</v>
      </c>
      <c r="D927" t="s">
        <v>569</v>
      </c>
    </row>
    <row r="928" spans="1:4" x14ac:dyDescent="0.2">
      <c r="A928" t="s">
        <v>4334</v>
      </c>
      <c r="B928" t="s">
        <v>4335</v>
      </c>
      <c r="C928" t="s">
        <v>4336</v>
      </c>
      <c r="D928" t="s">
        <v>25</v>
      </c>
    </row>
    <row r="929" spans="1:4" x14ac:dyDescent="0.2">
      <c r="A929" t="s">
        <v>4337</v>
      </c>
      <c r="B929" t="s">
        <v>4338</v>
      </c>
      <c r="C929" t="s">
        <v>4339</v>
      </c>
      <c r="D929" t="s">
        <v>25</v>
      </c>
    </row>
    <row r="930" spans="1:4" x14ac:dyDescent="0.2">
      <c r="A930" t="s">
        <v>4340</v>
      </c>
      <c r="B930" t="s">
        <v>4341</v>
      </c>
      <c r="C930" t="s">
        <v>4339</v>
      </c>
      <c r="D930" t="s">
        <v>20</v>
      </c>
    </row>
    <row r="931" spans="1:4" x14ac:dyDescent="0.2">
      <c r="A931" t="s">
        <v>4342</v>
      </c>
      <c r="B931" t="s">
        <v>4343</v>
      </c>
      <c r="C931" t="s">
        <v>4339</v>
      </c>
      <c r="D931" t="s">
        <v>244</v>
      </c>
    </row>
    <row r="932" spans="1:4" x14ac:dyDescent="0.2">
      <c r="A932" t="s">
        <v>4344</v>
      </c>
      <c r="B932" t="s">
        <v>4345</v>
      </c>
      <c r="C932" t="s">
        <v>4346</v>
      </c>
      <c r="D932" t="s">
        <v>25</v>
      </c>
    </row>
    <row r="933" spans="1:4" x14ac:dyDescent="0.2">
      <c r="A933" t="s">
        <v>4347</v>
      </c>
      <c r="B933" t="s">
        <v>4348</v>
      </c>
      <c r="C933" t="s">
        <v>4346</v>
      </c>
      <c r="D933" t="s">
        <v>25</v>
      </c>
    </row>
    <row r="934" spans="1:4" x14ac:dyDescent="0.2">
      <c r="A934" t="s">
        <v>4349</v>
      </c>
      <c r="B934" t="s">
        <v>4350</v>
      </c>
      <c r="C934" t="s">
        <v>4351</v>
      </c>
      <c r="D934" t="s">
        <v>25</v>
      </c>
    </row>
    <row r="935" spans="1:4" x14ac:dyDescent="0.2">
      <c r="A935" t="s">
        <v>4352</v>
      </c>
      <c r="B935" t="s">
        <v>4353</v>
      </c>
      <c r="C935" t="s">
        <v>4351</v>
      </c>
      <c r="D935" t="s">
        <v>2360</v>
      </c>
    </row>
    <row r="936" spans="1:4" x14ac:dyDescent="0.2">
      <c r="A936" t="s">
        <v>4354</v>
      </c>
      <c r="B936" t="s">
        <v>4355</v>
      </c>
      <c r="C936" t="s">
        <v>4356</v>
      </c>
      <c r="D936" t="s">
        <v>25</v>
      </c>
    </row>
    <row r="937" spans="1:4" x14ac:dyDescent="0.2">
      <c r="A937" t="s">
        <v>4357</v>
      </c>
      <c r="B937" t="s">
        <v>4358</v>
      </c>
      <c r="C937" t="s">
        <v>4359</v>
      </c>
      <c r="D937" t="s">
        <v>569</v>
      </c>
    </row>
    <row r="938" spans="1:4" x14ac:dyDescent="0.2">
      <c r="A938" t="s">
        <v>4360</v>
      </c>
      <c r="B938" t="s">
        <v>4361</v>
      </c>
      <c r="C938" t="s">
        <v>4362</v>
      </c>
      <c r="D938" t="s">
        <v>25</v>
      </c>
    </row>
    <row r="939" spans="1:4" x14ac:dyDescent="0.2">
      <c r="A939" t="s">
        <v>4363</v>
      </c>
      <c r="B939" t="s">
        <v>4364</v>
      </c>
      <c r="C939" t="s">
        <v>4365</v>
      </c>
      <c r="D939" t="s">
        <v>95</v>
      </c>
    </row>
    <row r="940" spans="1:4" x14ac:dyDescent="0.2">
      <c r="A940" t="s">
        <v>4366</v>
      </c>
      <c r="B940" t="s">
        <v>4367</v>
      </c>
      <c r="C940" t="s">
        <v>4368</v>
      </c>
      <c r="D940" t="s">
        <v>20</v>
      </c>
    </row>
    <row r="941" spans="1:4" x14ac:dyDescent="0.2">
      <c r="A941" t="s">
        <v>4369</v>
      </c>
      <c r="B941" t="s">
        <v>4370</v>
      </c>
      <c r="C941" t="s">
        <v>4368</v>
      </c>
      <c r="D941" t="s">
        <v>2452</v>
      </c>
    </row>
    <row r="942" spans="1:4" x14ac:dyDescent="0.2">
      <c r="A942" t="s">
        <v>4371</v>
      </c>
      <c r="B942" t="s">
        <v>4372</v>
      </c>
      <c r="C942" t="s">
        <v>4368</v>
      </c>
      <c r="D942" t="s">
        <v>25</v>
      </c>
    </row>
    <row r="943" spans="1:4" x14ac:dyDescent="0.2">
      <c r="A943" t="s">
        <v>4373</v>
      </c>
      <c r="B943" t="s">
        <v>4374</v>
      </c>
      <c r="C943" t="s">
        <v>4375</v>
      </c>
      <c r="D943" t="s">
        <v>569</v>
      </c>
    </row>
    <row r="944" spans="1:4" x14ac:dyDescent="0.2">
      <c r="A944" t="s">
        <v>4376</v>
      </c>
      <c r="B944" t="s">
        <v>4377</v>
      </c>
      <c r="C944" t="s">
        <v>4375</v>
      </c>
      <c r="D944" t="s">
        <v>20</v>
      </c>
    </row>
    <row r="945" spans="1:4" x14ac:dyDescent="0.2">
      <c r="A945" t="s">
        <v>4378</v>
      </c>
      <c r="B945" t="s">
        <v>4379</v>
      </c>
      <c r="C945" t="s">
        <v>4375</v>
      </c>
      <c r="D945" t="s">
        <v>25</v>
      </c>
    </row>
    <row r="946" spans="1:4" x14ac:dyDescent="0.2">
      <c r="A946" t="s">
        <v>4380</v>
      </c>
      <c r="B946" t="s">
        <v>4381</v>
      </c>
      <c r="C946" t="s">
        <v>4375</v>
      </c>
      <c r="D946" t="s">
        <v>1357</v>
      </c>
    </row>
    <row r="947" spans="1:4" x14ac:dyDescent="0.2">
      <c r="A947" t="s">
        <v>4382</v>
      </c>
      <c r="B947" t="s">
        <v>4383</v>
      </c>
      <c r="C947" t="s">
        <v>4384</v>
      </c>
      <c r="D947" t="s">
        <v>244</v>
      </c>
    </row>
    <row r="948" spans="1:4" x14ac:dyDescent="0.2">
      <c r="A948" t="s">
        <v>4385</v>
      </c>
      <c r="B948" t="s">
        <v>4386</v>
      </c>
      <c r="C948" t="s">
        <v>4387</v>
      </c>
      <c r="D948" t="s">
        <v>25</v>
      </c>
    </row>
    <row r="949" spans="1:4" x14ac:dyDescent="0.2">
      <c r="A949" t="s">
        <v>4388</v>
      </c>
      <c r="B949" t="s">
        <v>4389</v>
      </c>
      <c r="C949" t="s">
        <v>4387</v>
      </c>
      <c r="D949" t="s">
        <v>569</v>
      </c>
    </row>
    <row r="950" spans="1:4" x14ac:dyDescent="0.2">
      <c r="A950" t="s">
        <v>4390</v>
      </c>
      <c r="B950" t="s">
        <v>4391</v>
      </c>
      <c r="C950" t="s">
        <v>4387</v>
      </c>
      <c r="D950" t="s">
        <v>25</v>
      </c>
    </row>
    <row r="951" spans="1:4" x14ac:dyDescent="0.2">
      <c r="A951" t="s">
        <v>4392</v>
      </c>
      <c r="B951" t="s">
        <v>4393</v>
      </c>
      <c r="C951" t="s">
        <v>4394</v>
      </c>
      <c r="D951" t="s">
        <v>25</v>
      </c>
    </row>
    <row r="952" spans="1:4" x14ac:dyDescent="0.2">
      <c r="A952" t="s">
        <v>4395</v>
      </c>
      <c r="B952" t="s">
        <v>4396</v>
      </c>
      <c r="C952" t="s">
        <v>4394</v>
      </c>
      <c r="D952" t="s">
        <v>25</v>
      </c>
    </row>
    <row r="953" spans="1:4" x14ac:dyDescent="0.2">
      <c r="A953" t="s">
        <v>4397</v>
      </c>
      <c r="B953" t="s">
        <v>4398</v>
      </c>
      <c r="C953" t="s">
        <v>4394</v>
      </c>
      <c r="D953" t="s">
        <v>25</v>
      </c>
    </row>
    <row r="954" spans="1:4" x14ac:dyDescent="0.2">
      <c r="A954" t="s">
        <v>4399</v>
      </c>
      <c r="B954" t="s">
        <v>4400</v>
      </c>
      <c r="C954" t="s">
        <v>4401</v>
      </c>
      <c r="D954" t="s">
        <v>25</v>
      </c>
    </row>
    <row r="955" spans="1:4" x14ac:dyDescent="0.2">
      <c r="A955" t="s">
        <v>367</v>
      </c>
      <c r="B955" t="s">
        <v>4402</v>
      </c>
      <c r="C955" t="s">
        <v>4401</v>
      </c>
      <c r="D955" t="s">
        <v>25</v>
      </c>
    </row>
    <row r="956" spans="1:4" x14ac:dyDescent="0.2">
      <c r="A956" t="s">
        <v>4403</v>
      </c>
      <c r="B956" t="s">
        <v>4404</v>
      </c>
      <c r="C956" t="s">
        <v>4401</v>
      </c>
      <c r="D956" t="s">
        <v>25</v>
      </c>
    </row>
    <row r="957" spans="1:4" x14ac:dyDescent="0.2">
      <c r="A957" t="s">
        <v>4405</v>
      </c>
      <c r="B957" t="s">
        <v>4406</v>
      </c>
      <c r="C957" t="s">
        <v>4407</v>
      </c>
      <c r="D957" t="s">
        <v>25</v>
      </c>
    </row>
    <row r="958" spans="1:4" x14ac:dyDescent="0.2">
      <c r="A958" t="s">
        <v>4408</v>
      </c>
      <c r="B958" t="s">
        <v>4409</v>
      </c>
      <c r="C958" t="s">
        <v>4410</v>
      </c>
      <c r="D958" t="s">
        <v>25</v>
      </c>
    </row>
    <row r="959" spans="1:4" x14ac:dyDescent="0.2">
      <c r="A959" t="s">
        <v>4411</v>
      </c>
      <c r="B959" t="s">
        <v>4412</v>
      </c>
      <c r="C959" t="s">
        <v>4410</v>
      </c>
      <c r="D959" t="s">
        <v>25</v>
      </c>
    </row>
    <row r="960" spans="1:4" x14ac:dyDescent="0.2">
      <c r="A960" t="s">
        <v>4413</v>
      </c>
      <c r="B960" t="s">
        <v>4414</v>
      </c>
      <c r="C960" t="s">
        <v>4415</v>
      </c>
      <c r="D960" t="s">
        <v>903</v>
      </c>
    </row>
    <row r="961" spans="1:4" x14ac:dyDescent="0.2">
      <c r="A961" t="s">
        <v>4416</v>
      </c>
      <c r="B961" t="s">
        <v>4417</v>
      </c>
      <c r="C961" t="s">
        <v>4418</v>
      </c>
      <c r="D961" t="s">
        <v>25</v>
      </c>
    </row>
    <row r="962" spans="1:4" x14ac:dyDescent="0.2">
      <c r="A962" t="s">
        <v>4419</v>
      </c>
      <c r="B962" t="s">
        <v>4420</v>
      </c>
      <c r="C962" t="s">
        <v>4418</v>
      </c>
      <c r="D962" t="s">
        <v>25</v>
      </c>
    </row>
    <row r="963" spans="1:4" x14ac:dyDescent="0.2">
      <c r="A963" t="s">
        <v>4421</v>
      </c>
      <c r="B963" t="s">
        <v>4422</v>
      </c>
      <c r="C963" t="s">
        <v>4418</v>
      </c>
      <c r="D963" t="s">
        <v>25</v>
      </c>
    </row>
    <row r="964" spans="1:4" x14ac:dyDescent="0.2">
      <c r="A964" t="s">
        <v>4423</v>
      </c>
      <c r="B964" t="s">
        <v>4424</v>
      </c>
      <c r="C964" t="s">
        <v>4425</v>
      </c>
      <c r="D964" t="s">
        <v>52</v>
      </c>
    </row>
    <row r="965" spans="1:4" x14ac:dyDescent="0.2">
      <c r="A965" t="s">
        <v>4426</v>
      </c>
      <c r="B965" t="s">
        <v>4427</v>
      </c>
      <c r="C965" t="s">
        <v>4428</v>
      </c>
      <c r="D965" t="s">
        <v>20</v>
      </c>
    </row>
    <row r="966" spans="1:4" x14ac:dyDescent="0.2">
      <c r="A966" t="s">
        <v>4429</v>
      </c>
      <c r="B966" t="s">
        <v>4430</v>
      </c>
      <c r="C966" t="s">
        <v>4431</v>
      </c>
      <c r="D966" t="s">
        <v>25</v>
      </c>
    </row>
    <row r="967" spans="1:4" x14ac:dyDescent="0.2">
      <c r="A967" t="s">
        <v>4432</v>
      </c>
      <c r="B967" t="s">
        <v>4433</v>
      </c>
      <c r="C967" t="s">
        <v>4431</v>
      </c>
      <c r="D967" t="s">
        <v>569</v>
      </c>
    </row>
    <row r="968" spans="1:4" x14ac:dyDescent="0.2">
      <c r="A968" t="s">
        <v>4434</v>
      </c>
      <c r="B968" t="s">
        <v>4435</v>
      </c>
      <c r="C968" t="s">
        <v>4431</v>
      </c>
      <c r="D968" t="s">
        <v>244</v>
      </c>
    </row>
    <row r="969" spans="1:4" x14ac:dyDescent="0.2">
      <c r="A969" t="s">
        <v>4436</v>
      </c>
      <c r="B969" t="s">
        <v>4437</v>
      </c>
      <c r="C969" t="s">
        <v>4438</v>
      </c>
      <c r="D969" t="s">
        <v>244</v>
      </c>
    </row>
    <row r="970" spans="1:4" x14ac:dyDescent="0.2">
      <c r="A970" t="s">
        <v>4439</v>
      </c>
      <c r="B970" t="s">
        <v>4440</v>
      </c>
      <c r="C970" t="s">
        <v>4441</v>
      </c>
      <c r="D970" t="s">
        <v>25</v>
      </c>
    </row>
    <row r="971" spans="1:4" x14ac:dyDescent="0.2">
      <c r="A971" t="s">
        <v>4442</v>
      </c>
      <c r="B971" t="s">
        <v>4443</v>
      </c>
      <c r="C971" t="s">
        <v>4441</v>
      </c>
      <c r="D971" t="s">
        <v>1357</v>
      </c>
    </row>
    <row r="972" spans="1:4" x14ac:dyDescent="0.2">
      <c r="A972" t="s">
        <v>4444</v>
      </c>
      <c r="B972" t="s">
        <v>4445</v>
      </c>
      <c r="C972" t="s">
        <v>4446</v>
      </c>
      <c r="D972" t="s">
        <v>25</v>
      </c>
    </row>
    <row r="973" spans="1:4" x14ac:dyDescent="0.2">
      <c r="A973" t="s">
        <v>4447</v>
      </c>
      <c r="B973" t="s">
        <v>4448</v>
      </c>
      <c r="C973" t="s">
        <v>4446</v>
      </c>
      <c r="D973" t="s">
        <v>25</v>
      </c>
    </row>
    <row r="974" spans="1:4" x14ac:dyDescent="0.2">
      <c r="A974" t="s">
        <v>4449</v>
      </c>
      <c r="B974" t="s">
        <v>4450</v>
      </c>
      <c r="C974" t="s">
        <v>4451</v>
      </c>
      <c r="D974" t="s">
        <v>25</v>
      </c>
    </row>
    <row r="975" spans="1:4" x14ac:dyDescent="0.2">
      <c r="A975" t="s">
        <v>4452</v>
      </c>
      <c r="B975" t="s">
        <v>4453</v>
      </c>
      <c r="C975" t="s">
        <v>4451</v>
      </c>
      <c r="D975" t="s">
        <v>199</v>
      </c>
    </row>
    <row r="976" spans="1:4" x14ac:dyDescent="0.2">
      <c r="A976" t="s">
        <v>4454</v>
      </c>
      <c r="B976" t="s">
        <v>4455</v>
      </c>
      <c r="C976" t="s">
        <v>4456</v>
      </c>
      <c r="D976" t="s">
        <v>993</v>
      </c>
    </row>
    <row r="977" spans="1:4" x14ac:dyDescent="0.2">
      <c r="A977" t="s">
        <v>4457</v>
      </c>
      <c r="B977" t="s">
        <v>4458</v>
      </c>
      <c r="C977" t="s">
        <v>4456</v>
      </c>
      <c r="D977" t="s">
        <v>1357</v>
      </c>
    </row>
    <row r="978" spans="1:4" x14ac:dyDescent="0.2">
      <c r="A978" t="s">
        <v>4459</v>
      </c>
      <c r="B978" t="s">
        <v>4460</v>
      </c>
      <c r="C978" t="s">
        <v>4461</v>
      </c>
      <c r="D978" t="s">
        <v>1357</v>
      </c>
    </row>
    <row r="979" spans="1:4" x14ac:dyDescent="0.2">
      <c r="A979" t="s">
        <v>4462</v>
      </c>
      <c r="B979" t="s">
        <v>4463</v>
      </c>
      <c r="C979" t="s">
        <v>4464</v>
      </c>
      <c r="D979" t="s">
        <v>25</v>
      </c>
    </row>
    <row r="980" spans="1:4" x14ac:dyDescent="0.2">
      <c r="A980" t="s">
        <v>4465</v>
      </c>
      <c r="B980" t="s">
        <v>4466</v>
      </c>
      <c r="C980" t="s">
        <v>4464</v>
      </c>
      <c r="D980" t="s">
        <v>199</v>
      </c>
    </row>
    <row r="981" spans="1:4" x14ac:dyDescent="0.2">
      <c r="A981" t="s">
        <v>4467</v>
      </c>
      <c r="B981" t="s">
        <v>4468</v>
      </c>
      <c r="C981" t="s">
        <v>4469</v>
      </c>
      <c r="D981" t="s">
        <v>95</v>
      </c>
    </row>
    <row r="982" spans="1:4" x14ac:dyDescent="0.2">
      <c r="A982" t="s">
        <v>4470</v>
      </c>
      <c r="B982" t="s">
        <v>4471</v>
      </c>
      <c r="C982" t="s">
        <v>4469</v>
      </c>
      <c r="D982" t="s">
        <v>25</v>
      </c>
    </row>
    <row r="983" spans="1:4" x14ac:dyDescent="0.2">
      <c r="A983" t="s">
        <v>4472</v>
      </c>
      <c r="B983" t="s">
        <v>4473</v>
      </c>
      <c r="C983" t="s">
        <v>4474</v>
      </c>
      <c r="D983" t="s">
        <v>25</v>
      </c>
    </row>
    <row r="984" spans="1:4" x14ac:dyDescent="0.2">
      <c r="A984" t="s">
        <v>4475</v>
      </c>
      <c r="B984" t="s">
        <v>4476</v>
      </c>
      <c r="C984" t="s">
        <v>4477</v>
      </c>
      <c r="D984" t="s">
        <v>548</v>
      </c>
    </row>
    <row r="985" spans="1:4" x14ac:dyDescent="0.2">
      <c r="A985" t="s">
        <v>4478</v>
      </c>
      <c r="B985" t="s">
        <v>4479</v>
      </c>
      <c r="C985" t="s">
        <v>4480</v>
      </c>
      <c r="D985" t="s">
        <v>25</v>
      </c>
    </row>
    <row r="986" spans="1:4" x14ac:dyDescent="0.2">
      <c r="A986" t="s">
        <v>4481</v>
      </c>
      <c r="B986" t="s">
        <v>4482</v>
      </c>
      <c r="C986" t="s">
        <v>4480</v>
      </c>
      <c r="D986" t="s">
        <v>548</v>
      </c>
    </row>
    <row r="987" spans="1:4" x14ac:dyDescent="0.2">
      <c r="A987" t="s">
        <v>4483</v>
      </c>
      <c r="B987" t="s">
        <v>4484</v>
      </c>
      <c r="C987" t="s">
        <v>4485</v>
      </c>
      <c r="D987" t="s">
        <v>25</v>
      </c>
    </row>
    <row r="988" spans="1:4" x14ac:dyDescent="0.2">
      <c r="A988" t="s">
        <v>4486</v>
      </c>
      <c r="B988" t="s">
        <v>4487</v>
      </c>
      <c r="C988" t="s">
        <v>4485</v>
      </c>
      <c r="D988" t="s">
        <v>25</v>
      </c>
    </row>
    <row r="989" spans="1:4" x14ac:dyDescent="0.2">
      <c r="A989" t="s">
        <v>4488</v>
      </c>
      <c r="B989" t="s">
        <v>4489</v>
      </c>
      <c r="C989" t="s">
        <v>4490</v>
      </c>
      <c r="D989" t="s">
        <v>25</v>
      </c>
    </row>
    <row r="990" spans="1:4" x14ac:dyDescent="0.2">
      <c r="A990" t="s">
        <v>4491</v>
      </c>
      <c r="B990" t="s">
        <v>4491</v>
      </c>
      <c r="C990" t="s">
        <v>4492</v>
      </c>
      <c r="D990" t="s">
        <v>199</v>
      </c>
    </row>
    <row r="991" spans="1:4" x14ac:dyDescent="0.2">
      <c r="A991" t="s">
        <v>4493</v>
      </c>
      <c r="B991" t="s">
        <v>4494</v>
      </c>
      <c r="C991" t="s">
        <v>4492</v>
      </c>
      <c r="D991" t="s">
        <v>25</v>
      </c>
    </row>
    <row r="992" spans="1:4" x14ac:dyDescent="0.2">
      <c r="A992" t="s">
        <v>4495</v>
      </c>
      <c r="B992" t="s">
        <v>4496</v>
      </c>
      <c r="C992" t="s">
        <v>4497</v>
      </c>
      <c r="D992" t="s">
        <v>25</v>
      </c>
    </row>
    <row r="993" spans="1:4" x14ac:dyDescent="0.2">
      <c r="A993" t="s">
        <v>4498</v>
      </c>
      <c r="B993" t="s">
        <v>4499</v>
      </c>
      <c r="C993" t="s">
        <v>4497</v>
      </c>
      <c r="D993" t="s">
        <v>25</v>
      </c>
    </row>
    <row r="994" spans="1:4" x14ac:dyDescent="0.2">
      <c r="A994" t="s">
        <v>4500</v>
      </c>
      <c r="B994" t="s">
        <v>4501</v>
      </c>
      <c r="C994" t="s">
        <v>4497</v>
      </c>
      <c r="D994" t="s">
        <v>25</v>
      </c>
    </row>
    <row r="995" spans="1:4" x14ac:dyDescent="0.2">
      <c r="A995" t="s">
        <v>4502</v>
      </c>
      <c r="B995" t="s">
        <v>4503</v>
      </c>
      <c r="C995" t="s">
        <v>4504</v>
      </c>
      <c r="D995" t="s">
        <v>25</v>
      </c>
    </row>
    <row r="996" spans="1:4" x14ac:dyDescent="0.2">
      <c r="A996" t="s">
        <v>4505</v>
      </c>
      <c r="B996" t="s">
        <v>4506</v>
      </c>
      <c r="C996" t="s">
        <v>4504</v>
      </c>
      <c r="D996" t="s">
        <v>95</v>
      </c>
    </row>
    <row r="997" spans="1:4" x14ac:dyDescent="0.2">
      <c r="A997" t="s">
        <v>4507</v>
      </c>
      <c r="B997" t="s">
        <v>4508</v>
      </c>
      <c r="C997" t="s">
        <v>4509</v>
      </c>
      <c r="D997" t="s">
        <v>25</v>
      </c>
    </row>
    <row r="998" spans="1:4" x14ac:dyDescent="0.2">
      <c r="A998" t="s">
        <v>4510</v>
      </c>
      <c r="B998" t="s">
        <v>4511</v>
      </c>
      <c r="C998" t="s">
        <v>4512</v>
      </c>
      <c r="D998" t="s">
        <v>25</v>
      </c>
    </row>
    <row r="999" spans="1:4" x14ac:dyDescent="0.2">
      <c r="A999" t="s">
        <v>4513</v>
      </c>
      <c r="B999" t="s">
        <v>4514</v>
      </c>
      <c r="C999" t="s">
        <v>4515</v>
      </c>
      <c r="D999" t="s">
        <v>25</v>
      </c>
    </row>
    <row r="1000" spans="1:4" x14ac:dyDescent="0.2">
      <c r="A1000" t="s">
        <v>4516</v>
      </c>
      <c r="B1000" t="s">
        <v>4517</v>
      </c>
      <c r="C1000" t="s">
        <v>4518</v>
      </c>
      <c r="D1000" t="s">
        <v>95</v>
      </c>
    </row>
    <row r="1001" spans="1:4" x14ac:dyDescent="0.2">
      <c r="A1001" t="s">
        <v>4519</v>
      </c>
      <c r="B1001" t="s">
        <v>4520</v>
      </c>
      <c r="C1001" t="s">
        <v>4521</v>
      </c>
      <c r="D1001" t="s">
        <v>14</v>
      </c>
    </row>
    <row r="1002" spans="1:4" x14ac:dyDescent="0.2">
      <c r="A1002" t="s">
        <v>4522</v>
      </c>
      <c r="B1002" t="s">
        <v>4523</v>
      </c>
      <c r="C1002" t="s">
        <v>4521</v>
      </c>
      <c r="D1002" t="s">
        <v>98</v>
      </c>
    </row>
    <row r="1003" spans="1:4" x14ac:dyDescent="0.2">
      <c r="A1003" t="s">
        <v>4524</v>
      </c>
      <c r="B1003" t="s">
        <v>4525</v>
      </c>
      <c r="C1003" t="s">
        <v>4521</v>
      </c>
      <c r="D1003" t="s">
        <v>25</v>
      </c>
    </row>
    <row r="1004" spans="1:4" x14ac:dyDescent="0.2">
      <c r="A1004" t="s">
        <v>4526</v>
      </c>
      <c r="B1004" t="s">
        <v>4527</v>
      </c>
      <c r="C1004" t="s">
        <v>4528</v>
      </c>
      <c r="D1004" t="s">
        <v>95</v>
      </c>
    </row>
    <row r="1005" spans="1:4" x14ac:dyDescent="0.2">
      <c r="A1005" t="s">
        <v>298</v>
      </c>
      <c r="B1005" t="e">
        <f>VLOOKUP(A1005,[1]StockPrice!$C:$D,2,FALSE)</f>
        <v>#N/A</v>
      </c>
    </row>
    <row r="1006" spans="1:4" x14ac:dyDescent="0.2">
      <c r="A1006" t="s">
        <v>294</v>
      </c>
      <c r="B1006" t="e">
        <f>VLOOKUP(A1006,[1]StockPrice!$C:$D,2,FALSE)</f>
        <v>#N/A</v>
      </c>
    </row>
    <row r="1007" spans="1:4" x14ac:dyDescent="0.2">
      <c r="A1007" t="s">
        <v>291</v>
      </c>
      <c r="B1007" t="e">
        <f>VLOOKUP(A1007,[1]StockPrice!$C:$D,2,FALSE)</f>
        <v>#N/A</v>
      </c>
    </row>
    <row r="1008" spans="1:4" x14ac:dyDescent="0.2">
      <c r="A1008" t="s">
        <v>290</v>
      </c>
      <c r="B1008" t="e">
        <f>VLOOKUP(A1008,[1]StockPrice!$C:$D,2,FALSE)</f>
        <v>#N/A</v>
      </c>
    </row>
    <row r="1009" spans="1:2" x14ac:dyDescent="0.2">
      <c r="A1009" t="s">
        <v>288</v>
      </c>
      <c r="B1009">
        <f>VLOOKUP(A1009,[1]StockPrice!$C:$D,2,FALSE)</f>
        <v>39.894599999999997</v>
      </c>
    </row>
    <row r="1010" spans="1:2" x14ac:dyDescent="0.2">
      <c r="A1010" t="s">
        <v>57</v>
      </c>
      <c r="B1010" t="e">
        <f>VLOOKUP(A1010,[1]StockPrice!$C:$D,2,FALSE)</f>
        <v>#N/A</v>
      </c>
    </row>
    <row r="1011" spans="1:2" x14ac:dyDescent="0.2">
      <c r="A1011" t="s">
        <v>286</v>
      </c>
      <c r="B1011" t="e">
        <f>VLOOKUP(A1011,[1]StockPrice!$C:$D,2,FALSE)</f>
        <v>#N/A</v>
      </c>
    </row>
    <row r="1012" spans="1:2" x14ac:dyDescent="0.2">
      <c r="A1012" t="s">
        <v>282</v>
      </c>
      <c r="B1012" t="e">
        <f>VLOOKUP(A1012,[1]StockPrice!$C:$D,2,FALSE)</f>
        <v>#N/A</v>
      </c>
    </row>
    <row r="1013" spans="1:2" x14ac:dyDescent="0.2">
      <c r="A1013" t="s">
        <v>284</v>
      </c>
      <c r="B1013">
        <f>VLOOKUP(A1013,[1]StockPrice!$C:$D,2,FALSE)</f>
        <v>10.8611</v>
      </c>
    </row>
    <row r="1014" spans="1:2" x14ac:dyDescent="0.2">
      <c r="A1014" t="s">
        <v>281</v>
      </c>
      <c r="B1014" t="e">
        <f>VLOOKUP(A1014,[1]StockPrice!$C:$D,2,FALSE)</f>
        <v>#N/A</v>
      </c>
    </row>
    <row r="1015" spans="1:2" x14ac:dyDescent="0.2">
      <c r="A1015" t="s">
        <v>131</v>
      </c>
      <c r="B1015" t="e">
        <f>VLOOKUP(A1015,[1]StockPrice!$C:$D,2,FALSE)</f>
        <v>#N/A</v>
      </c>
    </row>
    <row r="1016" spans="1:2" x14ac:dyDescent="0.2">
      <c r="A1016" t="s">
        <v>279</v>
      </c>
      <c r="B1016" t="e">
        <f>VLOOKUP(A1016,[1]StockPrice!$C:$D,2,FALSE)</f>
        <v>#N/A</v>
      </c>
    </row>
    <row r="1017" spans="1:2" x14ac:dyDescent="0.2">
      <c r="A1017" t="s">
        <v>276</v>
      </c>
      <c r="B1017" t="e">
        <f>VLOOKUP(A1017,[1]StockPrice!$C:$D,2,FALSE)</f>
        <v>#N/A</v>
      </c>
    </row>
    <row r="1018" spans="1:2" x14ac:dyDescent="0.2">
      <c r="A1018" t="s">
        <v>270</v>
      </c>
      <c r="B1018">
        <f>VLOOKUP(A1018,[1]StockPrice!$C:$D,2,FALSE)</f>
        <v>1.84423</v>
      </c>
    </row>
    <row r="1019" spans="1:2" x14ac:dyDescent="0.2">
      <c r="A1019" t="s">
        <v>268</v>
      </c>
      <c r="B1019" t="e">
        <f>VLOOKUP(A1019,[1]StockPrice!$C:$D,2,FALSE)</f>
        <v>#N/A</v>
      </c>
    </row>
    <row r="1020" spans="1:2" x14ac:dyDescent="0.2">
      <c r="A1020" t="s">
        <v>265</v>
      </c>
      <c r="B1020">
        <f>VLOOKUP(A1020,[1]StockPrice!$C:$D,2,FALSE)</f>
        <v>20.65</v>
      </c>
    </row>
    <row r="1021" spans="1:2" x14ac:dyDescent="0.2">
      <c r="A1021" t="s">
        <v>261</v>
      </c>
      <c r="B1021" t="e">
        <f>VLOOKUP(A1021,[1]StockPrice!$C:$D,2,FALSE)</f>
        <v>#N/A</v>
      </c>
    </row>
    <row r="1022" spans="1:2" x14ac:dyDescent="0.2">
      <c r="A1022" t="s">
        <v>177</v>
      </c>
      <c r="B1022">
        <f>VLOOKUP(A1022,[1]StockPrice!$C:$D,2,FALSE)</f>
        <v>0.89345200000000002</v>
      </c>
    </row>
    <row r="1023" spans="1:2" x14ac:dyDescent="0.2">
      <c r="A1023" t="s">
        <v>259</v>
      </c>
      <c r="B1023" t="e">
        <f>VLOOKUP(A1023,[1]StockPrice!$C:$D,2,FALSE)</f>
        <v>#N/A</v>
      </c>
    </row>
    <row r="1024" spans="1:2" x14ac:dyDescent="0.2">
      <c r="A1024" t="s">
        <v>257</v>
      </c>
      <c r="B1024" t="e">
        <f>VLOOKUP(A1024,[1]StockPrice!$C:$D,2,FALSE)</f>
        <v>#N/A</v>
      </c>
    </row>
    <row r="1025" spans="1:2" x14ac:dyDescent="0.2">
      <c r="A1025" t="s">
        <v>256</v>
      </c>
      <c r="B1025">
        <f>VLOOKUP(A1025,[1]StockPrice!$C:$D,2,FALSE)</f>
        <v>0.99310799999999999</v>
      </c>
    </row>
    <row r="1026" spans="1:2" x14ac:dyDescent="0.2">
      <c r="A1026" t="s">
        <v>254</v>
      </c>
      <c r="B1026" t="e">
        <f>VLOOKUP(A1026,[1]StockPrice!$C:$D,2,FALSE)</f>
        <v>#N/A</v>
      </c>
    </row>
    <row r="1027" spans="1:2" x14ac:dyDescent="0.2">
      <c r="A1027" t="s">
        <v>253</v>
      </c>
      <c r="B1027" t="e">
        <f>VLOOKUP(A1027,[1]StockPrice!$C:$D,2,FALSE)</f>
        <v>#N/A</v>
      </c>
    </row>
    <row r="1028" spans="1:2" x14ac:dyDescent="0.2">
      <c r="A1028" t="s">
        <v>249</v>
      </c>
      <c r="B1028" t="e">
        <f>VLOOKUP(A1028,[1]StockPrice!$C:$D,2,FALSE)</f>
        <v>#N/A</v>
      </c>
    </row>
    <row r="1029" spans="1:2" x14ac:dyDescent="0.2">
      <c r="A1029" t="s">
        <v>252</v>
      </c>
      <c r="B1029">
        <f>VLOOKUP(A1029,[1]StockPrice!$C:$D,2,FALSE)</f>
        <v>100.64</v>
      </c>
    </row>
    <row r="1030" spans="1:2" x14ac:dyDescent="0.2">
      <c r="A1030" t="s">
        <v>248</v>
      </c>
      <c r="B1030" t="e">
        <f>VLOOKUP(A1030,[1]StockPrice!$C:$D,2,FALSE)</f>
        <v>#N/A</v>
      </c>
    </row>
    <row r="1031" spans="1:2" x14ac:dyDescent="0.2">
      <c r="A1031" t="s">
        <v>247</v>
      </c>
      <c r="B1031" t="e">
        <f>VLOOKUP(A1031,[1]StockPrice!$C:$D,2,FALSE)</f>
        <v>#N/A</v>
      </c>
    </row>
    <row r="1032" spans="1:2" x14ac:dyDescent="0.2">
      <c r="A1032" t="s">
        <v>246</v>
      </c>
      <c r="B1032" t="e">
        <f>VLOOKUP(A1032,[1]StockPrice!$C:$D,2,FALSE)</f>
        <v>#N/A</v>
      </c>
    </row>
    <row r="1033" spans="1:2" x14ac:dyDescent="0.2">
      <c r="A1033" t="s">
        <v>245</v>
      </c>
      <c r="B1033" t="e">
        <f>VLOOKUP(A1033,[1]StockPrice!$C:$D,2,FALSE)</f>
        <v>#N/A</v>
      </c>
    </row>
    <row r="1034" spans="1:2" x14ac:dyDescent="0.2">
      <c r="A1034" t="s">
        <v>237</v>
      </c>
      <c r="B1034" t="e">
        <f>VLOOKUP(A1034,[1]StockPrice!$C:$D,2,FALSE)</f>
        <v>#N/A</v>
      </c>
    </row>
    <row r="1035" spans="1:2" x14ac:dyDescent="0.2">
      <c r="A1035" t="s">
        <v>233</v>
      </c>
      <c r="B1035" t="e">
        <f>VLOOKUP(A1035,[1]StockPrice!$C:$D,2,FALSE)</f>
        <v>#N/A</v>
      </c>
    </row>
    <row r="1036" spans="1:2" x14ac:dyDescent="0.2">
      <c r="A1036" t="s">
        <v>234</v>
      </c>
      <c r="B1036" t="e">
        <f>VLOOKUP(A1036,[1]StockPrice!$C:$D,2,FALSE)</f>
        <v>#N/A</v>
      </c>
    </row>
    <row r="1037" spans="1:2" x14ac:dyDescent="0.2">
      <c r="A1037" t="s">
        <v>230</v>
      </c>
      <c r="B1037" t="e">
        <f>VLOOKUP(A1037,[1]StockPrice!$C:$D,2,FALSE)</f>
        <v>#N/A</v>
      </c>
    </row>
    <row r="1038" spans="1:2" x14ac:dyDescent="0.2">
      <c r="A1038" t="s">
        <v>226</v>
      </c>
      <c r="B1038" t="e">
        <f>VLOOKUP(A1038,[1]StockPrice!$C:$D,2,FALSE)</f>
        <v>#N/A</v>
      </c>
    </row>
    <row r="1039" spans="1:2" x14ac:dyDescent="0.2">
      <c r="A1039" t="s">
        <v>227</v>
      </c>
      <c r="B1039" t="e">
        <f>VLOOKUP(A1039,[1]StockPrice!$C:$D,2,FALSE)</f>
        <v>#N/A</v>
      </c>
    </row>
    <row r="1040" spans="1:2" x14ac:dyDescent="0.2">
      <c r="A1040" t="s">
        <v>228</v>
      </c>
      <c r="B1040" t="e">
        <f>VLOOKUP(A1040,[1]StockPrice!$C:$D,2,FALSE)</f>
        <v>#N/A</v>
      </c>
    </row>
    <row r="1041" spans="1:2" x14ac:dyDescent="0.2">
      <c r="A1041" t="s">
        <v>221</v>
      </c>
      <c r="B1041" t="e">
        <f>VLOOKUP(A1041,[1]StockPrice!$C:$D,2,FALSE)</f>
        <v>#N/A</v>
      </c>
    </row>
    <row r="1042" spans="1:2" x14ac:dyDescent="0.2">
      <c r="A1042" t="s">
        <v>216</v>
      </c>
      <c r="B1042" t="e">
        <f>VLOOKUP(A1042,[1]StockPrice!$C:$D,2,FALSE)</f>
        <v>#N/A</v>
      </c>
    </row>
    <row r="1043" spans="1:2" x14ac:dyDescent="0.2">
      <c r="A1043" t="s">
        <v>219</v>
      </c>
      <c r="B1043">
        <f>VLOOKUP(A1043,[1]StockPrice!$C:$D,2,FALSE)</f>
        <v>2.4500000000000002</v>
      </c>
    </row>
    <row r="1044" spans="1:2" x14ac:dyDescent="0.2">
      <c r="A1044" t="s">
        <v>214</v>
      </c>
      <c r="B1044" t="e">
        <f>VLOOKUP(A1044,[1]StockPrice!$C:$D,2,FALSE)</f>
        <v>#N/A</v>
      </c>
    </row>
    <row r="1045" spans="1:2" x14ac:dyDescent="0.2">
      <c r="A1045" t="s">
        <v>212</v>
      </c>
      <c r="B1045" t="e">
        <f>VLOOKUP(A1045,[1]StockPrice!$C:$D,2,FALSE)</f>
        <v>#N/A</v>
      </c>
    </row>
    <row r="1046" spans="1:2" x14ac:dyDescent="0.2">
      <c r="A1046" t="s">
        <v>211</v>
      </c>
      <c r="B1046" t="e">
        <f>VLOOKUP(A1046,[1]StockPrice!$C:$D,2,FALSE)</f>
        <v>#N/A</v>
      </c>
    </row>
    <row r="1047" spans="1:2" x14ac:dyDescent="0.2">
      <c r="A1047" t="s">
        <v>208</v>
      </c>
      <c r="B1047" t="e">
        <f>VLOOKUP(A1047,[1]StockPrice!$C:$D,2,FALSE)</f>
        <v>#N/A</v>
      </c>
    </row>
    <row r="1048" spans="1:2" x14ac:dyDescent="0.2">
      <c r="A1048" t="s">
        <v>210</v>
      </c>
      <c r="B1048" t="e">
        <f>VLOOKUP(A1048,[1]StockPrice!$C:$D,2,FALSE)</f>
        <v>#N/A</v>
      </c>
    </row>
    <row r="1049" spans="1:2" x14ac:dyDescent="0.2">
      <c r="A1049" t="s">
        <v>207</v>
      </c>
      <c r="B1049" t="e">
        <f>VLOOKUP(A1049,[1]StockPrice!$C:$D,2,FALSE)</f>
        <v>#N/A</v>
      </c>
    </row>
    <row r="1050" spans="1:2" x14ac:dyDescent="0.2">
      <c r="A1050" t="s">
        <v>206</v>
      </c>
      <c r="B1050" t="e">
        <f>VLOOKUP(A1050,[1]StockPrice!$C:$D,2,FALSE)</f>
        <v>#N/A</v>
      </c>
    </row>
    <row r="1051" spans="1:2" x14ac:dyDescent="0.2">
      <c r="A1051" t="s">
        <v>204</v>
      </c>
      <c r="B1051" t="e">
        <f>VLOOKUP(A1051,[1]StockPrice!$C:$D,2,FALSE)</f>
        <v>#N/A</v>
      </c>
    </row>
    <row r="1052" spans="1:2" x14ac:dyDescent="0.2">
      <c r="A1052" t="s">
        <v>205</v>
      </c>
      <c r="B1052" t="e">
        <f>VLOOKUP(A1052,[1]StockPrice!$C:$D,2,FALSE)</f>
        <v>#N/A</v>
      </c>
    </row>
    <row r="1053" spans="1:2" x14ac:dyDescent="0.2">
      <c r="A1053" t="s">
        <v>200</v>
      </c>
      <c r="B1053" t="e">
        <f>VLOOKUP(A1053,[1]StockPrice!$C:$D,2,FALSE)</f>
        <v>#N/A</v>
      </c>
    </row>
    <row r="1054" spans="1:2" x14ac:dyDescent="0.2">
      <c r="A1054" t="s">
        <v>202</v>
      </c>
      <c r="B1054" t="e">
        <f>VLOOKUP(A1054,[1]StockPrice!$C:$D,2,FALSE)</f>
        <v>#N/A</v>
      </c>
    </row>
    <row r="1055" spans="1:2" x14ac:dyDescent="0.2">
      <c r="A1055" t="s">
        <v>196</v>
      </c>
      <c r="B1055" t="e">
        <f>VLOOKUP(A1055,[1]StockPrice!$C:$D,2,FALSE)</f>
        <v>#N/A</v>
      </c>
    </row>
    <row r="1056" spans="1:2" x14ac:dyDescent="0.2">
      <c r="A1056" t="s">
        <v>195</v>
      </c>
      <c r="B1056" t="e">
        <f>VLOOKUP(A1056,[1]StockPrice!$C:$D,2,FALSE)</f>
        <v>#N/A</v>
      </c>
    </row>
    <row r="1057" spans="1:2" x14ac:dyDescent="0.2">
      <c r="A1057" t="s">
        <v>194</v>
      </c>
      <c r="B1057" t="e">
        <f>VLOOKUP(A1057,[1]StockPrice!$C:$D,2,FALSE)</f>
        <v>#N/A</v>
      </c>
    </row>
    <row r="1058" spans="1:2" x14ac:dyDescent="0.2">
      <c r="A1058" t="s">
        <v>193</v>
      </c>
      <c r="B1058" t="e">
        <f>VLOOKUP(A1058,[1]StockPrice!$C:$D,2,FALSE)</f>
        <v>#N/A</v>
      </c>
    </row>
    <row r="1059" spans="1:2" x14ac:dyDescent="0.2">
      <c r="A1059" t="s">
        <v>191</v>
      </c>
      <c r="B1059" t="e">
        <f>VLOOKUP(A1059,[1]StockPrice!$C:$D,2,FALSE)</f>
        <v>#N/A</v>
      </c>
    </row>
    <row r="1060" spans="1:2" x14ac:dyDescent="0.2">
      <c r="A1060" t="s">
        <v>190</v>
      </c>
      <c r="B1060" t="e">
        <f>VLOOKUP(A1060,[1]StockPrice!$C:$D,2,FALSE)</f>
        <v>#N/A</v>
      </c>
    </row>
    <row r="1061" spans="1:2" x14ac:dyDescent="0.2">
      <c r="A1061" t="s">
        <v>184</v>
      </c>
      <c r="B1061" t="e">
        <f>VLOOKUP(A1061,[1]StockPrice!$C:$D,2,FALSE)</f>
        <v>#N/A</v>
      </c>
    </row>
    <row r="1062" spans="1:2" x14ac:dyDescent="0.2">
      <c r="A1062" t="s">
        <v>186</v>
      </c>
      <c r="B1062" t="e">
        <f>VLOOKUP(A1062,[1]StockPrice!$C:$D,2,FALSE)</f>
        <v>#N/A</v>
      </c>
    </row>
    <row r="1063" spans="1:2" x14ac:dyDescent="0.2">
      <c r="A1063" t="s">
        <v>181</v>
      </c>
      <c r="B1063" t="e">
        <f>VLOOKUP(A1063,[1]StockPrice!$C:$D,2,FALSE)</f>
        <v>#N/A</v>
      </c>
    </row>
    <row r="1064" spans="1:2" x14ac:dyDescent="0.2">
      <c r="A1064" t="s">
        <v>183</v>
      </c>
      <c r="B1064" t="e">
        <f>VLOOKUP(A1064,[1]StockPrice!$C:$D,2,FALSE)</f>
        <v>#N/A</v>
      </c>
    </row>
    <row r="1065" spans="1:2" x14ac:dyDescent="0.2">
      <c r="A1065" t="s">
        <v>180</v>
      </c>
      <c r="B1065" t="e">
        <f>VLOOKUP(A1065,[1]StockPrice!$C:$D,2,FALSE)</f>
        <v>#N/A</v>
      </c>
    </row>
    <row r="1066" spans="1:2" x14ac:dyDescent="0.2">
      <c r="A1066" t="s">
        <v>176</v>
      </c>
      <c r="B1066">
        <f>VLOOKUP(A1066,[1]StockPrice!$C:$D,2,FALSE)</f>
        <v>97.05</v>
      </c>
    </row>
    <row r="1067" spans="1:2" x14ac:dyDescent="0.2">
      <c r="A1067" t="s">
        <v>175</v>
      </c>
      <c r="B1067">
        <f>VLOOKUP(A1067,[1]StockPrice!$C:$D,2,FALSE)</f>
        <v>9.8948099999999997</v>
      </c>
    </row>
    <row r="1068" spans="1:2" x14ac:dyDescent="0.2">
      <c r="A1068" t="s">
        <v>173</v>
      </c>
      <c r="B1068" t="e">
        <f>VLOOKUP(A1068,[1]StockPrice!$C:$D,2,FALSE)</f>
        <v>#N/A</v>
      </c>
    </row>
    <row r="1069" spans="1:2" x14ac:dyDescent="0.2">
      <c r="A1069" t="s">
        <v>167</v>
      </c>
      <c r="B1069">
        <f>VLOOKUP(A1069,[1]StockPrice!$C:$D,2,FALSE)</f>
        <v>31.46</v>
      </c>
    </row>
    <row r="1070" spans="1:2" x14ac:dyDescent="0.2">
      <c r="A1070" t="s">
        <v>162</v>
      </c>
      <c r="B1070" t="e">
        <f>VLOOKUP(A1070,[1]StockPrice!$C:$D,2,FALSE)</f>
        <v>#N/A</v>
      </c>
    </row>
    <row r="1071" spans="1:2" x14ac:dyDescent="0.2">
      <c r="A1071" t="s">
        <v>157</v>
      </c>
      <c r="B1071" t="e">
        <f>VLOOKUP(A1071,[1]StockPrice!$C:$D,2,FALSE)</f>
        <v>#N/A</v>
      </c>
    </row>
    <row r="1072" spans="1:2" x14ac:dyDescent="0.2">
      <c r="A1072" t="s">
        <v>156</v>
      </c>
      <c r="B1072" t="e">
        <f>VLOOKUP(A1072,[1]StockPrice!$C:$D,2,FALSE)</f>
        <v>#N/A</v>
      </c>
    </row>
    <row r="1073" spans="1:2" x14ac:dyDescent="0.2">
      <c r="A1073" t="s">
        <v>153</v>
      </c>
      <c r="B1073">
        <f>VLOOKUP(A1073,[1]StockPrice!$C:$D,2,FALSE)</f>
        <v>169093</v>
      </c>
    </row>
    <row r="1074" spans="1:2" x14ac:dyDescent="0.2">
      <c r="A1074" t="s">
        <v>151</v>
      </c>
      <c r="B1074" t="e">
        <f>VLOOKUP(A1074,[1]StockPrice!$C:$D,2,FALSE)</f>
        <v>#N/A</v>
      </c>
    </row>
    <row r="1075" spans="1:2" x14ac:dyDescent="0.2">
      <c r="A1075" t="s">
        <v>150</v>
      </c>
      <c r="B1075" t="e">
        <f>VLOOKUP(A1075,[1]StockPrice!$C:$D,2,FALSE)</f>
        <v>#N/A</v>
      </c>
    </row>
    <row r="1076" spans="1:2" x14ac:dyDescent="0.2">
      <c r="A1076" t="s">
        <v>149</v>
      </c>
      <c r="B1076" t="e">
        <f>VLOOKUP(A1076,[1]StockPrice!$C:$D,2,FALSE)</f>
        <v>#N/A</v>
      </c>
    </row>
    <row r="1077" spans="1:2" x14ac:dyDescent="0.2">
      <c r="A1077" t="s">
        <v>152</v>
      </c>
      <c r="B1077" t="e">
        <f>VLOOKUP(A1077,[1]StockPrice!$C:$D,2,FALSE)</f>
        <v>#N/A</v>
      </c>
    </row>
    <row r="1078" spans="1:2" x14ac:dyDescent="0.2">
      <c r="A1078" t="s">
        <v>148</v>
      </c>
      <c r="B1078" t="e">
        <f>VLOOKUP(A1078,[1]StockPrice!$C:$D,2,FALSE)</f>
        <v>#N/A</v>
      </c>
    </row>
    <row r="1079" spans="1:2" x14ac:dyDescent="0.2">
      <c r="A1079" t="s">
        <v>144</v>
      </c>
      <c r="B1079">
        <f>VLOOKUP(A1079,[1]StockPrice!$C:$D,2,FALSE)</f>
        <v>0.40109899999999998</v>
      </c>
    </row>
    <row r="1080" spans="1:2" x14ac:dyDescent="0.2">
      <c r="A1080" t="s">
        <v>146</v>
      </c>
      <c r="B1080" t="e">
        <f>VLOOKUP(A1080,[1]StockPrice!$C:$D,2,FALSE)</f>
        <v>#N/A</v>
      </c>
    </row>
    <row r="1081" spans="1:2" x14ac:dyDescent="0.2">
      <c r="A1081" t="s">
        <v>142</v>
      </c>
      <c r="B1081" t="e">
        <f>VLOOKUP(A1081,[1]StockPrice!$C:$D,2,FALSE)</f>
        <v>#N/A</v>
      </c>
    </row>
    <row r="1082" spans="1:2" x14ac:dyDescent="0.2">
      <c r="A1082" t="s">
        <v>141</v>
      </c>
      <c r="B1082" t="e">
        <f>VLOOKUP(A1082,[1]StockPrice!$C:$D,2,FALSE)</f>
        <v>#N/A</v>
      </c>
    </row>
    <row r="1083" spans="1:2" x14ac:dyDescent="0.2">
      <c r="A1083" t="s">
        <v>138</v>
      </c>
      <c r="B1083" t="e">
        <f>VLOOKUP(A1083,[1]StockPrice!$C:$D,2,FALSE)</f>
        <v>#N/A</v>
      </c>
    </row>
    <row r="1084" spans="1:2" x14ac:dyDescent="0.2">
      <c r="A1084" t="s">
        <v>134</v>
      </c>
      <c r="B1084" t="e">
        <f>VLOOKUP(A1084,[1]StockPrice!$C:$D,2,FALSE)</f>
        <v>#N/A</v>
      </c>
    </row>
    <row r="1085" spans="1:2" x14ac:dyDescent="0.2">
      <c r="A1085" t="s">
        <v>126</v>
      </c>
      <c r="B1085" t="e">
        <f>VLOOKUP(A1085,[1]StockPrice!$C:$D,2,FALSE)</f>
        <v>#N/A</v>
      </c>
    </row>
    <row r="1086" spans="1:2" x14ac:dyDescent="0.2">
      <c r="A1086" t="s">
        <v>125</v>
      </c>
      <c r="B1086" t="e">
        <f>VLOOKUP(A1086,[1]StockPrice!$C:$D,2,FALSE)</f>
        <v>#N/A</v>
      </c>
    </row>
    <row r="1087" spans="1:2" x14ac:dyDescent="0.2">
      <c r="A1087" t="s">
        <v>124</v>
      </c>
      <c r="B1087" t="e">
        <f>VLOOKUP(A1087,[1]StockPrice!$C:$D,2,FALSE)</f>
        <v>#N/A</v>
      </c>
    </row>
    <row r="1088" spans="1:2" x14ac:dyDescent="0.2">
      <c r="A1088" t="s">
        <v>122</v>
      </c>
      <c r="B1088" t="e">
        <f>VLOOKUP(A1088,[1]StockPrice!$C:$D,2,FALSE)</f>
        <v>#N/A</v>
      </c>
    </row>
    <row r="1089" spans="1:2" x14ac:dyDescent="0.2">
      <c r="A1089" t="s">
        <v>1699</v>
      </c>
      <c r="B1089" t="e">
        <f>VLOOKUP(A1089,[1]StockPrice!$C:$D,2,FALSE)</f>
        <v>#N/A</v>
      </c>
    </row>
    <row r="1090" spans="1:2" x14ac:dyDescent="0.2">
      <c r="A1090" t="s">
        <v>120</v>
      </c>
      <c r="B1090" t="e">
        <f>VLOOKUP(A1090,[1]StockPrice!$C:$D,2,FALSE)</f>
        <v>#N/A</v>
      </c>
    </row>
    <row r="1091" spans="1:2" x14ac:dyDescent="0.2">
      <c r="A1091" t="s">
        <v>119</v>
      </c>
      <c r="B1091" t="e">
        <f>VLOOKUP(A1091,[1]StockPrice!$C:$D,2,FALSE)</f>
        <v>#N/A</v>
      </c>
    </row>
    <row r="1092" spans="1:2" x14ac:dyDescent="0.2">
      <c r="A1092" t="s">
        <v>118</v>
      </c>
      <c r="B1092" t="e">
        <f>VLOOKUP(A1092,[1]StockPrice!$C:$D,2,FALSE)</f>
        <v>#N/A</v>
      </c>
    </row>
    <row r="1093" spans="1:2" x14ac:dyDescent="0.2">
      <c r="A1093" t="s">
        <v>114</v>
      </c>
      <c r="B1093" t="e">
        <f>VLOOKUP(A1093,[1]StockPrice!$C:$D,2,FALSE)</f>
        <v>#N/A</v>
      </c>
    </row>
    <row r="1094" spans="1:2" x14ac:dyDescent="0.2">
      <c r="A1094" t="s">
        <v>110</v>
      </c>
      <c r="B1094" t="e">
        <f>VLOOKUP(A1094,[1]StockPrice!$C:$D,2,FALSE)</f>
        <v>#N/A</v>
      </c>
    </row>
    <row r="1095" spans="1:2" x14ac:dyDescent="0.2">
      <c r="A1095" t="s">
        <v>109</v>
      </c>
      <c r="B1095" t="e">
        <f>VLOOKUP(A1095,[1]StockPrice!$C:$D,2,FALSE)</f>
        <v>#N/A</v>
      </c>
    </row>
    <row r="1096" spans="1:2" x14ac:dyDescent="0.2">
      <c r="A1096" t="s">
        <v>106</v>
      </c>
      <c r="B1096" t="e">
        <f>VLOOKUP(A1096,[1]StockPrice!$C:$D,2,FALSE)</f>
        <v>#N/A</v>
      </c>
    </row>
    <row r="1097" spans="1:2" x14ac:dyDescent="0.2">
      <c r="A1097" t="s">
        <v>105</v>
      </c>
      <c r="B1097" t="e">
        <f>VLOOKUP(A1097,[1]StockPrice!$C:$D,2,FALSE)</f>
        <v>#N/A</v>
      </c>
    </row>
    <row r="1098" spans="1:2" x14ac:dyDescent="0.2">
      <c r="A1098" t="s">
        <v>96</v>
      </c>
      <c r="B1098" t="e">
        <f>VLOOKUP(A1098,[1]StockPrice!$C:$D,2,FALSE)</f>
        <v>#N/A</v>
      </c>
    </row>
    <row r="1099" spans="1:2" x14ac:dyDescent="0.2">
      <c r="A1099" t="s">
        <v>1688</v>
      </c>
      <c r="B1099" t="e">
        <f>VLOOKUP(A1099,[1]StockPrice!$C:$D,2,FALSE)</f>
        <v>#N/A</v>
      </c>
    </row>
    <row r="1100" spans="1:2" x14ac:dyDescent="0.2">
      <c r="A1100" t="s">
        <v>91</v>
      </c>
      <c r="B1100" t="e">
        <f>VLOOKUP(A1100,[1]StockPrice!$C:$D,2,FALSE)</f>
        <v>#N/A</v>
      </c>
    </row>
    <row r="1101" spans="1:2" x14ac:dyDescent="0.2">
      <c r="A1101" t="s">
        <v>93</v>
      </c>
      <c r="B1101" t="e">
        <f>VLOOKUP(A1101,[1]StockPrice!$C:$D,2,FALSE)</f>
        <v>#N/A</v>
      </c>
    </row>
    <row r="1102" spans="1:2" x14ac:dyDescent="0.2">
      <c r="A1102" t="s">
        <v>88</v>
      </c>
      <c r="B1102" t="e">
        <f>VLOOKUP(A1102,[1]StockPrice!$C:$D,2,FALSE)</f>
        <v>#N/A</v>
      </c>
    </row>
    <row r="1103" spans="1:2" x14ac:dyDescent="0.2">
      <c r="A1103" t="s">
        <v>86</v>
      </c>
      <c r="B1103" t="e">
        <f>VLOOKUP(A1103,[1]StockPrice!$C:$D,2,FALSE)</f>
        <v>#N/A</v>
      </c>
    </row>
    <row r="1104" spans="1:2" x14ac:dyDescent="0.2">
      <c r="A1104" t="s">
        <v>82</v>
      </c>
      <c r="B1104" t="e">
        <f>VLOOKUP(A1104,[1]StockPrice!$C:$D,2,FALSE)</f>
        <v>#N/A</v>
      </c>
    </row>
    <row r="1105" spans="1:2" x14ac:dyDescent="0.2">
      <c r="A1105" t="s">
        <v>66</v>
      </c>
      <c r="B1105" t="e">
        <f>VLOOKUP(A1105,[1]StockPrice!$C:$D,2,FALSE)</f>
        <v>#N/A</v>
      </c>
    </row>
    <row r="1106" spans="1:2" x14ac:dyDescent="0.2">
      <c r="A1106" t="s">
        <v>64</v>
      </c>
      <c r="B1106" t="e">
        <f>VLOOKUP(A1106,[1]StockPrice!$C:$D,2,FALSE)</f>
        <v>#N/A</v>
      </c>
    </row>
    <row r="1107" spans="1:2" x14ac:dyDescent="0.2">
      <c r="A1107" t="s">
        <v>61</v>
      </c>
      <c r="B1107" t="e">
        <f>VLOOKUP(A1107,[1]StockPrice!$C:$D,2,FALSE)</f>
        <v>#N/A</v>
      </c>
    </row>
    <row r="1108" spans="1:2" x14ac:dyDescent="0.2">
      <c r="A1108" t="s">
        <v>55</v>
      </c>
      <c r="B1108" t="e">
        <f>VLOOKUP(A1108,[1]StockPrice!$C:$D,2,FALSE)</f>
        <v>#N/A</v>
      </c>
    </row>
    <row r="1109" spans="1:2" x14ac:dyDescent="0.2">
      <c r="A1109" t="s">
        <v>46</v>
      </c>
      <c r="B1109" t="e">
        <f>VLOOKUP(A1109,[1]StockPrice!$C:$D,2,FALSE)</f>
        <v>#N/A</v>
      </c>
    </row>
    <row r="1110" spans="1:2" x14ac:dyDescent="0.2">
      <c r="A1110" t="s">
        <v>45</v>
      </c>
      <c r="B1110" t="e">
        <f>VLOOKUP(A1110,[1]StockPrice!$C:$D,2,FALSE)</f>
        <v>#N/A</v>
      </c>
    </row>
    <row r="1111" spans="1:2" x14ac:dyDescent="0.2">
      <c r="A1111" t="s">
        <v>42</v>
      </c>
      <c r="B1111" t="e">
        <f>VLOOKUP(A1111,[1]StockPrice!$C:$D,2,FALSE)</f>
        <v>#N/A</v>
      </c>
    </row>
    <row r="1112" spans="1:2" x14ac:dyDescent="0.2">
      <c r="A1112" t="s">
        <v>1584</v>
      </c>
      <c r="B1112" t="e">
        <f>VLOOKUP(A1112,[1]StockPrice!$C:$D,2,FALSE)</f>
        <v>#N/A</v>
      </c>
    </row>
    <row r="1113" spans="1:2" x14ac:dyDescent="0.2">
      <c r="A1113" t="s">
        <v>1643</v>
      </c>
      <c r="B1113" t="e">
        <f>VLOOKUP(A1113,[1]StockPrice!$C:$D,2,FALSE)</f>
        <v>#N/A</v>
      </c>
    </row>
    <row r="1114" spans="1:2" x14ac:dyDescent="0.2">
      <c r="A1114" t="s">
        <v>1651</v>
      </c>
      <c r="B1114" t="e">
        <f>VLOOKUP(A1114,[1]StockPrice!$C:$D,2,FALSE)</f>
        <v>#N/A</v>
      </c>
    </row>
    <row r="1115" spans="1:2" x14ac:dyDescent="0.2">
      <c r="A1115" t="s">
        <v>1660</v>
      </c>
      <c r="B1115">
        <f>VLOOKUP(A1115,[1]StockPrice!$C:$D,2,FALSE)</f>
        <v>3.14</v>
      </c>
    </row>
    <row r="1116" spans="1:2" x14ac:dyDescent="0.2">
      <c r="A1116" t="s">
        <v>1349</v>
      </c>
      <c r="B1116">
        <f>VLOOKUP(A1116,[1]StockPrice!$C:$D,2,FALSE)</f>
        <v>234.84</v>
      </c>
    </row>
    <row r="1117" spans="1:2" x14ac:dyDescent="0.2">
      <c r="A1117" t="s">
        <v>38</v>
      </c>
      <c r="B1117">
        <f>VLOOKUP(A1117,[1]StockPrice!$C:$D,2,FALSE)</f>
        <v>1.5005200000000001</v>
      </c>
    </row>
    <row r="1118" spans="1:2" x14ac:dyDescent="0.2">
      <c r="A1118" t="s">
        <v>1552</v>
      </c>
      <c r="B1118">
        <f>VLOOKUP(A1118,[1]StockPrice!$C:$D,2,FALSE)</f>
        <v>1.4619200000000001</v>
      </c>
    </row>
    <row r="1119" spans="1:2" x14ac:dyDescent="0.2">
      <c r="A1119" t="s">
        <v>1554</v>
      </c>
      <c r="B1119" t="e">
        <f>VLOOKUP(A1119,[1]StockPrice!$C:$D,2,FALSE)</f>
        <v>#N/A</v>
      </c>
    </row>
    <row r="1120" spans="1:2" x14ac:dyDescent="0.2">
      <c r="A1120" t="s">
        <v>37</v>
      </c>
      <c r="B1120" t="e">
        <f>VLOOKUP(A1120,[1]StockPrice!$C:$D,2,FALSE)</f>
        <v>#N/A</v>
      </c>
    </row>
    <row r="1121" spans="1:2" x14ac:dyDescent="0.2">
      <c r="A1121" t="s">
        <v>1534</v>
      </c>
      <c r="B1121" t="e">
        <f>VLOOKUP(A1121,[1]StockPrice!$C:$D,2,FALSE)</f>
        <v>#N/A</v>
      </c>
    </row>
    <row r="1122" spans="1:2" x14ac:dyDescent="0.2">
      <c r="A1122" t="s">
        <v>1535</v>
      </c>
      <c r="B1122" t="e">
        <f>VLOOKUP(A1122,[1]StockPrice!$C:$D,2,FALSE)</f>
        <v>#N/A</v>
      </c>
    </row>
    <row r="1123" spans="1:2" x14ac:dyDescent="0.2">
      <c r="A1123" t="s">
        <v>1645</v>
      </c>
      <c r="B1123" t="e">
        <f>VLOOKUP(A1123,[1]StockPrice!$C:$D,2,FALSE)</f>
        <v>#N/A</v>
      </c>
    </row>
    <row r="1124" spans="1:2" x14ac:dyDescent="0.2">
      <c r="A1124" t="s">
        <v>1649</v>
      </c>
      <c r="B1124" t="e">
        <f>VLOOKUP(A1124,[1]StockPrice!$C:$D,2,FALSE)</f>
        <v>#N/A</v>
      </c>
    </row>
    <row r="1125" spans="1:2" x14ac:dyDescent="0.2">
      <c r="A1125" t="s">
        <v>1559</v>
      </c>
      <c r="B1125" t="e">
        <f>VLOOKUP(A1125,[1]StockPrice!$C:$D,2,FALSE)</f>
        <v>#N/A</v>
      </c>
    </row>
    <row r="1126" spans="1:2" x14ac:dyDescent="0.2">
      <c r="A1126" t="s">
        <v>1582</v>
      </c>
      <c r="B1126" t="e">
        <f>VLOOKUP(A1126,[1]StockPrice!$C:$D,2,FALSE)</f>
        <v>#N/A</v>
      </c>
    </row>
    <row r="1127" spans="1:2" x14ac:dyDescent="0.2">
      <c r="A1127" t="s">
        <v>1509</v>
      </c>
      <c r="B1127">
        <f>VLOOKUP(A1127,[1]StockPrice!$C:$D,2,FALSE)</f>
        <v>132.88</v>
      </c>
    </row>
    <row r="1128" spans="1:2" x14ac:dyDescent="0.2">
      <c r="A1128" t="s">
        <v>23</v>
      </c>
      <c r="B1128">
        <f>VLOOKUP(A1128,[1]StockPrice!$C:$D,2,FALSE)</f>
        <v>2.08195</v>
      </c>
    </row>
    <row r="1129" spans="1:2" x14ac:dyDescent="0.2">
      <c r="A1129" t="s">
        <v>18</v>
      </c>
      <c r="B1129" t="e">
        <f>VLOOKUP(A1129,[1]StockPrice!$C:$D,2,FALSE)</f>
        <v>#N/A</v>
      </c>
    </row>
    <row r="1130" spans="1:2" x14ac:dyDescent="0.2">
      <c r="A1130" t="s">
        <v>1586</v>
      </c>
      <c r="B1130">
        <f>VLOOKUP(A1130,[1]StockPrice!$C:$D,2,FALSE)</f>
        <v>6.9097400000000002E-3</v>
      </c>
    </row>
    <row r="1131" spans="1:2" x14ac:dyDescent="0.2">
      <c r="A1131" t="s">
        <v>1567</v>
      </c>
      <c r="B1131" t="e">
        <f>VLOOKUP(A1131,[1]StockPrice!$C:$D,2,FALSE)</f>
        <v>#N/A</v>
      </c>
    </row>
    <row r="1132" spans="1:2" x14ac:dyDescent="0.2">
      <c r="A1132" t="s">
        <v>1578</v>
      </c>
      <c r="B1132">
        <f>VLOOKUP(A1132,[1]StockPrice!$C:$D,2,FALSE)</f>
        <v>22.04</v>
      </c>
    </row>
    <row r="1133" spans="1:2" x14ac:dyDescent="0.2">
      <c r="A1133" t="s">
        <v>1354</v>
      </c>
      <c r="B1133" t="e">
        <f>VLOOKUP(A1133,[1]StockPrice!$C:$D,2,FALSE)</f>
        <v>#N/A</v>
      </c>
    </row>
    <row r="1134" spans="1:2" x14ac:dyDescent="0.2">
      <c r="A1134" t="s">
        <v>1426</v>
      </c>
      <c r="B1134">
        <f>VLOOKUP(A1134,[1]StockPrice!$C:$D,2,FALSE)</f>
        <v>3.8310200000000001</v>
      </c>
    </row>
    <row r="1135" spans="1:2" x14ac:dyDescent="0.2">
      <c r="A1135" t="s">
        <v>1650</v>
      </c>
      <c r="B1135" t="e">
        <f>VLOOKUP(A1135,[1]StockPrice!$C:$D,2,FALSE)</f>
        <v>#N/A</v>
      </c>
    </row>
    <row r="1136" spans="1:2" x14ac:dyDescent="0.2">
      <c r="A1136" t="s">
        <v>1406</v>
      </c>
      <c r="B1136" t="e">
        <f>VLOOKUP(A1136,[1]StockPrice!$C:$D,2,FALSE)</f>
        <v>#N/A</v>
      </c>
    </row>
    <row r="1137" spans="1:2" x14ac:dyDescent="0.2">
      <c r="A1137" t="s">
        <v>1656</v>
      </c>
      <c r="B1137" t="e">
        <f>VLOOKUP(A1137,[1]StockPrice!$C:$D,2,FALSE)</f>
        <v>#N/A</v>
      </c>
    </row>
    <row r="1138" spans="1:2" x14ac:dyDescent="0.2">
      <c r="A1138" t="s">
        <v>1592</v>
      </c>
      <c r="B1138" t="e">
        <f>VLOOKUP(A1138,[1]StockPrice!$C:$D,2,FALSE)</f>
        <v>#N/A</v>
      </c>
    </row>
    <row r="1139" spans="1:2" x14ac:dyDescent="0.2">
      <c r="A1139" t="s">
        <v>1614</v>
      </c>
      <c r="B1139" t="e">
        <f>VLOOKUP(A1139,[1]StockPrice!$C:$D,2,FALSE)</f>
        <v>#N/A</v>
      </c>
    </row>
    <row r="1140" spans="1:2" x14ac:dyDescent="0.2">
      <c r="A1140" t="s">
        <v>1680</v>
      </c>
      <c r="B1140">
        <f>VLOOKUP(A1140,[1]StockPrice!$C:$D,2,FALSE)</f>
        <v>8.2899999999999991</v>
      </c>
    </row>
    <row r="1141" spans="1:2" x14ac:dyDescent="0.2">
      <c r="A1141" t="s">
        <v>1579</v>
      </c>
      <c r="B1141" t="e">
        <f>VLOOKUP(A1141,[1]StockPrice!$C:$D,2,FALSE)</f>
        <v>#N/A</v>
      </c>
    </row>
    <row r="1142" spans="1:2" x14ac:dyDescent="0.2">
      <c r="A1142" t="s">
        <v>1667</v>
      </c>
      <c r="B1142" t="e">
        <f>VLOOKUP(A1142,[1]StockPrice!$C:$D,2,FALSE)</f>
        <v>#N/A</v>
      </c>
    </row>
    <row r="1143" spans="1:2" x14ac:dyDescent="0.2">
      <c r="A1143" t="s">
        <v>1689</v>
      </c>
      <c r="B1143" t="e">
        <f>VLOOKUP(A1143,[1]StockPrice!$C:$D,2,FALSE)</f>
        <v>#N/A</v>
      </c>
    </row>
    <row r="1144" spans="1:2" x14ac:dyDescent="0.2">
      <c r="A1144" t="s">
        <v>1596</v>
      </c>
      <c r="B1144" t="e">
        <f>VLOOKUP(A1144,[1]StockPrice!$C:$D,2,FALSE)</f>
        <v>#N/A</v>
      </c>
    </row>
    <row r="1145" spans="1:2" x14ac:dyDescent="0.2">
      <c r="A1145" t="s">
        <v>1517</v>
      </c>
      <c r="B1145" t="e">
        <f>VLOOKUP(A1145,[1]StockPrice!$C:$D,2,FALSE)</f>
        <v>#N/A</v>
      </c>
    </row>
    <row r="1146" spans="1:2" x14ac:dyDescent="0.2">
      <c r="A1146" t="s">
        <v>1553</v>
      </c>
      <c r="B1146" t="e">
        <f>VLOOKUP(A1146,[1]StockPrice!$C:$D,2,FALSE)</f>
        <v>#N/A</v>
      </c>
    </row>
    <row r="1147" spans="1:2" x14ac:dyDescent="0.2">
      <c r="A1147" t="s">
        <v>1565</v>
      </c>
      <c r="B1147" t="e">
        <f>VLOOKUP(A1147,[1]StockPrice!$C:$D,2,FALSE)</f>
        <v>#N/A</v>
      </c>
    </row>
    <row r="1148" spans="1:2" x14ac:dyDescent="0.2">
      <c r="A1148" t="s">
        <v>1593</v>
      </c>
      <c r="B1148" t="e">
        <f>VLOOKUP(A1148,[1]StockPrice!$C:$D,2,FALSE)</f>
        <v>#N/A</v>
      </c>
    </row>
    <row r="1149" spans="1:2" x14ac:dyDescent="0.2">
      <c r="A1149" t="s">
        <v>1594</v>
      </c>
      <c r="B1149" t="e">
        <f>VLOOKUP(A1149,[1]StockPrice!$C:$D,2,FALSE)</f>
        <v>#N/A</v>
      </c>
    </row>
    <row r="1150" spans="1:2" x14ac:dyDescent="0.2">
      <c r="A1150" t="s">
        <v>1603</v>
      </c>
      <c r="B1150">
        <f>VLOOKUP(A1150,[1]StockPrice!$C:$D,2,FALSE)</f>
        <v>11.86</v>
      </c>
    </row>
    <row r="1151" spans="1:2" x14ac:dyDescent="0.2">
      <c r="A1151" t="s">
        <v>1612</v>
      </c>
      <c r="B1151">
        <f>VLOOKUP(A1151,[1]StockPrice!$C:$D,2,FALSE)</f>
        <v>45761</v>
      </c>
    </row>
    <row r="1152" spans="1:2" x14ac:dyDescent="0.2">
      <c r="A1152" t="s">
        <v>1545</v>
      </c>
      <c r="B1152" t="e">
        <f>VLOOKUP(A1152,[1]StockPrice!$C:$D,2,FALSE)</f>
        <v>#N/A</v>
      </c>
    </row>
    <row r="1153" spans="1:2" x14ac:dyDescent="0.2">
      <c r="A1153" t="s">
        <v>1557</v>
      </c>
      <c r="B1153" t="e">
        <f>VLOOKUP(A1153,[1]StockPrice!$C:$D,2,FALSE)</f>
        <v>#N/A</v>
      </c>
    </row>
    <row r="1154" spans="1:2" x14ac:dyDescent="0.2">
      <c r="A1154" t="s">
        <v>1566</v>
      </c>
      <c r="B1154" t="e">
        <f>VLOOKUP(A1154,[1]StockPrice!$C:$D,2,FALSE)</f>
        <v>#N/A</v>
      </c>
    </row>
    <row r="1155" spans="1:2" x14ac:dyDescent="0.2">
      <c r="A1155" t="s">
        <v>1605</v>
      </c>
      <c r="B1155" t="e">
        <f>VLOOKUP(A1155,[1]StockPrice!$C:$D,2,FALSE)</f>
        <v>#N/A</v>
      </c>
    </row>
    <row r="1156" spans="1:2" x14ac:dyDescent="0.2">
      <c r="A1156" t="s">
        <v>1608</v>
      </c>
      <c r="B1156">
        <f>VLOOKUP(A1156,[1]StockPrice!$C:$D,2,FALSE)</f>
        <v>1.28</v>
      </c>
    </row>
    <row r="1157" spans="1:2" x14ac:dyDescent="0.2">
      <c r="A1157" t="s">
        <v>1632</v>
      </c>
      <c r="B1157">
        <f>VLOOKUP(A1157,[1]StockPrice!$C:$D,2,FALSE)</f>
        <v>4.29</v>
      </c>
    </row>
    <row r="1158" spans="1:2" x14ac:dyDescent="0.2">
      <c r="A1158" t="s">
        <v>1663</v>
      </c>
      <c r="B1158" t="e">
        <f>VLOOKUP(A1158,[1]StockPrice!$C:$D,2,FALSE)</f>
        <v>#N/A</v>
      </c>
    </row>
    <row r="1159" spans="1:2" x14ac:dyDescent="0.2">
      <c r="A1159" t="s">
        <v>1665</v>
      </c>
      <c r="B1159">
        <f>VLOOKUP(A1159,[1]StockPrice!$C:$D,2,FALSE)</f>
        <v>1.03224</v>
      </c>
    </row>
    <row r="1160" spans="1:2" x14ac:dyDescent="0.2">
      <c r="A1160" t="s">
        <v>1670</v>
      </c>
      <c r="B1160" t="e">
        <f>VLOOKUP(A1160,[1]StockPrice!$C:$D,2,FALSE)</f>
        <v>#N/A</v>
      </c>
    </row>
    <row r="1161" spans="1:2" x14ac:dyDescent="0.2">
      <c r="A1161" t="s">
        <v>1527</v>
      </c>
      <c r="B1161">
        <f>VLOOKUP(A1161,[1]StockPrice!$C:$D,2,FALSE)</f>
        <v>39</v>
      </c>
    </row>
    <row r="1162" spans="1:2" x14ac:dyDescent="0.2">
      <c r="A1162" t="s">
        <v>1529</v>
      </c>
      <c r="B1162" t="e">
        <f>VLOOKUP(A1162,[1]StockPrice!$C:$D,2,FALSE)</f>
        <v>#N/A</v>
      </c>
    </row>
    <row r="1163" spans="1:2" x14ac:dyDescent="0.2">
      <c r="A1163" t="s">
        <v>1556</v>
      </c>
      <c r="B1163" t="e">
        <f>VLOOKUP(A1163,[1]StockPrice!$C:$D,2,FALSE)</f>
        <v>#N/A</v>
      </c>
    </row>
    <row r="1164" spans="1:2" x14ac:dyDescent="0.2">
      <c r="A1164" t="s">
        <v>1568</v>
      </c>
      <c r="B1164" t="e">
        <f>VLOOKUP(A1164,[1]StockPrice!$C:$D,2,FALSE)</f>
        <v>#N/A</v>
      </c>
    </row>
    <row r="1165" spans="1:2" x14ac:dyDescent="0.2">
      <c r="A1165" t="s">
        <v>1577</v>
      </c>
      <c r="B1165" t="e">
        <f>VLOOKUP(A1165,[1]StockPrice!$C:$D,2,FALSE)</f>
        <v>#N/A</v>
      </c>
    </row>
    <row r="1166" spans="1:2" x14ac:dyDescent="0.2">
      <c r="A1166" t="s">
        <v>1500</v>
      </c>
      <c r="B1166" t="e">
        <f>VLOOKUP(A1166,[1]StockPrice!$C:$D,2,FALSE)</f>
        <v>#N/A</v>
      </c>
    </row>
    <row r="1167" spans="1:2" x14ac:dyDescent="0.2">
      <c r="A1167" t="s">
        <v>1513</v>
      </c>
      <c r="B1167" t="e">
        <f>VLOOKUP(A1167,[1]StockPrice!$C:$D,2,FALSE)</f>
        <v>#N/A</v>
      </c>
    </row>
    <row r="1168" spans="1:2" x14ac:dyDescent="0.2">
      <c r="A1168" t="s">
        <v>1526</v>
      </c>
      <c r="B1168" t="e">
        <f>VLOOKUP(A1168,[1]StockPrice!$C:$D,2,FALSE)</f>
        <v>#N/A</v>
      </c>
    </row>
    <row r="1169" spans="1:2" x14ac:dyDescent="0.2">
      <c r="A1169" t="s">
        <v>1530</v>
      </c>
      <c r="B1169">
        <f>VLOOKUP(A1169,[1]StockPrice!$C:$D,2,FALSE)</f>
        <v>82.14</v>
      </c>
    </row>
    <row r="1170" spans="1:2" x14ac:dyDescent="0.2">
      <c r="A1170" t="s">
        <v>1542</v>
      </c>
      <c r="B1170" t="e">
        <f>VLOOKUP(A1170,[1]StockPrice!$C:$D,2,FALSE)</f>
        <v>#N/A</v>
      </c>
    </row>
    <row r="1171" spans="1:2" x14ac:dyDescent="0.2">
      <c r="A1171" t="s">
        <v>1573</v>
      </c>
      <c r="B1171" t="e">
        <f>VLOOKUP(A1171,[1]StockPrice!$C:$D,2,FALSE)</f>
        <v>#N/A</v>
      </c>
    </row>
    <row r="1172" spans="1:2" x14ac:dyDescent="0.2">
      <c r="A1172" t="s">
        <v>1609</v>
      </c>
      <c r="B1172" t="e">
        <f>VLOOKUP(A1172,[1]StockPrice!$C:$D,2,FALSE)</f>
        <v>#N/A</v>
      </c>
    </row>
    <row r="1173" spans="1:2" x14ac:dyDescent="0.2">
      <c r="A1173" t="s">
        <v>1621</v>
      </c>
      <c r="B1173">
        <f>VLOOKUP(A1173,[1]StockPrice!$C:$D,2,FALSE)</f>
        <v>10.527200000000001</v>
      </c>
    </row>
    <row r="1174" spans="1:2" x14ac:dyDescent="0.2">
      <c r="A1174" t="s">
        <v>1510</v>
      </c>
      <c r="B1174" t="e">
        <f>VLOOKUP(A1174,[1]StockPrice!$C:$D,2,FALSE)</f>
        <v>#N/A</v>
      </c>
    </row>
    <row r="1175" spans="1:2" x14ac:dyDescent="0.2">
      <c r="A1175" t="s">
        <v>1538</v>
      </c>
      <c r="B1175" t="e">
        <f>VLOOKUP(A1175,[1]StockPrice!$C:$D,2,FALSE)</f>
        <v>#N/A</v>
      </c>
    </row>
    <row r="1176" spans="1:2" x14ac:dyDescent="0.2">
      <c r="A1176" t="s">
        <v>1562</v>
      </c>
      <c r="B1176" t="e">
        <f>VLOOKUP(A1176,[1]StockPrice!$C:$D,2,FALSE)</f>
        <v>#N/A</v>
      </c>
    </row>
    <row r="1177" spans="1:2" x14ac:dyDescent="0.2">
      <c r="A1177" t="s">
        <v>1671</v>
      </c>
      <c r="B1177" t="e">
        <f>VLOOKUP(A1177,[1]StockPrice!$C:$D,2,FALSE)</f>
        <v>#N/A</v>
      </c>
    </row>
    <row r="1178" spans="1:2" x14ac:dyDescent="0.2">
      <c r="A1178" t="s">
        <v>1507</v>
      </c>
      <c r="B1178" t="e">
        <f>VLOOKUP(A1178,[1]StockPrice!$C:$D,2,FALSE)</f>
        <v>#N/A</v>
      </c>
    </row>
    <row r="1179" spans="1:2" x14ac:dyDescent="0.2">
      <c r="A1179" t="s">
        <v>1550</v>
      </c>
      <c r="B1179" t="e">
        <f>VLOOKUP(A1179,[1]StockPrice!$C:$D,2,FALSE)</f>
        <v>#N/A</v>
      </c>
    </row>
    <row r="1180" spans="1:2" x14ac:dyDescent="0.2">
      <c r="A1180" t="s">
        <v>1646</v>
      </c>
      <c r="B1180" t="e">
        <f>VLOOKUP(A1180,[1]StockPrice!$C:$D,2,FALSE)</f>
        <v>#N/A</v>
      </c>
    </row>
    <row r="1181" spans="1:2" x14ac:dyDescent="0.2">
      <c r="A1181" t="s">
        <v>1659</v>
      </c>
      <c r="B1181" t="e">
        <f>VLOOKUP(A1181,[1]StockPrice!$C:$D,2,FALSE)</f>
        <v>#N/A</v>
      </c>
    </row>
    <row r="1182" spans="1:2" x14ac:dyDescent="0.2">
      <c r="A1182" t="s">
        <v>1642</v>
      </c>
      <c r="B1182" t="e">
        <f>VLOOKUP(A1182,[1]StockPrice!$C:$D,2,FALSE)</f>
        <v>#N/A</v>
      </c>
    </row>
    <row r="1183" spans="1:2" x14ac:dyDescent="0.2">
      <c r="A1183" t="s">
        <v>1681</v>
      </c>
      <c r="B1183" t="e">
        <f>VLOOKUP(A1183,[1]StockPrice!$C:$D,2,FALSE)</f>
        <v>#N/A</v>
      </c>
    </row>
    <row r="1184" spans="1:2" x14ac:dyDescent="0.2">
      <c r="A1184" t="s">
        <v>1548</v>
      </c>
      <c r="B1184" t="e">
        <f>VLOOKUP(A1184,[1]StockPrice!$C:$D,2,FALSE)</f>
        <v>#N/A</v>
      </c>
    </row>
    <row r="1185" spans="1:2" x14ac:dyDescent="0.2">
      <c r="A1185" t="s">
        <v>1644</v>
      </c>
      <c r="B1185">
        <f>VLOOKUP(A1185,[1]StockPrice!$C:$D,2,FALSE)</f>
        <v>4.25</v>
      </c>
    </row>
    <row r="1186" spans="1:2" x14ac:dyDescent="0.2">
      <c r="A1186" t="s">
        <v>1501</v>
      </c>
      <c r="B1186">
        <f>VLOOKUP(A1186,[1]StockPrice!$C:$D,2,FALSE)</f>
        <v>0.43509999999999999</v>
      </c>
    </row>
    <row r="1187" spans="1:2" x14ac:dyDescent="0.2">
      <c r="A1187" t="s">
        <v>1701</v>
      </c>
      <c r="B1187" t="e">
        <f>VLOOKUP(A1187,[1]StockPrice!$C:$D,2,FALSE)</f>
        <v>#N/A</v>
      </c>
    </row>
    <row r="1188" spans="1:2" x14ac:dyDescent="0.2">
      <c r="A1188" t="s">
        <v>1375</v>
      </c>
      <c r="B1188" t="e">
        <f>VLOOKUP(A1188,[1]StockPrice!$C:$D,2,FALSE)</f>
        <v>#N/A</v>
      </c>
    </row>
    <row r="1189" spans="1:2" x14ac:dyDescent="0.2">
      <c r="A1189" t="s">
        <v>1679</v>
      </c>
      <c r="B1189" t="e">
        <f>VLOOKUP(A1189,[1]StockPrice!$C:$D,2,FALSE)</f>
        <v>#N/A</v>
      </c>
    </row>
    <row r="1190" spans="1:2" x14ac:dyDescent="0.2">
      <c r="A1190" t="s">
        <v>1536</v>
      </c>
      <c r="B1190" t="e">
        <f>VLOOKUP(A1190,[1]StockPrice!$C:$D,2,FALSE)</f>
        <v>#N/A</v>
      </c>
    </row>
    <row r="1191" spans="1:2" x14ac:dyDescent="0.2">
      <c r="A1191" t="s">
        <v>1560</v>
      </c>
      <c r="B1191" t="e">
        <f>VLOOKUP(A1191,[1]StockPrice!$C:$D,2,FALSE)</f>
        <v>#N/A</v>
      </c>
    </row>
    <row r="1192" spans="1:2" x14ac:dyDescent="0.2">
      <c r="A1192" t="s">
        <v>1561</v>
      </c>
      <c r="B1192">
        <f>VLOOKUP(A1192,[1]StockPrice!$C:$D,2,FALSE)</f>
        <v>107.06</v>
      </c>
    </row>
    <row r="1193" spans="1:2" x14ac:dyDescent="0.2">
      <c r="A1193" t="s">
        <v>1638</v>
      </c>
      <c r="B1193" t="e">
        <f>VLOOKUP(A1193,[1]StockPrice!$C:$D,2,FALSE)</f>
        <v>#N/A</v>
      </c>
    </row>
    <row r="1194" spans="1:2" x14ac:dyDescent="0.2">
      <c r="A1194" t="s">
        <v>1514</v>
      </c>
      <c r="B1194" t="e">
        <f>VLOOKUP(A1194,[1]StockPrice!$C:$D,2,FALSE)</f>
        <v>#N/A</v>
      </c>
    </row>
    <row r="1195" spans="1:2" x14ac:dyDescent="0.2">
      <c r="A1195" t="s">
        <v>1541</v>
      </c>
      <c r="B1195">
        <f>VLOOKUP(A1195,[1]StockPrice!$C:$D,2,FALSE)</f>
        <v>0.170126</v>
      </c>
    </row>
    <row r="1196" spans="1:2" x14ac:dyDescent="0.2">
      <c r="A1196" t="s">
        <v>1618</v>
      </c>
      <c r="B1196" t="e">
        <f>VLOOKUP(A1196,[1]StockPrice!$C:$D,2,FALSE)</f>
        <v>#N/A</v>
      </c>
    </row>
    <row r="1197" spans="1:2" x14ac:dyDescent="0.2">
      <c r="A1197" t="s">
        <v>1523</v>
      </c>
      <c r="B1197" t="e">
        <f>VLOOKUP(A1197,[1]StockPrice!$C:$D,2,FALSE)</f>
        <v>#N/A</v>
      </c>
    </row>
    <row r="1198" spans="1:2" x14ac:dyDescent="0.2">
      <c r="A1198" t="s">
        <v>1533</v>
      </c>
      <c r="B1198" t="e">
        <f>VLOOKUP(A1198,[1]StockPrice!$C:$D,2,FALSE)</f>
        <v>#N/A</v>
      </c>
    </row>
    <row r="1199" spans="1:2" x14ac:dyDescent="0.2">
      <c r="A1199" t="s">
        <v>1580</v>
      </c>
      <c r="B1199">
        <f>VLOOKUP(A1199,[1]StockPrice!$C:$D,2,FALSE)</f>
        <v>65.78</v>
      </c>
    </row>
    <row r="1200" spans="1:2" x14ac:dyDescent="0.2">
      <c r="A1200" t="s">
        <v>1607</v>
      </c>
      <c r="B1200" t="e">
        <f>VLOOKUP(A1200,[1]StockPrice!$C:$D,2,FALSE)</f>
        <v>#N/A</v>
      </c>
    </row>
    <row r="1201" spans="1:2" x14ac:dyDescent="0.2">
      <c r="A1201" t="s">
        <v>1672</v>
      </c>
      <c r="B1201" t="e">
        <f>VLOOKUP(A1201,[1]StockPrice!$C:$D,2,FALSE)</f>
        <v>#N/A</v>
      </c>
    </row>
    <row r="1202" spans="1:2" x14ac:dyDescent="0.2">
      <c r="A1202" t="s">
        <v>1625</v>
      </c>
      <c r="B1202" t="e">
        <f>VLOOKUP(A1202,[1]StockPrice!$C:$D,2,FALSE)</f>
        <v>#N/A</v>
      </c>
    </row>
    <row r="1203" spans="1:2" x14ac:dyDescent="0.2">
      <c r="A1203" t="s">
        <v>1636</v>
      </c>
      <c r="B1203">
        <f>VLOOKUP(A1203,[1]StockPrice!$C:$D,2,FALSE)</f>
        <v>252.9</v>
      </c>
    </row>
    <row r="1204" spans="1:2" x14ac:dyDescent="0.2">
      <c r="A1204" t="s">
        <v>1543</v>
      </c>
      <c r="B1204" t="e">
        <f>VLOOKUP(A1204,[1]StockPrice!$C:$D,2,FALSE)</f>
        <v>#N/A</v>
      </c>
    </row>
    <row r="1205" spans="1:2" x14ac:dyDescent="0.2">
      <c r="A1205" t="s">
        <v>1515</v>
      </c>
      <c r="B1205" t="e">
        <f>VLOOKUP(A1205,[1]StockPrice!$C:$D,2,FALSE)</f>
        <v>#N/A</v>
      </c>
    </row>
    <row r="1206" spans="1:2" x14ac:dyDescent="0.2">
      <c r="A1206" t="s">
        <v>1520</v>
      </c>
      <c r="B1206">
        <f>VLOOKUP(A1206,[1]StockPrice!$C:$D,2,FALSE)</f>
        <v>66.08</v>
      </c>
    </row>
    <row r="1207" spans="1:2" x14ac:dyDescent="0.2">
      <c r="A1207" t="s">
        <v>1589</v>
      </c>
      <c r="B1207" t="e">
        <f>VLOOKUP(A1207,[1]StockPrice!$C:$D,2,FALSE)</f>
        <v>#N/A</v>
      </c>
    </row>
    <row r="1208" spans="1:2" x14ac:dyDescent="0.2">
      <c r="A1208" t="s">
        <v>1654</v>
      </c>
      <c r="B1208" t="e">
        <f>VLOOKUP(A1208,[1]StockPrice!$C:$D,2,FALSE)</f>
        <v>#N/A</v>
      </c>
    </row>
    <row r="1209" spans="1:2" x14ac:dyDescent="0.2">
      <c r="A1209" t="s">
        <v>1674</v>
      </c>
      <c r="B1209" t="e">
        <f>VLOOKUP(A1209,[1]StockPrice!$C:$D,2,FALSE)</f>
        <v>#N/A</v>
      </c>
    </row>
    <row r="1210" spans="1:2" x14ac:dyDescent="0.2">
      <c r="A1210" t="s">
        <v>1528</v>
      </c>
      <c r="B1210" t="e">
        <f>VLOOKUP(A1210,[1]StockPrice!$C:$D,2,FALSE)</f>
        <v>#N/A</v>
      </c>
    </row>
    <row r="1211" spans="1:2" x14ac:dyDescent="0.2">
      <c r="A1211" t="s">
        <v>1574</v>
      </c>
      <c r="B1211">
        <f>VLOOKUP(A1211,[1]StockPrice!$C:$D,2,FALSE)</f>
        <v>2842</v>
      </c>
    </row>
    <row r="1212" spans="1:2" x14ac:dyDescent="0.2">
      <c r="A1212" t="s">
        <v>1627</v>
      </c>
      <c r="B1212" t="e">
        <f>VLOOKUP(A1212,[1]StockPrice!$C:$D,2,FALSE)</f>
        <v>#N/A</v>
      </c>
    </row>
    <row r="1213" spans="1:2" x14ac:dyDescent="0.2">
      <c r="A1213" t="s">
        <v>1658</v>
      </c>
      <c r="B1213" t="e">
        <f>VLOOKUP(A1213,[1]StockPrice!$C:$D,2,FALSE)</f>
        <v>#N/A</v>
      </c>
    </row>
    <row r="1214" spans="1:2" x14ac:dyDescent="0.2">
      <c r="A1214" t="s">
        <v>1728</v>
      </c>
      <c r="B1214" t="e">
        <f>VLOOKUP(A1214,[1]StockPrice!$C:$D,2,FALSE)</f>
        <v>#N/A</v>
      </c>
    </row>
    <row r="1215" spans="1:2" x14ac:dyDescent="0.2">
      <c r="A1215" t="s">
        <v>1353</v>
      </c>
      <c r="B1215">
        <f>VLOOKUP(A1215,[1]StockPrice!$C:$D,2,FALSE)</f>
        <v>9.3000000000000007</v>
      </c>
    </row>
    <row r="1216" spans="1:2" x14ac:dyDescent="0.2">
      <c r="A1216" t="s">
        <v>1572</v>
      </c>
      <c r="B1216" t="e">
        <f>VLOOKUP(A1216,[1]StockPrice!$C:$D,2,FALSE)</f>
        <v>#N/A</v>
      </c>
    </row>
    <row r="1217" spans="1:2" x14ac:dyDescent="0.2">
      <c r="A1217" t="s">
        <v>1525</v>
      </c>
      <c r="B1217" t="e">
        <f>VLOOKUP(A1217,[1]StockPrice!$C:$D,2,FALSE)</f>
        <v>#N/A</v>
      </c>
    </row>
    <row r="1218" spans="1:2" x14ac:dyDescent="0.2">
      <c r="A1218" t="s">
        <v>1355</v>
      </c>
      <c r="B1218" t="e">
        <f>VLOOKUP(A1218,[1]StockPrice!$C:$D,2,FALSE)</f>
        <v>#N/A</v>
      </c>
    </row>
    <row r="1219" spans="1:2" x14ac:dyDescent="0.2">
      <c r="A1219" t="s">
        <v>1669</v>
      </c>
      <c r="B1219" t="e">
        <f>VLOOKUP(A1219,[1]StockPrice!$C:$D,2,FALSE)</f>
        <v>#N/A</v>
      </c>
    </row>
    <row r="1220" spans="1:2" x14ac:dyDescent="0.2">
      <c r="A1220" t="s">
        <v>1511</v>
      </c>
      <c r="B1220" t="e">
        <f>VLOOKUP(A1220,[1]StockPrice!$C:$D,2,FALSE)</f>
        <v>#N/A</v>
      </c>
    </row>
    <row r="1221" spans="1:2" x14ac:dyDescent="0.2">
      <c r="A1221" t="s">
        <v>1518</v>
      </c>
      <c r="B1221" t="e">
        <f>VLOOKUP(A1221,[1]StockPrice!$C:$D,2,FALSE)</f>
        <v>#N/A</v>
      </c>
    </row>
    <row r="1222" spans="1:2" x14ac:dyDescent="0.2">
      <c r="A1222" t="s">
        <v>1544</v>
      </c>
      <c r="B1222" t="e">
        <f>VLOOKUP(A1222,[1]StockPrice!$C:$D,2,FALSE)</f>
        <v>#N/A</v>
      </c>
    </row>
    <row r="1223" spans="1:2" x14ac:dyDescent="0.2">
      <c r="A1223" t="s">
        <v>1570</v>
      </c>
      <c r="B1223" t="e">
        <f>VLOOKUP(A1223,[1]StockPrice!$C:$D,2,FALSE)</f>
        <v>#N/A</v>
      </c>
    </row>
    <row r="1224" spans="1:2" x14ac:dyDescent="0.2">
      <c r="A1224" t="s">
        <v>1601</v>
      </c>
      <c r="B1224" t="e">
        <f>VLOOKUP(A1224,[1]StockPrice!$C:$D,2,FALSE)</f>
        <v>#N/A</v>
      </c>
    </row>
    <row r="1225" spans="1:2" x14ac:dyDescent="0.2">
      <c r="A1225" t="s">
        <v>1606</v>
      </c>
      <c r="B1225" t="e">
        <f>VLOOKUP(A1225,[1]StockPrice!$C:$D,2,FALSE)</f>
        <v>#N/A</v>
      </c>
    </row>
    <row r="1226" spans="1:2" x14ac:dyDescent="0.2">
      <c r="A1226" t="s">
        <v>1563</v>
      </c>
      <c r="B1226" t="e">
        <f>VLOOKUP(A1226,[1]StockPrice!$C:$D,2,FALSE)</f>
        <v>#N/A</v>
      </c>
    </row>
    <row r="1227" spans="1:2" x14ac:dyDescent="0.2">
      <c r="A1227" t="s">
        <v>1655</v>
      </c>
      <c r="B1227">
        <f>VLOOKUP(A1227,[1]StockPrice!$C:$D,2,FALSE)</f>
        <v>37.44</v>
      </c>
    </row>
    <row r="1228" spans="1:2" x14ac:dyDescent="0.2">
      <c r="A1228" t="s">
        <v>1678</v>
      </c>
      <c r="B1228" t="e">
        <f>VLOOKUP(A1228,[1]StockPrice!$C:$D,2,FALSE)</f>
        <v>#N/A</v>
      </c>
    </row>
    <row r="1229" spans="1:2" x14ac:dyDescent="0.2">
      <c r="A1229" t="s">
        <v>1583</v>
      </c>
      <c r="B1229" t="e">
        <f>VLOOKUP(A1229,[1]StockPrice!$C:$D,2,FALSE)</f>
        <v>#N/A</v>
      </c>
    </row>
    <row r="1230" spans="1:2" x14ac:dyDescent="0.2">
      <c r="A1230" t="s">
        <v>1616</v>
      </c>
      <c r="B1230" t="e">
        <f>VLOOKUP(A1230,[1]StockPrice!$C:$D,2,FALSE)</f>
        <v>#N/A</v>
      </c>
    </row>
    <row r="1231" spans="1:2" x14ac:dyDescent="0.2">
      <c r="A1231" t="s">
        <v>1629</v>
      </c>
      <c r="B1231">
        <f>VLOOKUP(A1231,[1]StockPrice!$C:$D,2,FALSE)</f>
        <v>1.18485</v>
      </c>
    </row>
    <row r="1232" spans="1:2" x14ac:dyDescent="0.2">
      <c r="A1232" t="s">
        <v>1519</v>
      </c>
      <c r="B1232" t="e">
        <f>VLOOKUP(A1232,[1]StockPrice!$C:$D,2,FALSE)</f>
        <v>#N/A</v>
      </c>
    </row>
    <row r="1233" spans="1:2" x14ac:dyDescent="0.2">
      <c r="A1233" t="s">
        <v>1585</v>
      </c>
      <c r="B1233" t="e">
        <f>VLOOKUP(A1233,[1]StockPrice!$C:$D,2,FALSE)</f>
        <v>#N/A</v>
      </c>
    </row>
    <row r="1234" spans="1:2" x14ac:dyDescent="0.2">
      <c r="A1234" t="s">
        <v>1595</v>
      </c>
      <c r="B1234" t="e">
        <f>VLOOKUP(A1234,[1]StockPrice!$C:$D,2,FALSE)</f>
        <v>#N/A</v>
      </c>
    </row>
    <row r="1235" spans="1:2" x14ac:dyDescent="0.2">
      <c r="A1235" t="s">
        <v>1546</v>
      </c>
      <c r="B1235" t="e">
        <f>VLOOKUP(A1235,[1]StockPrice!$C:$D,2,FALSE)</f>
        <v>#N/A</v>
      </c>
    </row>
    <row r="1236" spans="1:2" x14ac:dyDescent="0.2">
      <c r="A1236" t="s">
        <v>1571</v>
      </c>
      <c r="B1236">
        <f>VLOOKUP(A1236,[1]StockPrice!$C:$D,2,FALSE)</f>
        <v>7.4170800000000003</v>
      </c>
    </row>
    <row r="1237" spans="1:2" x14ac:dyDescent="0.2">
      <c r="A1237" t="s">
        <v>1576</v>
      </c>
      <c r="B1237" t="e">
        <f>VLOOKUP(A1237,[1]StockPrice!$C:$D,2,FALSE)</f>
        <v>#N/A</v>
      </c>
    </row>
    <row r="1238" spans="1:2" x14ac:dyDescent="0.2">
      <c r="A1238" t="s">
        <v>1622</v>
      </c>
      <c r="B1238" t="e">
        <f>VLOOKUP(A1238,[1]StockPrice!$C:$D,2,FALSE)</f>
        <v>#N/A</v>
      </c>
    </row>
    <row r="1239" spans="1:2" x14ac:dyDescent="0.2">
      <c r="A1239" t="s">
        <v>1635</v>
      </c>
      <c r="B1239">
        <f>VLOOKUP(A1239,[1]StockPrice!$C:$D,2,FALSE)</f>
        <v>0.70611699999999999</v>
      </c>
    </row>
    <row r="1240" spans="1:2" x14ac:dyDescent="0.2">
      <c r="A1240" t="s">
        <v>1677</v>
      </c>
      <c r="B1240" t="e">
        <f>VLOOKUP(A1240,[1]StockPrice!$C:$D,2,FALSE)</f>
        <v>#N/A</v>
      </c>
    </row>
    <row r="1241" spans="1:2" x14ac:dyDescent="0.2">
      <c r="A1241" t="s">
        <v>1676</v>
      </c>
      <c r="B1241" t="e">
        <f>VLOOKUP(A1241,[1]StockPrice!$C:$D,2,FALSE)</f>
        <v>#N/A</v>
      </c>
    </row>
    <row r="1242" spans="1:2" x14ac:dyDescent="0.2">
      <c r="A1242" t="s">
        <v>1531</v>
      </c>
      <c r="B1242" t="e">
        <f>VLOOKUP(A1242,[1]StockPrice!$C:$D,2,FALSE)</f>
        <v>#N/A</v>
      </c>
    </row>
    <row r="1243" spans="1:2" x14ac:dyDescent="0.2">
      <c r="A1243" t="s">
        <v>1564</v>
      </c>
      <c r="B1243" t="e">
        <f>VLOOKUP(A1243,[1]StockPrice!$C:$D,2,FALSE)</f>
        <v>#N/A</v>
      </c>
    </row>
    <row r="1244" spans="1:2" x14ac:dyDescent="0.2">
      <c r="A1244" t="s">
        <v>1598</v>
      </c>
      <c r="B1244" t="e">
        <f>VLOOKUP(A1244,[1]StockPrice!$C:$D,2,FALSE)</f>
        <v>#N/A</v>
      </c>
    </row>
    <row r="1245" spans="1:2" x14ac:dyDescent="0.2">
      <c r="A1245" t="s">
        <v>1547</v>
      </c>
      <c r="B1245" t="e">
        <f>VLOOKUP(A1245,[1]StockPrice!$C:$D,2,FALSE)</f>
        <v>#N/A</v>
      </c>
    </row>
    <row r="1246" spans="1:2" x14ac:dyDescent="0.2">
      <c r="A1246" t="s">
        <v>1508</v>
      </c>
      <c r="B1246">
        <f>VLOOKUP(A1246,[1]StockPrice!$C:$D,2,FALSE)</f>
        <v>224.34</v>
      </c>
    </row>
    <row r="1247" spans="1:2" x14ac:dyDescent="0.2">
      <c r="A1247" t="s">
        <v>1512</v>
      </c>
      <c r="B1247" t="e">
        <f>VLOOKUP(A1247,[1]StockPrice!$C:$D,2,FALSE)</f>
        <v>#N/A</v>
      </c>
    </row>
    <row r="1248" spans="1:2" x14ac:dyDescent="0.2">
      <c r="A1248" t="s">
        <v>1590</v>
      </c>
      <c r="B1248" t="e">
        <f>VLOOKUP(A1248,[1]StockPrice!$C:$D,2,FALSE)</f>
        <v>#N/A</v>
      </c>
    </row>
    <row r="1249" spans="1:2" x14ac:dyDescent="0.2">
      <c r="A1249" t="s">
        <v>1599</v>
      </c>
      <c r="B1249" t="e">
        <f>VLOOKUP(A1249,[1]StockPrice!$C:$D,2,FALSE)</f>
        <v>#N/A</v>
      </c>
    </row>
    <row r="1250" spans="1:2" x14ac:dyDescent="0.2">
      <c r="A1250" t="s">
        <v>1653</v>
      </c>
      <c r="B1250" t="e">
        <f>VLOOKUP(A1250,[1]StockPrice!$C:$D,2,FALSE)</f>
        <v>#N/A</v>
      </c>
    </row>
    <row r="1251" spans="1:2" x14ac:dyDescent="0.2">
      <c r="A1251" t="s">
        <v>1549</v>
      </c>
      <c r="B1251" t="e">
        <f>VLOOKUP(A1251,[1]StockPrice!$C:$D,2,FALSE)</f>
        <v>#N/A</v>
      </c>
    </row>
    <row r="1252" spans="1:2" x14ac:dyDescent="0.2">
      <c r="A1252" t="s">
        <v>1673</v>
      </c>
      <c r="B1252" t="e">
        <f>VLOOKUP(A1252,[1]StockPrice!$C:$D,2,FALSE)</f>
        <v>#N/A</v>
      </c>
    </row>
    <row r="1253" spans="1:2" x14ac:dyDescent="0.2">
      <c r="A1253" t="s">
        <v>1537</v>
      </c>
      <c r="B1253" t="e">
        <f>VLOOKUP(A1253,[1]StockPrice!$C:$D,2,FALSE)</f>
        <v>#N/A</v>
      </c>
    </row>
    <row r="1254" spans="1:2" x14ac:dyDescent="0.2">
      <c r="A1254" t="s">
        <v>1413</v>
      </c>
      <c r="B1254" t="e">
        <f>VLOOKUP(A1254,[1]StockPrice!$C:$D,2,FALSE)</f>
        <v>#N/A</v>
      </c>
    </row>
    <row r="1255" spans="1:2" x14ac:dyDescent="0.2">
      <c r="A1255" t="s">
        <v>1368</v>
      </c>
      <c r="B1255">
        <f>VLOOKUP(A1255,[1]StockPrice!$C:$D,2,FALSE)</f>
        <v>229</v>
      </c>
    </row>
    <row r="1256" spans="1:2" x14ac:dyDescent="0.2">
      <c r="A1256" t="s">
        <v>1522</v>
      </c>
      <c r="B1256">
        <f>VLOOKUP(A1256,[1]StockPrice!$C:$D,2,FALSE)</f>
        <v>16.809999999999999</v>
      </c>
    </row>
    <row r="1257" spans="1:2" x14ac:dyDescent="0.2">
      <c r="A1257" t="s">
        <v>1628</v>
      </c>
      <c r="B1257">
        <f>VLOOKUP(A1257,[1]StockPrice!$C:$D,2,FALSE)</f>
        <v>4.3600000000000003</v>
      </c>
    </row>
    <row r="1258" spans="1:2" x14ac:dyDescent="0.2">
      <c r="A1258" t="s">
        <v>1647</v>
      </c>
      <c r="B1258" t="e">
        <f>VLOOKUP(A1258,[1]StockPrice!$C:$D,2,FALSE)</f>
        <v>#N/A</v>
      </c>
    </row>
    <row r="1259" spans="1:2" x14ac:dyDescent="0.2">
      <c r="A1259" t="s">
        <v>1472</v>
      </c>
      <c r="B1259" t="e">
        <f>VLOOKUP(A1259,[1]StockPrice!$C:$D,2,FALSE)</f>
        <v>#N/A</v>
      </c>
    </row>
    <row r="1260" spans="1:2" x14ac:dyDescent="0.2">
      <c r="A1260" t="s">
        <v>1664</v>
      </c>
      <c r="B1260" t="e">
        <f>VLOOKUP(A1260,[1]StockPrice!$C:$D,2,FALSE)</f>
        <v>#N/A</v>
      </c>
    </row>
    <row r="1261" spans="1:2" x14ac:dyDescent="0.2">
      <c r="A1261" t="s">
        <v>1471</v>
      </c>
      <c r="B1261" t="e">
        <f>VLOOKUP(A1261,[1]StockPrice!$C:$D,2,FALSE)</f>
        <v>#N/A</v>
      </c>
    </row>
    <row r="1262" spans="1:2" x14ac:dyDescent="0.2">
      <c r="A1262" t="s">
        <v>1587</v>
      </c>
      <c r="B1262" t="e">
        <f>VLOOKUP(A1262,[1]StockPrice!$C:$D,2,FALSE)</f>
        <v>#N/A</v>
      </c>
    </row>
    <row r="1263" spans="1:2" x14ac:dyDescent="0.2">
      <c r="A1263" t="s">
        <v>1626</v>
      </c>
      <c r="B1263" t="e">
        <f>VLOOKUP(A1263,[1]StockPrice!$C:$D,2,FALSE)</f>
        <v>#N/A</v>
      </c>
    </row>
    <row r="1264" spans="1:2" x14ac:dyDescent="0.2">
      <c r="A1264" t="s">
        <v>1661</v>
      </c>
      <c r="B1264" t="e">
        <f>VLOOKUP(A1264,[1]StockPrice!$C:$D,2,FALSE)</f>
        <v>#N/A</v>
      </c>
    </row>
    <row r="1265" spans="1:2" x14ac:dyDescent="0.2">
      <c r="A1265" t="s">
        <v>1602</v>
      </c>
      <c r="B1265" t="e">
        <f>VLOOKUP(A1265,[1]StockPrice!$C:$D,2,FALSE)</f>
        <v>#N/A</v>
      </c>
    </row>
    <row r="1266" spans="1:2" x14ac:dyDescent="0.2">
      <c r="A1266" t="s">
        <v>1555</v>
      </c>
      <c r="B1266" t="e">
        <f>VLOOKUP(A1266,[1]StockPrice!$C:$D,2,FALSE)</f>
        <v>#N/A</v>
      </c>
    </row>
    <row r="1267" spans="1:2" x14ac:dyDescent="0.2">
      <c r="A1267" t="s">
        <v>1604</v>
      </c>
      <c r="B1267" t="e">
        <f>VLOOKUP(A1267,[1]StockPrice!$C:$D,2,FALSE)</f>
        <v>#N/A</v>
      </c>
    </row>
    <row r="1268" spans="1:2" x14ac:dyDescent="0.2">
      <c r="A1268" t="s">
        <v>1620</v>
      </c>
      <c r="B1268" t="e">
        <f>VLOOKUP(A1268,[1]StockPrice!$C:$D,2,FALSE)</f>
        <v>#N/A</v>
      </c>
    </row>
    <row r="1269" spans="1:2" x14ac:dyDescent="0.2">
      <c r="A1269" t="s">
        <v>1648</v>
      </c>
      <c r="B1269" t="e">
        <f>VLOOKUP(A1269,[1]StockPrice!$C:$D,2,FALSE)</f>
        <v>#N/A</v>
      </c>
    </row>
    <row r="1270" spans="1:2" x14ac:dyDescent="0.2">
      <c r="A1270" t="s">
        <v>1662</v>
      </c>
      <c r="B1270" t="e">
        <f>VLOOKUP(A1270,[1]StockPrice!$C:$D,2,FALSE)</f>
        <v>#N/A</v>
      </c>
    </row>
    <row r="1271" spans="1:2" x14ac:dyDescent="0.2">
      <c r="A1271" t="s">
        <v>1668</v>
      </c>
      <c r="B1271" t="e">
        <f>VLOOKUP(A1271,[1]StockPrice!$C:$D,2,FALSE)</f>
        <v>#N/A</v>
      </c>
    </row>
    <row r="1272" spans="1:2" x14ac:dyDescent="0.2">
      <c r="A1272" t="s">
        <v>1575</v>
      </c>
      <c r="B1272" t="e">
        <f>VLOOKUP(A1272,[1]StockPrice!$C:$D,2,FALSE)</f>
        <v>#N/A</v>
      </c>
    </row>
    <row r="1273" spans="1:2" x14ac:dyDescent="0.2">
      <c r="A1273" t="s">
        <v>1610</v>
      </c>
      <c r="B1273" t="e">
        <f>VLOOKUP(A1273,[1]StockPrice!$C:$D,2,FALSE)</f>
        <v>#N/A</v>
      </c>
    </row>
    <row r="1274" spans="1:2" x14ac:dyDescent="0.2">
      <c r="A1274" t="s">
        <v>1539</v>
      </c>
      <c r="B1274" t="e">
        <f>VLOOKUP(A1274,[1]StockPrice!$C:$D,2,FALSE)</f>
        <v>#N/A</v>
      </c>
    </row>
    <row r="1275" spans="1:2" x14ac:dyDescent="0.2">
      <c r="A1275" t="s">
        <v>1569</v>
      </c>
      <c r="B1275">
        <f>VLOOKUP(A1275,[1]StockPrice!$C:$D,2,FALSE)</f>
        <v>202.13</v>
      </c>
    </row>
    <row r="1276" spans="1:2" x14ac:dyDescent="0.2">
      <c r="A1276" t="s">
        <v>1619</v>
      </c>
      <c r="B1276" t="e">
        <f>VLOOKUP(A1276,[1]StockPrice!$C:$D,2,FALSE)</f>
        <v>#N/A</v>
      </c>
    </row>
    <row r="1277" spans="1:2" x14ac:dyDescent="0.2">
      <c r="A1277" t="s">
        <v>1521</v>
      </c>
      <c r="B1277" t="e">
        <f>VLOOKUP(A1277,[1]StockPrice!$C:$D,2,FALSE)</f>
        <v>#N/A</v>
      </c>
    </row>
    <row r="1278" spans="1:2" x14ac:dyDescent="0.2">
      <c r="A1278" t="s">
        <v>1597</v>
      </c>
      <c r="B1278" t="e">
        <f>VLOOKUP(A1278,[1]StockPrice!$C:$D,2,FALSE)</f>
        <v>#N/A</v>
      </c>
    </row>
    <row r="1279" spans="1:2" x14ac:dyDescent="0.2">
      <c r="A1279" t="s">
        <v>1613</v>
      </c>
      <c r="B1279" t="e">
        <f>VLOOKUP(A1279,[1]StockPrice!$C:$D,2,FALSE)</f>
        <v>#N/A</v>
      </c>
    </row>
    <row r="1280" spans="1:2" x14ac:dyDescent="0.2">
      <c r="A1280" t="s">
        <v>1639</v>
      </c>
      <c r="B1280" t="e">
        <f>VLOOKUP(A1280,[1]StockPrice!$C:$D,2,FALSE)</f>
        <v>#N/A</v>
      </c>
    </row>
    <row r="1281" spans="1:2" x14ac:dyDescent="0.2">
      <c r="A1281" t="s">
        <v>1351</v>
      </c>
      <c r="B1281" t="e">
        <f>VLOOKUP(A1281,[1]StockPrice!$C:$D,2,FALSE)</f>
        <v>#N/A</v>
      </c>
    </row>
    <row r="1282" spans="1:2" x14ac:dyDescent="0.2">
      <c r="A1282" t="s">
        <v>1540</v>
      </c>
      <c r="B1282">
        <f>VLOOKUP(A1282,[1]StockPrice!$C:$D,2,FALSE)</f>
        <v>115.54</v>
      </c>
    </row>
    <row r="1283" spans="1:2" x14ac:dyDescent="0.2">
      <c r="A1283" t="s">
        <v>1652</v>
      </c>
      <c r="B1283" t="e">
        <f>VLOOKUP(A1283,[1]StockPrice!$C:$D,2,FALSE)</f>
        <v>#N/A</v>
      </c>
    </row>
    <row r="1284" spans="1:2" x14ac:dyDescent="0.2">
      <c r="A1284" t="s">
        <v>1371</v>
      </c>
      <c r="B1284" t="e">
        <f>VLOOKUP(A1284,[1]StockPrice!$C:$D,2,FALSE)</f>
        <v>#N/A</v>
      </c>
    </row>
    <row r="1285" spans="1:2" x14ac:dyDescent="0.2">
      <c r="A1285" t="s">
        <v>1615</v>
      </c>
      <c r="B1285" t="e">
        <f>VLOOKUP(A1285,[1]StockPrice!$C:$D,2,FALSE)</f>
        <v>#N/A</v>
      </c>
    </row>
    <row r="1286" spans="1:2" x14ac:dyDescent="0.2">
      <c r="A1286" t="s">
        <v>1630</v>
      </c>
      <c r="B1286" t="e">
        <f>VLOOKUP(A1286,[1]StockPrice!$C:$D,2,FALSE)</f>
        <v>#N/A</v>
      </c>
    </row>
    <row r="1287" spans="1:2" x14ac:dyDescent="0.2">
      <c r="A1287" t="s">
        <v>1634</v>
      </c>
      <c r="B1287" t="e">
        <f>VLOOKUP(A1287,[1]StockPrice!$C:$D,2,FALSE)</f>
        <v>#N/A</v>
      </c>
    </row>
    <row r="1288" spans="1:2" x14ac:dyDescent="0.2">
      <c r="A1288" t="s">
        <v>1411</v>
      </c>
      <c r="B1288" t="e">
        <f>VLOOKUP(A1288,[1]StockPrice!$C:$D,2,FALSE)</f>
        <v>#N/A</v>
      </c>
    </row>
    <row r="1289" spans="1:2" x14ac:dyDescent="0.2">
      <c r="A1289" t="s">
        <v>1378</v>
      </c>
      <c r="B1289" t="e">
        <f>VLOOKUP(A1289,[1]StockPrice!$C:$D,2,FALSE)</f>
        <v>#N/A</v>
      </c>
    </row>
    <row r="1290" spans="1:2" x14ac:dyDescent="0.2">
      <c r="A1290" t="s">
        <v>1657</v>
      </c>
      <c r="B1290" t="e">
        <f>VLOOKUP(A1290,[1]StockPrice!$C:$D,2,FALSE)</f>
        <v>#N/A</v>
      </c>
    </row>
    <row r="1291" spans="1:2" x14ac:dyDescent="0.2">
      <c r="A1291" t="s">
        <v>1384</v>
      </c>
      <c r="B1291" t="e">
        <f>VLOOKUP(A1291,[1]StockPrice!$C:$D,2,FALSE)</f>
        <v>#N/A</v>
      </c>
    </row>
    <row r="1292" spans="1:2" x14ac:dyDescent="0.2">
      <c r="A1292" t="s">
        <v>1409</v>
      </c>
      <c r="B1292" t="e">
        <f>VLOOKUP(A1292,[1]StockPrice!$C:$D,2,FALSE)</f>
        <v>#N/A</v>
      </c>
    </row>
    <row r="1293" spans="1:2" x14ac:dyDescent="0.2">
      <c r="A1293" t="s">
        <v>1395</v>
      </c>
      <c r="B1293" t="e">
        <f>VLOOKUP(A1293,[1]StockPrice!$C:$D,2,FALSE)</f>
        <v>#N/A</v>
      </c>
    </row>
    <row r="1294" spans="1:2" x14ac:dyDescent="0.2">
      <c r="A1294" t="s">
        <v>1675</v>
      </c>
      <c r="B1294" t="e">
        <f>VLOOKUP(A1294,[1]StockPrice!$C:$D,2,FALSE)</f>
        <v>#N/A</v>
      </c>
    </row>
    <row r="1295" spans="1:2" x14ac:dyDescent="0.2">
      <c r="A1295" t="s">
        <v>1682</v>
      </c>
      <c r="B1295" t="e">
        <f>VLOOKUP(A1295,[1]StockPrice!$C:$D,2,FALSE)</f>
        <v>#N/A</v>
      </c>
    </row>
    <row r="1296" spans="1:2" x14ac:dyDescent="0.2">
      <c r="A1296" t="s">
        <v>1504</v>
      </c>
      <c r="B1296" t="e">
        <f>VLOOKUP(A1296,[1]StockPrice!$C:$D,2,FALSE)</f>
        <v>#N/A</v>
      </c>
    </row>
    <row r="1297" spans="1:2" x14ac:dyDescent="0.2">
      <c r="A1297" t="s">
        <v>1407</v>
      </c>
      <c r="B1297" t="e">
        <f>VLOOKUP(A1297,[1]StockPrice!$C:$D,2,FALSE)</f>
        <v>#N/A</v>
      </c>
    </row>
    <row r="1298" spans="1:2" x14ac:dyDescent="0.2">
      <c r="A1298" t="s">
        <v>1386</v>
      </c>
      <c r="B1298" t="e">
        <f>VLOOKUP(A1298,[1]StockPrice!$C:$D,2,FALSE)</f>
        <v>#N/A</v>
      </c>
    </row>
    <row r="1299" spans="1:2" x14ac:dyDescent="0.2">
      <c r="A1299" t="s">
        <v>1551</v>
      </c>
      <c r="B1299" t="e">
        <f>VLOOKUP(A1299,[1]StockPrice!$C:$D,2,FALSE)</f>
        <v>#N/A</v>
      </c>
    </row>
    <row r="1300" spans="1:2" x14ac:dyDescent="0.2">
      <c r="A1300" t="s">
        <v>1450</v>
      </c>
      <c r="B1300" t="e">
        <f>VLOOKUP(A1300,[1]StockPrice!$C:$D,2,FALSE)</f>
        <v>#N/A</v>
      </c>
    </row>
    <row r="1301" spans="1:2" x14ac:dyDescent="0.2">
      <c r="A1301" t="s">
        <v>1666</v>
      </c>
      <c r="B1301" t="e">
        <f>VLOOKUP(A1301,[1]StockPrice!$C:$D,2,FALSE)</f>
        <v>#N/A</v>
      </c>
    </row>
    <row r="1302" spans="1:2" x14ac:dyDescent="0.2">
      <c r="A1302" t="s">
        <v>1372</v>
      </c>
      <c r="B1302" t="e">
        <f>VLOOKUP(A1302,[1]StockPrice!$C:$D,2,FALSE)</f>
        <v>#N/A</v>
      </c>
    </row>
    <row r="1303" spans="1:2" x14ac:dyDescent="0.2">
      <c r="A1303" t="s">
        <v>1383</v>
      </c>
      <c r="B1303" t="e">
        <f>VLOOKUP(A1303,[1]StockPrice!$C:$D,2,FALSE)</f>
        <v>#N/A</v>
      </c>
    </row>
    <row r="1304" spans="1:2" x14ac:dyDescent="0.2">
      <c r="A1304" t="s">
        <v>1382</v>
      </c>
      <c r="B1304" t="e">
        <f>VLOOKUP(A1304,[1]StockPrice!$C:$D,2,FALSE)</f>
        <v>#N/A</v>
      </c>
    </row>
    <row r="1305" spans="1:2" x14ac:dyDescent="0.2">
      <c r="A1305" t="s">
        <v>1387</v>
      </c>
      <c r="B1305">
        <f>VLOOKUP(A1305,[1]StockPrice!$C:$D,2,FALSE)</f>
        <v>126.67</v>
      </c>
    </row>
    <row r="1306" spans="1:2" x14ac:dyDescent="0.2">
      <c r="A1306" t="s">
        <v>1359</v>
      </c>
      <c r="B1306" t="e">
        <f>VLOOKUP(A1306,[1]StockPrice!$C:$D,2,FALSE)</f>
        <v>#N/A</v>
      </c>
    </row>
    <row r="1307" spans="1:2" x14ac:dyDescent="0.2">
      <c r="A1307" t="s">
        <v>1388</v>
      </c>
      <c r="B1307">
        <f>VLOOKUP(A1307,[1]StockPrice!$C:$D,2,FALSE)</f>
        <v>214.11</v>
      </c>
    </row>
    <row r="1308" spans="1:2" x14ac:dyDescent="0.2">
      <c r="A1308" t="s">
        <v>1366</v>
      </c>
      <c r="B1308" t="e">
        <f>VLOOKUP(A1308,[1]StockPrice!$C:$D,2,FALSE)</f>
        <v>#N/A</v>
      </c>
    </row>
    <row r="1309" spans="1:2" x14ac:dyDescent="0.2">
      <c r="A1309" t="s">
        <v>1373</v>
      </c>
      <c r="B1309" t="e">
        <f>VLOOKUP(A1309,[1]StockPrice!$C:$D,2,FALSE)</f>
        <v>#N/A</v>
      </c>
    </row>
    <row r="1310" spans="1:2" x14ac:dyDescent="0.2">
      <c r="A1310" t="s">
        <v>1379</v>
      </c>
      <c r="B1310" t="e">
        <f>VLOOKUP(A1310,[1]StockPrice!$C:$D,2,FALSE)</f>
        <v>#N/A</v>
      </c>
    </row>
    <row r="1311" spans="1:2" x14ac:dyDescent="0.2">
      <c r="A1311" t="s">
        <v>1403</v>
      </c>
      <c r="B1311" t="e">
        <f>VLOOKUP(A1311,[1]StockPrice!$C:$D,2,FALSE)</f>
        <v>#N/A</v>
      </c>
    </row>
    <row r="1312" spans="1:2" x14ac:dyDescent="0.2">
      <c r="A1312" t="s">
        <v>1405</v>
      </c>
      <c r="B1312" t="e">
        <f>VLOOKUP(A1312,[1]StockPrice!$C:$D,2,FALSE)</f>
        <v>#N/A</v>
      </c>
    </row>
    <row r="1313" spans="1:2" x14ac:dyDescent="0.2">
      <c r="A1313" t="s">
        <v>1358</v>
      </c>
      <c r="B1313" t="e">
        <f>VLOOKUP(A1313,[1]StockPrice!$C:$D,2,FALSE)</f>
        <v>#N/A</v>
      </c>
    </row>
    <row r="1314" spans="1:2" x14ac:dyDescent="0.2">
      <c r="A1314" t="s">
        <v>1385</v>
      </c>
      <c r="B1314" t="e">
        <f>VLOOKUP(A1314,[1]StockPrice!$C:$D,2,FALSE)</f>
        <v>#N/A</v>
      </c>
    </row>
    <row r="1315" spans="1:2" x14ac:dyDescent="0.2">
      <c r="A1315" t="s">
        <v>1362</v>
      </c>
      <c r="B1315" t="e">
        <f>VLOOKUP(A1315,[1]StockPrice!$C:$D,2,FALSE)</f>
        <v>#N/A</v>
      </c>
    </row>
    <row r="1316" spans="1:2" x14ac:dyDescent="0.2">
      <c r="A1316" t="s">
        <v>1356</v>
      </c>
      <c r="B1316" t="e">
        <f>VLOOKUP(A1316,[1]StockPrice!$C:$D,2,FALSE)</f>
        <v>#N/A</v>
      </c>
    </row>
    <row r="1317" spans="1:2" x14ac:dyDescent="0.2">
      <c r="A1317" t="s">
        <v>1692</v>
      </c>
      <c r="B1317" t="e">
        <f>VLOOKUP(A1317,[1]StockPrice!$C:$D,2,FALSE)</f>
        <v>#N/A</v>
      </c>
    </row>
    <row r="1318" spans="1:2" x14ac:dyDescent="0.2">
      <c r="A1318" t="s">
        <v>1617</v>
      </c>
      <c r="B1318" t="e">
        <f>VLOOKUP(A1318,[1]StockPrice!$C:$D,2,FALSE)</f>
        <v>#N/A</v>
      </c>
    </row>
    <row r="1319" spans="1:2" x14ac:dyDescent="0.2">
      <c r="A1319" t="s">
        <v>1396</v>
      </c>
      <c r="B1319" t="e">
        <f>VLOOKUP(A1319,[1]StockPrice!$C:$D,2,FALSE)</f>
        <v>#N/A</v>
      </c>
    </row>
    <row r="1320" spans="1:2" x14ac:dyDescent="0.2">
      <c r="A1320" t="s">
        <v>1503</v>
      </c>
      <c r="B1320" t="e">
        <f>VLOOKUP(A1320,[1]StockPrice!$C:$D,2,FALSE)</f>
        <v>#N/A</v>
      </c>
    </row>
    <row r="1321" spans="1:2" x14ac:dyDescent="0.2">
      <c r="A1321" t="s">
        <v>1381</v>
      </c>
      <c r="B1321" t="e">
        <f>VLOOKUP(A1321,[1]StockPrice!$C:$D,2,FALSE)</f>
        <v>#N/A</v>
      </c>
    </row>
    <row r="1322" spans="1:2" x14ac:dyDescent="0.2">
      <c r="A1322" t="s">
        <v>1393</v>
      </c>
      <c r="B1322" t="e">
        <f>VLOOKUP(A1322,[1]StockPrice!$C:$D,2,FALSE)</f>
        <v>#N/A</v>
      </c>
    </row>
    <row r="1323" spans="1:2" x14ac:dyDescent="0.2">
      <c r="A1323" t="s">
        <v>1392</v>
      </c>
      <c r="B1323">
        <f>VLOOKUP(A1323,[1]StockPrice!$C:$D,2,FALSE)</f>
        <v>1.76854</v>
      </c>
    </row>
    <row r="1324" spans="1:2" x14ac:dyDescent="0.2">
      <c r="A1324" t="s">
        <v>1401</v>
      </c>
      <c r="B1324" t="e">
        <f>VLOOKUP(A1324,[1]StockPrice!$C:$D,2,FALSE)</f>
        <v>#N/A</v>
      </c>
    </row>
    <row r="1325" spans="1:2" x14ac:dyDescent="0.2">
      <c r="A1325" t="s">
        <v>1390</v>
      </c>
      <c r="B1325" t="e">
        <f>VLOOKUP(A1325,[1]StockPrice!$C:$D,2,FALSE)</f>
        <v>#N/A</v>
      </c>
    </row>
    <row r="1326" spans="1:2" x14ac:dyDescent="0.2">
      <c r="A1326" t="s">
        <v>1410</v>
      </c>
      <c r="B1326" t="e">
        <f>VLOOKUP(A1326,[1]StockPrice!$C:$D,2,FALSE)</f>
        <v>#N/A</v>
      </c>
    </row>
    <row r="1327" spans="1:2" x14ac:dyDescent="0.2">
      <c r="A1327" t="s">
        <v>1398</v>
      </c>
      <c r="B1327" t="e">
        <f>VLOOKUP(A1327,[1]StockPrice!$C:$D,2,FALSE)</f>
        <v>#N/A</v>
      </c>
    </row>
    <row r="1328" spans="1:2" x14ac:dyDescent="0.2">
      <c r="A1328" t="s">
        <v>1380</v>
      </c>
      <c r="B1328" t="e">
        <f>VLOOKUP(A1328,[1]StockPrice!$C:$D,2,FALSE)</f>
        <v>#N/A</v>
      </c>
    </row>
    <row r="1329" spans="1:2" x14ac:dyDescent="0.2">
      <c r="A1329" t="s">
        <v>1532</v>
      </c>
      <c r="B1329" t="e">
        <f>VLOOKUP(A1329,[1]StockPrice!$C:$D,2,FALSE)</f>
        <v>#N/A</v>
      </c>
    </row>
    <row r="1330" spans="1:2" x14ac:dyDescent="0.2">
      <c r="A1330" t="s">
        <v>1611</v>
      </c>
      <c r="B1330" t="e">
        <f>VLOOKUP(A1330,[1]StockPrice!$C:$D,2,FALSE)</f>
        <v>#N/A</v>
      </c>
    </row>
    <row r="1331" spans="1:2" x14ac:dyDescent="0.2">
      <c r="A1331" t="s">
        <v>1505</v>
      </c>
      <c r="B1331" t="e">
        <f>VLOOKUP(A1331,[1]StockPrice!$C:$D,2,FALSE)</f>
        <v>#N/A</v>
      </c>
    </row>
    <row r="1332" spans="1:2" x14ac:dyDescent="0.2">
      <c r="A1332" t="s">
        <v>1364</v>
      </c>
      <c r="B1332" t="e">
        <f>VLOOKUP(A1332,[1]StockPrice!$C:$D,2,FALSE)</f>
        <v>#N/A</v>
      </c>
    </row>
    <row r="1333" spans="1:2" x14ac:dyDescent="0.2">
      <c r="A1333" t="s">
        <v>1376</v>
      </c>
      <c r="B1333" t="e">
        <f>VLOOKUP(A1333,[1]StockPrice!$C:$D,2,FALSE)</f>
        <v>#N/A</v>
      </c>
    </row>
    <row r="1334" spans="1:2" x14ac:dyDescent="0.2">
      <c r="A1334" t="s">
        <v>1464</v>
      </c>
      <c r="B1334" t="e">
        <f>VLOOKUP(A1334,[1]StockPrice!$C:$D,2,FALSE)</f>
        <v>#N/A</v>
      </c>
    </row>
    <row r="1335" spans="1:2" x14ac:dyDescent="0.2">
      <c r="A1335" t="s">
        <v>1466</v>
      </c>
      <c r="B1335" t="e">
        <f>VLOOKUP(A1335,[1]StockPrice!$C:$D,2,FALSE)</f>
        <v>#N/A</v>
      </c>
    </row>
    <row r="1336" spans="1:2" x14ac:dyDescent="0.2">
      <c r="A1336" t="s">
        <v>1524</v>
      </c>
      <c r="B1336" t="e">
        <f>VLOOKUP(A1336,[1]StockPrice!$C:$D,2,FALSE)</f>
        <v>#N/A</v>
      </c>
    </row>
    <row r="1337" spans="1:2" x14ac:dyDescent="0.2">
      <c r="A1337" t="s">
        <v>1516</v>
      </c>
      <c r="B1337" t="e">
        <f>VLOOKUP(A1337,[1]StockPrice!$C:$D,2,FALSE)</f>
        <v>#N/A</v>
      </c>
    </row>
    <row r="1338" spans="1:2" x14ac:dyDescent="0.2">
      <c r="A1338" t="s">
        <v>1474</v>
      </c>
      <c r="B1338" t="e">
        <f>VLOOKUP(A1338,[1]StockPrice!$C:$D,2,FALSE)</f>
        <v>#N/A</v>
      </c>
    </row>
    <row r="1339" spans="1:2" x14ac:dyDescent="0.2">
      <c r="A1339" t="s">
        <v>1456</v>
      </c>
      <c r="B1339">
        <f>VLOOKUP(A1339,[1]StockPrice!$C:$D,2,FALSE)</f>
        <v>10.934799999999999</v>
      </c>
    </row>
    <row r="1340" spans="1:2" x14ac:dyDescent="0.2">
      <c r="A1340" t="s">
        <v>1487</v>
      </c>
      <c r="B1340" t="e">
        <f>VLOOKUP(A1340,[1]StockPrice!$C:$D,2,FALSE)</f>
        <v>#N/A</v>
      </c>
    </row>
    <row r="1341" spans="1:2" x14ac:dyDescent="0.2">
      <c r="A1341" t="s">
        <v>1461</v>
      </c>
      <c r="B1341" t="e">
        <f>VLOOKUP(A1341,[1]StockPrice!$C:$D,2,FALSE)</f>
        <v>#N/A</v>
      </c>
    </row>
    <row r="1342" spans="1:2" x14ac:dyDescent="0.2">
      <c r="A1342" t="s">
        <v>1588</v>
      </c>
      <c r="B1342">
        <f>VLOOKUP(A1342,[1]StockPrice!$C:$D,2,FALSE)</f>
        <v>12.190200000000001</v>
      </c>
    </row>
    <row r="1343" spans="1:2" x14ac:dyDescent="0.2">
      <c r="A1343" t="s">
        <v>1623</v>
      </c>
      <c r="B1343" t="e">
        <f>VLOOKUP(A1343,[1]StockPrice!$C:$D,2,FALSE)</f>
        <v>#N/A</v>
      </c>
    </row>
    <row r="1344" spans="1:2" x14ac:dyDescent="0.2">
      <c r="A1344" t="s">
        <v>1640</v>
      </c>
      <c r="B1344" t="e">
        <f>VLOOKUP(A1344,[1]StockPrice!$C:$D,2,FALSE)</f>
        <v>#N/A</v>
      </c>
    </row>
    <row r="1345" spans="1:2" x14ac:dyDescent="0.2">
      <c r="A1345" t="s">
        <v>1698</v>
      </c>
      <c r="B1345" t="e">
        <f>VLOOKUP(A1345,[1]StockPrice!$C:$D,2,FALSE)</f>
        <v>#N/A</v>
      </c>
    </row>
    <row r="1346" spans="1:2" x14ac:dyDescent="0.2">
      <c r="A1346" t="s">
        <v>1452</v>
      </c>
      <c r="B1346">
        <f>VLOOKUP(A1346,[1]StockPrice!$C:$D,2,FALSE)</f>
        <v>2.39</v>
      </c>
    </row>
    <row r="1347" spans="1:2" x14ac:dyDescent="0.2">
      <c r="A1347" t="s">
        <v>1486</v>
      </c>
      <c r="B1347" t="e">
        <f>VLOOKUP(A1347,[1]StockPrice!$C:$D,2,FALSE)</f>
        <v>#N/A</v>
      </c>
    </row>
    <row r="1348" spans="1:2" x14ac:dyDescent="0.2">
      <c r="A1348" t="s">
        <v>1457</v>
      </c>
      <c r="B1348" t="e">
        <f>VLOOKUP(A1348,[1]StockPrice!$C:$D,2,FALSE)</f>
        <v>#N/A</v>
      </c>
    </row>
    <row r="1349" spans="1:2" x14ac:dyDescent="0.2">
      <c r="A1349" t="s">
        <v>1485</v>
      </c>
      <c r="B1349" t="e">
        <f>VLOOKUP(A1349,[1]StockPrice!$C:$D,2,FALSE)</f>
        <v>#N/A</v>
      </c>
    </row>
    <row r="1350" spans="1:2" x14ac:dyDescent="0.2">
      <c r="A1350" t="s">
        <v>1451</v>
      </c>
      <c r="B1350" t="e">
        <f>VLOOKUP(A1350,[1]StockPrice!$C:$D,2,FALSE)</f>
        <v>#N/A</v>
      </c>
    </row>
    <row r="1351" spans="1:2" x14ac:dyDescent="0.2">
      <c r="A1351" t="s">
        <v>1470</v>
      </c>
      <c r="B1351" t="e">
        <f>VLOOKUP(A1351,[1]StockPrice!$C:$D,2,FALSE)</f>
        <v>#N/A</v>
      </c>
    </row>
    <row r="1352" spans="1:2" x14ac:dyDescent="0.2">
      <c r="A1352" t="s">
        <v>1459</v>
      </c>
      <c r="B1352" t="e">
        <f>VLOOKUP(A1352,[1]StockPrice!$C:$D,2,FALSE)</f>
        <v>#N/A</v>
      </c>
    </row>
    <row r="1353" spans="1:2" x14ac:dyDescent="0.2">
      <c r="A1353" t="s">
        <v>1463</v>
      </c>
      <c r="B1353" t="e">
        <f>VLOOKUP(A1353,[1]StockPrice!$C:$D,2,FALSE)</f>
        <v>#N/A</v>
      </c>
    </row>
    <row r="1354" spans="1:2" x14ac:dyDescent="0.2">
      <c r="A1354" t="s">
        <v>1469</v>
      </c>
      <c r="B1354" t="e">
        <f>VLOOKUP(A1354,[1]StockPrice!$C:$D,2,FALSE)</f>
        <v>#N/A</v>
      </c>
    </row>
    <row r="1355" spans="1:2" x14ac:dyDescent="0.2">
      <c r="A1355" t="s">
        <v>1449</v>
      </c>
      <c r="B1355">
        <f>VLOOKUP(A1355,[1]StockPrice!$C:$D,2,FALSE)</f>
        <v>4.2699999999999996</v>
      </c>
    </row>
    <row r="1356" spans="1:2" x14ac:dyDescent="0.2">
      <c r="A1356" t="s">
        <v>1641</v>
      </c>
      <c r="B1356" t="e">
        <f>VLOOKUP(A1356,[1]StockPrice!$C:$D,2,FALSE)</f>
        <v>#N/A</v>
      </c>
    </row>
    <row r="1357" spans="1:2" x14ac:dyDescent="0.2">
      <c r="A1357" t="s">
        <v>1431</v>
      </c>
      <c r="B1357">
        <f>VLOOKUP(A1357,[1]StockPrice!$C:$D,2,FALSE)</f>
        <v>1.74</v>
      </c>
    </row>
    <row r="1358" spans="1:2" x14ac:dyDescent="0.2">
      <c r="A1358" t="s">
        <v>1468</v>
      </c>
      <c r="B1358" t="e">
        <f>VLOOKUP(A1358,[1]StockPrice!$C:$D,2,FALSE)</f>
        <v>#N/A</v>
      </c>
    </row>
    <row r="1359" spans="1:2" x14ac:dyDescent="0.2">
      <c r="A1359" t="s">
        <v>1454</v>
      </c>
      <c r="B1359" t="e">
        <f>VLOOKUP(A1359,[1]StockPrice!$C:$D,2,FALSE)</f>
        <v>#N/A</v>
      </c>
    </row>
    <row r="1360" spans="1:2" x14ac:dyDescent="0.2">
      <c r="A1360" t="s">
        <v>1558</v>
      </c>
      <c r="B1360" t="e">
        <f>VLOOKUP(A1360,[1]StockPrice!$C:$D,2,FALSE)</f>
        <v>#N/A</v>
      </c>
    </row>
    <row r="1361" spans="1:2" x14ac:dyDescent="0.2">
      <c r="A1361" t="s">
        <v>1691</v>
      </c>
      <c r="B1361" t="e">
        <f>VLOOKUP(A1361,[1]StockPrice!$C:$D,2,FALSE)</f>
        <v>#N/A</v>
      </c>
    </row>
    <row r="1362" spans="1:2" x14ac:dyDescent="0.2">
      <c r="A1362" t="s">
        <v>1327</v>
      </c>
      <c r="B1362" t="e">
        <f>VLOOKUP(A1362,[1]StockPrice!$C:$D,2,FALSE)</f>
        <v>#N/A</v>
      </c>
    </row>
    <row r="1363" spans="1:2" x14ac:dyDescent="0.2">
      <c r="A1363" t="s">
        <v>1483</v>
      </c>
      <c r="B1363" t="e">
        <f>VLOOKUP(A1363,[1]StockPrice!$C:$D,2,FALSE)</f>
        <v>#N/A</v>
      </c>
    </row>
    <row r="1364" spans="1:2" x14ac:dyDescent="0.2">
      <c r="A1364" t="s">
        <v>1484</v>
      </c>
      <c r="B1364" t="e">
        <f>VLOOKUP(A1364,[1]StockPrice!$C:$D,2,FALSE)</f>
        <v>#N/A</v>
      </c>
    </row>
    <row r="1365" spans="1:2" x14ac:dyDescent="0.2">
      <c r="A1365" t="s">
        <v>1581</v>
      </c>
      <c r="B1365" t="e">
        <f>VLOOKUP(A1365,[1]StockPrice!$C:$D,2,FALSE)</f>
        <v>#N/A</v>
      </c>
    </row>
    <row r="1366" spans="1:2" x14ac:dyDescent="0.2">
      <c r="A1366" t="s">
        <v>1458</v>
      </c>
      <c r="B1366" t="e">
        <f>VLOOKUP(A1366,[1]StockPrice!$C:$D,2,FALSE)</f>
        <v>#N/A</v>
      </c>
    </row>
    <row r="1367" spans="1:2" x14ac:dyDescent="0.2">
      <c r="A1367" t="s">
        <v>1506</v>
      </c>
      <c r="B1367" t="e">
        <f>VLOOKUP(A1367,[1]StockPrice!$C:$D,2,FALSE)</f>
        <v>#N/A</v>
      </c>
    </row>
    <row r="1368" spans="1:2" x14ac:dyDescent="0.2">
      <c r="A1368" t="s">
        <v>1420</v>
      </c>
      <c r="B1368" t="e">
        <f>VLOOKUP(A1368,[1]StockPrice!$C:$D,2,FALSE)</f>
        <v>#N/A</v>
      </c>
    </row>
    <row r="1369" spans="1:2" x14ac:dyDescent="0.2">
      <c r="A1369" t="s">
        <v>1436</v>
      </c>
      <c r="B1369">
        <f>VLOOKUP(A1369,[1]StockPrice!$C:$D,2,FALSE)</f>
        <v>39.6</v>
      </c>
    </row>
    <row r="1370" spans="1:2" x14ac:dyDescent="0.2">
      <c r="A1370" t="s">
        <v>1633</v>
      </c>
      <c r="B1370" t="e">
        <f>VLOOKUP(A1370,[1]StockPrice!$C:$D,2,FALSE)</f>
        <v>#N/A</v>
      </c>
    </row>
    <row r="1371" spans="1:2" x14ac:dyDescent="0.2">
      <c r="A1371" t="s">
        <v>1439</v>
      </c>
      <c r="B1371" t="e">
        <f>VLOOKUP(A1371,[1]StockPrice!$C:$D,2,FALSE)</f>
        <v>#N/A</v>
      </c>
    </row>
    <row r="1372" spans="1:2" x14ac:dyDescent="0.2">
      <c r="A1372" t="s">
        <v>1414</v>
      </c>
      <c r="B1372">
        <f>VLOOKUP(A1372,[1]StockPrice!$C:$D,2,FALSE)</f>
        <v>142.91999999999999</v>
      </c>
    </row>
    <row r="1373" spans="1:2" x14ac:dyDescent="0.2">
      <c r="A1373" t="s">
        <v>1591</v>
      </c>
      <c r="B1373" t="e">
        <f>VLOOKUP(A1373,[1]StockPrice!$C:$D,2,FALSE)</f>
        <v>#N/A</v>
      </c>
    </row>
    <row r="1374" spans="1:2" x14ac:dyDescent="0.2">
      <c r="A1374" t="s">
        <v>1444</v>
      </c>
      <c r="B1374" t="e">
        <f>VLOOKUP(A1374,[1]StockPrice!$C:$D,2,FALSE)</f>
        <v>#N/A</v>
      </c>
    </row>
    <row r="1375" spans="1:2" x14ac:dyDescent="0.2">
      <c r="A1375" t="s">
        <v>1417</v>
      </c>
      <c r="B1375" t="e">
        <f>VLOOKUP(A1375,[1]StockPrice!$C:$D,2,FALSE)</f>
        <v>#N/A</v>
      </c>
    </row>
    <row r="1376" spans="1:2" x14ac:dyDescent="0.2">
      <c r="A1376" t="s">
        <v>1428</v>
      </c>
      <c r="B1376" t="e">
        <f>VLOOKUP(A1376,[1]StockPrice!$C:$D,2,FALSE)</f>
        <v>#N/A</v>
      </c>
    </row>
    <row r="1377" spans="1:2" x14ac:dyDescent="0.2">
      <c r="A1377" t="s">
        <v>1637</v>
      </c>
      <c r="B1377" t="e">
        <f>VLOOKUP(A1377,[1]StockPrice!$C:$D,2,FALSE)</f>
        <v>#N/A</v>
      </c>
    </row>
    <row r="1378" spans="1:2" x14ac:dyDescent="0.2">
      <c r="A1378" t="s">
        <v>1600</v>
      </c>
      <c r="B1378">
        <f>VLOOKUP(A1378,[1]StockPrice!$C:$D,2,FALSE)</f>
        <v>88.58</v>
      </c>
    </row>
    <row r="1379" spans="1:2" x14ac:dyDescent="0.2">
      <c r="A1379" t="s">
        <v>1448</v>
      </c>
      <c r="B1379" t="e">
        <f>VLOOKUP(A1379,[1]StockPrice!$C:$D,2,FALSE)</f>
        <v>#N/A</v>
      </c>
    </row>
    <row r="1380" spans="1:2" x14ac:dyDescent="0.2">
      <c r="A1380" t="s">
        <v>1419</v>
      </c>
      <c r="B1380" t="e">
        <f>VLOOKUP(A1380,[1]StockPrice!$C:$D,2,FALSE)</f>
        <v>#N/A</v>
      </c>
    </row>
    <row r="1381" spans="1:2" x14ac:dyDescent="0.2">
      <c r="A1381" t="s">
        <v>1437</v>
      </c>
      <c r="B1381" t="e">
        <f>VLOOKUP(A1381,[1]StockPrice!$C:$D,2,FALSE)</f>
        <v>#N/A</v>
      </c>
    </row>
    <row r="1382" spans="1:2" x14ac:dyDescent="0.2">
      <c r="A1382" t="s">
        <v>1430</v>
      </c>
      <c r="B1382" t="e">
        <f>VLOOKUP(A1382,[1]StockPrice!$C:$D,2,FALSE)</f>
        <v>#N/A</v>
      </c>
    </row>
    <row r="1383" spans="1:2" x14ac:dyDescent="0.2">
      <c r="A1383" t="s">
        <v>1700</v>
      </c>
      <c r="B1383" t="e">
        <f>VLOOKUP(A1383,[1]StockPrice!$C:$D,2,FALSE)</f>
        <v>#N/A</v>
      </c>
    </row>
    <row r="1384" spans="1:2" x14ac:dyDescent="0.2">
      <c r="A1384" t="s">
        <v>1434</v>
      </c>
      <c r="B1384" t="e">
        <f>VLOOKUP(A1384,[1]StockPrice!$C:$D,2,FALSE)</f>
        <v>#N/A</v>
      </c>
    </row>
    <row r="1385" spans="1:2" x14ac:dyDescent="0.2">
      <c r="A1385" t="s">
        <v>1421</v>
      </c>
      <c r="B1385" t="e">
        <f>VLOOKUP(A1385,[1]StockPrice!$C:$D,2,FALSE)</f>
        <v>#N/A</v>
      </c>
    </row>
    <row r="1386" spans="1:2" x14ac:dyDescent="0.2">
      <c r="A1386" t="s">
        <v>1482</v>
      </c>
      <c r="B1386" t="e">
        <f>VLOOKUP(A1386,[1]StockPrice!$C:$D,2,FALSE)</f>
        <v>#N/A</v>
      </c>
    </row>
    <row r="1387" spans="1:2" x14ac:dyDescent="0.2">
      <c r="A1387" t="s">
        <v>1425</v>
      </c>
      <c r="B1387" t="e">
        <f>VLOOKUP(A1387,[1]StockPrice!$C:$D,2,FALSE)</f>
        <v>#N/A</v>
      </c>
    </row>
    <row r="1388" spans="1:2" x14ac:dyDescent="0.2">
      <c r="A1388" t="s">
        <v>1427</v>
      </c>
      <c r="B1388" t="e">
        <f>VLOOKUP(A1388,[1]StockPrice!$C:$D,2,FALSE)</f>
        <v>#N/A</v>
      </c>
    </row>
    <row r="1389" spans="1:2" x14ac:dyDescent="0.2">
      <c r="A1389" t="s">
        <v>1481</v>
      </c>
      <c r="B1389">
        <f>VLOOKUP(A1389,[1]StockPrice!$C:$D,2,FALSE)</f>
        <v>254.7</v>
      </c>
    </row>
    <row r="1390" spans="1:2" x14ac:dyDescent="0.2">
      <c r="A1390" t="s">
        <v>1424</v>
      </c>
      <c r="B1390" t="e">
        <f>VLOOKUP(A1390,[1]StockPrice!$C:$D,2,FALSE)</f>
        <v>#N/A</v>
      </c>
    </row>
    <row r="1391" spans="1:2" x14ac:dyDescent="0.2">
      <c r="A1391" t="s">
        <v>1438</v>
      </c>
      <c r="B1391" t="e">
        <f>VLOOKUP(A1391,[1]StockPrice!$C:$D,2,FALSE)</f>
        <v>#N/A</v>
      </c>
    </row>
    <row r="1392" spans="1:2" x14ac:dyDescent="0.2">
      <c r="A1392" t="s">
        <v>1442</v>
      </c>
      <c r="B1392" t="e">
        <f>VLOOKUP(A1392,[1]StockPrice!$C:$D,2,FALSE)</f>
        <v>#N/A</v>
      </c>
    </row>
    <row r="1393" spans="1:2" x14ac:dyDescent="0.2">
      <c r="A1393" t="s">
        <v>1480</v>
      </c>
      <c r="B1393" t="e">
        <f>VLOOKUP(A1393,[1]StockPrice!$C:$D,2,FALSE)</f>
        <v>#N/A</v>
      </c>
    </row>
    <row r="1394" spans="1:2" x14ac:dyDescent="0.2">
      <c r="A1394" t="s">
        <v>1423</v>
      </c>
      <c r="B1394" t="e">
        <f>VLOOKUP(A1394,[1]StockPrice!$C:$D,2,FALSE)</f>
        <v>#N/A</v>
      </c>
    </row>
    <row r="1395" spans="1:2" x14ac:dyDescent="0.2">
      <c r="A1395" t="s">
        <v>1429</v>
      </c>
      <c r="B1395">
        <f>VLOOKUP(A1395,[1]StockPrice!$C:$D,2,FALSE)</f>
        <v>9.2412299999999998</v>
      </c>
    </row>
    <row r="1396" spans="1:2" x14ac:dyDescent="0.2">
      <c r="A1396" t="s">
        <v>1479</v>
      </c>
      <c r="B1396" t="e">
        <f>VLOOKUP(A1396,[1]StockPrice!$C:$D,2,FALSE)</f>
        <v>#N/A</v>
      </c>
    </row>
    <row r="1397" spans="1:2" x14ac:dyDescent="0.2">
      <c r="A1397" t="s">
        <v>1447</v>
      </c>
      <c r="B1397" t="e">
        <f>VLOOKUP(A1397,[1]StockPrice!$C:$D,2,FALSE)</f>
        <v>#N/A</v>
      </c>
    </row>
    <row r="1398" spans="1:2" x14ac:dyDescent="0.2">
      <c r="A1398" t="s">
        <v>1477</v>
      </c>
      <c r="B1398" t="e">
        <f>VLOOKUP(A1398,[1]StockPrice!$C:$D,2,FALSE)</f>
        <v>#N/A</v>
      </c>
    </row>
    <row r="1399" spans="1:2" x14ac:dyDescent="0.2">
      <c r="A1399" t="s">
        <v>1631</v>
      </c>
      <c r="B1399" t="e">
        <f>VLOOKUP(A1399,[1]StockPrice!$C:$D,2,FALSE)</f>
        <v>#N/A</v>
      </c>
    </row>
    <row r="1400" spans="1:2" x14ac:dyDescent="0.2">
      <c r="A1400" t="s">
        <v>1624</v>
      </c>
      <c r="B1400" t="e">
        <f>VLOOKUP(A1400,[1]StockPrice!$C:$D,2,FALSE)</f>
        <v>#N/A</v>
      </c>
    </row>
    <row r="1401" spans="1:2" x14ac:dyDescent="0.2">
      <c r="A1401">
        <v>0</v>
      </c>
      <c r="B1401" t="e">
        <f>VLOOKUP(A1401,[1]StockPrice!$C:$D,2,FALSE)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TechLayoffsTracker</vt:lpstr>
      <vt:lpstr>layoffs_location</vt:lpstr>
      <vt:lpstr>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Ulrike Herold</cp:lastModifiedBy>
  <dcterms:created xsi:type="dcterms:W3CDTF">2024-01-14T17:37:00Z</dcterms:created>
  <dcterms:modified xsi:type="dcterms:W3CDTF">2026-07-04T14:04:03Z</dcterms:modified>
</cp:coreProperties>
</file>